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olar" sheetId="1" state="visible" r:id="rId3"/>
    <sheet name="demand" sheetId="2" state="visible" r:id="rId4"/>
    <sheet name="investment" sheetId="3" state="visible" r:id="rId5"/>
    <sheet name="profit" sheetId="4" state="visible" r:id="rId6"/>
    <sheet name="solgen" sheetId="5" state="visible" r:id="rId7"/>
    <sheet name="import" sheetId="6" state="visible" r:id="rId8"/>
    <sheet name="export" sheetId="7" state="visible" r:id="rId9"/>
    <sheet name="charge" sheetId="8" state="visible" r:id="rId10"/>
    <sheet name="discharge" sheetId="9" state="visible" r:id="rId11"/>
    <sheet name="soc" sheetId="10" state="visible" r:id="rId12"/>
    <sheet name="p_micro" sheetId="11" state="visible" r:id="rId13"/>
    <sheet name="NG1" sheetId="12" state="visible" r:id="rId14"/>
    <sheet name="NG2" sheetId="13" state="visible" r:id="rId15"/>
    <sheet name="NG3" sheetId="14" state="visible" r:id="rId16"/>
    <sheet name="Input par" sheetId="15" state="visible" r:id="rId17"/>
    <sheet name="p_nano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<sst xmlns="http://schemas.openxmlformats.org/spreadsheetml/2006/main" count="91" uniqueCount="57">
  <si>
    <t xml:space="preserve">1</t>
  </si>
  <si>
    <t xml:space="preserve">2</t>
  </si>
  <si>
    <t xml:space="preserve">3</t>
  </si>
  <si>
    <t xml:space="preserve">NG=</t>
  </si>
  <si>
    <t xml:space="preserve">Nanogrid 1</t>
  </si>
  <si>
    <t xml:space="preserve">PV hours</t>
  </si>
  <si>
    <t xml:space="preserve">For plot</t>
  </si>
  <si>
    <t xml:space="preserve">timestep</t>
  </si>
  <si>
    <t xml:space="preserve">solar 1</t>
  </si>
  <si>
    <t xml:space="preserve">demand 1</t>
  </si>
  <si>
    <t xml:space="preserve">solgen 1</t>
  </si>
  <si>
    <t xml:space="preserve">import 1</t>
  </si>
  <si>
    <t xml:space="preserve">export 1</t>
  </si>
  <si>
    <t xml:space="preserve">charge 1</t>
  </si>
  <si>
    <t xml:space="preserve">discha 1</t>
  </si>
  <si>
    <t xml:space="preserve">SoC 1</t>
  </si>
  <si>
    <t xml:space="preserve">p_micro</t>
  </si>
  <si>
    <t xml:space="preserve">Nanogrid 2</t>
  </si>
  <si>
    <t xml:space="preserve">Nanogrid 3</t>
  </si>
  <si>
    <t xml:space="preserve">* spec. solar investment 730 euro/kWp for 20 years lifetime (from my paper) -&gt; 0.1 euro/kW per day</t>
  </si>
  <si>
    <t xml:space="preserve">* spec. solar investment 540 euro/kWh for 20 years lifetime (from Leas master) -&gt; 0.074 euro/kW per day</t>
  </si>
  <si>
    <r>
      <rPr>
        <sz val="8"/>
        <color rgb="FF000000"/>
        <rFont val="Consolas"/>
        <family val="3"/>
      </rPr>
      <t xml:space="preserve">c_S(i)</t>
    </r>
    <r>
      <rPr>
        <sz val="8"/>
        <color rgb="FF007400"/>
        <rFont val="Consolas"/>
        <family val="3"/>
      </rPr>
      <t xml:space="preserve"> /1 </t>
    </r>
    <r>
      <rPr>
        <sz val="8"/>
        <color rgb="FF005078"/>
        <rFont val="Consolas"/>
        <family val="3"/>
      </rPr>
      <t xml:space="preserve">0.7</t>
    </r>
  </si>
  <si>
    <r>
      <rPr>
        <sz val="8"/>
        <color rgb="FF007400"/>
        <rFont val="Consolas"/>
        <family val="3"/>
      </rPr>
      <t xml:space="preserve">2 </t>
    </r>
    <r>
      <rPr>
        <sz val="8"/>
        <color rgb="FF005078"/>
        <rFont val="Consolas"/>
        <family val="3"/>
      </rPr>
      <t xml:space="preserve">0.7</t>
    </r>
  </si>
  <si>
    <r>
      <rPr>
        <sz val="8"/>
        <color rgb="FF007400"/>
        <rFont val="Consolas"/>
        <family val="3"/>
      </rPr>
      <t xml:space="preserve">3 </t>
    </r>
    <r>
      <rPr>
        <sz val="8"/>
        <color rgb="FF005078"/>
        <rFont val="Consolas"/>
        <family val="3"/>
      </rPr>
      <t xml:space="preserve">0.7</t>
    </r>
  </si>
  <si>
    <t xml:space="preserve">/</t>
  </si>
  <si>
    <t xml:space="preserve">* spec. battery investment 192 euro/kWh for 5 years lifetime (from my paper) -&gt; 0.1 euro/kWh per day</t>
  </si>
  <si>
    <t xml:space="preserve">* spec. battery investment 1900 euro/kWh for 5 years lifetime (from my paper) -&gt; 1.04 euro/kWh per day</t>
  </si>
  <si>
    <r>
      <rPr>
        <sz val="8"/>
        <color rgb="FF000000"/>
        <rFont val="Consolas"/>
        <family val="3"/>
      </rPr>
      <t xml:space="preserve">c_B(i)</t>
    </r>
    <r>
      <rPr>
        <sz val="8"/>
        <color rgb="FF007400"/>
        <rFont val="Consolas"/>
        <family val="3"/>
      </rPr>
      <t xml:space="preserve"> / 1 </t>
    </r>
    <r>
      <rPr>
        <sz val="8"/>
        <color rgb="FF005078"/>
        <rFont val="Consolas"/>
        <family val="3"/>
      </rPr>
      <t xml:space="preserve">7.28</t>
    </r>
  </si>
  <si>
    <r>
      <rPr>
        <sz val="8"/>
        <color rgb="FF007400"/>
        <rFont val="Consolas"/>
        <family val="3"/>
      </rPr>
      <t xml:space="preserve">2 </t>
    </r>
    <r>
      <rPr>
        <sz val="8"/>
        <color rgb="FF005078"/>
        <rFont val="Consolas"/>
        <family val="3"/>
      </rPr>
      <t xml:space="preserve">7.28</t>
    </r>
  </si>
  <si>
    <r>
      <rPr>
        <sz val="8"/>
        <color rgb="FF007400"/>
        <rFont val="Consolas"/>
        <family val="3"/>
      </rPr>
      <t xml:space="preserve">3 </t>
    </r>
    <r>
      <rPr>
        <sz val="8"/>
        <color rgb="FF005078"/>
        <rFont val="Consolas"/>
        <family val="3"/>
      </rPr>
      <t xml:space="preserve">7.28</t>
    </r>
  </si>
  <si>
    <r>
      <rPr>
        <sz val="8"/>
        <color rgb="FF000000"/>
        <rFont val="Consolas"/>
        <family val="3"/>
      </rPr>
      <t xml:space="preserve">c_bat</t>
    </r>
    <r>
      <rPr>
        <sz val="8"/>
        <color rgb="FF007400"/>
        <rFont val="Consolas"/>
        <family val="3"/>
      </rPr>
      <t xml:space="preserve"> / 0.005 /</t>
    </r>
  </si>
  <si>
    <r>
      <rPr>
        <sz val="8"/>
        <color rgb="FF000000"/>
        <rFont val="Consolas"/>
        <family val="3"/>
      </rPr>
      <t xml:space="preserve">c_pv</t>
    </r>
    <r>
      <rPr>
        <sz val="8"/>
        <color rgb="FF007400"/>
        <rFont val="Consolas"/>
        <family val="3"/>
      </rPr>
      <t xml:space="preserve"> / 0.0001 /</t>
    </r>
  </si>
  <si>
    <r>
      <rPr>
        <sz val="8"/>
        <color rgb="FF000000"/>
        <rFont val="Consolas"/>
        <family val="3"/>
      </rPr>
      <t xml:space="preserve">sigma</t>
    </r>
    <r>
      <rPr>
        <sz val="8"/>
        <color rgb="FF007400"/>
        <rFont val="Consolas"/>
        <family val="3"/>
      </rPr>
      <t xml:space="preserve"> / 0.001 /</t>
    </r>
  </si>
  <si>
    <r>
      <rPr>
        <sz val="8"/>
        <color rgb="FF000000"/>
        <rFont val="Consolas"/>
        <family val="3"/>
      </rPr>
      <t xml:space="preserve">u_bat</t>
    </r>
    <r>
      <rPr>
        <sz val="8"/>
        <color rgb="FF007400"/>
        <rFont val="Consolas"/>
        <family val="3"/>
      </rPr>
      <t xml:space="preserve"> / 0.9 /</t>
    </r>
  </si>
  <si>
    <r>
      <rPr>
        <sz val="8"/>
        <color rgb="FF000000"/>
        <rFont val="Consolas"/>
        <family val="3"/>
      </rPr>
      <t xml:space="preserve">u_ie</t>
    </r>
    <r>
      <rPr>
        <sz val="8"/>
        <color rgb="FF007400"/>
        <rFont val="Consolas"/>
        <family val="3"/>
      </rPr>
      <t xml:space="preserve"> / 0.75 /</t>
    </r>
  </si>
  <si>
    <r>
      <rPr>
        <sz val="8"/>
        <color rgb="FF000000"/>
        <rFont val="Consolas"/>
        <family val="3"/>
      </rPr>
      <t xml:space="preserve">v_B</t>
    </r>
    <r>
      <rPr>
        <sz val="8"/>
        <color rgb="FF007400"/>
        <rFont val="Consolas"/>
        <family val="3"/>
      </rPr>
      <t xml:space="preserve"> / 0.5 /</t>
    </r>
  </si>
  <si>
    <r>
      <rPr>
        <sz val="8"/>
        <color rgb="FF000000"/>
        <rFont val="Consolas"/>
        <family val="3"/>
      </rPr>
      <t xml:space="preserve">z_B</t>
    </r>
    <r>
      <rPr>
        <sz val="8"/>
        <color rgb="FF007400"/>
        <rFont val="Consolas"/>
        <family val="3"/>
      </rPr>
      <t xml:space="preserve"> / 0.7 /</t>
    </r>
  </si>
  <si>
    <t xml:space="preserve">*a_bat / 0.6 /</t>
  </si>
  <si>
    <r>
      <rPr>
        <sz val="8"/>
        <color rgb="FF000000"/>
        <rFont val="Consolas"/>
        <family val="3"/>
      </rPr>
      <t xml:space="preserve">w</t>
    </r>
    <r>
      <rPr>
        <sz val="8"/>
        <color rgb="FF007400"/>
        <rFont val="Consolas"/>
        <family val="3"/>
      </rPr>
      <t xml:space="preserve"> / 10 /</t>
    </r>
  </si>
  <si>
    <r>
      <rPr>
        <sz val="8"/>
        <color rgb="FF000000"/>
        <rFont val="Consolas"/>
        <family val="3"/>
      </rPr>
      <t xml:space="preserve">p_nano</t>
    </r>
    <r>
      <rPr>
        <sz val="8"/>
        <color rgb="FF007400"/>
        <rFont val="Consolas"/>
        <family val="3"/>
      </rPr>
      <t xml:space="preserve"> / 2 /</t>
    </r>
  </si>
  <si>
    <r>
      <rPr>
        <sz val="8"/>
        <color rgb="FF000000"/>
        <rFont val="Consolas"/>
        <family val="3"/>
      </rPr>
      <t xml:space="preserve">p_micro</t>
    </r>
    <r>
      <rPr>
        <sz val="8"/>
        <color rgb="FF007400"/>
        <rFont val="Consolas"/>
        <family val="3"/>
      </rPr>
      <t xml:space="preserve"> / 1 /</t>
    </r>
  </si>
  <si>
    <r>
      <rPr>
        <sz val="8"/>
        <color rgb="FF000000"/>
        <rFont val="Consolas"/>
        <family val="3"/>
      </rPr>
      <t xml:space="preserve">ts</t>
    </r>
    <r>
      <rPr>
        <sz val="8"/>
        <color rgb="FF007400"/>
        <rFont val="Consolas"/>
        <family val="3"/>
      </rPr>
      <t xml:space="preserve"> / 1 /</t>
    </r>
  </si>
  <si>
    <r>
      <rPr>
        <sz val="8"/>
        <color rgb="FF000000"/>
        <rFont val="Consolas"/>
        <family val="3"/>
      </rPr>
      <t xml:space="preserve">Num_of_ts</t>
    </r>
    <r>
      <rPr>
        <sz val="8"/>
        <color rgb="FF007400"/>
        <rFont val="Consolas"/>
        <family val="3"/>
      </rPr>
      <t xml:space="preserve"> / 168 /</t>
    </r>
  </si>
  <si>
    <t xml:space="preserve">e_solar(t)</t>
  </si>
  <si>
    <t xml:space="preserve">$ondelim</t>
  </si>
  <si>
    <r>
      <rPr>
        <sz val="8"/>
        <color rgb="FF6B006B"/>
        <rFont val="Consolas"/>
        <family val="3"/>
      </rPr>
      <t xml:space="preserve">$include</t>
    </r>
    <r>
      <rPr>
        <i val="true"/>
        <sz val="8"/>
        <color rgb="FF0000DA"/>
        <rFont val="Consolas"/>
        <family val="3"/>
      </rPr>
      <t xml:space="preserve"> Raqaypampa_PV_hourly_week10.csv</t>
    </r>
  </si>
  <si>
    <t xml:space="preserve">*$include NanoE_PVlow_1kW_1w10min.csv</t>
  </si>
  <si>
    <t xml:space="preserve">*$include PV3days_adj.csv</t>
  </si>
  <si>
    <t xml:space="preserve">$offdelim</t>
  </si>
  <si>
    <t xml:space="preserve">* Several parameters that are calculated after the model run</t>
  </si>
  <si>
    <t xml:space="preserve">indiprofit(i)</t>
  </si>
  <si>
    <t xml:space="preserve">negprofit</t>
  </si>
  <si>
    <t xml:space="preserve">;</t>
  </si>
  <si>
    <r>
      <rPr>
        <b val="true"/>
        <sz val="8"/>
        <color rgb="FF0000B3"/>
        <rFont val="Consolas"/>
        <family val="3"/>
      </rPr>
      <t xml:space="preserve">Table </t>
    </r>
    <r>
      <rPr>
        <sz val="8"/>
        <color rgb="FF000000"/>
        <rFont val="Consolas"/>
        <family val="3"/>
      </rPr>
      <t xml:space="preserve">e_dem(t,i)</t>
    </r>
  </si>
  <si>
    <r>
      <rPr>
        <sz val="8"/>
        <color rgb="FF6B006B"/>
        <rFont val="Consolas"/>
        <family val="3"/>
      </rPr>
      <t xml:space="preserve">$include</t>
    </r>
    <r>
      <rPr>
        <i val="true"/>
        <sz val="8"/>
        <color rgb="FF0000DA"/>
        <rFont val="Consolas"/>
        <family val="3"/>
      </rPr>
      <t xml:space="preserve"> Raqaypampa_demand_hourly_week10_3NG.csv</t>
    </r>
  </si>
  <si>
    <t xml:space="preserve">*$include NanoE_demand_5NGs_1w10min.csv</t>
  </si>
  <si>
    <t xml:space="preserve">*$include Dem3days_adj.csv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</si>
</sst>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0"/>
    <numFmt numFmtId="166" formatCode="0.000"/>
    <numFmt numFmtId="167" formatCode="0"/>
    <numFmt numFmtId="168" formatCode="@"/>
    <numFmt numFmtId="169" formatCode="General"/>
    <numFmt numFmtId="170" formatCode="0.0000000"/>
    <numFmt numFmtId="171" formatCode="0.00"/>
  </numFmts>
  <fonts count="18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</font>
    <font>
      <b val="true"/>
      <sz val="11"/>
      <color rgb="FF000000"/>
      <name val="Calibri"/>
      <family val="2"/>
    </font>
    <font>
      <b val="true"/>
      <sz val="11"/>
      <name val="Calibri"/>
      <family val="2"/>
    </font>
    <font>
      <sz val="11"/>
      <color rgb="FFBFBFBF"/>
      <name val="Calibri"/>
      <family val="2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i val="true"/>
      <sz val="8"/>
      <color rgb="FF787878"/>
      <name val="Consolas"/>
      <family val="3"/>
    </font>
    <font>
      <sz val="8"/>
      <color rgb="FF000000"/>
      <name val="Consolas"/>
      <family val="3"/>
    </font>
    <font>
      <sz val="8"/>
      <color rgb="FF007400"/>
      <name val="Consolas"/>
      <family val="3"/>
    </font>
    <font>
      <sz val="8"/>
      <color rgb="FF005078"/>
      <name val="Consolas"/>
      <family val="3"/>
    </font>
    <font>
      <sz val="8"/>
      <color rgb="FF6B006B"/>
      <name val="Consolas"/>
      <family val="3"/>
    </font>
    <font>
      <i val="true"/>
      <sz val="8"/>
      <color rgb="FF0000DA"/>
      <name val="Consolas"/>
      <family val="3"/>
    </font>
    <font>
      <b val="true"/>
      <sz val="8"/>
      <color rgb="FF0000B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DA"/>
      <rgbColor rgb="FFFFFF00"/>
      <rgbColor rgb="FFFF00FF"/>
      <rgbColor rgb="FF00FFFF"/>
      <rgbColor rgb="FF800000"/>
      <rgbColor rgb="FF007400"/>
      <rgbColor rgb="FF0000B3"/>
      <rgbColor rgb="FF808000"/>
      <rgbColor rgb="FF800080"/>
      <rgbColor rgb="FF008080"/>
      <rgbColor rgb="FFBFBFBF"/>
      <rgbColor rgb="FF787878"/>
      <rgbColor rgb="FF5B9BD5"/>
      <rgbColor rgb="FF993366"/>
      <rgbColor rgb="FFFFFFCC"/>
      <rgbColor rgb="FFCCFFFF"/>
      <rgbColor rgb="FF6B006B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595959"/>
      <rgbColor rgb="FF70AD47"/>
      <rgbColor rgb="FF00507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NG1!$H$4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NG1!$I$4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NG1!$J$4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NG1!$K$4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NG1!$K$5:$K$172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NG1!$L$4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NG1!$L$5:$L$172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8536299"/>
        <c:axId val="63079665"/>
      </c:barChart>
      <c:lineChart>
        <c:grouping val="stacked"/>
        <c:varyColors val="0"/>
        <c:ser>
          <c:idx val="5"/>
          <c:order val="5"/>
          <c:tx>
            <c:strRef>
              <c:f>NG1!$F$4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NG1!$F$5:$F$172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NG1!$G$4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NG1!$G$5:$G$172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36299"/>
        <c:axId val="63079665"/>
      </c:lineChart>
      <c:catAx>
        <c:axId val="85362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63079665"/>
        <c:crosses val="autoZero"/>
        <c:auto val="1"/>
        <c:lblAlgn val="ctr"/>
        <c:lblOffset val="100"/>
        <c:noMultiLvlLbl val="0"/>
      </c:catAx>
      <c:valAx>
        <c:axId val="6307966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853629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SoC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NG1!$M$4</c:f>
              <c:strCache>
                <c:ptCount val="1"/>
                <c:pt idx="0">
                  <c:v>SoC 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NG1!$D$5:$D$172</c:f>
              <c:strCach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strCache>
            </c:strRef>
          </c:cat>
          <c:val>
            <c:numRef>
              <c:f>NG1!$M$5:$M$172</c:f>
              <c:numCache>
                <c:formatCode>General</c:formatCode>
                <c:ptCount val="168"/>
                <c:pt idx="0">
                  <c:v>69.9999996768737</c:v>
                </c:pt>
                <c:pt idx="1">
                  <c:v>69.9992996745599</c:v>
                </c:pt>
                <c:pt idx="2">
                  <c:v>69.9985996195743</c:v>
                </c:pt>
                <c:pt idx="3">
                  <c:v>69.9978997961928</c:v>
                </c:pt>
                <c:pt idx="4">
                  <c:v>69.997199712369</c:v>
                </c:pt>
                <c:pt idx="5">
                  <c:v>69.99649973388</c:v>
                </c:pt>
                <c:pt idx="6">
                  <c:v>69.9957997302495</c:v>
                </c:pt>
                <c:pt idx="7">
                  <c:v>69.9950997842329</c:v>
                </c:pt>
                <c:pt idx="8">
                  <c:v>69.9943998269904</c:v>
                </c:pt>
                <c:pt idx="9">
                  <c:v>69.9936998767006</c:v>
                </c:pt>
                <c:pt idx="10">
                  <c:v>69.9929999333982</c:v>
                </c:pt>
                <c:pt idx="11">
                  <c:v>69.9922999970849</c:v>
                </c:pt>
                <c:pt idx="12">
                  <c:v>69.9916000677577</c:v>
                </c:pt>
                <c:pt idx="13">
                  <c:v>69.9909001454178</c:v>
                </c:pt>
                <c:pt idx="14">
                  <c:v>69.9902002300649</c:v>
                </c:pt>
                <c:pt idx="15">
                  <c:v>69.9895003216991</c:v>
                </c:pt>
                <c:pt idx="16">
                  <c:v>69.9888004203202</c:v>
                </c:pt>
                <c:pt idx="17">
                  <c:v>69.9881005259281</c:v>
                </c:pt>
                <c:pt idx="18">
                  <c:v>69.9874006385228</c:v>
                </c:pt>
                <c:pt idx="19">
                  <c:v>69.9867007581043</c:v>
                </c:pt>
                <c:pt idx="20">
                  <c:v>69.9860008846724</c:v>
                </c:pt>
                <c:pt idx="21">
                  <c:v>69.9853010182271</c:v>
                </c:pt>
                <c:pt idx="22">
                  <c:v>69.9846011587683</c:v>
                </c:pt>
                <c:pt idx="23">
                  <c:v>69.9839013062959</c:v>
                </c:pt>
                <c:pt idx="24">
                  <c:v>69.9832014608623</c:v>
                </c:pt>
                <c:pt idx="25">
                  <c:v>61.0337026903198</c:v>
                </c:pt>
                <c:pt idx="26">
                  <c:v>40.5331492443792</c:v>
                </c:pt>
                <c:pt idx="27">
                  <c:v>3.19880300706932</c:v>
                </c:pt>
                <c:pt idx="28">
                  <c:v>1.05323130433253E-009</c:v>
                </c:pt>
                <c:pt idx="29">
                  <c:v>1.48094864391089E-010</c:v>
                </c:pt>
                <c:pt idx="30">
                  <c:v>2.85039579542384E-013</c:v>
                </c:pt>
                <c:pt idx="31">
                  <c:v>5.15449639886195E-015</c:v>
                </c:pt>
                <c:pt idx="32">
                  <c:v>1.59530956473987E-015</c:v>
                </c:pt>
                <c:pt idx="33">
                  <c:v>1.53790519950839E-015</c:v>
                </c:pt>
                <c:pt idx="34">
                  <c:v>1.53881380410671E-015</c:v>
                </c:pt>
                <c:pt idx="35">
                  <c:v>1.50581110120877E-015</c:v>
                </c:pt>
                <c:pt idx="36">
                  <c:v>1.09009781698227E-014</c:v>
                </c:pt>
                <c:pt idx="37">
                  <c:v>1.08013378924348E-014</c:v>
                </c:pt>
                <c:pt idx="38">
                  <c:v>0</c:v>
                </c:pt>
                <c:pt idx="39">
                  <c:v>0</c:v>
                </c:pt>
                <c:pt idx="40">
                  <c:v>16.9165158151469</c:v>
                </c:pt>
                <c:pt idx="41">
                  <c:v>16.9163466501658</c:v>
                </c:pt>
                <c:pt idx="42">
                  <c:v>16.9161776577464</c:v>
                </c:pt>
                <c:pt idx="43">
                  <c:v>35.6249619729687</c:v>
                </c:pt>
                <c:pt idx="44">
                  <c:v>40.3804965225908</c:v>
                </c:pt>
                <c:pt idx="45">
                  <c:v>58.2373426001869</c:v>
                </c:pt>
                <c:pt idx="46">
                  <c:v>84.1982351672723</c:v>
                </c:pt>
                <c:pt idx="47">
                  <c:v>84.1973939827025</c:v>
                </c:pt>
                <c:pt idx="48">
                  <c:v>99.9999995947502</c:v>
                </c:pt>
                <c:pt idx="49">
                  <c:v>99.999999594062</c:v>
                </c:pt>
                <c:pt idx="50">
                  <c:v>99.9999995940774</c:v>
                </c:pt>
                <c:pt idx="51">
                  <c:v>99.9999995940772</c:v>
                </c:pt>
                <c:pt idx="52">
                  <c:v>99.9999995940772</c:v>
                </c:pt>
                <c:pt idx="53">
                  <c:v>99.9999995940772</c:v>
                </c:pt>
                <c:pt idx="54">
                  <c:v>99.9999995940772</c:v>
                </c:pt>
                <c:pt idx="55">
                  <c:v>99.9999995940771</c:v>
                </c:pt>
                <c:pt idx="56">
                  <c:v>99.9999995940639</c:v>
                </c:pt>
                <c:pt idx="57">
                  <c:v>99.9989995934165</c:v>
                </c:pt>
                <c:pt idx="58">
                  <c:v>99.9999995923967</c:v>
                </c:pt>
                <c:pt idx="59">
                  <c:v>99.9989995934158</c:v>
                </c:pt>
                <c:pt idx="60">
                  <c:v>99.9979996062351</c:v>
                </c:pt>
                <c:pt idx="61">
                  <c:v>99.9969996291065</c:v>
                </c:pt>
                <c:pt idx="62">
                  <c:v>99.9959996619598</c:v>
                </c:pt>
                <c:pt idx="63">
                  <c:v>99.9949997047963</c:v>
                </c:pt>
                <c:pt idx="64">
                  <c:v>99.9939997576147</c:v>
                </c:pt>
                <c:pt idx="65">
                  <c:v>99.9929998204154</c:v>
                </c:pt>
                <c:pt idx="66">
                  <c:v>99.9919998951712</c:v>
                </c:pt>
                <c:pt idx="67">
                  <c:v>99.9910010086038</c:v>
                </c:pt>
                <c:pt idx="68">
                  <c:v>99.9900000424393</c:v>
                </c:pt>
                <c:pt idx="69">
                  <c:v>99.9890001431488</c:v>
                </c:pt>
                <c:pt idx="70">
                  <c:v>99.9880002558597</c:v>
                </c:pt>
                <c:pt idx="71">
                  <c:v>99.9870003785522</c:v>
                </c:pt>
                <c:pt idx="72">
                  <c:v>99.9860005112034</c:v>
                </c:pt>
                <c:pt idx="73">
                  <c:v>99.9850006538535</c:v>
                </c:pt>
                <c:pt idx="74">
                  <c:v>99.9840008064896</c:v>
                </c:pt>
                <c:pt idx="75">
                  <c:v>99.9830009691069</c:v>
                </c:pt>
                <c:pt idx="76">
                  <c:v>99.9820011417054</c:v>
                </c:pt>
                <c:pt idx="77">
                  <c:v>99.9810013242849</c:v>
                </c:pt>
                <c:pt idx="78">
                  <c:v>99.9800015168453</c:v>
                </c:pt>
                <c:pt idx="79">
                  <c:v>99.9790017193865</c:v>
                </c:pt>
                <c:pt idx="80">
                  <c:v>99.9780019319085</c:v>
                </c:pt>
                <c:pt idx="81">
                  <c:v>99.9770021544111</c:v>
                </c:pt>
                <c:pt idx="82">
                  <c:v>99.9760023868943</c:v>
                </c:pt>
                <c:pt idx="83">
                  <c:v>99.9750026293578</c:v>
                </c:pt>
                <c:pt idx="84">
                  <c:v>99.9740028818017</c:v>
                </c:pt>
                <c:pt idx="85">
                  <c:v>99.9730031442259</c:v>
                </c:pt>
                <c:pt idx="86">
                  <c:v>99.9720034166301</c:v>
                </c:pt>
                <c:pt idx="87">
                  <c:v>99.9710036990144</c:v>
                </c:pt>
                <c:pt idx="88">
                  <c:v>99.9700039913786</c:v>
                </c:pt>
                <c:pt idx="89">
                  <c:v>99.9690042937227</c:v>
                </c:pt>
                <c:pt idx="90">
                  <c:v>99.9680046060232</c:v>
                </c:pt>
                <c:pt idx="91">
                  <c:v>99.9670049161372</c:v>
                </c:pt>
                <c:pt idx="92">
                  <c:v>99.9660052747403</c:v>
                </c:pt>
                <c:pt idx="93">
                  <c:v>99.9650056170528</c:v>
                </c:pt>
                <c:pt idx="94">
                  <c:v>99.9640059692945</c:v>
                </c:pt>
                <c:pt idx="95">
                  <c:v>99.9630063315162</c:v>
                </c:pt>
                <c:pt idx="96">
                  <c:v>99.9620067041323</c:v>
                </c:pt>
                <c:pt idx="97">
                  <c:v>99.9610070854779</c:v>
                </c:pt>
                <c:pt idx="98">
                  <c:v>99.9600074780519</c:v>
                </c:pt>
                <c:pt idx="99">
                  <c:v>99.9590078801896</c:v>
                </c:pt>
                <c:pt idx="100">
                  <c:v>99.9580082923052</c:v>
                </c:pt>
                <c:pt idx="101">
                  <c:v>99.9570087143994</c:v>
                </c:pt>
                <c:pt idx="102">
                  <c:v>99.9560091464722</c:v>
                </c:pt>
                <c:pt idx="103">
                  <c:v>99.9550095885235</c:v>
                </c:pt>
                <c:pt idx="104">
                  <c:v>99.954010040553</c:v>
                </c:pt>
                <c:pt idx="105">
                  <c:v>99.9530105025608</c:v>
                </c:pt>
                <c:pt idx="106">
                  <c:v>99.9520109745467</c:v>
                </c:pt>
                <c:pt idx="107">
                  <c:v>99.9510114565107</c:v>
                </c:pt>
                <c:pt idx="108">
                  <c:v>99.9500119484526</c:v>
                </c:pt>
                <c:pt idx="109">
                  <c:v>99.9490124503723</c:v>
                </c:pt>
                <c:pt idx="110">
                  <c:v>99.9480129622698</c:v>
                </c:pt>
                <c:pt idx="111">
                  <c:v>99.9470134841449</c:v>
                </c:pt>
                <c:pt idx="112">
                  <c:v>99.9460140159976</c:v>
                </c:pt>
                <c:pt idx="113">
                  <c:v>99.9450145578276</c:v>
                </c:pt>
                <c:pt idx="114">
                  <c:v>99.9440151096248</c:v>
                </c:pt>
                <c:pt idx="115">
                  <c:v>99.9430156660576</c:v>
                </c:pt>
                <c:pt idx="116">
                  <c:v>84.1261684416294</c:v>
                </c:pt>
                <c:pt idx="117">
                  <c:v>82.8555420039981</c:v>
                </c:pt>
                <c:pt idx="118">
                  <c:v>66.0173471681527</c:v>
                </c:pt>
                <c:pt idx="119">
                  <c:v>24.9864868236641</c:v>
                </c:pt>
                <c:pt idx="120">
                  <c:v>24.9862369604721</c:v>
                </c:pt>
                <c:pt idx="121">
                  <c:v>0</c:v>
                </c:pt>
                <c:pt idx="122">
                  <c:v>1.12210668721677E-011</c:v>
                </c:pt>
                <c:pt idx="123">
                  <c:v>2.12228215806241E-011</c:v>
                </c:pt>
                <c:pt idx="124">
                  <c:v>2.96732415083396E-011</c:v>
                </c:pt>
                <c:pt idx="125">
                  <c:v>3.65328859904019E-011</c:v>
                </c:pt>
                <c:pt idx="126">
                  <c:v>4.19137542425202E-011</c:v>
                </c:pt>
                <c:pt idx="127">
                  <c:v>4.56293888440444E-011</c:v>
                </c:pt>
                <c:pt idx="128">
                  <c:v>4.78179731733711E-011</c:v>
                </c:pt>
                <c:pt idx="129">
                  <c:v>1.39767883178718</c:v>
                </c:pt>
                <c:pt idx="130">
                  <c:v>5.13040941477644</c:v>
                </c:pt>
                <c:pt idx="131">
                  <c:v>5.13035811092787</c:v>
                </c:pt>
                <c:pt idx="132">
                  <c:v>14.8038681912784</c:v>
                </c:pt>
                <c:pt idx="133">
                  <c:v>14.8037201526952</c:v>
                </c:pt>
                <c:pt idx="134">
                  <c:v>28.1103852636663</c:v>
                </c:pt>
                <c:pt idx="135">
                  <c:v>30.1751408815732</c:v>
                </c:pt>
                <c:pt idx="136">
                  <c:v>45.4982186460234</c:v>
                </c:pt>
                <c:pt idx="137">
                  <c:v>49.8337444564128</c:v>
                </c:pt>
                <c:pt idx="138">
                  <c:v>67.8284032895693</c:v>
                </c:pt>
                <c:pt idx="139">
                  <c:v>70.1351207923529</c:v>
                </c:pt>
                <c:pt idx="140">
                  <c:v>88.9334037742804</c:v>
                </c:pt>
                <c:pt idx="141">
                  <c:v>88.9325144534757</c:v>
                </c:pt>
                <c:pt idx="142">
                  <c:v>88.9316251721549</c:v>
                </c:pt>
                <c:pt idx="143">
                  <c:v>94.9436996438401</c:v>
                </c:pt>
                <c:pt idx="144">
                  <c:v>99.9999995940739</c:v>
                </c:pt>
                <c:pt idx="145">
                  <c:v>99.9999995940696</c:v>
                </c:pt>
                <c:pt idx="146">
                  <c:v>99.9999995940773</c:v>
                </c:pt>
                <c:pt idx="147">
                  <c:v>99.9999995940771</c:v>
                </c:pt>
                <c:pt idx="148">
                  <c:v>99.9999995940638</c:v>
                </c:pt>
                <c:pt idx="149">
                  <c:v>99.9989995933474</c:v>
                </c:pt>
                <c:pt idx="150">
                  <c:v>99.9999995940646</c:v>
                </c:pt>
                <c:pt idx="151">
                  <c:v>99.9989995933566</c:v>
                </c:pt>
                <c:pt idx="152">
                  <c:v>99.9999995940682</c:v>
                </c:pt>
                <c:pt idx="153">
                  <c:v>99.9999995940638</c:v>
                </c:pt>
                <c:pt idx="154">
                  <c:v>99.9989995933476</c:v>
                </c:pt>
                <c:pt idx="155">
                  <c:v>99.9999995940503</c:v>
                </c:pt>
                <c:pt idx="156">
                  <c:v>99.9989995933478</c:v>
                </c:pt>
                <c:pt idx="157">
                  <c:v>99.9979996033689</c:v>
                </c:pt>
                <c:pt idx="158">
                  <c:v>99.9999995940647</c:v>
                </c:pt>
                <c:pt idx="159">
                  <c:v>99.9989995933988</c:v>
                </c:pt>
                <c:pt idx="160">
                  <c:v>99.9999995928537</c:v>
                </c:pt>
                <c:pt idx="161">
                  <c:v>99.99899959548</c:v>
                </c:pt>
                <c:pt idx="162">
                  <c:v>99.9980006986886</c:v>
                </c:pt>
                <c:pt idx="163">
                  <c:v>99.9969985363789</c:v>
                </c:pt>
                <c:pt idx="164">
                  <c:v>99.9960006965197</c:v>
                </c:pt>
                <c:pt idx="165">
                  <c:v>99.9949996755484</c:v>
                </c:pt>
                <c:pt idx="166">
                  <c:v>99.9939997255885</c:v>
                </c:pt>
                <c:pt idx="167">
                  <c:v>99.9929997876423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1198466"/>
        <c:axId val="37627351"/>
      </c:lineChart>
      <c:catAx>
        <c:axId val="111984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37627351"/>
        <c:crosses val="autoZero"/>
        <c:auto val="1"/>
        <c:lblAlgn val="ctr"/>
        <c:lblOffset val="100"/>
        <c:noMultiLvlLbl val="0"/>
      </c:catAx>
      <c:valAx>
        <c:axId val="37627351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SoC 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111984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p_micro in the MCP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NG1!$N$4</c:f>
              <c:strCache>
                <c:ptCount val="1"/>
                <c:pt idx="0">
                  <c:v>p_micro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NG1!$D$5:$D$172</c:f>
              <c:strCach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strCache>
            </c:strRef>
          </c:cat>
          <c:val>
            <c:numRef>
              <c:f>NG1!$N$5:$N$172</c:f>
              <c:numCache>
                <c:formatCode>0.000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0025263"/>
        <c:axId val="2695232"/>
      </c:lineChart>
      <c:catAx>
        <c:axId val="100252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 of the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2695232"/>
        <c:crosses val="autoZero"/>
        <c:auto val="1"/>
        <c:lblAlgn val="ctr"/>
        <c:lblOffset val="100"/>
        <c:noMultiLvlLbl val="0"/>
      </c:catAx>
      <c:valAx>
        <c:axId val="269523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p_micro in Euro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100252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NG1!$I$4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NG1!$J$4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gapWidth val="150"/>
        <c:overlap val="100"/>
        <c:axId val="31870240"/>
        <c:axId val="35104623"/>
      </c:barChart>
      <c:catAx>
        <c:axId val="318702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35104623"/>
        <c:crosses val="autoZero"/>
        <c:auto val="1"/>
        <c:lblAlgn val="ctr"/>
        <c:lblOffset val="100"/>
        <c:noMultiLvlLbl val="0"/>
      </c:catAx>
      <c:valAx>
        <c:axId val="3510462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318702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NG2!$G$4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NG2!$H$4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NG2!$I$4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NG2!$J$4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NG2!$K$4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31283931"/>
        <c:axId val="75812990"/>
      </c:barChart>
      <c:lineChart>
        <c:grouping val="stacked"/>
        <c:varyColors val="0"/>
        <c:ser>
          <c:idx val="5"/>
          <c:order val="5"/>
          <c:tx>
            <c:strRef>
              <c:f>NG2!$E$4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NG2!$F$4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1283931"/>
        <c:axId val="75812990"/>
      </c:lineChart>
      <c:catAx>
        <c:axId val="312839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75812990"/>
        <c:crosses val="autoZero"/>
        <c:auto val="1"/>
        <c:lblAlgn val="ctr"/>
        <c:lblOffset val="100"/>
        <c:noMultiLvlLbl val="0"/>
      </c:catAx>
      <c:valAx>
        <c:axId val="7581299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3128393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SoC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NG2!$L$4</c:f>
              <c:strCache>
                <c:ptCount val="1"/>
                <c:pt idx="0">
                  <c:v>SoC 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NG2!$L$5:$L$172</c:f>
              <c:numCache>
                <c:formatCode>General</c:formatCode>
                <c:ptCount val="168"/>
                <c:pt idx="0">
                  <c:v>69.999999998936</c:v>
                </c:pt>
                <c:pt idx="1">
                  <c:v>69.9992999980885</c:v>
                </c:pt>
                <c:pt idx="2">
                  <c:v>69.9986000042319</c:v>
                </c:pt>
                <c:pt idx="3">
                  <c:v>69.997900017375</c:v>
                </c:pt>
                <c:pt idx="4">
                  <c:v>69.8646510533996</c:v>
                </c:pt>
                <c:pt idx="5">
                  <c:v>69.2477209055133</c:v>
                </c:pt>
                <c:pt idx="6">
                  <c:v>67.7667213839935</c:v>
                </c:pt>
                <c:pt idx="7">
                  <c:v>62.925926646045</c:v>
                </c:pt>
                <c:pt idx="8">
                  <c:v>58.0851803160356</c:v>
                </c:pt>
                <c:pt idx="9">
                  <c:v>53.2444823934933</c:v>
                </c:pt>
                <c:pt idx="10">
                  <c:v>48.4038328779356</c:v>
                </c:pt>
                <c:pt idx="11">
                  <c:v>43.5632317688805</c:v>
                </c:pt>
                <c:pt idx="12">
                  <c:v>38.7226790658407</c:v>
                </c:pt>
                <c:pt idx="13">
                  <c:v>33.8821747683321</c:v>
                </c:pt>
                <c:pt idx="14">
                  <c:v>29.0417188758708</c:v>
                </c:pt>
                <c:pt idx="15">
                  <c:v>24.2013113879727</c:v>
                </c:pt>
                <c:pt idx="16">
                  <c:v>19.3609523041537</c:v>
                </c:pt>
                <c:pt idx="17">
                  <c:v>14.5206416239298</c:v>
                </c:pt>
                <c:pt idx="18">
                  <c:v>9.680379346817</c:v>
                </c:pt>
                <c:pt idx="19">
                  <c:v>4.84016547235292</c:v>
                </c:pt>
                <c:pt idx="20">
                  <c:v>4.57532902012863E-010</c:v>
                </c:pt>
                <c:pt idx="21">
                  <c:v>7.65224791289632E-010</c:v>
                </c:pt>
                <c:pt idx="22">
                  <c:v>1.47312448206854E-009</c:v>
                </c:pt>
                <c:pt idx="23">
                  <c:v>2.18456533434172E-009</c:v>
                </c:pt>
                <c:pt idx="24">
                  <c:v>2.87786170866578E-009</c:v>
                </c:pt>
                <c:pt idx="25">
                  <c:v>3.55323578858665E-009</c:v>
                </c:pt>
                <c:pt idx="26">
                  <c:v>4.21018670897509E-009</c:v>
                </c:pt>
                <c:pt idx="27">
                  <c:v>4.8488523935142E-009</c:v>
                </c:pt>
                <c:pt idx="28">
                  <c:v>5.45791607611477E-009</c:v>
                </c:pt>
                <c:pt idx="29">
                  <c:v>0.438064522718042</c:v>
                </c:pt>
                <c:pt idx="30">
                  <c:v>1.1547361059066</c:v>
                </c:pt>
                <c:pt idx="31">
                  <c:v>2.11449064595628</c:v>
                </c:pt>
                <c:pt idx="32">
                  <c:v>3.31732571203752</c:v>
                </c:pt>
                <c:pt idx="33">
                  <c:v>4.59481128401283</c:v>
                </c:pt>
                <c:pt idx="34">
                  <c:v>5.94694661537715</c:v>
                </c:pt>
                <c:pt idx="35">
                  <c:v>7.37373095963288</c:v>
                </c:pt>
                <c:pt idx="36">
                  <c:v>8.87516357028988</c:v>
                </c:pt>
                <c:pt idx="37">
                  <c:v>10.8901346632998</c:v>
                </c:pt>
                <c:pt idx="38">
                  <c:v>13.4186391032777</c:v>
                </c:pt>
                <c:pt idx="39">
                  <c:v>16.4606717548903</c:v>
                </c:pt>
                <c:pt idx="40">
                  <c:v>20.0162274828552</c:v>
                </c:pt>
                <c:pt idx="41">
                  <c:v>23.6455665450529</c:v>
                </c:pt>
                <c:pt idx="42">
                  <c:v>27.34868820365</c:v>
                </c:pt>
                <c:pt idx="43">
                  <c:v>31.1255917208189</c:v>
                </c:pt>
                <c:pt idx="44">
                  <c:v>34.976276358613</c:v>
                </c:pt>
                <c:pt idx="45">
                  <c:v>38.8410987295547</c:v>
                </c:pt>
                <c:pt idx="46">
                  <c:v>42.7200586921389</c:v>
                </c:pt>
                <c:pt idx="47">
                  <c:v>46.6131561049879</c:v>
                </c:pt>
                <c:pt idx="48">
                  <c:v>50.520390826726</c:v>
                </c:pt>
                <c:pt idx="49">
                  <c:v>54.4563909081252</c:v>
                </c:pt>
                <c:pt idx="50">
                  <c:v>58.4211560616337</c:v>
                </c:pt>
                <c:pt idx="51">
                  <c:v>62.414685999602</c:v>
                </c:pt>
                <c:pt idx="52">
                  <c:v>66.4369804343822</c:v>
                </c:pt>
                <c:pt idx="53">
                  <c:v>70.3258484319295</c:v>
                </c:pt>
                <c:pt idx="54">
                  <c:v>74.0812913265081</c:v>
                </c:pt>
                <c:pt idx="55">
                  <c:v>77.7033104523691</c:v>
                </c:pt>
                <c:pt idx="56">
                  <c:v>81.1919071437501</c:v>
                </c:pt>
                <c:pt idx="57">
                  <c:v>84.3125646415761</c:v>
                </c:pt>
                <c:pt idx="58">
                  <c:v>87.0652866252368</c:v>
                </c:pt>
                <c:pt idx="59">
                  <c:v>89.450076774108</c:v>
                </c:pt>
                <c:pt idx="60">
                  <c:v>91.4669387674738</c:v>
                </c:pt>
                <c:pt idx="61">
                  <c:v>93.2959793105951</c:v>
                </c:pt>
                <c:pt idx="62">
                  <c:v>94.9372002816857</c:v>
                </c:pt>
                <c:pt idx="63">
                  <c:v>96.3906035589401</c:v>
                </c:pt>
                <c:pt idx="64">
                  <c:v>97.6561910205344</c:v>
                </c:pt>
                <c:pt idx="65">
                  <c:v>98.7304845112507</c:v>
                </c:pt>
                <c:pt idx="66">
                  <c:v>99.6134859440309</c:v>
                </c:pt>
                <c:pt idx="67">
                  <c:v>99.9999999996348</c:v>
                </c:pt>
                <c:pt idx="68">
                  <c:v>99.9989999997516</c:v>
                </c:pt>
                <c:pt idx="69">
                  <c:v>99.9980000098935</c:v>
                </c:pt>
                <c:pt idx="70">
                  <c:v>99.9970000301276</c:v>
                </c:pt>
                <c:pt idx="71">
                  <c:v>99.9960001074765</c:v>
                </c:pt>
                <c:pt idx="72">
                  <c:v>99.9950000981427</c:v>
                </c:pt>
                <c:pt idx="73">
                  <c:v>99.9940001481904</c:v>
                </c:pt>
                <c:pt idx="74">
                  <c:v>99.9930002083316</c:v>
                </c:pt>
                <c:pt idx="75">
                  <c:v>99.9920002784719</c:v>
                </c:pt>
                <c:pt idx="76">
                  <c:v>99.9910003586112</c:v>
                </c:pt>
                <c:pt idx="77">
                  <c:v>99.9900004487493</c:v>
                </c:pt>
                <c:pt idx="78">
                  <c:v>99.9890005488861</c:v>
                </c:pt>
                <c:pt idx="79">
                  <c:v>99.9880006590216</c:v>
                </c:pt>
                <c:pt idx="80">
                  <c:v>99.9870007791556</c:v>
                </c:pt>
                <c:pt idx="81">
                  <c:v>99.9860009092881</c:v>
                </c:pt>
                <c:pt idx="82">
                  <c:v>99.985001049419</c:v>
                </c:pt>
                <c:pt idx="83">
                  <c:v>99.984001199548</c:v>
                </c:pt>
                <c:pt idx="84">
                  <c:v>99.9830013596753</c:v>
                </c:pt>
                <c:pt idx="85">
                  <c:v>99.9820015298005</c:v>
                </c:pt>
                <c:pt idx="86">
                  <c:v>99.9810017099238</c:v>
                </c:pt>
                <c:pt idx="87">
                  <c:v>99.9800019000449</c:v>
                </c:pt>
                <c:pt idx="88">
                  <c:v>99.9790021001637</c:v>
                </c:pt>
                <c:pt idx="89">
                  <c:v>99.9780023102803</c:v>
                </c:pt>
                <c:pt idx="90">
                  <c:v>99.9770025303907</c:v>
                </c:pt>
                <c:pt idx="91">
                  <c:v>99.97600275854</c:v>
                </c:pt>
                <c:pt idx="92">
                  <c:v>99.1229709357557</c:v>
                </c:pt>
                <c:pt idx="93">
                  <c:v>95.9582817447058</c:v>
                </c:pt>
                <c:pt idx="94">
                  <c:v>93.0169399509584</c:v>
                </c:pt>
                <c:pt idx="95">
                  <c:v>90.0598028330229</c:v>
                </c:pt>
                <c:pt idx="96">
                  <c:v>86.4988435750572</c:v>
                </c:pt>
                <c:pt idx="97">
                  <c:v>81.657861515648</c:v>
                </c:pt>
                <c:pt idx="98">
                  <c:v>77.673999211087</c:v>
                </c:pt>
                <c:pt idx="99">
                  <c:v>73.3104346586674</c:v>
                </c:pt>
                <c:pt idx="100">
                  <c:v>69.1376817408643</c:v>
                </c:pt>
                <c:pt idx="101">
                  <c:v>65.8602695161621</c:v>
                </c:pt>
                <c:pt idx="102">
                  <c:v>61.3714606072639</c:v>
                </c:pt>
                <c:pt idx="103">
                  <c:v>58.0008459294371</c:v>
                </c:pt>
                <c:pt idx="104">
                  <c:v>53.9387885693354</c:v>
                </c:pt>
                <c:pt idx="105">
                  <c:v>50.7997615131215</c:v>
                </c:pt>
                <c:pt idx="106">
                  <c:v>46.4321140034867</c:v>
                </c:pt>
                <c:pt idx="107">
                  <c:v>43.0661965366061</c:v>
                </c:pt>
                <c:pt idx="108">
                  <c:v>38.8736880026898</c:v>
                </c:pt>
                <c:pt idx="109">
                  <c:v>35.1030926602275</c:v>
                </c:pt>
                <c:pt idx="110">
                  <c:v>31.35642409095</c:v>
                </c:pt>
                <c:pt idx="111">
                  <c:v>27.353538233741</c:v>
                </c:pt>
                <c:pt idx="112">
                  <c:v>23.7491083920242</c:v>
                </c:pt>
                <c:pt idx="113">
                  <c:v>19.8172625992889</c:v>
                </c:pt>
                <c:pt idx="114">
                  <c:v>15.8461770023264</c:v>
                </c:pt>
                <c:pt idx="115">
                  <c:v>12.6525177952226</c:v>
                </c:pt>
                <c:pt idx="116">
                  <c:v>8.85995441042355</c:v>
                </c:pt>
                <c:pt idx="117">
                  <c:v>5.92080152871889</c:v>
                </c:pt>
                <c:pt idx="118">
                  <c:v>3.05665181325091</c:v>
                </c:pt>
                <c:pt idx="119">
                  <c:v>5.00152454665444E-012</c:v>
                </c:pt>
                <c:pt idx="120">
                  <c:v>1.48948744627339E-010</c:v>
                </c:pt>
                <c:pt idx="121">
                  <c:v>0</c:v>
                </c:pt>
                <c:pt idx="122">
                  <c:v>5.66094426059249E-014</c:v>
                </c:pt>
                <c:pt idx="123">
                  <c:v>0.317851727478498</c:v>
                </c:pt>
                <c:pt idx="124">
                  <c:v>0.569165192028763</c:v>
                </c:pt>
                <c:pt idx="125">
                  <c:v>1.10179246298178</c:v>
                </c:pt>
                <c:pt idx="126">
                  <c:v>1.84107162138556</c:v>
                </c:pt>
                <c:pt idx="127">
                  <c:v>3.48322733071856</c:v>
                </c:pt>
                <c:pt idx="128">
                  <c:v>5.42057757127752</c:v>
                </c:pt>
                <c:pt idx="129">
                  <c:v>7.51408753842714</c:v>
                </c:pt>
                <c:pt idx="130">
                  <c:v>9.89745939041798</c:v>
                </c:pt>
                <c:pt idx="131">
                  <c:v>12.5049038318275</c:v>
                </c:pt>
                <c:pt idx="132">
                  <c:v>15.33682195112</c:v>
                </c:pt>
                <c:pt idx="133">
                  <c:v>18.3248141207363</c:v>
                </c:pt>
                <c:pt idx="134">
                  <c:v>21.4685424686601</c:v>
                </c:pt>
                <c:pt idx="135">
                  <c:v>24.768041766513</c:v>
                </c:pt>
                <c:pt idx="136">
                  <c:v>28.2232629318643</c:v>
                </c:pt>
                <c:pt idx="137">
                  <c:v>31.7474741156792</c:v>
                </c:pt>
                <c:pt idx="138">
                  <c:v>35.3405174780315</c:v>
                </c:pt>
                <c:pt idx="139">
                  <c:v>39.00228774003</c:v>
                </c:pt>
                <c:pt idx="140">
                  <c:v>42.7329571883136</c:v>
                </c:pt>
                <c:pt idx="141">
                  <c:v>46.5115265963997</c:v>
                </c:pt>
                <c:pt idx="142">
                  <c:v>50.3355411850354</c:v>
                </c:pt>
                <c:pt idx="143">
                  <c:v>54.2027935155652</c:v>
                </c:pt>
                <c:pt idx="144">
                  <c:v>58.1167573066857</c:v>
                </c:pt>
                <c:pt idx="145">
                  <c:v>61.955431529216</c:v>
                </c:pt>
                <c:pt idx="146">
                  <c:v>65.7164459508076</c:v>
                </c:pt>
                <c:pt idx="147">
                  <c:v>69.2978978278603</c:v>
                </c:pt>
                <c:pt idx="148">
                  <c:v>73.4184682699979</c:v>
                </c:pt>
                <c:pt idx="149">
                  <c:v>76.7495321351459</c:v>
                </c:pt>
                <c:pt idx="150">
                  <c:v>79.9275708622723</c:v>
                </c:pt>
                <c:pt idx="151">
                  <c:v>83.4446781125439</c:v>
                </c:pt>
                <c:pt idx="152">
                  <c:v>86.9617807811918</c:v>
                </c:pt>
                <c:pt idx="153">
                  <c:v>90.2005962595853</c:v>
                </c:pt>
                <c:pt idx="154">
                  <c:v>93.1611273305964</c:v>
                </c:pt>
                <c:pt idx="155">
                  <c:v>95.8433767770691</c:v>
                </c:pt>
                <c:pt idx="156">
                  <c:v>97.2247608282134</c:v>
                </c:pt>
                <c:pt idx="157">
                  <c:v>97.3227972161022</c:v>
                </c:pt>
                <c:pt idx="158">
                  <c:v>99.3376220219568</c:v>
                </c:pt>
                <c:pt idx="159">
                  <c:v>99.5016462487232</c:v>
                </c:pt>
                <c:pt idx="160">
                  <c:v>99.9999999996656</c:v>
                </c:pt>
                <c:pt idx="161">
                  <c:v>99.9999999996816</c:v>
                </c:pt>
                <c:pt idx="162">
                  <c:v>99.9999999996635</c:v>
                </c:pt>
                <c:pt idx="163">
                  <c:v>99.9989999997514</c:v>
                </c:pt>
                <c:pt idx="164">
                  <c:v>99.9999999996717</c:v>
                </c:pt>
                <c:pt idx="165">
                  <c:v>99.9989999997549</c:v>
                </c:pt>
                <c:pt idx="166">
                  <c:v>99.9980000098429</c:v>
                </c:pt>
                <c:pt idx="167">
                  <c:v>99.9970000299317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0966167"/>
        <c:axId val="16196336"/>
      </c:lineChart>
      <c:catAx>
        <c:axId val="609661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16196336"/>
        <c:crosses val="autoZero"/>
        <c:auto val="1"/>
        <c:lblAlgn val="ctr"/>
        <c:lblOffset val="100"/>
        <c:noMultiLvlLbl val="0"/>
      </c:catAx>
      <c:valAx>
        <c:axId val="16196336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609661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p_micro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NG1!$N$4</c:f>
              <c:strCache>
                <c:ptCount val="1"/>
                <c:pt idx="0">
                  <c:v>p_micro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NG1!$N$5:$N$172</c:f>
              <c:numCache>
                <c:formatCode>0.000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40412"/>
        <c:axId val="61367862"/>
      </c:lineChart>
      <c:catAx>
        <c:axId val="92404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61367862"/>
        <c:crosses val="autoZero"/>
        <c:auto val="1"/>
        <c:lblAlgn val="ctr"/>
        <c:lblOffset val="100"/>
        <c:noMultiLvlLbl val="0"/>
      </c:catAx>
      <c:valAx>
        <c:axId val="6136786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92404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NG3!$G$4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NG3!$H$4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NG3!$I$4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NG3!$J$4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NG3!$K$4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529052"/>
        <c:axId val="85956372"/>
      </c:barChart>
      <c:lineChart>
        <c:grouping val="stacked"/>
        <c:varyColors val="0"/>
        <c:ser>
          <c:idx val="5"/>
          <c:order val="5"/>
          <c:tx>
            <c:strRef>
              <c:f>NG3!$E$4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NG3!$F$4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9052"/>
        <c:axId val="85956372"/>
      </c:lineChart>
      <c:catAx>
        <c:axId val="5290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85956372"/>
        <c:crosses val="autoZero"/>
        <c:auto val="1"/>
        <c:lblAlgn val="ctr"/>
        <c:lblOffset val="100"/>
        <c:noMultiLvlLbl val="0"/>
      </c:catAx>
      <c:valAx>
        <c:axId val="8595637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5290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SoC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NG3!$L$4</c:f>
              <c:strCache>
                <c:ptCount val="1"/>
                <c:pt idx="0">
                  <c:v>SoC 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NG3!$L$5:$L$172</c:f>
              <c:numCache>
                <c:formatCode>General</c:formatCode>
                <c:ptCount val="168"/>
                <c:pt idx="0">
                  <c:v>69.5045344342156</c:v>
                </c:pt>
                <c:pt idx="1">
                  <c:v>68.6711611674179</c:v>
                </c:pt>
                <c:pt idx="2">
                  <c:v>67.7003871009944</c:v>
                </c:pt>
                <c:pt idx="3">
                  <c:v>66.3466118718831</c:v>
                </c:pt>
                <c:pt idx="4">
                  <c:v>63.8849947269731</c:v>
                </c:pt>
                <c:pt idx="5">
                  <c:v>61.9493527618283</c:v>
                </c:pt>
                <c:pt idx="6">
                  <c:v>59.8812606160987</c:v>
                </c:pt>
                <c:pt idx="7">
                  <c:v>59.1499015290227</c:v>
                </c:pt>
                <c:pt idx="8">
                  <c:v>58.0380982905863</c:v>
                </c:pt>
                <c:pt idx="9">
                  <c:v>57.321712583469</c:v>
                </c:pt>
                <c:pt idx="10">
                  <c:v>56.8373906986483</c:v>
                </c:pt>
                <c:pt idx="11">
                  <c:v>55.8796135558338</c:v>
                </c:pt>
                <c:pt idx="12">
                  <c:v>54.6093991820453</c:v>
                </c:pt>
                <c:pt idx="13">
                  <c:v>53.2328683744671</c:v>
                </c:pt>
                <c:pt idx="14">
                  <c:v>52.2779336957982</c:v>
                </c:pt>
                <c:pt idx="15">
                  <c:v>51.092818881204</c:v>
                </c:pt>
                <c:pt idx="16">
                  <c:v>50.4865692144941</c:v>
                </c:pt>
                <c:pt idx="17">
                  <c:v>48.9911271057266</c:v>
                </c:pt>
                <c:pt idx="18">
                  <c:v>48.398456621339</c:v>
                </c:pt>
                <c:pt idx="19">
                  <c:v>47.2713327205968</c:v>
                </c:pt>
                <c:pt idx="20">
                  <c:v>46.2150290630142</c:v>
                </c:pt>
                <c:pt idx="21">
                  <c:v>44.8983884472144</c:v>
                </c:pt>
                <c:pt idx="22">
                  <c:v>44.2215908762667</c:v>
                </c:pt>
                <c:pt idx="23">
                  <c:v>42.7006811857117</c:v>
                </c:pt>
                <c:pt idx="24">
                  <c:v>41.8140112229608</c:v>
                </c:pt>
                <c:pt idx="25">
                  <c:v>40.695517549043</c:v>
                </c:pt>
                <c:pt idx="26">
                  <c:v>40.6257040617026</c:v>
                </c:pt>
                <c:pt idx="27">
                  <c:v>40.6252978038624</c:v>
                </c:pt>
                <c:pt idx="28">
                  <c:v>40.6248915481192</c:v>
                </c:pt>
                <c:pt idx="29">
                  <c:v>40.6244853010449</c:v>
                </c:pt>
                <c:pt idx="30">
                  <c:v>40.6240790560676</c:v>
                </c:pt>
                <c:pt idx="31">
                  <c:v>40.6236728151567</c:v>
                </c:pt>
                <c:pt idx="32">
                  <c:v>40.6232665783134</c:v>
                </c:pt>
                <c:pt idx="33">
                  <c:v>40.6228603455377</c:v>
                </c:pt>
                <c:pt idx="34">
                  <c:v>40.6224541168296</c:v>
                </c:pt>
                <c:pt idx="35">
                  <c:v>40.6220478921891</c:v>
                </c:pt>
                <c:pt idx="36">
                  <c:v>40.6216416716161</c:v>
                </c:pt>
                <c:pt idx="37">
                  <c:v>40.6212354551105</c:v>
                </c:pt>
                <c:pt idx="38">
                  <c:v>40.6208292426724</c:v>
                </c:pt>
                <c:pt idx="39">
                  <c:v>40.6204230343017</c:v>
                </c:pt>
                <c:pt idx="40">
                  <c:v>40.6200168299983</c:v>
                </c:pt>
                <c:pt idx="41">
                  <c:v>40.6196106297622</c:v>
                </c:pt>
                <c:pt idx="42">
                  <c:v>40.6192044335934</c:v>
                </c:pt>
                <c:pt idx="43">
                  <c:v>40.6187982414918</c:v>
                </c:pt>
                <c:pt idx="44">
                  <c:v>40.6183920534573</c:v>
                </c:pt>
                <c:pt idx="45">
                  <c:v>40.6179858694901</c:v>
                </c:pt>
                <c:pt idx="46">
                  <c:v>40.6175796895899</c:v>
                </c:pt>
                <c:pt idx="47">
                  <c:v>40.6171735137818</c:v>
                </c:pt>
                <c:pt idx="48">
                  <c:v>40.6167673419657</c:v>
                </c:pt>
                <c:pt idx="49">
                  <c:v>40.6163611742916</c:v>
                </c:pt>
                <c:pt idx="50">
                  <c:v>40.6159550106594</c:v>
                </c:pt>
                <c:pt idx="51">
                  <c:v>40.6155488510941</c:v>
                </c:pt>
                <c:pt idx="52">
                  <c:v>40.6151426955957</c:v>
                </c:pt>
                <c:pt idx="53">
                  <c:v>42.2069278789564</c:v>
                </c:pt>
                <c:pt idx="54">
                  <c:v>48.9862614455639</c:v>
                </c:pt>
                <c:pt idx="55">
                  <c:v>56.4034880561055</c:v>
                </c:pt>
                <c:pt idx="56">
                  <c:v>63.3834948162474</c:v>
                </c:pt>
                <c:pt idx="57">
                  <c:v>70.0288360746851</c:v>
                </c:pt>
                <c:pt idx="58">
                  <c:v>75.4825953056103</c:v>
                </c:pt>
                <c:pt idx="59">
                  <c:v>80.0807666502668</c:v>
                </c:pt>
                <c:pt idx="60">
                  <c:v>83.8531137017286</c:v>
                </c:pt>
                <c:pt idx="61">
                  <c:v>87.0842970377626</c:v>
                </c:pt>
                <c:pt idx="62">
                  <c:v>89.0010693356369</c:v>
                </c:pt>
                <c:pt idx="63">
                  <c:v>90.3208545905999</c:v>
                </c:pt>
                <c:pt idx="64">
                  <c:v>91.2575577647831</c:v>
                </c:pt>
                <c:pt idx="65">
                  <c:v>92.5305360781466</c:v>
                </c:pt>
                <c:pt idx="66">
                  <c:v>93.9646937873714</c:v>
                </c:pt>
                <c:pt idx="67">
                  <c:v>93.9637541404587</c:v>
                </c:pt>
                <c:pt idx="68">
                  <c:v>93.5776630684621</c:v>
                </c:pt>
                <c:pt idx="69">
                  <c:v>92.164264729235</c:v>
                </c:pt>
                <c:pt idx="70">
                  <c:v>90.2753187474712</c:v>
                </c:pt>
                <c:pt idx="71">
                  <c:v>87.7953841460123</c:v>
                </c:pt>
                <c:pt idx="72">
                  <c:v>85.2040048229865</c:v>
                </c:pt>
                <c:pt idx="73">
                  <c:v>82.4140088781848</c:v>
                </c:pt>
                <c:pt idx="74">
                  <c:v>79.8425360546628</c:v>
                </c:pt>
                <c:pt idx="75">
                  <c:v>77.9144307543002</c:v>
                </c:pt>
                <c:pt idx="76">
                  <c:v>75.6972630174486</c:v>
                </c:pt>
                <c:pt idx="77">
                  <c:v>73.80308301558</c:v>
                </c:pt>
                <c:pt idx="78">
                  <c:v>70.1286446527339</c:v>
                </c:pt>
                <c:pt idx="79">
                  <c:v>67.4943943486301</c:v>
                </c:pt>
                <c:pt idx="80">
                  <c:v>64.1630677430039</c:v>
                </c:pt>
                <c:pt idx="81">
                  <c:v>61.3480052741236</c:v>
                </c:pt>
                <c:pt idx="82">
                  <c:v>58.1216769255516</c:v>
                </c:pt>
                <c:pt idx="83">
                  <c:v>54.7161387945384</c:v>
                </c:pt>
                <c:pt idx="84">
                  <c:v>51.6207385218549</c:v>
                </c:pt>
                <c:pt idx="85">
                  <c:v>48.605059910376</c:v>
                </c:pt>
                <c:pt idx="86">
                  <c:v>45.762818655163</c:v>
                </c:pt>
                <c:pt idx="87">
                  <c:v>42.513751958603</c:v>
                </c:pt>
                <c:pt idx="88">
                  <c:v>39.7671541471626</c:v>
                </c:pt>
                <c:pt idx="89">
                  <c:v>37.5300256105148</c:v>
                </c:pt>
                <c:pt idx="90">
                  <c:v>35.3492445937745</c:v>
                </c:pt>
                <c:pt idx="91">
                  <c:v>32.3108377690808</c:v>
                </c:pt>
                <c:pt idx="92">
                  <c:v>30.3937848587595</c:v>
                </c:pt>
                <c:pt idx="93">
                  <c:v>27.8872940518741</c:v>
                </c:pt>
                <c:pt idx="94">
                  <c:v>26.7575461162162</c:v>
                </c:pt>
                <c:pt idx="95">
                  <c:v>25.8036849354502</c:v>
                </c:pt>
                <c:pt idx="96">
                  <c:v>24.8106977576774</c:v>
                </c:pt>
                <c:pt idx="97">
                  <c:v>22.9689256251274</c:v>
                </c:pt>
                <c:pt idx="98">
                  <c:v>21.9632222195337</c:v>
                </c:pt>
                <c:pt idx="99">
                  <c:v>20.6791426421117</c:v>
                </c:pt>
                <c:pt idx="100">
                  <c:v>19.7249523462103</c:v>
                </c:pt>
                <c:pt idx="101">
                  <c:v>18.5985728412026</c:v>
                </c:pt>
                <c:pt idx="102">
                  <c:v>17.3517946983897</c:v>
                </c:pt>
                <c:pt idx="103">
                  <c:v>16.3291151103535</c:v>
                </c:pt>
                <c:pt idx="104">
                  <c:v>15.3427075145633</c:v>
                </c:pt>
                <c:pt idx="105">
                  <c:v>14.2268084900323</c:v>
                </c:pt>
                <c:pt idx="106">
                  <c:v>12.9812393158229</c:v>
                </c:pt>
                <c:pt idx="107">
                  <c:v>11.899562152128</c:v>
                </c:pt>
                <c:pt idx="108">
                  <c:v>10.7512277816942</c:v>
                </c:pt>
                <c:pt idx="109">
                  <c:v>9.57346723087161</c:v>
                </c:pt>
                <c:pt idx="110">
                  <c:v>8.56406834719031</c:v>
                </c:pt>
                <c:pt idx="111">
                  <c:v>7.32254285913103</c:v>
                </c:pt>
                <c:pt idx="112">
                  <c:v>6.35447927370811</c:v>
                </c:pt>
                <c:pt idx="113">
                  <c:v>5.13004393734797</c:v>
                </c:pt>
                <c:pt idx="114">
                  <c:v>4.04623296283775</c:v>
                </c:pt>
                <c:pt idx="115">
                  <c:v>3.20577938306124</c:v>
                </c:pt>
                <c:pt idx="116">
                  <c:v>2.06553779257774</c:v>
                </c:pt>
                <c:pt idx="117">
                  <c:v>1.33027866803728</c:v>
                </c:pt>
                <c:pt idx="118">
                  <c:v>0.59569445597439</c:v>
                </c:pt>
                <c:pt idx="119">
                  <c:v>2.26607998373834E-008</c:v>
                </c:pt>
                <c:pt idx="120">
                  <c:v>0.046288981769002</c:v>
                </c:pt>
                <c:pt idx="121">
                  <c:v>2.8257843208251E-012</c:v>
                </c:pt>
                <c:pt idx="122">
                  <c:v>2.43142609724823E-013</c:v>
                </c:pt>
                <c:pt idx="123">
                  <c:v>4.86156368524871E-013</c:v>
                </c:pt>
                <c:pt idx="124">
                  <c:v>7.29258849835911E-013</c:v>
                </c:pt>
                <c:pt idx="125">
                  <c:v>9.72143072570004E-013</c:v>
                </c:pt>
                <c:pt idx="126">
                  <c:v>1.21562679810226E-012</c:v>
                </c:pt>
                <c:pt idx="127">
                  <c:v>1.4528518978109E-012</c:v>
                </c:pt>
                <c:pt idx="128">
                  <c:v>1.67085660131649E-012</c:v>
                </c:pt>
                <c:pt idx="129">
                  <c:v>1.8647311731172E-012</c:v>
                </c:pt>
                <c:pt idx="130">
                  <c:v>2.03395851064692E-012</c:v>
                </c:pt>
                <c:pt idx="131">
                  <c:v>2.17722177585091E-012</c:v>
                </c:pt>
                <c:pt idx="132">
                  <c:v>2.26903921543154E-012</c:v>
                </c:pt>
                <c:pt idx="133">
                  <c:v>1.87724299015732E-012</c:v>
                </c:pt>
                <c:pt idx="134">
                  <c:v>1.90821254771083E-012</c:v>
                </c:pt>
                <c:pt idx="135">
                  <c:v>2.72480966705926E-012</c:v>
                </c:pt>
                <c:pt idx="136">
                  <c:v>1.20628209822247E-012</c:v>
                </c:pt>
                <c:pt idx="137">
                  <c:v>2.09531848050928E-012</c:v>
                </c:pt>
                <c:pt idx="138">
                  <c:v>1.95072123049389E-012</c:v>
                </c:pt>
                <c:pt idx="139">
                  <c:v>0.0409772205298781</c:v>
                </c:pt>
                <c:pt idx="140">
                  <c:v>0.0776532418315883</c:v>
                </c:pt>
                <c:pt idx="141">
                  <c:v>0.21473542319966</c:v>
                </c:pt>
                <c:pt idx="142">
                  <c:v>0.443029975567511</c:v>
                </c:pt>
                <c:pt idx="143">
                  <c:v>0.679229280233918</c:v>
                </c:pt>
                <c:pt idx="144">
                  <c:v>1.62691671311728</c:v>
                </c:pt>
                <c:pt idx="145">
                  <c:v>2.37286958765764</c:v>
                </c:pt>
                <c:pt idx="146">
                  <c:v>3.77493544815336</c:v>
                </c:pt>
                <c:pt idx="147">
                  <c:v>6.61060147926724</c:v>
                </c:pt>
                <c:pt idx="148">
                  <c:v>13.2566941598044</c:v>
                </c:pt>
                <c:pt idx="149">
                  <c:v>19.7327919018643</c:v>
                </c:pt>
                <c:pt idx="150">
                  <c:v>27.5721520330085</c:v>
                </c:pt>
                <c:pt idx="151">
                  <c:v>34.9419915781498</c:v>
                </c:pt>
                <c:pt idx="152">
                  <c:v>42.1345795025095</c:v>
                </c:pt>
                <c:pt idx="153">
                  <c:v>48.9475394371568</c:v>
                </c:pt>
                <c:pt idx="154">
                  <c:v>54.6859850716817</c:v>
                </c:pt>
                <c:pt idx="155">
                  <c:v>60.200600410424</c:v>
                </c:pt>
                <c:pt idx="156">
                  <c:v>64.7629924550581</c:v>
                </c:pt>
                <c:pt idx="157">
                  <c:v>69.3616944240508</c:v>
                </c:pt>
                <c:pt idx="158">
                  <c:v>73.6404634926247</c:v>
                </c:pt>
                <c:pt idx="159">
                  <c:v>76.9948983538322</c:v>
                </c:pt>
                <c:pt idx="160">
                  <c:v>79.9629703713456</c:v>
                </c:pt>
                <c:pt idx="161">
                  <c:v>80.9654821015344</c:v>
                </c:pt>
                <c:pt idx="162">
                  <c:v>81.5861991038586</c:v>
                </c:pt>
                <c:pt idx="163">
                  <c:v>81.2104045989642</c:v>
                </c:pt>
                <c:pt idx="164">
                  <c:v>81.4895173371918</c:v>
                </c:pt>
                <c:pt idx="165">
                  <c:v>81.4368290922317</c:v>
                </c:pt>
                <c:pt idx="166">
                  <c:v>81.1516482836653</c:v>
                </c:pt>
                <c:pt idx="167">
                  <c:v>79.7884879651538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55765"/>
        <c:axId val="50171301"/>
      </c:lineChart>
      <c:catAx>
        <c:axId val="52557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50171301"/>
        <c:crosses val="autoZero"/>
        <c:auto val="1"/>
        <c:lblAlgn val="ctr"/>
        <c:lblOffset val="100"/>
        <c:noMultiLvlLbl val="0"/>
      </c:catAx>
      <c:valAx>
        <c:axId val="50171301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52557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NG1!$H$4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NG1!$I$4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NG1!$J$4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NG1!$K$4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NG1!$K$5:$K$172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NG1!$L$4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NG1!$L$5:$L$172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69649628"/>
        <c:axId val="40700221"/>
      </c:barChart>
      <c:lineChart>
        <c:grouping val="stacked"/>
        <c:varyColors val="0"/>
        <c:ser>
          <c:idx val="5"/>
          <c:order val="5"/>
          <c:tx>
            <c:strRef>
              <c:f>NG1!$F$4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NG1!$F$5:$F$172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NG1!$G$4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NG1!$G$5:$G$172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9649628"/>
        <c:axId val="40700221"/>
      </c:lineChart>
      <c:catAx>
        <c:axId val="696496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40700221"/>
        <c:crosses val="autoZero"/>
        <c:auto val="1"/>
        <c:lblAlgn val="ctr"/>
        <c:lblOffset val="100"/>
        <c:noMultiLvlLbl val="0"/>
      </c:catAx>
      <c:valAx>
        <c:axId val="4070022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6964962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NG2!$G$4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NG2!$H$4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NG2!$I$4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NG2!$J$4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NG2!$K$4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9512775"/>
        <c:axId val="26649912"/>
      </c:barChart>
      <c:lineChart>
        <c:grouping val="stacked"/>
        <c:varyColors val="0"/>
        <c:ser>
          <c:idx val="5"/>
          <c:order val="5"/>
          <c:tx>
            <c:strRef>
              <c:f>NG2!$E$4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NG2!$F$4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512775"/>
        <c:axId val="26649912"/>
      </c:lineChart>
      <c:catAx>
        <c:axId val="95127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26649912"/>
        <c:crosses val="autoZero"/>
        <c:auto val="1"/>
        <c:lblAlgn val="ctr"/>
        <c:lblOffset val="100"/>
        <c:noMultiLvlLbl val="0"/>
      </c:catAx>
      <c:valAx>
        <c:axId val="2664991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951277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NG3!$G$4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NG3!$H$4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NG3!$I$4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NG3!$J$4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NG3!$K$4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65215734"/>
        <c:axId val="18213732"/>
      </c:barChart>
      <c:lineChart>
        <c:grouping val="stacked"/>
        <c:varyColors val="0"/>
        <c:ser>
          <c:idx val="5"/>
          <c:order val="5"/>
          <c:tx>
            <c:strRef>
              <c:f>NG3!$E$4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NG3!$F$4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5215734"/>
        <c:axId val="18213732"/>
      </c:lineChart>
      <c:catAx>
        <c:axId val="652157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18213732"/>
        <c:crosses val="autoZero"/>
        <c:auto val="1"/>
        <c:lblAlgn val="ctr"/>
        <c:lblOffset val="100"/>
        <c:noMultiLvlLbl val="0"/>
      </c:catAx>
      <c:valAx>
        <c:axId val="1821373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6521573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p_micro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NG1!$N$4</c:f>
              <c:strCache>
                <c:ptCount val="1"/>
                <c:pt idx="0">
                  <c:v>p_micro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NG1!$D$5:$D$172</c:f>
              <c:strCach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strCache>
            </c:strRef>
          </c:cat>
          <c:val>
            <c:numRef>
              <c:f>NG1!$N$5:$N$166</c:f>
              <c:numCache>
                <c:formatCode>0.000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0381303"/>
        <c:axId val="35483746"/>
      </c:lineChart>
      <c:catAx>
        <c:axId val="903813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35483746"/>
        <c:crosses val="autoZero"/>
        <c:auto val="1"/>
        <c:lblAlgn val="ctr"/>
        <c:lblOffset val="100"/>
        <c:noMultiLvlLbl val="0"/>
      </c:catAx>
      <c:valAx>
        <c:axId val="3548374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903813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21960</xdr:colOff>
      <xdr:row>4</xdr:row>
      <xdr:rowOff>18000</xdr:rowOff>
    </xdr:from>
    <xdr:to>
      <xdr:col>32</xdr:col>
      <xdr:colOff>589320</xdr:colOff>
      <xdr:row>29</xdr:row>
      <xdr:rowOff>101160</xdr:rowOff>
    </xdr:to>
    <xdr:graphicFrame>
      <xdr:nvGraphicFramePr>
        <xdr:cNvPr id="0" name="Chart 1"/>
        <xdr:cNvGraphicFramePr/>
      </xdr:nvGraphicFramePr>
      <xdr:xfrm>
        <a:off x="10496160" y="718920"/>
        <a:ext cx="12182760" cy="4464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609480</xdr:colOff>
      <xdr:row>44</xdr:row>
      <xdr:rowOff>136080</xdr:rowOff>
    </xdr:from>
    <xdr:to>
      <xdr:col>32</xdr:col>
      <xdr:colOff>590760</xdr:colOff>
      <xdr:row>54</xdr:row>
      <xdr:rowOff>13680</xdr:rowOff>
    </xdr:to>
    <xdr:graphicFrame>
      <xdr:nvGraphicFramePr>
        <xdr:cNvPr id="1" name="Chart 2"/>
        <xdr:cNvGraphicFramePr/>
      </xdr:nvGraphicFramePr>
      <xdr:xfrm>
        <a:off x="10400400" y="7847640"/>
        <a:ext cx="12279960" cy="1630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609480</xdr:colOff>
      <xdr:row>54</xdr:row>
      <xdr:rowOff>21960</xdr:rowOff>
    </xdr:from>
    <xdr:to>
      <xdr:col>32</xdr:col>
      <xdr:colOff>602280</xdr:colOff>
      <xdr:row>71</xdr:row>
      <xdr:rowOff>82440</xdr:rowOff>
    </xdr:to>
    <xdr:graphicFrame>
      <xdr:nvGraphicFramePr>
        <xdr:cNvPr id="2" name="Chart 3"/>
        <xdr:cNvGraphicFramePr/>
      </xdr:nvGraphicFramePr>
      <xdr:xfrm>
        <a:off x="10400400" y="9486000"/>
        <a:ext cx="12291480" cy="3039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19080</xdr:colOff>
      <xdr:row>29</xdr:row>
      <xdr:rowOff>100800</xdr:rowOff>
    </xdr:from>
    <xdr:to>
      <xdr:col>32</xdr:col>
      <xdr:colOff>586440</xdr:colOff>
      <xdr:row>44</xdr:row>
      <xdr:rowOff>127800</xdr:rowOff>
    </xdr:to>
    <xdr:graphicFrame>
      <xdr:nvGraphicFramePr>
        <xdr:cNvPr id="3" name="Chart 4"/>
        <xdr:cNvGraphicFramePr/>
      </xdr:nvGraphicFramePr>
      <xdr:xfrm>
        <a:off x="10493280" y="5183280"/>
        <a:ext cx="12182760" cy="265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4</xdr:row>
      <xdr:rowOff>0</xdr:rowOff>
    </xdr:from>
    <xdr:to>
      <xdr:col>31</xdr:col>
      <xdr:colOff>567360</xdr:colOff>
      <xdr:row>29</xdr:row>
      <xdr:rowOff>83160</xdr:rowOff>
    </xdr:to>
    <xdr:graphicFrame>
      <xdr:nvGraphicFramePr>
        <xdr:cNvPr id="4" name="Chart 6"/>
        <xdr:cNvGraphicFramePr/>
      </xdr:nvGraphicFramePr>
      <xdr:xfrm>
        <a:off x="9711000" y="700920"/>
        <a:ext cx="12182760" cy="4464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600120</xdr:colOff>
      <xdr:row>29</xdr:row>
      <xdr:rowOff>85680</xdr:rowOff>
    </xdr:from>
    <xdr:to>
      <xdr:col>31</xdr:col>
      <xdr:colOff>581400</xdr:colOff>
      <xdr:row>41</xdr:row>
      <xdr:rowOff>70920</xdr:rowOff>
    </xdr:to>
    <xdr:graphicFrame>
      <xdr:nvGraphicFramePr>
        <xdr:cNvPr id="5" name="Chart 8"/>
        <xdr:cNvGraphicFramePr/>
      </xdr:nvGraphicFramePr>
      <xdr:xfrm>
        <a:off x="9627840" y="5168160"/>
        <a:ext cx="12279960" cy="2088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601920</xdr:colOff>
      <xdr:row>41</xdr:row>
      <xdr:rowOff>76320</xdr:rowOff>
    </xdr:from>
    <xdr:to>
      <xdr:col>31</xdr:col>
      <xdr:colOff>591120</xdr:colOff>
      <xdr:row>56</xdr:row>
      <xdr:rowOff>114840</xdr:rowOff>
    </xdr:to>
    <xdr:graphicFrame>
      <xdr:nvGraphicFramePr>
        <xdr:cNvPr id="6" name="Chart 1"/>
        <xdr:cNvGraphicFramePr/>
      </xdr:nvGraphicFramePr>
      <xdr:xfrm>
        <a:off x="9629640" y="7261920"/>
        <a:ext cx="12287880" cy="2667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4</xdr:row>
      <xdr:rowOff>0</xdr:rowOff>
    </xdr:from>
    <xdr:to>
      <xdr:col>31</xdr:col>
      <xdr:colOff>567360</xdr:colOff>
      <xdr:row>29</xdr:row>
      <xdr:rowOff>83160</xdr:rowOff>
    </xdr:to>
    <xdr:graphicFrame>
      <xdr:nvGraphicFramePr>
        <xdr:cNvPr id="7" name="Chart 1"/>
        <xdr:cNvGraphicFramePr/>
      </xdr:nvGraphicFramePr>
      <xdr:xfrm>
        <a:off x="9711000" y="700920"/>
        <a:ext cx="12182760" cy="4464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29</xdr:row>
      <xdr:rowOff>95400</xdr:rowOff>
    </xdr:from>
    <xdr:to>
      <xdr:col>31</xdr:col>
      <xdr:colOff>591120</xdr:colOff>
      <xdr:row>42</xdr:row>
      <xdr:rowOff>109080</xdr:rowOff>
    </xdr:to>
    <xdr:graphicFrame>
      <xdr:nvGraphicFramePr>
        <xdr:cNvPr id="8" name="Chart 2"/>
        <xdr:cNvGraphicFramePr/>
      </xdr:nvGraphicFramePr>
      <xdr:xfrm>
        <a:off x="9711000" y="5177880"/>
        <a:ext cx="12206520" cy="229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1</xdr:row>
      <xdr:rowOff>0</xdr:rowOff>
    </xdr:from>
    <xdr:to>
      <xdr:col>31</xdr:col>
      <xdr:colOff>567360</xdr:colOff>
      <xdr:row>26</xdr:row>
      <xdr:rowOff>83160</xdr:rowOff>
    </xdr:to>
    <xdr:graphicFrame>
      <xdr:nvGraphicFramePr>
        <xdr:cNvPr id="9" name="Chart 5"/>
        <xdr:cNvGraphicFramePr/>
      </xdr:nvGraphicFramePr>
      <xdr:xfrm>
        <a:off x="9565560" y="175320"/>
        <a:ext cx="12182760" cy="4464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27</xdr:row>
      <xdr:rowOff>0</xdr:rowOff>
    </xdr:from>
    <xdr:to>
      <xdr:col>31</xdr:col>
      <xdr:colOff>567360</xdr:colOff>
      <xdr:row>52</xdr:row>
      <xdr:rowOff>85320</xdr:rowOff>
    </xdr:to>
    <xdr:graphicFrame>
      <xdr:nvGraphicFramePr>
        <xdr:cNvPr id="10" name="Chart 6"/>
        <xdr:cNvGraphicFramePr/>
      </xdr:nvGraphicFramePr>
      <xdr:xfrm>
        <a:off x="9565560" y="4732200"/>
        <a:ext cx="12182760" cy="446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53</xdr:row>
      <xdr:rowOff>0</xdr:rowOff>
    </xdr:from>
    <xdr:to>
      <xdr:col>31</xdr:col>
      <xdr:colOff>567360</xdr:colOff>
      <xdr:row>78</xdr:row>
      <xdr:rowOff>85320</xdr:rowOff>
    </xdr:to>
    <xdr:graphicFrame>
      <xdr:nvGraphicFramePr>
        <xdr:cNvPr id="11" name="Chart 7"/>
        <xdr:cNvGraphicFramePr/>
      </xdr:nvGraphicFramePr>
      <xdr:xfrm>
        <a:off x="9565560" y="9288720"/>
        <a:ext cx="12182760" cy="4466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79</xdr:row>
      <xdr:rowOff>0</xdr:rowOff>
    </xdr:from>
    <xdr:to>
      <xdr:col>31</xdr:col>
      <xdr:colOff>598680</xdr:colOff>
      <xdr:row>97</xdr:row>
      <xdr:rowOff>110520</xdr:rowOff>
    </xdr:to>
    <xdr:graphicFrame>
      <xdr:nvGraphicFramePr>
        <xdr:cNvPr id="12" name="Chart 8"/>
        <xdr:cNvGraphicFramePr/>
      </xdr:nvGraphicFramePr>
      <xdr:xfrm>
        <a:off x="9565560" y="13845600"/>
        <a:ext cx="12214080" cy="3049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33</xdr:col>
      <xdr:colOff>0</xdr:colOff>
      <xdr:row>1</xdr:row>
      <xdr:rowOff>0</xdr:rowOff>
    </xdr:from>
    <xdr:to>
      <xdr:col>51</xdr:col>
      <xdr:colOff>75600</xdr:colOff>
      <xdr:row>106</xdr:row>
      <xdr:rowOff>102960</xdr:rowOff>
    </xdr:to>
    <xdr:pic>
      <xdr:nvPicPr>
        <xdr:cNvPr id="13" name="Picture 9" descr=""/>
        <xdr:cNvPicPr/>
      </xdr:nvPicPr>
      <xdr:blipFill>
        <a:blip r:embed="rId5"/>
        <a:stretch/>
      </xdr:blipFill>
      <xdr:spPr>
        <a:xfrm>
          <a:off x="22547520" y="175320"/>
          <a:ext cx="12374280" cy="18174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673"/>
  <sheetViews>
    <sheetView showFormulas="false" showGridLines="true" showRowColHeaders="true" showZeros="true" rightToLeft="false" tabSelected="false" showOutlineSymbols="true" defaultGridColor="true" view="normal" topLeftCell="A158" colorId="64" zoomScale="100" zoomScaleNormal="100" zoomScalePageLayoutView="100" workbookViewId="0">
      <selection pane="topLeft" activeCell="C2" activeCellId="0" sqref="C2"/>
    </sheetView>
  </sheetViews>
  <sheetFormatPr defaultColWidth="8.54296875" defaultRowHeight="13.8" zeroHeight="false" outlineLevelRow="0" outlineLevelCol="0"/>
  <cols>
    <col collapsed="false" customWidth="true" hidden="false" outlineLevel="0" max="2" min="2" style="1" width="8.85"/>
  </cols>
  <sheetData>
    <row r="2" customFormat="false" ht="13.8" hidden="false" customHeight="false" outlineLevel="0" collapsed="false">
      <c r="B2" s="1" t="n">
        <v>1</v>
      </c>
      <c r="C2" s="2" t="n">
        <v>0</v>
      </c>
    </row>
    <row r="3" customFormat="false" ht="13.8" hidden="false" customHeight="false" outlineLevel="0" collapsed="false">
      <c r="B3" s="1" t="n">
        <v>2</v>
      </c>
      <c r="C3" s="2" t="n">
        <v>0</v>
      </c>
    </row>
    <row r="4" customFormat="false" ht="13.8" hidden="false" customHeight="false" outlineLevel="0" collapsed="false">
      <c r="B4" s="1" t="n">
        <v>3</v>
      </c>
      <c r="C4" s="2" t="n">
        <v>0</v>
      </c>
    </row>
    <row r="5" customFormat="false" ht="13.8" hidden="false" customHeight="false" outlineLevel="0" collapsed="false">
      <c r="B5" s="1" t="n">
        <v>4</v>
      </c>
      <c r="C5" s="2" t="n">
        <v>0</v>
      </c>
    </row>
    <row r="6" customFormat="false" ht="13.8" hidden="false" customHeight="false" outlineLevel="0" collapsed="false">
      <c r="B6" s="1" t="n">
        <v>5</v>
      </c>
      <c r="C6" s="2" t="n">
        <v>0</v>
      </c>
    </row>
    <row r="7" customFormat="false" ht="13.8" hidden="false" customHeight="false" outlineLevel="0" collapsed="false">
      <c r="B7" s="1" t="n">
        <v>6</v>
      </c>
      <c r="C7" s="2" t="n">
        <v>0</v>
      </c>
    </row>
    <row r="8" customFormat="false" ht="13.8" hidden="false" customHeight="false" outlineLevel="0" collapsed="false">
      <c r="B8" s="1" t="n">
        <v>7</v>
      </c>
      <c r="C8" s="2" t="n">
        <v>0</v>
      </c>
    </row>
    <row r="9" customFormat="false" ht="13.8" hidden="false" customHeight="false" outlineLevel="0" collapsed="false">
      <c r="B9" s="1" t="n">
        <v>8</v>
      </c>
      <c r="C9" s="2" t="n">
        <v>0</v>
      </c>
    </row>
    <row r="10" customFormat="false" ht="13.8" hidden="false" customHeight="false" outlineLevel="0" collapsed="false">
      <c r="B10" s="1" t="n">
        <v>9</v>
      </c>
      <c r="C10" s="2" t="n">
        <v>0</v>
      </c>
    </row>
    <row r="11" customFormat="false" ht="13.8" hidden="false" customHeight="false" outlineLevel="0" collapsed="false">
      <c r="B11" s="1" t="n">
        <v>10</v>
      </c>
      <c r="C11" s="2" t="n">
        <v>0</v>
      </c>
    </row>
    <row r="12" customFormat="false" ht="13.8" hidden="false" customHeight="false" outlineLevel="0" collapsed="false">
      <c r="B12" s="1" t="n">
        <v>11</v>
      </c>
      <c r="C12" s="2" t="n">
        <v>0</v>
      </c>
    </row>
    <row r="13" customFormat="false" ht="13.8" hidden="false" customHeight="false" outlineLevel="0" collapsed="false">
      <c r="B13" s="1" t="n">
        <v>12</v>
      </c>
      <c r="C13" s="2" t="n">
        <v>0</v>
      </c>
    </row>
    <row r="14" customFormat="false" ht="13.8" hidden="false" customHeight="false" outlineLevel="0" collapsed="false">
      <c r="B14" s="1" t="n">
        <v>13</v>
      </c>
      <c r="C14" s="2" t="n">
        <v>0</v>
      </c>
    </row>
    <row r="15" customFormat="false" ht="13.8" hidden="false" customHeight="false" outlineLevel="0" collapsed="false">
      <c r="B15" s="1" t="n">
        <v>14</v>
      </c>
      <c r="C15" s="2" t="n">
        <v>0</v>
      </c>
    </row>
    <row r="16" customFormat="false" ht="13.8" hidden="false" customHeight="false" outlineLevel="0" collapsed="false">
      <c r="B16" s="1" t="n">
        <v>15</v>
      </c>
      <c r="C16" s="2" t="n">
        <v>0</v>
      </c>
    </row>
    <row r="17" customFormat="false" ht="13.8" hidden="false" customHeight="false" outlineLevel="0" collapsed="false">
      <c r="B17" s="1" t="n">
        <v>16</v>
      </c>
      <c r="C17" s="2" t="n">
        <v>0</v>
      </c>
    </row>
    <row r="18" customFormat="false" ht="13.8" hidden="false" customHeight="false" outlineLevel="0" collapsed="false">
      <c r="B18" s="1" t="n">
        <v>17</v>
      </c>
      <c r="C18" s="2" t="n">
        <v>0</v>
      </c>
    </row>
    <row r="19" customFormat="false" ht="13.8" hidden="false" customHeight="false" outlineLevel="0" collapsed="false">
      <c r="B19" s="1" t="n">
        <v>18</v>
      </c>
      <c r="C19" s="2" t="n">
        <v>0</v>
      </c>
    </row>
    <row r="20" customFormat="false" ht="13.8" hidden="false" customHeight="false" outlineLevel="0" collapsed="false">
      <c r="B20" s="1" t="n">
        <v>19</v>
      </c>
      <c r="C20" s="2" t="n">
        <v>0</v>
      </c>
    </row>
    <row r="21" customFormat="false" ht="13.8" hidden="false" customHeight="false" outlineLevel="0" collapsed="false">
      <c r="B21" s="1" t="n">
        <v>20</v>
      </c>
      <c r="C21" s="2" t="n">
        <v>0</v>
      </c>
    </row>
    <row r="22" customFormat="false" ht="13.8" hidden="false" customHeight="false" outlineLevel="0" collapsed="false">
      <c r="B22" s="1" t="n">
        <v>21</v>
      </c>
      <c r="C22" s="2" t="n">
        <v>0</v>
      </c>
    </row>
    <row r="23" customFormat="false" ht="13.8" hidden="false" customHeight="false" outlineLevel="0" collapsed="false">
      <c r="B23" s="1" t="n">
        <v>22</v>
      </c>
      <c r="C23" s="2" t="n">
        <v>7.1875E-005</v>
      </c>
    </row>
    <row r="24" customFormat="false" ht="13.8" hidden="false" customHeight="false" outlineLevel="0" collapsed="false">
      <c r="B24" s="1" t="n">
        <v>23</v>
      </c>
      <c r="C24" s="2" t="n">
        <v>0.00014375</v>
      </c>
    </row>
    <row r="25" customFormat="false" ht="13.8" hidden="false" customHeight="false" outlineLevel="0" collapsed="false">
      <c r="B25" s="1" t="n">
        <v>24</v>
      </c>
      <c r="C25" s="2" t="n">
        <v>0.000215625</v>
      </c>
    </row>
    <row r="26" customFormat="false" ht="13.8" hidden="false" customHeight="false" outlineLevel="0" collapsed="false">
      <c r="B26" s="1" t="n">
        <v>25</v>
      </c>
      <c r="C26" s="2" t="n">
        <v>0.0002875</v>
      </c>
    </row>
    <row r="27" customFormat="false" ht="13.8" hidden="false" customHeight="false" outlineLevel="0" collapsed="false">
      <c r="B27" s="1" t="n">
        <v>26</v>
      </c>
      <c r="C27" s="2" t="n">
        <v>0.00260625</v>
      </c>
    </row>
    <row r="28" customFormat="false" ht="13.8" hidden="false" customHeight="false" outlineLevel="0" collapsed="false">
      <c r="B28" s="1" t="n">
        <v>27</v>
      </c>
      <c r="C28" s="2" t="n">
        <v>0.004925</v>
      </c>
    </row>
    <row r="29" customFormat="false" ht="13.8" hidden="false" customHeight="false" outlineLevel="0" collapsed="false">
      <c r="B29" s="1" t="n">
        <v>28</v>
      </c>
      <c r="C29" s="2" t="n">
        <v>0.00724375</v>
      </c>
    </row>
    <row r="30" customFormat="false" ht="13.8" hidden="false" customHeight="false" outlineLevel="0" collapsed="false">
      <c r="B30" s="1" t="n">
        <v>29</v>
      </c>
      <c r="C30" s="2" t="n">
        <v>0.0095625</v>
      </c>
    </row>
    <row r="31" customFormat="false" ht="13.8" hidden="false" customHeight="false" outlineLevel="0" collapsed="false">
      <c r="B31" s="1" t="n">
        <v>30</v>
      </c>
      <c r="C31" s="2" t="n">
        <v>0.0196475</v>
      </c>
    </row>
    <row r="32" customFormat="false" ht="13.8" hidden="false" customHeight="false" outlineLevel="0" collapsed="false">
      <c r="B32" s="1" t="n">
        <v>31</v>
      </c>
      <c r="C32" s="2" t="n">
        <v>0.0297325</v>
      </c>
    </row>
    <row r="33" customFormat="false" ht="13.8" hidden="false" customHeight="false" outlineLevel="0" collapsed="false">
      <c r="B33" s="1" t="n">
        <v>32</v>
      </c>
      <c r="C33" s="2" t="n">
        <v>0.0398175</v>
      </c>
    </row>
    <row r="34" customFormat="false" ht="13.8" hidden="false" customHeight="false" outlineLevel="0" collapsed="false">
      <c r="B34" s="1" t="n">
        <v>33</v>
      </c>
      <c r="C34" s="2" t="n">
        <v>0.0499025</v>
      </c>
    </row>
    <row r="35" customFormat="false" ht="13.8" hidden="false" customHeight="false" outlineLevel="0" collapsed="false">
      <c r="B35" s="1" t="n">
        <v>34</v>
      </c>
      <c r="C35" s="2" t="n">
        <v>0.053</v>
      </c>
    </row>
    <row r="36" customFormat="false" ht="13.8" hidden="false" customHeight="false" outlineLevel="0" collapsed="false">
      <c r="B36" s="1" t="n">
        <v>35</v>
      </c>
      <c r="C36" s="2" t="n">
        <v>0.0560975</v>
      </c>
    </row>
    <row r="37" customFormat="false" ht="13.8" hidden="false" customHeight="false" outlineLevel="0" collapsed="false">
      <c r="B37" s="1" t="n">
        <v>36</v>
      </c>
      <c r="C37" s="2" t="n">
        <v>0.059195</v>
      </c>
    </row>
    <row r="38" customFormat="false" ht="13.8" hidden="false" customHeight="false" outlineLevel="0" collapsed="false">
      <c r="B38" s="1" t="n">
        <v>37</v>
      </c>
      <c r="C38" s="2" t="n">
        <v>0.0622925</v>
      </c>
    </row>
    <row r="39" customFormat="false" ht="13.8" hidden="false" customHeight="false" outlineLevel="0" collapsed="false">
      <c r="B39" s="1" t="n">
        <v>38</v>
      </c>
      <c r="C39" s="2" t="n">
        <v>0.083598125</v>
      </c>
    </row>
    <row r="40" customFormat="false" ht="13.8" hidden="false" customHeight="false" outlineLevel="0" collapsed="false">
      <c r="B40" s="1" t="n">
        <v>39</v>
      </c>
      <c r="C40" s="2" t="n">
        <v>0.10490375</v>
      </c>
    </row>
    <row r="41" customFormat="false" ht="13.8" hidden="false" customHeight="false" outlineLevel="0" collapsed="false">
      <c r="B41" s="1" t="n">
        <v>40</v>
      </c>
      <c r="C41" s="2" t="n">
        <v>0.126209375</v>
      </c>
    </row>
    <row r="42" customFormat="false" ht="13.8" hidden="false" customHeight="false" outlineLevel="0" collapsed="false">
      <c r="B42" s="1" t="n">
        <v>41</v>
      </c>
      <c r="C42" s="2" t="n">
        <v>0.147515</v>
      </c>
    </row>
    <row r="43" customFormat="false" ht="13.8" hidden="false" customHeight="false" outlineLevel="0" collapsed="false">
      <c r="B43" s="1" t="n">
        <v>42</v>
      </c>
      <c r="C43" s="2" t="n">
        <v>0.1505775</v>
      </c>
    </row>
    <row r="44" customFormat="false" ht="13.8" hidden="false" customHeight="false" outlineLevel="0" collapsed="false">
      <c r="B44" s="1" t="n">
        <v>43</v>
      </c>
      <c r="C44" s="2" t="n">
        <v>0.15364</v>
      </c>
    </row>
    <row r="45" customFormat="false" ht="13.8" hidden="false" customHeight="false" outlineLevel="0" collapsed="false">
      <c r="B45" s="1" t="n">
        <v>44</v>
      </c>
      <c r="C45" s="2" t="n">
        <v>0.1567025</v>
      </c>
    </row>
    <row r="46" customFormat="false" ht="13.8" hidden="false" customHeight="false" outlineLevel="0" collapsed="false">
      <c r="B46" s="1" t="n">
        <v>45</v>
      </c>
      <c r="C46" s="2" t="n">
        <v>0.159765</v>
      </c>
    </row>
    <row r="47" customFormat="false" ht="13.8" hidden="false" customHeight="false" outlineLevel="0" collapsed="false">
      <c r="B47" s="1" t="n">
        <v>46</v>
      </c>
      <c r="C47" s="2" t="n">
        <v>0.160353125</v>
      </c>
    </row>
    <row r="48" customFormat="false" ht="13.8" hidden="false" customHeight="false" outlineLevel="0" collapsed="false">
      <c r="B48" s="1" t="n">
        <v>47</v>
      </c>
      <c r="C48" s="2" t="n">
        <v>0.16094125</v>
      </c>
    </row>
    <row r="49" customFormat="false" ht="13.8" hidden="false" customHeight="false" outlineLevel="0" collapsed="false">
      <c r="B49" s="1" t="n">
        <v>48</v>
      </c>
      <c r="C49" s="2" t="n">
        <v>0.161529375</v>
      </c>
    </row>
    <row r="50" customFormat="false" ht="13.8" hidden="false" customHeight="false" outlineLevel="0" collapsed="false">
      <c r="B50" s="1" t="n">
        <v>49</v>
      </c>
      <c r="C50" s="2" t="n">
        <v>0.1621175</v>
      </c>
    </row>
    <row r="51" customFormat="false" ht="13.8" hidden="false" customHeight="false" outlineLevel="0" collapsed="false">
      <c r="B51" s="1" t="n">
        <v>50</v>
      </c>
      <c r="C51" s="2" t="n">
        <v>0.1633125</v>
      </c>
    </row>
    <row r="52" customFormat="false" ht="13.8" hidden="false" customHeight="false" outlineLevel="0" collapsed="false">
      <c r="B52" s="1" t="n">
        <v>51</v>
      </c>
      <c r="C52" s="2" t="n">
        <v>0.1645075</v>
      </c>
    </row>
    <row r="53" customFormat="false" ht="13.8" hidden="false" customHeight="false" outlineLevel="0" collapsed="false">
      <c r="B53" s="1" t="n">
        <v>52</v>
      </c>
      <c r="C53" s="2" t="n">
        <v>0.1657025</v>
      </c>
    </row>
    <row r="54" customFormat="false" ht="13.8" hidden="false" customHeight="false" outlineLevel="0" collapsed="false">
      <c r="B54" s="1" t="n">
        <v>53</v>
      </c>
      <c r="C54" s="2" t="n">
        <v>0.1668975</v>
      </c>
    </row>
    <row r="55" customFormat="false" ht="13.8" hidden="false" customHeight="false" outlineLevel="0" collapsed="false">
      <c r="B55" s="1" t="n">
        <v>54</v>
      </c>
      <c r="C55" s="2" t="n">
        <v>0.16136375</v>
      </c>
    </row>
    <row r="56" customFormat="false" ht="13.8" hidden="false" customHeight="false" outlineLevel="0" collapsed="false">
      <c r="B56" s="1" t="n">
        <v>55</v>
      </c>
      <c r="C56" s="2" t="n">
        <v>0.15583</v>
      </c>
    </row>
    <row r="57" customFormat="false" ht="13.8" hidden="false" customHeight="false" outlineLevel="0" collapsed="false">
      <c r="B57" s="1" t="n">
        <v>56</v>
      </c>
      <c r="C57" s="2" t="n">
        <v>0.15029625</v>
      </c>
    </row>
    <row r="58" customFormat="false" ht="13.8" hidden="false" customHeight="false" outlineLevel="0" collapsed="false">
      <c r="B58" s="1" t="n">
        <v>57</v>
      </c>
      <c r="C58" s="2" t="n">
        <v>0.1447625</v>
      </c>
    </row>
    <row r="59" customFormat="false" ht="13.8" hidden="false" customHeight="false" outlineLevel="0" collapsed="false">
      <c r="B59" s="1" t="n">
        <v>58</v>
      </c>
      <c r="C59" s="2" t="n">
        <v>0.129499375</v>
      </c>
    </row>
    <row r="60" customFormat="false" ht="13.8" hidden="false" customHeight="false" outlineLevel="0" collapsed="false">
      <c r="B60" s="1" t="n">
        <v>59</v>
      </c>
      <c r="C60" s="2" t="n">
        <v>0.11423625</v>
      </c>
    </row>
    <row r="61" customFormat="false" ht="13.8" hidden="false" customHeight="false" outlineLevel="0" collapsed="false">
      <c r="B61" s="1" t="n">
        <v>60</v>
      </c>
      <c r="C61" s="2" t="n">
        <v>0.098973125</v>
      </c>
    </row>
    <row r="62" customFormat="false" ht="13.8" hidden="false" customHeight="false" outlineLevel="0" collapsed="false">
      <c r="B62" s="1" t="n">
        <v>61</v>
      </c>
      <c r="C62" s="2" t="n">
        <v>0.08371</v>
      </c>
    </row>
    <row r="63" customFormat="false" ht="13.8" hidden="false" customHeight="false" outlineLevel="0" collapsed="false">
      <c r="B63" s="1" t="n">
        <v>62</v>
      </c>
      <c r="C63" s="2" t="n">
        <v>0.07591875</v>
      </c>
    </row>
    <row r="64" customFormat="false" ht="13.8" hidden="false" customHeight="false" outlineLevel="0" collapsed="false">
      <c r="B64" s="1" t="n">
        <v>63</v>
      </c>
      <c r="C64" s="2" t="n">
        <v>0.0681275</v>
      </c>
    </row>
    <row r="65" customFormat="false" ht="13.8" hidden="false" customHeight="false" outlineLevel="0" collapsed="false">
      <c r="B65" s="1" t="n">
        <v>64</v>
      </c>
      <c r="C65" s="2" t="n">
        <v>0.06033625</v>
      </c>
    </row>
    <row r="66" customFormat="false" ht="13.8" hidden="false" customHeight="false" outlineLevel="0" collapsed="false">
      <c r="B66" s="1" t="n">
        <v>65</v>
      </c>
      <c r="C66" s="2" t="n">
        <v>0.052545</v>
      </c>
    </row>
    <row r="67" customFormat="false" ht="13.8" hidden="false" customHeight="false" outlineLevel="0" collapsed="false">
      <c r="B67" s="1" t="n">
        <v>66</v>
      </c>
      <c r="C67" s="2" t="n">
        <v>0.044609375</v>
      </c>
    </row>
    <row r="68" customFormat="false" ht="13.8" hidden="false" customHeight="false" outlineLevel="0" collapsed="false">
      <c r="B68" s="1" t="n">
        <v>67</v>
      </c>
      <c r="C68" s="2" t="n">
        <v>0.03667375</v>
      </c>
    </row>
    <row r="69" customFormat="false" ht="13.8" hidden="false" customHeight="false" outlineLevel="0" collapsed="false">
      <c r="B69" s="1" t="n">
        <v>68</v>
      </c>
      <c r="C69" s="2" t="n">
        <v>0.028738125</v>
      </c>
    </row>
    <row r="70" customFormat="false" ht="13.8" hidden="false" customHeight="false" outlineLevel="0" collapsed="false">
      <c r="B70" s="1" t="n">
        <v>69</v>
      </c>
      <c r="C70" s="2" t="n">
        <v>0.0208025</v>
      </c>
    </row>
    <row r="71" customFormat="false" ht="13.8" hidden="false" customHeight="false" outlineLevel="0" collapsed="false">
      <c r="B71" s="1" t="n">
        <v>70</v>
      </c>
      <c r="C71" s="2" t="n">
        <v>0.015601875</v>
      </c>
    </row>
    <row r="72" customFormat="false" ht="13.8" hidden="false" customHeight="false" outlineLevel="0" collapsed="false">
      <c r="B72" s="1" t="n">
        <v>71</v>
      </c>
      <c r="C72" s="2" t="n">
        <v>0.01040125</v>
      </c>
    </row>
    <row r="73" customFormat="false" ht="13.8" hidden="false" customHeight="false" outlineLevel="0" collapsed="false">
      <c r="B73" s="1" t="n">
        <v>72</v>
      </c>
      <c r="C73" s="2" t="n">
        <v>0.005200625</v>
      </c>
    </row>
    <row r="74" customFormat="false" ht="13.8" hidden="false" customHeight="false" outlineLevel="0" collapsed="false">
      <c r="B74" s="1" t="n">
        <v>73</v>
      </c>
      <c r="C74" s="2" t="n">
        <v>0</v>
      </c>
    </row>
    <row r="75" customFormat="false" ht="13.8" hidden="false" customHeight="false" outlineLevel="0" collapsed="false">
      <c r="B75" s="1" t="n">
        <v>74</v>
      </c>
      <c r="C75" s="2" t="n">
        <v>0</v>
      </c>
    </row>
    <row r="76" customFormat="false" ht="13.8" hidden="false" customHeight="false" outlineLevel="0" collapsed="false">
      <c r="B76" s="1" t="n">
        <v>75</v>
      </c>
      <c r="C76" s="2" t="n">
        <v>0</v>
      </c>
    </row>
    <row r="77" customFormat="false" ht="13.8" hidden="false" customHeight="false" outlineLevel="0" collapsed="false">
      <c r="B77" s="1" t="n">
        <v>76</v>
      </c>
      <c r="C77" s="2" t="n">
        <v>0</v>
      </c>
    </row>
    <row r="78" customFormat="false" ht="13.8" hidden="false" customHeight="false" outlineLevel="0" collapsed="false">
      <c r="B78" s="1" t="n">
        <v>77</v>
      </c>
      <c r="C78" s="2" t="n">
        <v>0</v>
      </c>
    </row>
    <row r="79" customFormat="false" ht="13.8" hidden="false" customHeight="false" outlineLevel="0" collapsed="false">
      <c r="B79" s="1" t="n">
        <v>78</v>
      </c>
      <c r="C79" s="2" t="n">
        <v>0</v>
      </c>
    </row>
    <row r="80" customFormat="false" ht="13.8" hidden="false" customHeight="false" outlineLevel="0" collapsed="false">
      <c r="B80" s="1" t="n">
        <v>79</v>
      </c>
      <c r="C80" s="2" t="n">
        <v>0</v>
      </c>
    </row>
    <row r="81" customFormat="false" ht="13.8" hidden="false" customHeight="false" outlineLevel="0" collapsed="false">
      <c r="B81" s="1" t="n">
        <v>80</v>
      </c>
      <c r="C81" s="2" t="n">
        <v>0</v>
      </c>
    </row>
    <row r="82" customFormat="false" ht="13.8" hidden="false" customHeight="false" outlineLevel="0" collapsed="false">
      <c r="B82" s="1" t="n">
        <v>81</v>
      </c>
      <c r="C82" s="2" t="n">
        <v>0</v>
      </c>
    </row>
    <row r="83" customFormat="false" ht="13.8" hidden="false" customHeight="false" outlineLevel="0" collapsed="false">
      <c r="B83" s="1" t="n">
        <v>82</v>
      </c>
      <c r="C83" s="2" t="n">
        <v>0</v>
      </c>
    </row>
    <row r="84" customFormat="false" ht="13.8" hidden="false" customHeight="false" outlineLevel="0" collapsed="false">
      <c r="B84" s="1" t="n">
        <v>83</v>
      </c>
      <c r="C84" s="2" t="n">
        <v>0</v>
      </c>
    </row>
    <row r="85" customFormat="false" ht="13.8" hidden="false" customHeight="false" outlineLevel="0" collapsed="false">
      <c r="B85" s="1" t="n">
        <v>84</v>
      </c>
      <c r="C85" s="2" t="n">
        <v>0</v>
      </c>
    </row>
    <row r="86" customFormat="false" ht="13.8" hidden="false" customHeight="false" outlineLevel="0" collapsed="false">
      <c r="B86" s="1" t="n">
        <v>85</v>
      </c>
      <c r="C86" s="2" t="n">
        <v>0</v>
      </c>
    </row>
    <row r="87" customFormat="false" ht="13.8" hidden="false" customHeight="false" outlineLevel="0" collapsed="false">
      <c r="B87" s="1" t="n">
        <v>86</v>
      </c>
      <c r="C87" s="2" t="n">
        <v>0</v>
      </c>
    </row>
    <row r="88" customFormat="false" ht="13.8" hidden="false" customHeight="false" outlineLevel="0" collapsed="false">
      <c r="B88" s="1" t="n">
        <v>87</v>
      </c>
      <c r="C88" s="2" t="n">
        <v>0</v>
      </c>
    </row>
    <row r="89" customFormat="false" ht="13.8" hidden="false" customHeight="false" outlineLevel="0" collapsed="false">
      <c r="B89" s="1" t="n">
        <v>88</v>
      </c>
      <c r="C89" s="2" t="n">
        <v>0</v>
      </c>
    </row>
    <row r="90" customFormat="false" ht="13.8" hidden="false" customHeight="false" outlineLevel="0" collapsed="false">
      <c r="B90" s="1" t="n">
        <v>89</v>
      </c>
      <c r="C90" s="2" t="n">
        <v>0</v>
      </c>
    </row>
    <row r="91" customFormat="false" ht="13.8" hidden="false" customHeight="false" outlineLevel="0" collapsed="false">
      <c r="B91" s="1" t="n">
        <v>90</v>
      </c>
      <c r="C91" s="2" t="n">
        <v>0</v>
      </c>
    </row>
    <row r="92" customFormat="false" ht="13.8" hidden="false" customHeight="false" outlineLevel="0" collapsed="false">
      <c r="B92" s="1" t="n">
        <v>91</v>
      </c>
      <c r="C92" s="2" t="n">
        <v>0</v>
      </c>
    </row>
    <row r="93" customFormat="false" ht="13.8" hidden="false" customHeight="false" outlineLevel="0" collapsed="false">
      <c r="B93" s="1" t="n">
        <v>92</v>
      </c>
      <c r="C93" s="2" t="n">
        <v>0</v>
      </c>
    </row>
    <row r="94" customFormat="false" ht="13.8" hidden="false" customHeight="false" outlineLevel="0" collapsed="false">
      <c r="B94" s="1" t="n">
        <v>93</v>
      </c>
      <c r="C94" s="2" t="n">
        <v>0</v>
      </c>
    </row>
    <row r="95" customFormat="false" ht="13.8" hidden="false" customHeight="false" outlineLevel="0" collapsed="false">
      <c r="B95" s="1" t="n">
        <v>94</v>
      </c>
      <c r="C95" s="2" t="n">
        <v>0</v>
      </c>
    </row>
    <row r="96" customFormat="false" ht="13.8" hidden="false" customHeight="false" outlineLevel="0" collapsed="false">
      <c r="B96" s="1" t="n">
        <v>95</v>
      </c>
      <c r="C96" s="2" t="n">
        <v>0</v>
      </c>
    </row>
    <row r="97" customFormat="false" ht="13.8" hidden="false" customHeight="false" outlineLevel="0" collapsed="false">
      <c r="B97" s="1" t="n">
        <v>96</v>
      </c>
      <c r="C97" s="2" t="n">
        <v>0</v>
      </c>
    </row>
    <row r="98" customFormat="false" ht="13.8" hidden="false" customHeight="false" outlineLevel="0" collapsed="false">
      <c r="B98" s="1" t="n">
        <v>97</v>
      </c>
      <c r="C98" s="2" t="n">
        <v>0</v>
      </c>
    </row>
    <row r="99" customFormat="false" ht="13.8" hidden="false" customHeight="false" outlineLevel="0" collapsed="false">
      <c r="B99" s="1" t="n">
        <v>98</v>
      </c>
      <c r="C99" s="2" t="n">
        <v>0</v>
      </c>
    </row>
    <row r="100" customFormat="false" ht="13.8" hidden="false" customHeight="false" outlineLevel="0" collapsed="false">
      <c r="B100" s="1" t="n">
        <v>99</v>
      </c>
      <c r="C100" s="2" t="n">
        <v>0</v>
      </c>
    </row>
    <row r="101" customFormat="false" ht="13.8" hidden="false" customHeight="false" outlineLevel="0" collapsed="false">
      <c r="B101" s="1" t="n">
        <v>100</v>
      </c>
      <c r="C101" s="2" t="n">
        <v>0</v>
      </c>
    </row>
    <row r="102" customFormat="false" ht="13.8" hidden="false" customHeight="false" outlineLevel="0" collapsed="false">
      <c r="B102" s="1" t="n">
        <v>101</v>
      </c>
      <c r="C102" s="2" t="n">
        <v>0</v>
      </c>
    </row>
    <row r="103" customFormat="false" ht="13.8" hidden="false" customHeight="false" outlineLevel="0" collapsed="false">
      <c r="B103" s="1" t="n">
        <v>102</v>
      </c>
      <c r="C103" s="2" t="n">
        <v>0</v>
      </c>
    </row>
    <row r="104" customFormat="false" ht="13.8" hidden="false" customHeight="false" outlineLevel="0" collapsed="false">
      <c r="B104" s="1" t="n">
        <v>103</v>
      </c>
      <c r="C104" s="2" t="n">
        <v>0</v>
      </c>
    </row>
    <row r="105" customFormat="false" ht="13.8" hidden="false" customHeight="false" outlineLevel="0" collapsed="false">
      <c r="B105" s="1" t="n">
        <v>104</v>
      </c>
      <c r="C105" s="2" t="n">
        <v>0</v>
      </c>
    </row>
    <row r="106" customFormat="false" ht="13.8" hidden="false" customHeight="false" outlineLevel="0" collapsed="false">
      <c r="B106" s="1" t="n">
        <v>105</v>
      </c>
      <c r="C106" s="2" t="n">
        <v>0</v>
      </c>
    </row>
    <row r="107" customFormat="false" ht="13.8" hidden="false" customHeight="false" outlineLevel="0" collapsed="false">
      <c r="B107" s="1" t="n">
        <v>106</v>
      </c>
      <c r="C107" s="2" t="n">
        <v>0</v>
      </c>
    </row>
    <row r="108" customFormat="false" ht="13.8" hidden="false" customHeight="false" outlineLevel="0" collapsed="false">
      <c r="B108" s="1" t="n">
        <v>107</v>
      </c>
      <c r="C108" s="2" t="n">
        <v>0</v>
      </c>
    </row>
    <row r="109" customFormat="false" ht="13.8" hidden="false" customHeight="false" outlineLevel="0" collapsed="false">
      <c r="B109" s="1" t="n">
        <v>108</v>
      </c>
      <c r="C109" s="2" t="n">
        <v>0</v>
      </c>
    </row>
    <row r="110" customFormat="false" ht="13.8" hidden="false" customHeight="false" outlineLevel="0" collapsed="false">
      <c r="B110" s="1" t="n">
        <v>109</v>
      </c>
      <c r="C110" s="2" t="n">
        <v>0</v>
      </c>
    </row>
    <row r="111" customFormat="false" ht="13.8" hidden="false" customHeight="false" outlineLevel="0" collapsed="false">
      <c r="B111" s="1" t="n">
        <v>110</v>
      </c>
      <c r="C111" s="2" t="n">
        <v>0</v>
      </c>
    </row>
    <row r="112" customFormat="false" ht="13.8" hidden="false" customHeight="false" outlineLevel="0" collapsed="false">
      <c r="B112" s="1" t="n">
        <v>111</v>
      </c>
      <c r="C112" s="2" t="n">
        <v>0</v>
      </c>
    </row>
    <row r="113" customFormat="false" ht="13.8" hidden="false" customHeight="false" outlineLevel="0" collapsed="false">
      <c r="B113" s="1" t="n">
        <v>112</v>
      </c>
      <c r="C113" s="2" t="n">
        <v>0</v>
      </c>
    </row>
    <row r="114" customFormat="false" ht="13.8" hidden="false" customHeight="false" outlineLevel="0" collapsed="false">
      <c r="B114" s="1" t="n">
        <v>113</v>
      </c>
      <c r="C114" s="2" t="n">
        <v>0</v>
      </c>
    </row>
    <row r="115" customFormat="false" ht="13.8" hidden="false" customHeight="false" outlineLevel="0" collapsed="false">
      <c r="B115" s="1" t="n">
        <v>114</v>
      </c>
      <c r="C115" s="2" t="n">
        <v>0</v>
      </c>
    </row>
    <row r="116" customFormat="false" ht="13.8" hidden="false" customHeight="false" outlineLevel="0" collapsed="false">
      <c r="B116" s="1" t="n">
        <v>115</v>
      </c>
      <c r="C116" s="2" t="n">
        <v>0</v>
      </c>
    </row>
    <row r="117" customFormat="false" ht="13.8" hidden="false" customHeight="false" outlineLevel="0" collapsed="false">
      <c r="B117" s="1" t="n">
        <v>116</v>
      </c>
      <c r="C117" s="2" t="n">
        <v>0</v>
      </c>
    </row>
    <row r="118" customFormat="false" ht="13.8" hidden="false" customHeight="false" outlineLevel="0" collapsed="false">
      <c r="B118" s="1" t="n">
        <v>117</v>
      </c>
      <c r="C118" s="2" t="n">
        <v>0</v>
      </c>
    </row>
    <row r="119" customFormat="false" ht="13.8" hidden="false" customHeight="false" outlineLevel="0" collapsed="false">
      <c r="B119" s="1" t="n">
        <v>118</v>
      </c>
      <c r="C119" s="2" t="n">
        <v>0.001816875</v>
      </c>
    </row>
    <row r="120" customFormat="false" ht="13.8" hidden="false" customHeight="false" outlineLevel="0" collapsed="false">
      <c r="B120" s="1" t="n">
        <v>119</v>
      </c>
      <c r="C120" s="2" t="n">
        <v>0.00363375</v>
      </c>
    </row>
    <row r="121" customFormat="false" ht="13.8" hidden="false" customHeight="false" outlineLevel="0" collapsed="false">
      <c r="B121" s="1" t="n">
        <v>120</v>
      </c>
      <c r="C121" s="2" t="n">
        <v>0.005450625</v>
      </c>
    </row>
    <row r="122" customFormat="false" ht="13.8" hidden="false" customHeight="false" outlineLevel="0" collapsed="false">
      <c r="B122" s="1" t="n">
        <v>121</v>
      </c>
      <c r="C122" s="2" t="n">
        <v>0.0072675</v>
      </c>
    </row>
    <row r="123" customFormat="false" ht="13.8" hidden="false" customHeight="false" outlineLevel="0" collapsed="false">
      <c r="B123" s="1" t="n">
        <v>122</v>
      </c>
      <c r="C123" s="2" t="n">
        <v>0.0144025</v>
      </c>
    </row>
    <row r="124" customFormat="false" ht="13.8" hidden="false" customHeight="false" outlineLevel="0" collapsed="false">
      <c r="B124" s="1" t="n">
        <v>123</v>
      </c>
      <c r="C124" s="2" t="n">
        <v>0.0215375</v>
      </c>
    </row>
    <row r="125" customFormat="false" ht="13.8" hidden="false" customHeight="false" outlineLevel="0" collapsed="false">
      <c r="B125" s="1" t="n">
        <v>124</v>
      </c>
      <c r="C125" s="2" t="n">
        <v>0.0286725</v>
      </c>
    </row>
    <row r="126" customFormat="false" ht="13.8" hidden="false" customHeight="false" outlineLevel="0" collapsed="false">
      <c r="B126" s="1" t="n">
        <v>125</v>
      </c>
      <c r="C126" s="2" t="n">
        <v>0.0358075</v>
      </c>
    </row>
    <row r="127" customFormat="false" ht="13.8" hidden="false" customHeight="false" outlineLevel="0" collapsed="false">
      <c r="B127" s="1" t="n">
        <v>126</v>
      </c>
      <c r="C127" s="2" t="n">
        <v>0.04943</v>
      </c>
    </row>
    <row r="128" customFormat="false" ht="13.8" hidden="false" customHeight="false" outlineLevel="0" collapsed="false">
      <c r="B128" s="1" t="n">
        <v>127</v>
      </c>
      <c r="C128" s="2" t="n">
        <v>0.0630525</v>
      </c>
    </row>
    <row r="129" customFormat="false" ht="13.8" hidden="false" customHeight="false" outlineLevel="0" collapsed="false">
      <c r="B129" s="1" t="n">
        <v>128</v>
      </c>
      <c r="C129" s="2" t="n">
        <v>0.076675</v>
      </c>
    </row>
    <row r="130" customFormat="false" ht="13.8" hidden="false" customHeight="false" outlineLevel="0" collapsed="false">
      <c r="B130" s="1" t="n">
        <v>129</v>
      </c>
      <c r="C130" s="2" t="n">
        <v>0.0902975</v>
      </c>
    </row>
    <row r="131" customFormat="false" ht="13.8" hidden="false" customHeight="false" outlineLevel="0" collapsed="false">
      <c r="B131" s="1" t="n">
        <v>130</v>
      </c>
      <c r="C131" s="2" t="n">
        <v>0.100735625</v>
      </c>
    </row>
    <row r="132" customFormat="false" ht="13.8" hidden="false" customHeight="false" outlineLevel="0" collapsed="false">
      <c r="B132" s="1" t="n">
        <v>131</v>
      </c>
      <c r="C132" s="2" t="n">
        <v>0.11117375</v>
      </c>
    </row>
    <row r="133" customFormat="false" ht="13.8" hidden="false" customHeight="false" outlineLevel="0" collapsed="false">
      <c r="B133" s="1" t="n">
        <v>132</v>
      </c>
      <c r="C133" s="2" t="n">
        <v>0.121611875</v>
      </c>
    </row>
    <row r="134" customFormat="false" ht="13.8" hidden="false" customHeight="false" outlineLevel="0" collapsed="false">
      <c r="B134" s="1" t="n">
        <v>133</v>
      </c>
      <c r="C134" s="2" t="n">
        <v>0.13205</v>
      </c>
    </row>
    <row r="135" customFormat="false" ht="13.8" hidden="false" customHeight="false" outlineLevel="0" collapsed="false">
      <c r="B135" s="1" t="n">
        <v>134</v>
      </c>
      <c r="C135" s="2" t="n">
        <v>0.13931125</v>
      </c>
    </row>
    <row r="136" customFormat="false" ht="13.8" hidden="false" customHeight="false" outlineLevel="0" collapsed="false">
      <c r="B136" s="1" t="n">
        <v>135</v>
      </c>
      <c r="C136" s="2" t="n">
        <v>0.1465725</v>
      </c>
    </row>
    <row r="137" customFormat="false" ht="13.8" hidden="false" customHeight="false" outlineLevel="0" collapsed="false">
      <c r="B137" s="1" t="n">
        <v>136</v>
      </c>
      <c r="C137" s="2" t="n">
        <v>0.15383375</v>
      </c>
    </row>
    <row r="138" customFormat="false" ht="13.8" hidden="false" customHeight="false" outlineLevel="0" collapsed="false">
      <c r="B138" s="1" t="n">
        <v>137</v>
      </c>
      <c r="C138" s="2" t="n">
        <v>0.161095</v>
      </c>
    </row>
    <row r="139" customFormat="false" ht="13.8" hidden="false" customHeight="false" outlineLevel="0" collapsed="false">
      <c r="B139" s="1" t="n">
        <v>138</v>
      </c>
      <c r="C139" s="2" t="n">
        <v>0.1643125</v>
      </c>
    </row>
    <row r="140" customFormat="false" ht="13.8" hidden="false" customHeight="false" outlineLevel="0" collapsed="false">
      <c r="B140" s="1" t="n">
        <v>139</v>
      </c>
      <c r="C140" s="2" t="n">
        <v>0.16753</v>
      </c>
    </row>
    <row r="141" customFormat="false" ht="13.8" hidden="false" customHeight="false" outlineLevel="0" collapsed="false">
      <c r="B141" s="1" t="n">
        <v>140</v>
      </c>
      <c r="C141" s="2" t="n">
        <v>0.1707475</v>
      </c>
    </row>
    <row r="142" customFormat="false" ht="13.8" hidden="false" customHeight="false" outlineLevel="0" collapsed="false">
      <c r="B142" s="1" t="n">
        <v>141</v>
      </c>
      <c r="C142" s="2" t="n">
        <v>0.173965</v>
      </c>
    </row>
    <row r="143" customFormat="false" ht="13.8" hidden="false" customHeight="false" outlineLevel="0" collapsed="false">
      <c r="B143" s="1" t="n">
        <v>142</v>
      </c>
      <c r="C143" s="2" t="n">
        <v>0.176224375</v>
      </c>
    </row>
    <row r="144" customFormat="false" ht="13.8" hidden="false" customHeight="false" outlineLevel="0" collapsed="false">
      <c r="B144" s="1" t="n">
        <v>143</v>
      </c>
      <c r="C144" s="2" t="n">
        <v>0.17848375</v>
      </c>
    </row>
    <row r="145" customFormat="false" ht="13.8" hidden="false" customHeight="false" outlineLevel="0" collapsed="false">
      <c r="B145" s="1" t="n">
        <v>144</v>
      </c>
      <c r="C145" s="2" t="n">
        <v>0.180743125</v>
      </c>
    </row>
    <row r="146" customFormat="false" ht="13.8" hidden="false" customHeight="false" outlineLevel="0" collapsed="false">
      <c r="B146" s="1" t="n">
        <v>145</v>
      </c>
      <c r="C146" s="2" t="n">
        <v>0.1830025</v>
      </c>
    </row>
    <row r="147" customFormat="false" ht="13.8" hidden="false" customHeight="false" outlineLevel="0" collapsed="false">
      <c r="B147" s="1" t="n">
        <v>146</v>
      </c>
      <c r="C147" s="2" t="n">
        <v>0.17999625</v>
      </c>
    </row>
    <row r="148" customFormat="false" ht="13.8" hidden="false" customHeight="false" outlineLevel="0" collapsed="false">
      <c r="B148" s="1" t="n">
        <v>147</v>
      </c>
      <c r="C148" s="2" t="n">
        <v>0.17699</v>
      </c>
    </row>
    <row r="149" customFormat="false" ht="13.8" hidden="false" customHeight="false" outlineLevel="0" collapsed="false">
      <c r="B149" s="1" t="n">
        <v>148</v>
      </c>
      <c r="C149" s="2" t="n">
        <v>0.17398375</v>
      </c>
    </row>
    <row r="150" customFormat="false" ht="13.8" hidden="false" customHeight="false" outlineLevel="0" collapsed="false">
      <c r="B150" s="1" t="n">
        <v>149</v>
      </c>
      <c r="C150" s="2" t="n">
        <v>0.1709775</v>
      </c>
    </row>
    <row r="151" customFormat="false" ht="13.8" hidden="false" customHeight="false" outlineLevel="0" collapsed="false">
      <c r="B151" s="1" t="n">
        <v>150</v>
      </c>
      <c r="C151" s="2" t="n">
        <v>0.16472</v>
      </c>
    </row>
    <row r="152" customFormat="false" ht="13.8" hidden="false" customHeight="false" outlineLevel="0" collapsed="false">
      <c r="B152" s="1" t="n">
        <v>151</v>
      </c>
      <c r="C152" s="2" t="n">
        <v>0.1584625</v>
      </c>
    </row>
    <row r="153" customFormat="false" ht="13.8" hidden="false" customHeight="false" outlineLevel="0" collapsed="false">
      <c r="B153" s="1" t="n">
        <v>152</v>
      </c>
      <c r="C153" s="2" t="n">
        <v>0.152205</v>
      </c>
    </row>
    <row r="154" customFormat="false" ht="13.8" hidden="false" customHeight="false" outlineLevel="0" collapsed="false">
      <c r="B154" s="1" t="n">
        <v>153</v>
      </c>
      <c r="C154" s="2" t="n">
        <v>0.1459475</v>
      </c>
    </row>
    <row r="155" customFormat="false" ht="13.8" hidden="false" customHeight="false" outlineLevel="0" collapsed="false">
      <c r="B155" s="1" t="n">
        <v>154</v>
      </c>
      <c r="C155" s="2" t="n">
        <v>0.13440375</v>
      </c>
    </row>
    <row r="156" customFormat="false" ht="13.8" hidden="false" customHeight="false" outlineLevel="0" collapsed="false">
      <c r="B156" s="1" t="n">
        <v>155</v>
      </c>
      <c r="C156" s="2" t="n">
        <v>0.12286</v>
      </c>
    </row>
    <row r="157" customFormat="false" ht="13.8" hidden="false" customHeight="false" outlineLevel="0" collapsed="false">
      <c r="B157" s="1" t="n">
        <v>156</v>
      </c>
      <c r="C157" s="2" t="n">
        <v>0.11131625</v>
      </c>
    </row>
    <row r="158" customFormat="false" ht="13.8" hidden="false" customHeight="false" outlineLevel="0" collapsed="false">
      <c r="B158" s="1" t="n">
        <v>157</v>
      </c>
      <c r="C158" s="2" t="n">
        <v>0.0997725</v>
      </c>
    </row>
    <row r="159" customFormat="false" ht="13.8" hidden="false" customHeight="false" outlineLevel="0" collapsed="false">
      <c r="B159" s="1" t="n">
        <v>158</v>
      </c>
      <c r="C159" s="2" t="n">
        <v>0.091700625</v>
      </c>
    </row>
    <row r="160" customFormat="false" ht="13.8" hidden="false" customHeight="false" outlineLevel="0" collapsed="false">
      <c r="B160" s="1" t="n">
        <v>159</v>
      </c>
      <c r="C160" s="2" t="n">
        <v>0.08362875</v>
      </c>
    </row>
    <row r="161" customFormat="false" ht="13.8" hidden="false" customHeight="false" outlineLevel="0" collapsed="false">
      <c r="B161" s="1" t="n">
        <v>160</v>
      </c>
      <c r="C161" s="2" t="n">
        <v>0.075556875</v>
      </c>
    </row>
    <row r="162" customFormat="false" ht="13.8" hidden="false" customHeight="false" outlineLevel="0" collapsed="false">
      <c r="B162" s="1" t="n">
        <v>161</v>
      </c>
      <c r="C162" s="2" t="n">
        <v>0.067485</v>
      </c>
    </row>
    <row r="163" customFormat="false" ht="13.8" hidden="false" customHeight="false" outlineLevel="0" collapsed="false">
      <c r="B163" s="1" t="n">
        <v>162</v>
      </c>
      <c r="C163" s="2" t="n">
        <v>0.057474375</v>
      </c>
    </row>
    <row r="164" customFormat="false" ht="13.8" hidden="false" customHeight="false" outlineLevel="0" collapsed="false">
      <c r="B164" s="1" t="n">
        <v>163</v>
      </c>
      <c r="C164" s="2" t="n">
        <v>0.04746375</v>
      </c>
    </row>
    <row r="165" customFormat="false" ht="13.8" hidden="false" customHeight="false" outlineLevel="0" collapsed="false">
      <c r="B165" s="1" t="n">
        <v>164</v>
      </c>
      <c r="C165" s="2" t="n">
        <v>0.037453125</v>
      </c>
    </row>
    <row r="166" customFormat="false" ht="13.8" hidden="false" customHeight="false" outlineLevel="0" collapsed="false">
      <c r="B166" s="1" t="n">
        <v>165</v>
      </c>
      <c r="C166" s="2" t="n">
        <v>0.0274425</v>
      </c>
    </row>
    <row r="167" customFormat="false" ht="13.8" hidden="false" customHeight="false" outlineLevel="0" collapsed="false">
      <c r="B167" s="1" t="n">
        <v>166</v>
      </c>
      <c r="C167" s="2" t="n">
        <v>0.02058375</v>
      </c>
    </row>
    <row r="168" customFormat="false" ht="13.8" hidden="false" customHeight="false" outlineLevel="0" collapsed="false">
      <c r="B168" s="1" t="n">
        <v>167</v>
      </c>
      <c r="C168" s="2" t="n">
        <v>0.013725</v>
      </c>
    </row>
    <row r="169" customFormat="false" ht="13.8" hidden="false" customHeight="false" outlineLevel="0" collapsed="false">
      <c r="B169" s="1" t="n">
        <v>168</v>
      </c>
      <c r="C169" s="2" t="n">
        <v>0.00686625</v>
      </c>
    </row>
    <row r="170" customFormat="false" ht="13.8" hidden="false" customHeight="false" outlineLevel="0" collapsed="false">
      <c r="B170" s="1" t="n">
        <v>169</v>
      </c>
      <c r="C170" s="2" t="n">
        <v>7.5E-006</v>
      </c>
    </row>
    <row r="171" customFormat="false" ht="13.8" hidden="false" customHeight="false" outlineLevel="0" collapsed="false">
      <c r="B171" s="1" t="n">
        <v>170</v>
      </c>
      <c r="C171" s="2" t="n">
        <v>5.625E-006</v>
      </c>
    </row>
    <row r="172" customFormat="false" ht="13.8" hidden="false" customHeight="false" outlineLevel="0" collapsed="false">
      <c r="B172" s="1" t="n">
        <v>171</v>
      </c>
      <c r="C172" s="2" t="n">
        <v>3.75E-006</v>
      </c>
    </row>
    <row r="173" customFormat="false" ht="13.8" hidden="false" customHeight="false" outlineLevel="0" collapsed="false">
      <c r="B173" s="1" t="n">
        <v>172</v>
      </c>
      <c r="C173" s="2" t="n">
        <v>1.875E-006</v>
      </c>
    </row>
    <row r="174" customFormat="false" ht="13.8" hidden="false" customHeight="false" outlineLevel="0" collapsed="false">
      <c r="B174" s="1" t="n">
        <v>173</v>
      </c>
      <c r="C174" s="2" t="n">
        <v>0</v>
      </c>
    </row>
    <row r="175" customFormat="false" ht="13.8" hidden="false" customHeight="false" outlineLevel="0" collapsed="false">
      <c r="B175" s="1" t="n">
        <v>174</v>
      </c>
      <c r="C175" s="2" t="n">
        <v>0</v>
      </c>
    </row>
    <row r="176" customFormat="false" ht="13.8" hidden="false" customHeight="false" outlineLevel="0" collapsed="false">
      <c r="B176" s="1" t="n">
        <v>175</v>
      </c>
      <c r="C176" s="2" t="n">
        <v>0</v>
      </c>
    </row>
    <row r="177" customFormat="false" ht="13.8" hidden="false" customHeight="false" outlineLevel="0" collapsed="false">
      <c r="B177" s="1" t="n">
        <v>176</v>
      </c>
      <c r="C177" s="2" t="n">
        <v>0</v>
      </c>
    </row>
    <row r="178" customFormat="false" ht="13.8" hidden="false" customHeight="false" outlineLevel="0" collapsed="false">
      <c r="B178" s="1" t="n">
        <v>177</v>
      </c>
      <c r="C178" s="2" t="n">
        <v>0</v>
      </c>
    </row>
    <row r="179" customFormat="false" ht="13.8" hidden="false" customHeight="false" outlineLevel="0" collapsed="false">
      <c r="B179" s="1" t="n">
        <v>178</v>
      </c>
      <c r="C179" s="2" t="n">
        <v>0</v>
      </c>
    </row>
    <row r="180" customFormat="false" ht="13.8" hidden="false" customHeight="false" outlineLevel="0" collapsed="false">
      <c r="B180" s="1" t="n">
        <v>179</v>
      </c>
      <c r="C180" s="2" t="n">
        <v>0</v>
      </c>
    </row>
    <row r="181" customFormat="false" ht="13.8" hidden="false" customHeight="false" outlineLevel="0" collapsed="false">
      <c r="B181" s="1" t="n">
        <v>180</v>
      </c>
      <c r="C181" s="2" t="n">
        <v>0</v>
      </c>
    </row>
    <row r="182" customFormat="false" ht="13.8" hidden="false" customHeight="false" outlineLevel="0" collapsed="false">
      <c r="B182" s="1" t="n">
        <v>181</v>
      </c>
      <c r="C182" s="2" t="n">
        <v>0</v>
      </c>
    </row>
    <row r="183" customFormat="false" ht="13.8" hidden="false" customHeight="false" outlineLevel="0" collapsed="false">
      <c r="B183" s="1" t="n">
        <v>182</v>
      </c>
      <c r="C183" s="2" t="n">
        <v>0</v>
      </c>
    </row>
    <row r="184" customFormat="false" ht="13.8" hidden="false" customHeight="false" outlineLevel="0" collapsed="false">
      <c r="B184" s="1" t="n">
        <v>183</v>
      </c>
      <c r="C184" s="2" t="n">
        <v>0</v>
      </c>
    </row>
    <row r="185" customFormat="false" ht="13.8" hidden="false" customHeight="false" outlineLevel="0" collapsed="false">
      <c r="B185" s="1" t="n">
        <v>184</v>
      </c>
      <c r="C185" s="2" t="n">
        <v>0</v>
      </c>
    </row>
    <row r="186" customFormat="false" ht="13.8" hidden="false" customHeight="false" outlineLevel="0" collapsed="false">
      <c r="B186" s="1" t="n">
        <v>185</v>
      </c>
      <c r="C186" s="2" t="n">
        <v>0</v>
      </c>
    </row>
    <row r="187" customFormat="false" ht="13.8" hidden="false" customHeight="false" outlineLevel="0" collapsed="false">
      <c r="B187" s="1" t="n">
        <v>186</v>
      </c>
      <c r="C187" s="2" t="n">
        <v>0</v>
      </c>
    </row>
    <row r="188" customFormat="false" ht="13.8" hidden="false" customHeight="false" outlineLevel="0" collapsed="false">
      <c r="B188" s="1" t="n">
        <v>187</v>
      </c>
      <c r="C188" s="2" t="n">
        <v>0</v>
      </c>
    </row>
    <row r="189" customFormat="false" ht="13.8" hidden="false" customHeight="false" outlineLevel="0" collapsed="false">
      <c r="B189" s="1" t="n">
        <v>188</v>
      </c>
      <c r="C189" s="2" t="n">
        <v>0</v>
      </c>
    </row>
    <row r="190" customFormat="false" ht="13.8" hidden="false" customHeight="false" outlineLevel="0" collapsed="false">
      <c r="B190" s="1" t="n">
        <v>189</v>
      </c>
      <c r="C190" s="2" t="n">
        <v>0</v>
      </c>
    </row>
    <row r="191" customFormat="false" ht="13.8" hidden="false" customHeight="false" outlineLevel="0" collapsed="false">
      <c r="B191" s="1" t="n">
        <v>190</v>
      </c>
      <c r="C191" s="2" t="n">
        <v>0</v>
      </c>
    </row>
    <row r="192" customFormat="false" ht="13.8" hidden="false" customHeight="false" outlineLevel="0" collapsed="false">
      <c r="B192" s="1" t="n">
        <v>191</v>
      </c>
      <c r="C192" s="2" t="n">
        <v>0</v>
      </c>
    </row>
    <row r="193" customFormat="false" ht="13.8" hidden="false" customHeight="false" outlineLevel="0" collapsed="false">
      <c r="B193" s="1" t="n">
        <v>192</v>
      </c>
      <c r="C193" s="2" t="n">
        <v>0</v>
      </c>
    </row>
    <row r="194" customFormat="false" ht="13.8" hidden="false" customHeight="false" outlineLevel="0" collapsed="false">
      <c r="B194" s="1" t="n">
        <v>193</v>
      </c>
      <c r="C194" s="2" t="n">
        <v>0</v>
      </c>
    </row>
    <row r="195" customFormat="false" ht="13.8" hidden="false" customHeight="false" outlineLevel="0" collapsed="false">
      <c r="B195" s="1" t="n">
        <v>194</v>
      </c>
      <c r="C195" s="2" t="n">
        <v>0</v>
      </c>
    </row>
    <row r="196" customFormat="false" ht="13.8" hidden="false" customHeight="false" outlineLevel="0" collapsed="false">
      <c r="B196" s="1" t="n">
        <v>195</v>
      </c>
      <c r="C196" s="2" t="n">
        <v>0</v>
      </c>
    </row>
    <row r="197" customFormat="false" ht="13.8" hidden="false" customHeight="false" outlineLevel="0" collapsed="false">
      <c r="B197" s="1" t="n">
        <v>196</v>
      </c>
      <c r="C197" s="2" t="n">
        <v>0</v>
      </c>
    </row>
    <row r="198" customFormat="false" ht="13.8" hidden="false" customHeight="false" outlineLevel="0" collapsed="false">
      <c r="B198" s="1" t="n">
        <v>197</v>
      </c>
      <c r="C198" s="2" t="n">
        <v>0</v>
      </c>
    </row>
    <row r="199" customFormat="false" ht="13.8" hidden="false" customHeight="false" outlineLevel="0" collapsed="false">
      <c r="B199" s="1" t="n">
        <v>198</v>
      </c>
      <c r="C199" s="2" t="n">
        <v>0</v>
      </c>
    </row>
    <row r="200" customFormat="false" ht="13.8" hidden="false" customHeight="false" outlineLevel="0" collapsed="false">
      <c r="B200" s="1" t="n">
        <v>199</v>
      </c>
      <c r="C200" s="2" t="n">
        <v>0</v>
      </c>
    </row>
    <row r="201" customFormat="false" ht="13.8" hidden="false" customHeight="false" outlineLevel="0" collapsed="false">
      <c r="B201" s="1" t="n">
        <v>200</v>
      </c>
      <c r="C201" s="2" t="n">
        <v>0</v>
      </c>
    </row>
    <row r="202" customFormat="false" ht="13.8" hidden="false" customHeight="false" outlineLevel="0" collapsed="false">
      <c r="B202" s="1" t="n">
        <v>201</v>
      </c>
      <c r="C202" s="2" t="n">
        <v>0</v>
      </c>
    </row>
    <row r="203" customFormat="false" ht="13.8" hidden="false" customHeight="false" outlineLevel="0" collapsed="false">
      <c r="B203" s="1" t="n">
        <v>202</v>
      </c>
      <c r="C203" s="2" t="n">
        <v>0</v>
      </c>
    </row>
    <row r="204" customFormat="false" ht="13.8" hidden="false" customHeight="false" outlineLevel="0" collapsed="false">
      <c r="B204" s="1" t="n">
        <v>203</v>
      </c>
      <c r="C204" s="2" t="n">
        <v>0</v>
      </c>
    </row>
    <row r="205" customFormat="false" ht="13.8" hidden="false" customHeight="false" outlineLevel="0" collapsed="false">
      <c r="B205" s="1" t="n">
        <v>204</v>
      </c>
      <c r="C205" s="2" t="n">
        <v>0</v>
      </c>
    </row>
    <row r="206" customFormat="false" ht="13.8" hidden="false" customHeight="false" outlineLevel="0" collapsed="false">
      <c r="B206" s="1" t="n">
        <v>205</v>
      </c>
      <c r="C206" s="2" t="n">
        <v>0</v>
      </c>
    </row>
    <row r="207" customFormat="false" ht="13.8" hidden="false" customHeight="false" outlineLevel="0" collapsed="false">
      <c r="B207" s="1" t="n">
        <v>206</v>
      </c>
      <c r="C207" s="2" t="n">
        <v>0</v>
      </c>
    </row>
    <row r="208" customFormat="false" ht="13.8" hidden="false" customHeight="false" outlineLevel="0" collapsed="false">
      <c r="B208" s="1" t="n">
        <v>207</v>
      </c>
      <c r="C208" s="2" t="n">
        <v>0</v>
      </c>
    </row>
    <row r="209" customFormat="false" ht="13.8" hidden="false" customHeight="false" outlineLevel="0" collapsed="false">
      <c r="B209" s="1" t="n">
        <v>208</v>
      </c>
      <c r="C209" s="2" t="n">
        <v>0</v>
      </c>
    </row>
    <row r="210" customFormat="false" ht="13.8" hidden="false" customHeight="false" outlineLevel="0" collapsed="false">
      <c r="B210" s="1" t="n">
        <v>209</v>
      </c>
      <c r="C210" s="2" t="n">
        <v>0</v>
      </c>
    </row>
    <row r="211" customFormat="false" ht="13.8" hidden="false" customHeight="false" outlineLevel="0" collapsed="false">
      <c r="B211" s="1" t="n">
        <v>210</v>
      </c>
      <c r="C211" s="2" t="n">
        <v>0</v>
      </c>
    </row>
    <row r="212" customFormat="false" ht="13.8" hidden="false" customHeight="false" outlineLevel="0" collapsed="false">
      <c r="B212" s="1" t="n">
        <v>211</v>
      </c>
      <c r="C212" s="2" t="n">
        <v>0</v>
      </c>
    </row>
    <row r="213" customFormat="false" ht="13.8" hidden="false" customHeight="false" outlineLevel="0" collapsed="false">
      <c r="B213" s="1" t="n">
        <v>212</v>
      </c>
      <c r="C213" s="2" t="n">
        <v>0</v>
      </c>
    </row>
    <row r="214" customFormat="false" ht="13.8" hidden="false" customHeight="false" outlineLevel="0" collapsed="false">
      <c r="B214" s="1" t="n">
        <v>213</v>
      </c>
      <c r="C214" s="2" t="n">
        <v>0</v>
      </c>
    </row>
    <row r="215" customFormat="false" ht="13.8" hidden="false" customHeight="false" outlineLevel="0" collapsed="false">
      <c r="B215" s="1" t="n">
        <v>214</v>
      </c>
      <c r="C215" s="2" t="n">
        <v>0.001499375</v>
      </c>
    </row>
    <row r="216" customFormat="false" ht="13.8" hidden="false" customHeight="false" outlineLevel="0" collapsed="false">
      <c r="B216" s="1" t="n">
        <v>215</v>
      </c>
      <c r="C216" s="2" t="n">
        <v>0.00299875</v>
      </c>
    </row>
    <row r="217" customFormat="false" ht="13.8" hidden="false" customHeight="false" outlineLevel="0" collapsed="false">
      <c r="B217" s="1" t="n">
        <v>216</v>
      </c>
      <c r="C217" s="2" t="n">
        <v>0.004498125</v>
      </c>
    </row>
    <row r="218" customFormat="false" ht="13.8" hidden="false" customHeight="false" outlineLevel="0" collapsed="false">
      <c r="B218" s="1" t="n">
        <v>217</v>
      </c>
      <c r="C218" s="2" t="n">
        <v>0.0059975</v>
      </c>
    </row>
    <row r="219" customFormat="false" ht="13.8" hidden="false" customHeight="false" outlineLevel="0" collapsed="false">
      <c r="B219" s="1" t="n">
        <v>218</v>
      </c>
      <c r="C219" s="2" t="n">
        <v>0.013571875</v>
      </c>
    </row>
    <row r="220" customFormat="false" ht="13.8" hidden="false" customHeight="false" outlineLevel="0" collapsed="false">
      <c r="B220" s="1" t="n">
        <v>219</v>
      </c>
      <c r="C220" s="2" t="n">
        <v>0.02114625</v>
      </c>
    </row>
    <row r="221" customFormat="false" ht="13.8" hidden="false" customHeight="false" outlineLevel="0" collapsed="false">
      <c r="B221" s="1" t="n">
        <v>220</v>
      </c>
      <c r="C221" s="2" t="n">
        <v>0.028720625</v>
      </c>
    </row>
    <row r="222" customFormat="false" ht="13.8" hidden="false" customHeight="false" outlineLevel="0" collapsed="false">
      <c r="B222" s="1" t="n">
        <v>221</v>
      </c>
      <c r="C222" s="2" t="n">
        <v>0.036295</v>
      </c>
    </row>
    <row r="223" customFormat="false" ht="13.8" hidden="false" customHeight="false" outlineLevel="0" collapsed="false">
      <c r="B223" s="1" t="n">
        <v>222</v>
      </c>
      <c r="C223" s="2" t="n">
        <v>0.04875125</v>
      </c>
    </row>
    <row r="224" customFormat="false" ht="13.8" hidden="false" customHeight="false" outlineLevel="0" collapsed="false">
      <c r="B224" s="1" t="n">
        <v>223</v>
      </c>
      <c r="C224" s="2" t="n">
        <v>0.0612075</v>
      </c>
    </row>
    <row r="225" customFormat="false" ht="13.8" hidden="false" customHeight="false" outlineLevel="0" collapsed="false">
      <c r="B225" s="1" t="n">
        <v>224</v>
      </c>
      <c r="C225" s="2" t="n">
        <v>0.07366375</v>
      </c>
    </row>
    <row r="226" customFormat="false" ht="13.8" hidden="false" customHeight="false" outlineLevel="0" collapsed="false">
      <c r="B226" s="1" t="n">
        <v>225</v>
      </c>
      <c r="C226" s="2" t="n">
        <v>0.08612</v>
      </c>
    </row>
    <row r="227" customFormat="false" ht="13.8" hidden="false" customHeight="false" outlineLevel="0" collapsed="false">
      <c r="B227" s="1" t="n">
        <v>226</v>
      </c>
      <c r="C227" s="2" t="n">
        <v>0.097349375</v>
      </c>
    </row>
    <row r="228" customFormat="false" ht="13.8" hidden="false" customHeight="false" outlineLevel="0" collapsed="false">
      <c r="B228" s="1" t="n">
        <v>227</v>
      </c>
      <c r="C228" s="2" t="n">
        <v>0.10857875</v>
      </c>
    </row>
    <row r="229" customFormat="false" ht="13.8" hidden="false" customHeight="false" outlineLevel="0" collapsed="false">
      <c r="B229" s="1" t="n">
        <v>228</v>
      </c>
      <c r="C229" s="2" t="n">
        <v>0.119808125</v>
      </c>
    </row>
    <row r="230" customFormat="false" ht="13.8" hidden="false" customHeight="false" outlineLevel="0" collapsed="false">
      <c r="B230" s="1" t="n">
        <v>229</v>
      </c>
      <c r="C230" s="2" t="n">
        <v>0.1310375</v>
      </c>
    </row>
    <row r="231" customFormat="false" ht="13.8" hidden="false" customHeight="false" outlineLevel="0" collapsed="false">
      <c r="B231" s="1" t="n">
        <v>230</v>
      </c>
      <c r="C231" s="2" t="n">
        <v>0.138510625</v>
      </c>
    </row>
    <row r="232" customFormat="false" ht="13.8" hidden="false" customHeight="false" outlineLevel="0" collapsed="false">
      <c r="B232" s="1" t="n">
        <v>231</v>
      </c>
      <c r="C232" s="2" t="n">
        <v>0.14598375</v>
      </c>
    </row>
    <row r="233" customFormat="false" ht="13.8" hidden="false" customHeight="false" outlineLevel="0" collapsed="false">
      <c r="B233" s="1" t="n">
        <v>232</v>
      </c>
      <c r="C233" s="2" t="n">
        <v>0.153456875</v>
      </c>
    </row>
    <row r="234" customFormat="false" ht="13.8" hidden="false" customHeight="false" outlineLevel="0" collapsed="false">
      <c r="B234" s="1" t="n">
        <v>233</v>
      </c>
      <c r="C234" s="2" t="n">
        <v>0.16093</v>
      </c>
    </row>
    <row r="235" customFormat="false" ht="13.8" hidden="false" customHeight="false" outlineLevel="0" collapsed="false">
      <c r="B235" s="1" t="n">
        <v>234</v>
      </c>
      <c r="C235" s="2" t="n">
        <v>0.1652125</v>
      </c>
    </row>
    <row r="236" customFormat="false" ht="13.8" hidden="false" customHeight="false" outlineLevel="0" collapsed="false">
      <c r="B236" s="1" t="n">
        <v>235</v>
      </c>
      <c r="C236" s="2" t="n">
        <v>0.169495</v>
      </c>
    </row>
    <row r="237" customFormat="false" ht="13.8" hidden="false" customHeight="false" outlineLevel="0" collapsed="false">
      <c r="B237" s="1" t="n">
        <v>236</v>
      </c>
      <c r="C237" s="2" t="n">
        <v>0.1737775</v>
      </c>
    </row>
    <row r="238" customFormat="false" ht="13.8" hidden="false" customHeight="false" outlineLevel="0" collapsed="false">
      <c r="B238" s="1" t="n">
        <v>237</v>
      </c>
      <c r="C238" s="2" t="n">
        <v>0.17806</v>
      </c>
    </row>
    <row r="239" customFormat="false" ht="13.8" hidden="false" customHeight="false" outlineLevel="0" collapsed="false">
      <c r="B239" s="1" t="n">
        <v>238</v>
      </c>
      <c r="C239" s="2" t="n">
        <v>0.17883875</v>
      </c>
    </row>
    <row r="240" customFormat="false" ht="13.8" hidden="false" customHeight="false" outlineLevel="0" collapsed="false">
      <c r="B240" s="1" t="n">
        <v>239</v>
      </c>
      <c r="C240" s="2" t="n">
        <v>0.1796175</v>
      </c>
    </row>
    <row r="241" customFormat="false" ht="13.8" hidden="false" customHeight="false" outlineLevel="0" collapsed="false">
      <c r="B241" s="1" t="n">
        <v>240</v>
      </c>
      <c r="C241" s="2" t="n">
        <v>0.18039625</v>
      </c>
    </row>
    <row r="242" customFormat="false" ht="13.8" hidden="false" customHeight="false" outlineLevel="0" collapsed="false">
      <c r="B242" s="1" t="n">
        <v>241</v>
      </c>
      <c r="C242" s="2" t="n">
        <v>0.181175</v>
      </c>
    </row>
    <row r="243" customFormat="false" ht="13.8" hidden="false" customHeight="false" outlineLevel="0" collapsed="false">
      <c r="B243" s="1" t="n">
        <v>242</v>
      </c>
      <c r="C243" s="2" t="n">
        <v>0.178909375</v>
      </c>
    </row>
    <row r="244" customFormat="false" ht="13.8" hidden="false" customHeight="false" outlineLevel="0" collapsed="false">
      <c r="B244" s="1" t="n">
        <v>243</v>
      </c>
      <c r="C244" s="2" t="n">
        <v>0.17664375</v>
      </c>
    </row>
    <row r="245" customFormat="false" ht="13.8" hidden="false" customHeight="false" outlineLevel="0" collapsed="false">
      <c r="B245" s="1" t="n">
        <v>244</v>
      </c>
      <c r="C245" s="2" t="n">
        <v>0.174378125</v>
      </c>
    </row>
    <row r="246" customFormat="false" ht="13.8" hidden="false" customHeight="false" outlineLevel="0" collapsed="false">
      <c r="B246" s="1" t="n">
        <v>245</v>
      </c>
      <c r="C246" s="2" t="n">
        <v>0.1721125</v>
      </c>
    </row>
    <row r="247" customFormat="false" ht="13.8" hidden="false" customHeight="false" outlineLevel="0" collapsed="false">
      <c r="B247" s="1" t="n">
        <v>246</v>
      </c>
      <c r="C247" s="2" t="n">
        <v>0.166998125</v>
      </c>
    </row>
    <row r="248" customFormat="false" ht="13.8" hidden="false" customHeight="false" outlineLevel="0" collapsed="false">
      <c r="B248" s="1" t="n">
        <v>247</v>
      </c>
      <c r="C248" s="2" t="n">
        <v>0.16188375</v>
      </c>
    </row>
    <row r="249" customFormat="false" ht="13.8" hidden="false" customHeight="false" outlineLevel="0" collapsed="false">
      <c r="B249" s="1" t="n">
        <v>248</v>
      </c>
      <c r="C249" s="2" t="n">
        <v>0.156769375</v>
      </c>
    </row>
    <row r="250" customFormat="false" ht="13.8" hidden="false" customHeight="false" outlineLevel="0" collapsed="false">
      <c r="B250" s="1" t="n">
        <v>249</v>
      </c>
      <c r="C250" s="2" t="n">
        <v>0.151655</v>
      </c>
    </row>
    <row r="251" customFormat="false" ht="13.8" hidden="false" customHeight="false" outlineLevel="0" collapsed="false">
      <c r="B251" s="1" t="n">
        <v>250</v>
      </c>
      <c r="C251" s="2" t="n">
        <v>0.14261375</v>
      </c>
    </row>
    <row r="252" customFormat="false" ht="13.8" hidden="false" customHeight="false" outlineLevel="0" collapsed="false">
      <c r="B252" s="1" t="n">
        <v>251</v>
      </c>
      <c r="C252" s="2" t="n">
        <v>0.1335725</v>
      </c>
    </row>
    <row r="253" customFormat="false" ht="13.8" hidden="false" customHeight="false" outlineLevel="0" collapsed="false">
      <c r="B253" s="1" t="n">
        <v>252</v>
      </c>
      <c r="C253" s="2" t="n">
        <v>0.12453125</v>
      </c>
    </row>
    <row r="254" customFormat="false" ht="13.8" hidden="false" customHeight="false" outlineLevel="0" collapsed="false">
      <c r="B254" s="1" t="n">
        <v>253</v>
      </c>
      <c r="C254" s="2" t="n">
        <v>0.11549</v>
      </c>
    </row>
    <row r="255" customFormat="false" ht="13.8" hidden="false" customHeight="false" outlineLevel="0" collapsed="false">
      <c r="B255" s="1" t="n">
        <v>254</v>
      </c>
      <c r="C255" s="2" t="n">
        <v>0.090353125</v>
      </c>
    </row>
    <row r="256" customFormat="false" ht="13.8" hidden="false" customHeight="false" outlineLevel="0" collapsed="false">
      <c r="B256" s="1" t="n">
        <v>255</v>
      </c>
      <c r="C256" s="2" t="n">
        <v>0.06521625</v>
      </c>
    </row>
    <row r="257" customFormat="false" ht="13.8" hidden="false" customHeight="false" outlineLevel="0" collapsed="false">
      <c r="B257" s="1" t="n">
        <v>256</v>
      </c>
      <c r="C257" s="2" t="n">
        <v>0.040079375</v>
      </c>
    </row>
    <row r="258" customFormat="false" ht="13.8" hidden="false" customHeight="false" outlineLevel="0" collapsed="false">
      <c r="B258" s="1" t="n">
        <v>257</v>
      </c>
      <c r="C258" s="2" t="n">
        <v>0.0149425</v>
      </c>
    </row>
    <row r="259" customFormat="false" ht="13.8" hidden="false" customHeight="false" outlineLevel="0" collapsed="false">
      <c r="B259" s="1" t="n">
        <v>258</v>
      </c>
      <c r="C259" s="2" t="n">
        <v>0.01275375</v>
      </c>
    </row>
    <row r="260" customFormat="false" ht="13.8" hidden="false" customHeight="false" outlineLevel="0" collapsed="false">
      <c r="B260" s="1" t="n">
        <v>259</v>
      </c>
      <c r="C260" s="2" t="n">
        <v>0.010565</v>
      </c>
    </row>
    <row r="261" customFormat="false" ht="13.8" hidden="false" customHeight="false" outlineLevel="0" collapsed="false">
      <c r="B261" s="1" t="n">
        <v>260</v>
      </c>
      <c r="C261" s="2" t="n">
        <v>0.00837625</v>
      </c>
    </row>
    <row r="262" customFormat="false" ht="13.8" hidden="false" customHeight="false" outlineLevel="0" collapsed="false">
      <c r="B262" s="1" t="n">
        <v>261</v>
      </c>
      <c r="C262" s="2" t="n">
        <v>0.0061875</v>
      </c>
    </row>
    <row r="263" customFormat="false" ht="13.8" hidden="false" customHeight="false" outlineLevel="0" collapsed="false">
      <c r="B263" s="1" t="n">
        <v>262</v>
      </c>
      <c r="C263" s="2" t="n">
        <v>0.004640625</v>
      </c>
    </row>
    <row r="264" customFormat="false" ht="13.8" hidden="false" customHeight="false" outlineLevel="0" collapsed="false">
      <c r="B264" s="1" t="n">
        <v>263</v>
      </c>
      <c r="C264" s="2" t="n">
        <v>0.00309375</v>
      </c>
    </row>
    <row r="265" customFormat="false" ht="13.8" hidden="false" customHeight="false" outlineLevel="0" collapsed="false">
      <c r="B265" s="1" t="n">
        <v>264</v>
      </c>
      <c r="C265" s="2" t="n">
        <v>0.001546875</v>
      </c>
    </row>
    <row r="266" customFormat="false" ht="13.8" hidden="false" customHeight="false" outlineLevel="0" collapsed="false">
      <c r="B266" s="1" t="n">
        <v>265</v>
      </c>
      <c r="C266" s="2" t="n">
        <v>0</v>
      </c>
    </row>
    <row r="267" customFormat="false" ht="13.8" hidden="false" customHeight="false" outlineLevel="0" collapsed="false">
      <c r="B267" s="1" t="n">
        <v>266</v>
      </c>
      <c r="C267" s="2" t="n">
        <v>0</v>
      </c>
    </row>
    <row r="268" customFormat="false" ht="13.8" hidden="false" customHeight="false" outlineLevel="0" collapsed="false">
      <c r="B268" s="1" t="n">
        <v>267</v>
      </c>
      <c r="C268" s="2" t="n">
        <v>0</v>
      </c>
    </row>
    <row r="269" customFormat="false" ht="13.8" hidden="false" customHeight="false" outlineLevel="0" collapsed="false">
      <c r="B269" s="1" t="n">
        <v>268</v>
      </c>
      <c r="C269" s="2" t="n">
        <v>0</v>
      </c>
    </row>
    <row r="270" customFormat="false" ht="13.8" hidden="false" customHeight="false" outlineLevel="0" collapsed="false">
      <c r="B270" s="1" t="n">
        <v>269</v>
      </c>
      <c r="C270" s="2" t="n">
        <v>0</v>
      </c>
    </row>
    <row r="271" customFormat="false" ht="13.8" hidden="false" customHeight="false" outlineLevel="0" collapsed="false">
      <c r="B271" s="1" t="n">
        <v>270</v>
      </c>
      <c r="C271" s="2" t="n">
        <v>0</v>
      </c>
    </row>
    <row r="272" customFormat="false" ht="13.8" hidden="false" customHeight="false" outlineLevel="0" collapsed="false">
      <c r="B272" s="1" t="n">
        <v>271</v>
      </c>
      <c r="C272" s="2" t="n">
        <v>0</v>
      </c>
    </row>
    <row r="273" customFormat="false" ht="13.8" hidden="false" customHeight="false" outlineLevel="0" collapsed="false">
      <c r="B273" s="1" t="n">
        <v>272</v>
      </c>
      <c r="C273" s="2" t="n">
        <v>0</v>
      </c>
    </row>
    <row r="274" customFormat="false" ht="13.8" hidden="false" customHeight="false" outlineLevel="0" collapsed="false">
      <c r="B274" s="1" t="n">
        <v>273</v>
      </c>
      <c r="C274" s="2" t="n">
        <v>0</v>
      </c>
    </row>
    <row r="275" customFormat="false" ht="13.8" hidden="false" customHeight="false" outlineLevel="0" collapsed="false">
      <c r="B275" s="1" t="n">
        <v>274</v>
      </c>
      <c r="C275" s="2" t="n">
        <v>0</v>
      </c>
    </row>
    <row r="276" customFormat="false" ht="13.8" hidden="false" customHeight="false" outlineLevel="0" collapsed="false">
      <c r="B276" s="1" t="n">
        <v>275</v>
      </c>
      <c r="C276" s="2" t="n">
        <v>0</v>
      </c>
    </row>
    <row r="277" customFormat="false" ht="13.8" hidden="false" customHeight="false" outlineLevel="0" collapsed="false">
      <c r="B277" s="1" t="n">
        <v>276</v>
      </c>
      <c r="C277" s="2" t="n">
        <v>0</v>
      </c>
    </row>
    <row r="278" customFormat="false" ht="13.8" hidden="false" customHeight="false" outlineLevel="0" collapsed="false">
      <c r="B278" s="1" t="n">
        <v>277</v>
      </c>
      <c r="C278" s="2" t="n">
        <v>0</v>
      </c>
    </row>
    <row r="279" customFormat="false" ht="13.8" hidden="false" customHeight="false" outlineLevel="0" collapsed="false">
      <c r="B279" s="1" t="n">
        <v>278</v>
      </c>
      <c r="C279" s="2" t="n">
        <v>0</v>
      </c>
    </row>
    <row r="280" customFormat="false" ht="13.8" hidden="false" customHeight="false" outlineLevel="0" collapsed="false">
      <c r="B280" s="1" t="n">
        <v>279</v>
      </c>
      <c r="C280" s="2" t="n">
        <v>0</v>
      </c>
    </row>
    <row r="281" customFormat="false" ht="13.8" hidden="false" customHeight="false" outlineLevel="0" collapsed="false">
      <c r="B281" s="1" t="n">
        <v>280</v>
      </c>
      <c r="C281" s="2" t="n">
        <v>0</v>
      </c>
    </row>
    <row r="282" customFormat="false" ht="13.8" hidden="false" customHeight="false" outlineLevel="0" collapsed="false">
      <c r="B282" s="1" t="n">
        <v>281</v>
      </c>
      <c r="C282" s="2" t="n">
        <v>0</v>
      </c>
    </row>
    <row r="283" customFormat="false" ht="13.8" hidden="false" customHeight="false" outlineLevel="0" collapsed="false">
      <c r="B283" s="1" t="n">
        <v>282</v>
      </c>
      <c r="C283" s="2" t="n">
        <v>0</v>
      </c>
    </row>
    <row r="284" customFormat="false" ht="13.8" hidden="false" customHeight="false" outlineLevel="0" collapsed="false">
      <c r="B284" s="1" t="n">
        <v>283</v>
      </c>
      <c r="C284" s="2" t="n">
        <v>0</v>
      </c>
    </row>
    <row r="285" customFormat="false" ht="13.8" hidden="false" customHeight="false" outlineLevel="0" collapsed="false">
      <c r="B285" s="1" t="n">
        <v>284</v>
      </c>
      <c r="C285" s="2" t="n">
        <v>0</v>
      </c>
    </row>
    <row r="286" customFormat="false" ht="13.8" hidden="false" customHeight="false" outlineLevel="0" collapsed="false">
      <c r="B286" s="1" t="n">
        <v>285</v>
      </c>
      <c r="C286" s="2" t="n">
        <v>0</v>
      </c>
    </row>
    <row r="287" customFormat="false" ht="13.8" hidden="false" customHeight="false" outlineLevel="0" collapsed="false">
      <c r="B287" s="1" t="n">
        <v>286</v>
      </c>
      <c r="C287" s="2" t="n">
        <v>0</v>
      </c>
    </row>
    <row r="288" customFormat="false" ht="13.8" hidden="false" customHeight="false" outlineLevel="0" collapsed="false">
      <c r="B288" s="1" t="n">
        <v>287</v>
      </c>
      <c r="C288" s="2" t="n">
        <v>0</v>
      </c>
    </row>
    <row r="289" customFormat="false" ht="13.8" hidden="false" customHeight="false" outlineLevel="0" collapsed="false">
      <c r="B289" s="1" t="n">
        <v>288</v>
      </c>
      <c r="C289" s="2" t="n">
        <v>0</v>
      </c>
    </row>
    <row r="290" customFormat="false" ht="13.8" hidden="false" customHeight="false" outlineLevel="0" collapsed="false">
      <c r="B290" s="1" t="n">
        <v>289</v>
      </c>
      <c r="C290" s="2" t="n">
        <v>0</v>
      </c>
    </row>
    <row r="291" customFormat="false" ht="13.8" hidden="false" customHeight="false" outlineLevel="0" collapsed="false">
      <c r="B291" s="1" t="n">
        <v>290</v>
      </c>
      <c r="C291" s="2" t="n">
        <v>0</v>
      </c>
    </row>
    <row r="292" customFormat="false" ht="13.8" hidden="false" customHeight="false" outlineLevel="0" collapsed="false">
      <c r="B292" s="1" t="n">
        <v>291</v>
      </c>
      <c r="C292" s="2" t="n">
        <v>0</v>
      </c>
    </row>
    <row r="293" customFormat="false" ht="13.8" hidden="false" customHeight="false" outlineLevel="0" collapsed="false">
      <c r="B293" s="1" t="n">
        <v>292</v>
      </c>
      <c r="C293" s="2" t="n">
        <v>0</v>
      </c>
    </row>
    <row r="294" customFormat="false" ht="13.8" hidden="false" customHeight="false" outlineLevel="0" collapsed="false">
      <c r="B294" s="1" t="n">
        <v>293</v>
      </c>
      <c r="C294" s="2" t="n">
        <v>0</v>
      </c>
    </row>
    <row r="295" customFormat="false" ht="13.8" hidden="false" customHeight="false" outlineLevel="0" collapsed="false">
      <c r="B295" s="1" t="n">
        <v>294</v>
      </c>
      <c r="C295" s="2" t="n">
        <v>0</v>
      </c>
    </row>
    <row r="296" customFormat="false" ht="13.8" hidden="false" customHeight="false" outlineLevel="0" collapsed="false">
      <c r="B296" s="1" t="n">
        <v>295</v>
      </c>
      <c r="C296" s="2" t="n">
        <v>0</v>
      </c>
    </row>
    <row r="297" customFormat="false" ht="13.8" hidden="false" customHeight="false" outlineLevel="0" collapsed="false">
      <c r="B297" s="1" t="n">
        <v>296</v>
      </c>
      <c r="C297" s="2" t="n">
        <v>0</v>
      </c>
    </row>
    <row r="298" customFormat="false" ht="13.8" hidden="false" customHeight="false" outlineLevel="0" collapsed="false">
      <c r="B298" s="1" t="n">
        <v>297</v>
      </c>
      <c r="C298" s="2" t="n">
        <v>0</v>
      </c>
    </row>
    <row r="299" customFormat="false" ht="13.8" hidden="false" customHeight="false" outlineLevel="0" collapsed="false">
      <c r="B299" s="1" t="n">
        <v>298</v>
      </c>
      <c r="C299" s="2" t="n">
        <v>0</v>
      </c>
    </row>
    <row r="300" customFormat="false" ht="13.8" hidden="false" customHeight="false" outlineLevel="0" collapsed="false">
      <c r="B300" s="1" t="n">
        <v>299</v>
      </c>
      <c r="C300" s="2" t="n">
        <v>0</v>
      </c>
    </row>
    <row r="301" customFormat="false" ht="13.8" hidden="false" customHeight="false" outlineLevel="0" collapsed="false">
      <c r="B301" s="1" t="n">
        <v>300</v>
      </c>
      <c r="C301" s="2" t="n">
        <v>0</v>
      </c>
    </row>
    <row r="302" customFormat="false" ht="13.8" hidden="false" customHeight="false" outlineLevel="0" collapsed="false">
      <c r="B302" s="1" t="n">
        <v>301</v>
      </c>
      <c r="C302" s="2" t="n">
        <v>0</v>
      </c>
    </row>
    <row r="303" customFormat="false" ht="13.8" hidden="false" customHeight="false" outlineLevel="0" collapsed="false">
      <c r="B303" s="1" t="n">
        <v>302</v>
      </c>
      <c r="C303" s="2" t="n">
        <v>0</v>
      </c>
    </row>
    <row r="304" customFormat="false" ht="13.8" hidden="false" customHeight="false" outlineLevel="0" collapsed="false">
      <c r="B304" s="1" t="n">
        <v>303</v>
      </c>
      <c r="C304" s="2" t="n">
        <v>0</v>
      </c>
    </row>
    <row r="305" customFormat="false" ht="13.8" hidden="false" customHeight="false" outlineLevel="0" collapsed="false">
      <c r="B305" s="1" t="n">
        <v>304</v>
      </c>
      <c r="C305" s="2" t="n">
        <v>0</v>
      </c>
    </row>
    <row r="306" customFormat="false" ht="13.8" hidden="false" customHeight="false" outlineLevel="0" collapsed="false">
      <c r="B306" s="1" t="n">
        <v>305</v>
      </c>
      <c r="C306" s="2" t="n">
        <v>0</v>
      </c>
    </row>
    <row r="307" customFormat="false" ht="13.8" hidden="false" customHeight="false" outlineLevel="0" collapsed="false">
      <c r="B307" s="1" t="n">
        <v>306</v>
      </c>
      <c r="C307" s="2" t="n">
        <v>0</v>
      </c>
    </row>
    <row r="308" customFormat="false" ht="13.8" hidden="false" customHeight="false" outlineLevel="0" collapsed="false">
      <c r="B308" s="1" t="n">
        <v>307</v>
      </c>
      <c r="C308" s="2" t="n">
        <v>0</v>
      </c>
    </row>
    <row r="309" customFormat="false" ht="13.8" hidden="false" customHeight="false" outlineLevel="0" collapsed="false">
      <c r="B309" s="1" t="n">
        <v>308</v>
      </c>
      <c r="C309" s="2" t="n">
        <v>0</v>
      </c>
    </row>
    <row r="310" customFormat="false" ht="13.8" hidden="false" customHeight="false" outlineLevel="0" collapsed="false">
      <c r="B310" s="1" t="n">
        <v>309</v>
      </c>
      <c r="C310" s="2" t="n">
        <v>0</v>
      </c>
    </row>
    <row r="311" customFormat="false" ht="13.8" hidden="false" customHeight="false" outlineLevel="0" collapsed="false">
      <c r="B311" s="1" t="n">
        <v>310</v>
      </c>
      <c r="C311" s="2" t="n">
        <v>0.001955</v>
      </c>
    </row>
    <row r="312" customFormat="false" ht="13.8" hidden="false" customHeight="false" outlineLevel="0" collapsed="false">
      <c r="B312" s="1" t="n">
        <v>311</v>
      </c>
      <c r="C312" s="2" t="n">
        <v>0.00391</v>
      </c>
    </row>
    <row r="313" customFormat="false" ht="13.8" hidden="false" customHeight="false" outlineLevel="0" collapsed="false">
      <c r="B313" s="1" t="n">
        <v>312</v>
      </c>
      <c r="C313" s="2" t="n">
        <v>0.005865</v>
      </c>
    </row>
    <row r="314" customFormat="false" ht="13.8" hidden="false" customHeight="false" outlineLevel="0" collapsed="false">
      <c r="B314" s="1" t="n">
        <v>313</v>
      </c>
      <c r="C314" s="2" t="n">
        <v>0.00782</v>
      </c>
    </row>
    <row r="315" customFormat="false" ht="13.8" hidden="false" customHeight="false" outlineLevel="0" collapsed="false">
      <c r="B315" s="1" t="n">
        <v>314</v>
      </c>
      <c r="C315" s="2" t="n">
        <v>0.014230625</v>
      </c>
    </row>
    <row r="316" customFormat="false" ht="13.8" hidden="false" customHeight="false" outlineLevel="0" collapsed="false">
      <c r="B316" s="1" t="n">
        <v>315</v>
      </c>
      <c r="C316" s="2" t="n">
        <v>0.02064125</v>
      </c>
    </row>
    <row r="317" customFormat="false" ht="13.8" hidden="false" customHeight="false" outlineLevel="0" collapsed="false">
      <c r="B317" s="1" t="n">
        <v>316</v>
      </c>
      <c r="C317" s="2" t="n">
        <v>0.027051875</v>
      </c>
    </row>
    <row r="318" customFormat="false" ht="13.8" hidden="false" customHeight="false" outlineLevel="0" collapsed="false">
      <c r="B318" s="1" t="n">
        <v>317</v>
      </c>
      <c r="C318" s="2" t="n">
        <v>0.0334625</v>
      </c>
    </row>
    <row r="319" customFormat="false" ht="13.8" hidden="false" customHeight="false" outlineLevel="0" collapsed="false">
      <c r="B319" s="1" t="n">
        <v>318</v>
      </c>
      <c r="C319" s="2" t="n">
        <v>0.04670625</v>
      </c>
    </row>
    <row r="320" customFormat="false" ht="13.8" hidden="false" customHeight="false" outlineLevel="0" collapsed="false">
      <c r="B320" s="1" t="n">
        <v>319</v>
      </c>
      <c r="C320" s="2" t="n">
        <v>0.05995</v>
      </c>
    </row>
    <row r="321" customFormat="false" ht="13.8" hidden="false" customHeight="false" outlineLevel="0" collapsed="false">
      <c r="B321" s="1" t="n">
        <v>320</v>
      </c>
      <c r="C321" s="2" t="n">
        <v>0.07319375</v>
      </c>
    </row>
    <row r="322" customFormat="false" ht="13.8" hidden="false" customHeight="false" outlineLevel="0" collapsed="false">
      <c r="B322" s="1" t="n">
        <v>321</v>
      </c>
      <c r="C322" s="2" t="n">
        <v>0.0864375</v>
      </c>
    </row>
    <row r="323" customFormat="false" ht="13.8" hidden="false" customHeight="false" outlineLevel="0" collapsed="false">
      <c r="B323" s="1" t="n">
        <v>322</v>
      </c>
      <c r="C323" s="2" t="n">
        <v>0.09504375</v>
      </c>
    </row>
    <row r="324" customFormat="false" ht="13.8" hidden="false" customHeight="false" outlineLevel="0" collapsed="false">
      <c r="B324" s="1" t="n">
        <v>323</v>
      </c>
      <c r="C324" s="2" t="n">
        <v>0.10365</v>
      </c>
    </row>
    <row r="325" customFormat="false" ht="13.8" hidden="false" customHeight="false" outlineLevel="0" collapsed="false">
      <c r="B325" s="1" t="n">
        <v>324</v>
      </c>
      <c r="C325" s="2" t="n">
        <v>0.11225625</v>
      </c>
    </row>
    <row r="326" customFormat="false" ht="13.8" hidden="false" customHeight="false" outlineLevel="0" collapsed="false">
      <c r="B326" s="1" t="n">
        <v>325</v>
      </c>
      <c r="C326" s="2" t="n">
        <v>0.1208625</v>
      </c>
    </row>
    <row r="327" customFormat="false" ht="13.8" hidden="false" customHeight="false" outlineLevel="0" collapsed="false">
      <c r="B327" s="1" t="n">
        <v>326</v>
      </c>
      <c r="C327" s="2" t="n">
        <v>0.130099375</v>
      </c>
    </row>
    <row r="328" customFormat="false" ht="13.8" hidden="false" customHeight="false" outlineLevel="0" collapsed="false">
      <c r="B328" s="1" t="n">
        <v>327</v>
      </c>
      <c r="C328" s="2" t="n">
        <v>0.13933625</v>
      </c>
    </row>
    <row r="329" customFormat="false" ht="13.8" hidden="false" customHeight="false" outlineLevel="0" collapsed="false">
      <c r="B329" s="1" t="n">
        <v>328</v>
      </c>
      <c r="C329" s="2" t="n">
        <v>0.148573125</v>
      </c>
    </row>
    <row r="330" customFormat="false" ht="13.8" hidden="false" customHeight="false" outlineLevel="0" collapsed="false">
      <c r="B330" s="1" t="n">
        <v>329</v>
      </c>
      <c r="C330" s="2" t="n">
        <v>0.15781</v>
      </c>
    </row>
    <row r="331" customFormat="false" ht="13.8" hidden="false" customHeight="false" outlineLevel="0" collapsed="false">
      <c r="B331" s="1" t="n">
        <v>330</v>
      </c>
      <c r="C331" s="2" t="n">
        <v>0.159374375</v>
      </c>
    </row>
    <row r="332" customFormat="false" ht="13.8" hidden="false" customHeight="false" outlineLevel="0" collapsed="false">
      <c r="B332" s="1" t="n">
        <v>331</v>
      </c>
      <c r="C332" s="2" t="n">
        <v>0.16093875</v>
      </c>
    </row>
    <row r="333" customFormat="false" ht="13.8" hidden="false" customHeight="false" outlineLevel="0" collapsed="false">
      <c r="B333" s="1" t="n">
        <v>332</v>
      </c>
      <c r="C333" s="2" t="n">
        <v>0.162503125</v>
      </c>
    </row>
    <row r="334" customFormat="false" ht="13.8" hidden="false" customHeight="false" outlineLevel="0" collapsed="false">
      <c r="B334" s="1" t="n">
        <v>333</v>
      </c>
      <c r="C334" s="2" t="n">
        <v>0.1640675</v>
      </c>
    </row>
    <row r="335" customFormat="false" ht="13.8" hidden="false" customHeight="false" outlineLevel="0" collapsed="false">
      <c r="B335" s="1" t="n">
        <v>334</v>
      </c>
      <c r="C335" s="2" t="n">
        <v>0.16484125</v>
      </c>
    </row>
    <row r="336" customFormat="false" ht="13.8" hidden="false" customHeight="false" outlineLevel="0" collapsed="false">
      <c r="B336" s="1" t="n">
        <v>335</v>
      </c>
      <c r="C336" s="2" t="n">
        <v>0.165615</v>
      </c>
    </row>
    <row r="337" customFormat="false" ht="13.8" hidden="false" customHeight="false" outlineLevel="0" collapsed="false">
      <c r="B337" s="1" t="n">
        <v>336</v>
      </c>
      <c r="C337" s="2" t="n">
        <v>0.16638875</v>
      </c>
    </row>
    <row r="338" customFormat="false" ht="13.8" hidden="false" customHeight="false" outlineLevel="0" collapsed="false">
      <c r="B338" s="1" t="n">
        <v>337</v>
      </c>
      <c r="C338" s="2" t="n">
        <v>0.1671625</v>
      </c>
    </row>
    <row r="339" customFormat="false" ht="13.8" hidden="false" customHeight="false" outlineLevel="0" collapsed="false">
      <c r="B339" s="1" t="n">
        <v>338</v>
      </c>
      <c r="C339" s="2" t="n">
        <v>0.16444125</v>
      </c>
    </row>
    <row r="340" customFormat="false" ht="13.8" hidden="false" customHeight="false" outlineLevel="0" collapsed="false">
      <c r="B340" s="1" t="n">
        <v>339</v>
      </c>
      <c r="C340" s="2" t="n">
        <v>0.16172</v>
      </c>
    </row>
    <row r="341" customFormat="false" ht="13.8" hidden="false" customHeight="false" outlineLevel="0" collapsed="false">
      <c r="B341" s="1" t="n">
        <v>340</v>
      </c>
      <c r="C341" s="2" t="n">
        <v>0.15899875</v>
      </c>
    </row>
    <row r="342" customFormat="false" ht="13.8" hidden="false" customHeight="false" outlineLevel="0" collapsed="false">
      <c r="B342" s="1" t="n">
        <v>341</v>
      </c>
      <c r="C342" s="2" t="n">
        <v>0.1562775</v>
      </c>
    </row>
    <row r="343" customFormat="false" ht="13.8" hidden="false" customHeight="false" outlineLevel="0" collapsed="false">
      <c r="B343" s="1" t="n">
        <v>342</v>
      </c>
      <c r="C343" s="2" t="n">
        <v>0.1407975</v>
      </c>
    </row>
    <row r="344" customFormat="false" ht="13.8" hidden="false" customHeight="false" outlineLevel="0" collapsed="false">
      <c r="B344" s="1" t="n">
        <v>343</v>
      </c>
      <c r="C344" s="2" t="n">
        <v>0.1253175</v>
      </c>
    </row>
    <row r="345" customFormat="false" ht="13.8" hidden="false" customHeight="false" outlineLevel="0" collapsed="false">
      <c r="B345" s="1" t="n">
        <v>344</v>
      </c>
      <c r="C345" s="2" t="n">
        <v>0.1098375</v>
      </c>
    </row>
    <row r="346" customFormat="false" ht="13.8" hidden="false" customHeight="false" outlineLevel="0" collapsed="false">
      <c r="B346" s="1" t="n">
        <v>345</v>
      </c>
      <c r="C346" s="2" t="n">
        <v>0.0943575</v>
      </c>
    </row>
    <row r="347" customFormat="false" ht="13.8" hidden="false" customHeight="false" outlineLevel="0" collapsed="false">
      <c r="B347" s="1" t="n">
        <v>346</v>
      </c>
      <c r="C347" s="2" t="n">
        <v>0.0870375</v>
      </c>
    </row>
    <row r="348" customFormat="false" ht="13.8" hidden="false" customHeight="false" outlineLevel="0" collapsed="false">
      <c r="B348" s="1" t="n">
        <v>347</v>
      </c>
      <c r="C348" s="2" t="n">
        <v>0.0797175</v>
      </c>
    </row>
    <row r="349" customFormat="false" ht="13.8" hidden="false" customHeight="false" outlineLevel="0" collapsed="false">
      <c r="B349" s="1" t="n">
        <v>348</v>
      </c>
      <c r="C349" s="2" t="n">
        <v>0.0723975</v>
      </c>
    </row>
    <row r="350" customFormat="false" ht="13.8" hidden="false" customHeight="false" outlineLevel="0" collapsed="false">
      <c r="B350" s="1" t="n">
        <v>349</v>
      </c>
      <c r="C350" s="2" t="n">
        <v>0.0650775</v>
      </c>
    </row>
    <row r="351" customFormat="false" ht="13.8" hidden="false" customHeight="false" outlineLevel="0" collapsed="false">
      <c r="B351" s="1" t="n">
        <v>350</v>
      </c>
      <c r="C351" s="2" t="n">
        <v>0.052574375</v>
      </c>
    </row>
    <row r="352" customFormat="false" ht="13.8" hidden="false" customHeight="false" outlineLevel="0" collapsed="false">
      <c r="B352" s="1" t="n">
        <v>351</v>
      </c>
      <c r="C352" s="2" t="n">
        <v>0.04007125</v>
      </c>
    </row>
    <row r="353" customFormat="false" ht="13.8" hidden="false" customHeight="false" outlineLevel="0" collapsed="false">
      <c r="B353" s="1" t="n">
        <v>352</v>
      </c>
      <c r="C353" s="2" t="n">
        <v>0.027568125</v>
      </c>
    </row>
    <row r="354" customFormat="false" ht="13.8" hidden="false" customHeight="false" outlineLevel="0" collapsed="false">
      <c r="B354" s="1" t="n">
        <v>353</v>
      </c>
      <c r="C354" s="2" t="n">
        <v>0.015065</v>
      </c>
    </row>
    <row r="355" customFormat="false" ht="13.8" hidden="false" customHeight="false" outlineLevel="0" collapsed="false">
      <c r="B355" s="1" t="n">
        <v>354</v>
      </c>
      <c r="C355" s="2" t="n">
        <v>0.012766875</v>
      </c>
    </row>
    <row r="356" customFormat="false" ht="13.8" hidden="false" customHeight="false" outlineLevel="0" collapsed="false">
      <c r="B356" s="1" t="n">
        <v>355</v>
      </c>
      <c r="C356" s="2" t="n">
        <v>0.01046875</v>
      </c>
    </row>
    <row r="357" customFormat="false" ht="13.8" hidden="false" customHeight="false" outlineLevel="0" collapsed="false">
      <c r="B357" s="1" t="n">
        <v>356</v>
      </c>
      <c r="C357" s="2" t="n">
        <v>0.008170625</v>
      </c>
    </row>
    <row r="358" customFormat="false" ht="13.8" hidden="false" customHeight="false" outlineLevel="0" collapsed="false">
      <c r="B358" s="1" t="n">
        <v>357</v>
      </c>
      <c r="C358" s="2" t="n">
        <v>0.0058725</v>
      </c>
    </row>
    <row r="359" customFormat="false" ht="13.8" hidden="false" customHeight="false" outlineLevel="0" collapsed="false">
      <c r="B359" s="1" t="n">
        <v>358</v>
      </c>
      <c r="C359" s="2" t="n">
        <v>0.004404375</v>
      </c>
    </row>
    <row r="360" customFormat="false" ht="13.8" hidden="false" customHeight="false" outlineLevel="0" collapsed="false">
      <c r="B360" s="1" t="n">
        <v>359</v>
      </c>
      <c r="C360" s="2" t="n">
        <v>0.00293625</v>
      </c>
    </row>
    <row r="361" customFormat="false" ht="13.8" hidden="false" customHeight="false" outlineLevel="0" collapsed="false">
      <c r="B361" s="1" t="n">
        <v>360</v>
      </c>
      <c r="C361" s="2" t="n">
        <v>0.001468125</v>
      </c>
    </row>
    <row r="362" customFormat="false" ht="13.8" hidden="false" customHeight="false" outlineLevel="0" collapsed="false">
      <c r="B362" s="1" t="n">
        <v>361</v>
      </c>
      <c r="C362" s="2" t="n">
        <v>0</v>
      </c>
    </row>
    <row r="363" customFormat="false" ht="13.8" hidden="false" customHeight="false" outlineLevel="0" collapsed="false">
      <c r="B363" s="1" t="n">
        <v>362</v>
      </c>
      <c r="C363" s="2" t="n">
        <v>0</v>
      </c>
    </row>
    <row r="364" customFormat="false" ht="13.8" hidden="false" customHeight="false" outlineLevel="0" collapsed="false">
      <c r="B364" s="1" t="n">
        <v>363</v>
      </c>
      <c r="C364" s="2" t="n">
        <v>0</v>
      </c>
    </row>
    <row r="365" customFormat="false" ht="13.8" hidden="false" customHeight="false" outlineLevel="0" collapsed="false">
      <c r="B365" s="1" t="n">
        <v>364</v>
      </c>
      <c r="C365" s="2" t="n">
        <v>0</v>
      </c>
    </row>
    <row r="366" customFormat="false" ht="13.8" hidden="false" customHeight="false" outlineLevel="0" collapsed="false">
      <c r="B366" s="1" t="n">
        <v>365</v>
      </c>
      <c r="C366" s="2" t="n">
        <v>0</v>
      </c>
    </row>
    <row r="367" customFormat="false" ht="13.8" hidden="false" customHeight="false" outlineLevel="0" collapsed="false">
      <c r="B367" s="1" t="n">
        <v>366</v>
      </c>
      <c r="C367" s="2" t="n">
        <v>0</v>
      </c>
    </row>
    <row r="368" customFormat="false" ht="13.8" hidden="false" customHeight="false" outlineLevel="0" collapsed="false">
      <c r="B368" s="1" t="n">
        <v>367</v>
      </c>
      <c r="C368" s="2" t="n">
        <v>0</v>
      </c>
    </row>
    <row r="369" customFormat="false" ht="13.8" hidden="false" customHeight="false" outlineLevel="0" collapsed="false">
      <c r="B369" s="1" t="n">
        <v>368</v>
      </c>
      <c r="C369" s="2" t="n">
        <v>0</v>
      </c>
    </row>
    <row r="370" customFormat="false" ht="13.8" hidden="false" customHeight="false" outlineLevel="0" collapsed="false">
      <c r="B370" s="1" t="n">
        <v>369</v>
      </c>
      <c r="C370" s="2" t="n">
        <v>0</v>
      </c>
    </row>
    <row r="371" customFormat="false" ht="13.8" hidden="false" customHeight="false" outlineLevel="0" collapsed="false">
      <c r="B371" s="1" t="n">
        <v>370</v>
      </c>
      <c r="C371" s="2" t="n">
        <v>0</v>
      </c>
    </row>
    <row r="372" customFormat="false" ht="13.8" hidden="false" customHeight="false" outlineLevel="0" collapsed="false">
      <c r="B372" s="1" t="n">
        <v>371</v>
      </c>
      <c r="C372" s="2" t="n">
        <v>0</v>
      </c>
    </row>
    <row r="373" customFormat="false" ht="13.8" hidden="false" customHeight="false" outlineLevel="0" collapsed="false">
      <c r="B373" s="1" t="n">
        <v>372</v>
      </c>
      <c r="C373" s="2" t="n">
        <v>0</v>
      </c>
    </row>
    <row r="374" customFormat="false" ht="13.8" hidden="false" customHeight="false" outlineLevel="0" collapsed="false">
      <c r="B374" s="1" t="n">
        <v>373</v>
      </c>
      <c r="C374" s="2" t="n">
        <v>0</v>
      </c>
    </row>
    <row r="375" customFormat="false" ht="13.8" hidden="false" customHeight="false" outlineLevel="0" collapsed="false">
      <c r="B375" s="1" t="n">
        <v>374</v>
      </c>
      <c r="C375" s="2" t="n">
        <v>0</v>
      </c>
    </row>
    <row r="376" customFormat="false" ht="13.8" hidden="false" customHeight="false" outlineLevel="0" collapsed="false">
      <c r="B376" s="1" t="n">
        <v>375</v>
      </c>
      <c r="C376" s="2" t="n">
        <v>0</v>
      </c>
    </row>
    <row r="377" customFormat="false" ht="13.8" hidden="false" customHeight="false" outlineLevel="0" collapsed="false">
      <c r="B377" s="1" t="n">
        <v>376</v>
      </c>
      <c r="C377" s="2" t="n">
        <v>0</v>
      </c>
    </row>
    <row r="378" customFormat="false" ht="13.8" hidden="false" customHeight="false" outlineLevel="0" collapsed="false">
      <c r="B378" s="1" t="n">
        <v>377</v>
      </c>
      <c r="C378" s="2" t="n">
        <v>0</v>
      </c>
    </row>
    <row r="379" customFormat="false" ht="13.8" hidden="false" customHeight="false" outlineLevel="0" collapsed="false">
      <c r="B379" s="1" t="n">
        <v>378</v>
      </c>
      <c r="C379" s="2" t="n">
        <v>0</v>
      </c>
    </row>
    <row r="380" customFormat="false" ht="13.8" hidden="false" customHeight="false" outlineLevel="0" collapsed="false">
      <c r="B380" s="1" t="n">
        <v>379</v>
      </c>
      <c r="C380" s="2" t="n">
        <v>0</v>
      </c>
    </row>
    <row r="381" customFormat="false" ht="13.8" hidden="false" customHeight="false" outlineLevel="0" collapsed="false">
      <c r="B381" s="1" t="n">
        <v>380</v>
      </c>
      <c r="C381" s="2" t="n">
        <v>0</v>
      </c>
    </row>
    <row r="382" customFormat="false" ht="13.8" hidden="false" customHeight="false" outlineLevel="0" collapsed="false">
      <c r="B382" s="1" t="n">
        <v>381</v>
      </c>
      <c r="C382" s="2" t="n">
        <v>0</v>
      </c>
    </row>
    <row r="383" customFormat="false" ht="13.8" hidden="false" customHeight="false" outlineLevel="0" collapsed="false">
      <c r="B383" s="1" t="n">
        <v>382</v>
      </c>
      <c r="C383" s="2" t="n">
        <v>0</v>
      </c>
    </row>
    <row r="384" customFormat="false" ht="13.8" hidden="false" customHeight="false" outlineLevel="0" collapsed="false">
      <c r="B384" s="1" t="n">
        <v>383</v>
      </c>
      <c r="C384" s="2" t="n">
        <v>0</v>
      </c>
    </row>
    <row r="385" customFormat="false" ht="13.8" hidden="false" customHeight="false" outlineLevel="0" collapsed="false">
      <c r="B385" s="1" t="n">
        <v>384</v>
      </c>
      <c r="C385" s="2" t="n">
        <v>0</v>
      </c>
    </row>
    <row r="386" customFormat="false" ht="13.8" hidden="false" customHeight="false" outlineLevel="0" collapsed="false">
      <c r="B386" s="1" t="n">
        <v>385</v>
      </c>
      <c r="C386" s="2" t="n">
        <v>0</v>
      </c>
    </row>
    <row r="387" customFormat="false" ht="13.8" hidden="false" customHeight="false" outlineLevel="0" collapsed="false">
      <c r="B387" s="1" t="n">
        <v>386</v>
      </c>
      <c r="C387" s="2" t="n">
        <v>0</v>
      </c>
    </row>
    <row r="388" customFormat="false" ht="13.8" hidden="false" customHeight="false" outlineLevel="0" collapsed="false">
      <c r="B388" s="1" t="n">
        <v>387</v>
      </c>
      <c r="C388" s="2" t="n">
        <v>0</v>
      </c>
    </row>
    <row r="389" customFormat="false" ht="13.8" hidden="false" customHeight="false" outlineLevel="0" collapsed="false">
      <c r="B389" s="1" t="n">
        <v>388</v>
      </c>
      <c r="C389" s="2" t="n">
        <v>0</v>
      </c>
    </row>
    <row r="390" customFormat="false" ht="13.8" hidden="false" customHeight="false" outlineLevel="0" collapsed="false">
      <c r="B390" s="1" t="n">
        <v>389</v>
      </c>
      <c r="C390" s="2" t="n">
        <v>0</v>
      </c>
    </row>
    <row r="391" customFormat="false" ht="13.8" hidden="false" customHeight="false" outlineLevel="0" collapsed="false">
      <c r="B391" s="1" t="n">
        <v>390</v>
      </c>
      <c r="C391" s="2" t="n">
        <v>0</v>
      </c>
    </row>
    <row r="392" customFormat="false" ht="13.8" hidden="false" customHeight="false" outlineLevel="0" collapsed="false">
      <c r="B392" s="1" t="n">
        <v>391</v>
      </c>
      <c r="C392" s="2" t="n">
        <v>0</v>
      </c>
    </row>
    <row r="393" customFormat="false" ht="13.8" hidden="false" customHeight="false" outlineLevel="0" collapsed="false">
      <c r="B393" s="1" t="n">
        <v>392</v>
      </c>
      <c r="C393" s="2" t="n">
        <v>0</v>
      </c>
    </row>
    <row r="394" customFormat="false" ht="13.8" hidden="false" customHeight="false" outlineLevel="0" collapsed="false">
      <c r="B394" s="1" t="n">
        <v>393</v>
      </c>
      <c r="C394" s="2" t="n">
        <v>0</v>
      </c>
    </row>
    <row r="395" customFormat="false" ht="13.8" hidden="false" customHeight="false" outlineLevel="0" collapsed="false">
      <c r="B395" s="1" t="n">
        <v>394</v>
      </c>
      <c r="C395" s="2" t="n">
        <v>0</v>
      </c>
    </row>
    <row r="396" customFormat="false" ht="13.8" hidden="false" customHeight="false" outlineLevel="0" collapsed="false">
      <c r="B396" s="1" t="n">
        <v>395</v>
      </c>
      <c r="C396" s="2" t="n">
        <v>0</v>
      </c>
    </row>
    <row r="397" customFormat="false" ht="13.8" hidden="false" customHeight="false" outlineLevel="0" collapsed="false">
      <c r="B397" s="1" t="n">
        <v>396</v>
      </c>
      <c r="C397" s="2" t="n">
        <v>0</v>
      </c>
    </row>
    <row r="398" customFormat="false" ht="13.8" hidden="false" customHeight="false" outlineLevel="0" collapsed="false">
      <c r="B398" s="1" t="n">
        <v>397</v>
      </c>
      <c r="C398" s="2" t="n">
        <v>0</v>
      </c>
    </row>
    <row r="399" customFormat="false" ht="13.8" hidden="false" customHeight="false" outlineLevel="0" collapsed="false">
      <c r="B399" s="1" t="n">
        <v>398</v>
      </c>
      <c r="C399" s="2" t="n">
        <v>0</v>
      </c>
    </row>
    <row r="400" customFormat="false" ht="13.8" hidden="false" customHeight="false" outlineLevel="0" collapsed="false">
      <c r="B400" s="1" t="n">
        <v>399</v>
      </c>
      <c r="C400" s="2" t="n">
        <v>0</v>
      </c>
    </row>
    <row r="401" customFormat="false" ht="13.8" hidden="false" customHeight="false" outlineLevel="0" collapsed="false">
      <c r="B401" s="1" t="n">
        <v>400</v>
      </c>
      <c r="C401" s="2" t="n">
        <v>0</v>
      </c>
    </row>
    <row r="402" customFormat="false" ht="13.8" hidden="false" customHeight="false" outlineLevel="0" collapsed="false">
      <c r="B402" s="1" t="n">
        <v>401</v>
      </c>
      <c r="C402" s="2" t="n">
        <v>0</v>
      </c>
    </row>
    <row r="403" customFormat="false" ht="13.8" hidden="false" customHeight="false" outlineLevel="0" collapsed="false">
      <c r="B403" s="1" t="n">
        <v>402</v>
      </c>
      <c r="C403" s="2" t="n">
        <v>0</v>
      </c>
    </row>
    <row r="404" customFormat="false" ht="13.8" hidden="false" customHeight="false" outlineLevel="0" collapsed="false">
      <c r="B404" s="1" t="n">
        <v>403</v>
      </c>
      <c r="C404" s="2" t="n">
        <v>0</v>
      </c>
    </row>
    <row r="405" customFormat="false" ht="13.8" hidden="false" customHeight="false" outlineLevel="0" collapsed="false">
      <c r="B405" s="1" t="n">
        <v>404</v>
      </c>
      <c r="C405" s="2" t="n">
        <v>0</v>
      </c>
    </row>
    <row r="406" customFormat="false" ht="13.8" hidden="false" customHeight="false" outlineLevel="0" collapsed="false">
      <c r="B406" s="1" t="n">
        <v>405</v>
      </c>
      <c r="C406" s="2" t="n">
        <v>0</v>
      </c>
    </row>
    <row r="407" customFormat="false" ht="13.8" hidden="false" customHeight="false" outlineLevel="0" collapsed="false">
      <c r="B407" s="1" t="n">
        <v>406</v>
      </c>
      <c r="C407" s="2" t="n">
        <v>0.001686875</v>
      </c>
    </row>
    <row r="408" customFormat="false" ht="13.8" hidden="false" customHeight="false" outlineLevel="0" collapsed="false">
      <c r="B408" s="1" t="n">
        <v>407</v>
      </c>
      <c r="C408" s="2" t="n">
        <v>0.00337375</v>
      </c>
    </row>
    <row r="409" customFormat="false" ht="13.8" hidden="false" customHeight="false" outlineLevel="0" collapsed="false">
      <c r="B409" s="1" t="n">
        <v>408</v>
      </c>
      <c r="C409" s="2" t="n">
        <v>0.005060625</v>
      </c>
    </row>
    <row r="410" customFormat="false" ht="13.8" hidden="false" customHeight="false" outlineLevel="0" collapsed="false">
      <c r="B410" s="1" t="n">
        <v>409</v>
      </c>
      <c r="C410" s="2" t="n">
        <v>0.0067475</v>
      </c>
    </row>
    <row r="411" customFormat="false" ht="13.8" hidden="false" customHeight="false" outlineLevel="0" collapsed="false">
      <c r="B411" s="1" t="n">
        <v>410</v>
      </c>
      <c r="C411" s="2" t="n">
        <v>0.01373625</v>
      </c>
    </row>
    <row r="412" customFormat="false" ht="13.8" hidden="false" customHeight="false" outlineLevel="0" collapsed="false">
      <c r="B412" s="1" t="n">
        <v>411</v>
      </c>
      <c r="C412" s="2" t="n">
        <v>0.020725</v>
      </c>
    </row>
    <row r="413" customFormat="false" ht="13.8" hidden="false" customHeight="false" outlineLevel="0" collapsed="false">
      <c r="B413" s="1" t="n">
        <v>412</v>
      </c>
      <c r="C413" s="2" t="n">
        <v>0.02771375</v>
      </c>
    </row>
    <row r="414" customFormat="false" ht="13.8" hidden="false" customHeight="false" outlineLevel="0" collapsed="false">
      <c r="B414" s="1" t="n">
        <v>413</v>
      </c>
      <c r="C414" s="2" t="n">
        <v>0.0347025</v>
      </c>
    </row>
    <row r="415" customFormat="false" ht="13.8" hidden="false" customHeight="false" outlineLevel="0" collapsed="false">
      <c r="B415" s="1" t="n">
        <v>414</v>
      </c>
      <c r="C415" s="2" t="n">
        <v>0.04805125</v>
      </c>
    </row>
    <row r="416" customFormat="false" ht="13.8" hidden="false" customHeight="false" outlineLevel="0" collapsed="false">
      <c r="B416" s="1" t="n">
        <v>415</v>
      </c>
      <c r="C416" s="2" t="n">
        <v>0.0614</v>
      </c>
    </row>
    <row r="417" customFormat="false" ht="13.8" hidden="false" customHeight="false" outlineLevel="0" collapsed="false">
      <c r="B417" s="1" t="n">
        <v>416</v>
      </c>
      <c r="C417" s="2" t="n">
        <v>0.07474875</v>
      </c>
    </row>
    <row r="418" customFormat="false" ht="13.8" hidden="false" customHeight="false" outlineLevel="0" collapsed="false">
      <c r="B418" s="1" t="n">
        <v>417</v>
      </c>
      <c r="C418" s="2" t="n">
        <v>0.0880975</v>
      </c>
    </row>
    <row r="419" customFormat="false" ht="13.8" hidden="false" customHeight="false" outlineLevel="0" collapsed="false">
      <c r="B419" s="1" t="n">
        <v>418</v>
      </c>
      <c r="C419" s="2" t="n">
        <v>0.097803125</v>
      </c>
    </row>
    <row r="420" customFormat="false" ht="13.8" hidden="false" customHeight="false" outlineLevel="0" collapsed="false">
      <c r="B420" s="1" t="n">
        <v>419</v>
      </c>
      <c r="C420" s="2" t="n">
        <v>0.10750875</v>
      </c>
    </row>
    <row r="421" customFormat="false" ht="13.8" hidden="false" customHeight="false" outlineLevel="0" collapsed="false">
      <c r="B421" s="1" t="n">
        <v>420</v>
      </c>
      <c r="C421" s="2" t="n">
        <v>0.117214375</v>
      </c>
    </row>
    <row r="422" customFormat="false" ht="13.8" hidden="false" customHeight="false" outlineLevel="0" collapsed="false">
      <c r="B422" s="1" t="n">
        <v>421</v>
      </c>
      <c r="C422" s="2" t="n">
        <v>0.12692</v>
      </c>
    </row>
    <row r="423" customFormat="false" ht="13.8" hidden="false" customHeight="false" outlineLevel="0" collapsed="false">
      <c r="B423" s="1" t="n">
        <v>422</v>
      </c>
      <c r="C423" s="2" t="n">
        <v>0.1334675</v>
      </c>
    </row>
    <row r="424" customFormat="false" ht="13.8" hidden="false" customHeight="false" outlineLevel="0" collapsed="false">
      <c r="B424" s="1" t="n">
        <v>423</v>
      </c>
      <c r="C424" s="2" t="n">
        <v>0.140015</v>
      </c>
    </row>
    <row r="425" customFormat="false" ht="13.8" hidden="false" customHeight="false" outlineLevel="0" collapsed="false">
      <c r="B425" s="1" t="n">
        <v>424</v>
      </c>
      <c r="C425" s="2" t="n">
        <v>0.1465625</v>
      </c>
    </row>
    <row r="426" customFormat="false" ht="13.8" hidden="false" customHeight="false" outlineLevel="0" collapsed="false">
      <c r="B426" s="1" t="n">
        <v>425</v>
      </c>
      <c r="C426" s="2" t="n">
        <v>0.15311</v>
      </c>
    </row>
    <row r="427" customFormat="false" ht="13.8" hidden="false" customHeight="false" outlineLevel="0" collapsed="false">
      <c r="B427" s="1" t="n">
        <v>426</v>
      </c>
      <c r="C427" s="2" t="n">
        <v>0.155935625</v>
      </c>
    </row>
    <row r="428" customFormat="false" ht="13.8" hidden="false" customHeight="false" outlineLevel="0" collapsed="false">
      <c r="B428" s="1" t="n">
        <v>427</v>
      </c>
      <c r="C428" s="2" t="n">
        <v>0.15876125</v>
      </c>
    </row>
    <row r="429" customFormat="false" ht="13.8" hidden="false" customHeight="false" outlineLevel="0" collapsed="false">
      <c r="B429" s="1" t="n">
        <v>428</v>
      </c>
      <c r="C429" s="2" t="n">
        <v>0.161586875</v>
      </c>
    </row>
    <row r="430" customFormat="false" ht="13.8" hidden="false" customHeight="false" outlineLevel="0" collapsed="false">
      <c r="B430" s="1" t="n">
        <v>429</v>
      </c>
      <c r="C430" s="2" t="n">
        <v>0.1644125</v>
      </c>
    </row>
    <row r="431" customFormat="false" ht="13.8" hidden="false" customHeight="false" outlineLevel="0" collapsed="false">
      <c r="B431" s="1" t="n">
        <v>430</v>
      </c>
      <c r="C431" s="2" t="n">
        <v>0.168485</v>
      </c>
    </row>
    <row r="432" customFormat="false" ht="13.8" hidden="false" customHeight="false" outlineLevel="0" collapsed="false">
      <c r="B432" s="1" t="n">
        <v>431</v>
      </c>
      <c r="C432" s="2" t="n">
        <v>0.1725575</v>
      </c>
    </row>
    <row r="433" customFormat="false" ht="13.8" hidden="false" customHeight="false" outlineLevel="0" collapsed="false">
      <c r="B433" s="1" t="n">
        <v>432</v>
      </c>
      <c r="C433" s="2" t="n">
        <v>0.17663</v>
      </c>
    </row>
    <row r="434" customFormat="false" ht="13.8" hidden="false" customHeight="false" outlineLevel="0" collapsed="false">
      <c r="B434" s="1" t="n">
        <v>433</v>
      </c>
      <c r="C434" s="2" t="n">
        <v>0.1807025</v>
      </c>
    </row>
    <row r="435" customFormat="false" ht="13.8" hidden="false" customHeight="false" outlineLevel="0" collapsed="false">
      <c r="B435" s="1" t="n">
        <v>434</v>
      </c>
      <c r="C435" s="2" t="n">
        <v>0.1793175</v>
      </c>
    </row>
    <row r="436" customFormat="false" ht="13.8" hidden="false" customHeight="false" outlineLevel="0" collapsed="false">
      <c r="B436" s="1" t="n">
        <v>435</v>
      </c>
      <c r="C436" s="2" t="n">
        <v>0.1779325</v>
      </c>
    </row>
    <row r="437" customFormat="false" ht="13.8" hidden="false" customHeight="false" outlineLevel="0" collapsed="false">
      <c r="B437" s="1" t="n">
        <v>436</v>
      </c>
      <c r="C437" s="2" t="n">
        <v>0.1765475</v>
      </c>
    </row>
    <row r="438" customFormat="false" ht="13.8" hidden="false" customHeight="false" outlineLevel="0" collapsed="false">
      <c r="B438" s="1" t="n">
        <v>437</v>
      </c>
      <c r="C438" s="2" t="n">
        <v>0.1751625</v>
      </c>
    </row>
    <row r="439" customFormat="false" ht="13.8" hidden="false" customHeight="false" outlineLevel="0" collapsed="false">
      <c r="B439" s="1" t="n">
        <v>438</v>
      </c>
      <c r="C439" s="2" t="n">
        <v>0.14384</v>
      </c>
    </row>
    <row r="440" customFormat="false" ht="13.8" hidden="false" customHeight="false" outlineLevel="0" collapsed="false">
      <c r="B440" s="1" t="n">
        <v>439</v>
      </c>
      <c r="C440" s="2" t="n">
        <v>0.1125175</v>
      </c>
    </row>
    <row r="441" customFormat="false" ht="13.8" hidden="false" customHeight="false" outlineLevel="0" collapsed="false">
      <c r="B441" s="1" t="n">
        <v>440</v>
      </c>
      <c r="C441" s="2" t="n">
        <v>0.081195</v>
      </c>
    </row>
    <row r="442" customFormat="false" ht="13.8" hidden="false" customHeight="false" outlineLevel="0" collapsed="false">
      <c r="B442" s="1" t="n">
        <v>441</v>
      </c>
      <c r="C442" s="2" t="n">
        <v>0.0498725</v>
      </c>
    </row>
    <row r="443" customFormat="false" ht="13.8" hidden="false" customHeight="false" outlineLevel="0" collapsed="false">
      <c r="B443" s="1" t="n">
        <v>442</v>
      </c>
      <c r="C443" s="2" t="n">
        <v>0.05494375</v>
      </c>
    </row>
    <row r="444" customFormat="false" ht="13.8" hidden="false" customHeight="false" outlineLevel="0" collapsed="false">
      <c r="B444" s="1" t="n">
        <v>443</v>
      </c>
      <c r="C444" s="2" t="n">
        <v>0.060015</v>
      </c>
    </row>
    <row r="445" customFormat="false" ht="13.8" hidden="false" customHeight="false" outlineLevel="0" collapsed="false">
      <c r="B445" s="1" t="n">
        <v>444</v>
      </c>
      <c r="C445" s="2" t="n">
        <v>0.06508625</v>
      </c>
    </row>
    <row r="446" customFormat="false" ht="13.8" hidden="false" customHeight="false" outlineLevel="0" collapsed="false">
      <c r="B446" s="1" t="n">
        <v>445</v>
      </c>
      <c r="C446" s="2" t="n">
        <v>0.0701575</v>
      </c>
    </row>
    <row r="447" customFormat="false" ht="13.8" hidden="false" customHeight="false" outlineLevel="0" collapsed="false">
      <c r="B447" s="1" t="n">
        <v>446</v>
      </c>
      <c r="C447" s="2" t="n">
        <v>0.06392</v>
      </c>
    </row>
    <row r="448" customFormat="false" ht="13.8" hidden="false" customHeight="false" outlineLevel="0" collapsed="false">
      <c r="B448" s="1" t="n">
        <v>447</v>
      </c>
      <c r="C448" s="2" t="n">
        <v>0.0576825</v>
      </c>
    </row>
    <row r="449" customFormat="false" ht="13.8" hidden="false" customHeight="false" outlineLevel="0" collapsed="false">
      <c r="B449" s="1" t="n">
        <v>448</v>
      </c>
      <c r="C449" s="2" t="n">
        <v>0.051445</v>
      </c>
    </row>
    <row r="450" customFormat="false" ht="13.8" hidden="false" customHeight="false" outlineLevel="0" collapsed="false">
      <c r="B450" s="1" t="n">
        <v>449</v>
      </c>
      <c r="C450" s="2" t="n">
        <v>0.0452075</v>
      </c>
    </row>
    <row r="451" customFormat="false" ht="13.8" hidden="false" customHeight="false" outlineLevel="0" collapsed="false">
      <c r="B451" s="1" t="n">
        <v>450</v>
      </c>
      <c r="C451" s="2" t="n">
        <v>0.039648125</v>
      </c>
    </row>
    <row r="452" customFormat="false" ht="13.8" hidden="false" customHeight="false" outlineLevel="0" collapsed="false">
      <c r="B452" s="1" t="n">
        <v>451</v>
      </c>
      <c r="C452" s="2" t="n">
        <v>0.03408875</v>
      </c>
    </row>
    <row r="453" customFormat="false" ht="13.8" hidden="false" customHeight="false" outlineLevel="0" collapsed="false">
      <c r="B453" s="1" t="n">
        <v>452</v>
      </c>
      <c r="C453" s="2" t="n">
        <v>0.028529375</v>
      </c>
    </row>
    <row r="454" customFormat="false" ht="13.8" hidden="false" customHeight="false" outlineLevel="0" collapsed="false">
      <c r="B454" s="1" t="n">
        <v>453</v>
      </c>
      <c r="C454" s="2" t="n">
        <v>0.02297</v>
      </c>
    </row>
    <row r="455" customFormat="false" ht="13.8" hidden="false" customHeight="false" outlineLevel="0" collapsed="false">
      <c r="B455" s="1" t="n">
        <v>454</v>
      </c>
      <c r="C455" s="2" t="n">
        <v>0.017274375</v>
      </c>
    </row>
    <row r="456" customFormat="false" ht="13.8" hidden="false" customHeight="false" outlineLevel="0" collapsed="false">
      <c r="B456" s="1" t="n">
        <v>455</v>
      </c>
      <c r="C456" s="2" t="n">
        <v>0.01157875</v>
      </c>
    </row>
    <row r="457" customFormat="false" ht="13.8" hidden="false" customHeight="false" outlineLevel="0" collapsed="false">
      <c r="B457" s="1" t="n">
        <v>456</v>
      </c>
      <c r="C457" s="2" t="n">
        <v>0.005883125</v>
      </c>
    </row>
    <row r="458" customFormat="false" ht="13.8" hidden="false" customHeight="false" outlineLevel="0" collapsed="false">
      <c r="B458" s="1" t="n">
        <v>457</v>
      </c>
      <c r="C458" s="2" t="n">
        <v>0.0001875</v>
      </c>
    </row>
    <row r="459" customFormat="false" ht="13.8" hidden="false" customHeight="false" outlineLevel="0" collapsed="false">
      <c r="B459" s="1" t="n">
        <v>458</v>
      </c>
      <c r="C459" s="2" t="n">
        <v>0.000140625</v>
      </c>
    </row>
    <row r="460" customFormat="false" ht="13.8" hidden="false" customHeight="false" outlineLevel="0" collapsed="false">
      <c r="B460" s="1" t="n">
        <v>459</v>
      </c>
      <c r="C460" s="2" t="n">
        <v>9.375E-005</v>
      </c>
    </row>
    <row r="461" customFormat="false" ht="13.8" hidden="false" customHeight="false" outlineLevel="0" collapsed="false">
      <c r="B461" s="1" t="n">
        <v>460</v>
      </c>
      <c r="C461" s="2" t="n">
        <v>4.6875E-005</v>
      </c>
    </row>
    <row r="462" customFormat="false" ht="13.8" hidden="false" customHeight="false" outlineLevel="0" collapsed="false">
      <c r="B462" s="1" t="n">
        <v>461</v>
      </c>
      <c r="C462" s="2" t="n">
        <v>0</v>
      </c>
    </row>
    <row r="463" customFormat="false" ht="13.8" hidden="false" customHeight="false" outlineLevel="0" collapsed="false">
      <c r="B463" s="1" t="n">
        <v>462</v>
      </c>
      <c r="C463" s="2" t="n">
        <v>0</v>
      </c>
    </row>
    <row r="464" customFormat="false" ht="13.8" hidden="false" customHeight="false" outlineLevel="0" collapsed="false">
      <c r="B464" s="1" t="n">
        <v>463</v>
      </c>
      <c r="C464" s="2" t="n">
        <v>0</v>
      </c>
    </row>
    <row r="465" customFormat="false" ht="13.8" hidden="false" customHeight="false" outlineLevel="0" collapsed="false">
      <c r="B465" s="1" t="n">
        <v>464</v>
      </c>
      <c r="C465" s="2" t="n">
        <v>0</v>
      </c>
    </row>
    <row r="466" customFormat="false" ht="13.8" hidden="false" customHeight="false" outlineLevel="0" collapsed="false">
      <c r="B466" s="1" t="n">
        <v>465</v>
      </c>
      <c r="C466" s="2" t="n">
        <v>0</v>
      </c>
    </row>
    <row r="467" customFormat="false" ht="13.8" hidden="false" customHeight="false" outlineLevel="0" collapsed="false">
      <c r="B467" s="1" t="n">
        <v>466</v>
      </c>
      <c r="C467" s="2" t="n">
        <v>0</v>
      </c>
    </row>
    <row r="468" customFormat="false" ht="13.8" hidden="false" customHeight="false" outlineLevel="0" collapsed="false">
      <c r="B468" s="1" t="n">
        <v>467</v>
      </c>
      <c r="C468" s="2" t="n">
        <v>0</v>
      </c>
    </row>
    <row r="469" customFormat="false" ht="13.8" hidden="false" customHeight="false" outlineLevel="0" collapsed="false">
      <c r="B469" s="1" t="n">
        <v>468</v>
      </c>
      <c r="C469" s="2" t="n">
        <v>0</v>
      </c>
    </row>
    <row r="470" customFormat="false" ht="13.8" hidden="false" customHeight="false" outlineLevel="0" collapsed="false">
      <c r="B470" s="1" t="n">
        <v>469</v>
      </c>
      <c r="C470" s="2" t="n">
        <v>0</v>
      </c>
    </row>
    <row r="471" customFormat="false" ht="13.8" hidden="false" customHeight="false" outlineLevel="0" collapsed="false">
      <c r="B471" s="1" t="n">
        <v>470</v>
      </c>
      <c r="C471" s="2" t="n">
        <v>0</v>
      </c>
    </row>
    <row r="472" customFormat="false" ht="13.8" hidden="false" customHeight="false" outlineLevel="0" collapsed="false">
      <c r="B472" s="1" t="n">
        <v>471</v>
      </c>
      <c r="C472" s="2" t="n">
        <v>0</v>
      </c>
    </row>
    <row r="473" customFormat="false" ht="13.8" hidden="false" customHeight="false" outlineLevel="0" collapsed="false">
      <c r="B473" s="1" t="n">
        <v>472</v>
      </c>
      <c r="C473" s="2" t="n">
        <v>0</v>
      </c>
    </row>
    <row r="474" customFormat="false" ht="13.8" hidden="false" customHeight="false" outlineLevel="0" collapsed="false">
      <c r="B474" s="1" t="n">
        <v>473</v>
      </c>
      <c r="C474" s="2" t="n">
        <v>0</v>
      </c>
    </row>
    <row r="475" customFormat="false" ht="13.8" hidden="false" customHeight="false" outlineLevel="0" collapsed="false">
      <c r="B475" s="1" t="n">
        <v>474</v>
      </c>
      <c r="C475" s="2" t="n">
        <v>0</v>
      </c>
    </row>
    <row r="476" customFormat="false" ht="13.8" hidden="false" customHeight="false" outlineLevel="0" collapsed="false">
      <c r="B476" s="1" t="n">
        <v>475</v>
      </c>
      <c r="C476" s="2" t="n">
        <v>0</v>
      </c>
    </row>
    <row r="477" customFormat="false" ht="13.8" hidden="false" customHeight="false" outlineLevel="0" collapsed="false">
      <c r="B477" s="1" t="n">
        <v>476</v>
      </c>
      <c r="C477" s="2" t="n">
        <v>0</v>
      </c>
    </row>
    <row r="478" customFormat="false" ht="13.8" hidden="false" customHeight="false" outlineLevel="0" collapsed="false">
      <c r="B478" s="1" t="n">
        <v>477</v>
      </c>
      <c r="C478" s="2" t="n">
        <v>0</v>
      </c>
    </row>
    <row r="479" customFormat="false" ht="13.8" hidden="false" customHeight="false" outlineLevel="0" collapsed="false">
      <c r="B479" s="1" t="n">
        <v>478</v>
      </c>
      <c r="C479" s="2" t="n">
        <v>0</v>
      </c>
    </row>
    <row r="480" customFormat="false" ht="13.8" hidden="false" customHeight="false" outlineLevel="0" collapsed="false">
      <c r="B480" s="1" t="n">
        <v>479</v>
      </c>
      <c r="C480" s="2" t="n">
        <v>0</v>
      </c>
    </row>
    <row r="481" customFormat="false" ht="13.8" hidden="false" customHeight="false" outlineLevel="0" collapsed="false">
      <c r="B481" s="1" t="n">
        <v>480</v>
      </c>
      <c r="C481" s="2" t="n">
        <v>0</v>
      </c>
    </row>
    <row r="482" customFormat="false" ht="13.8" hidden="false" customHeight="false" outlineLevel="0" collapsed="false">
      <c r="B482" s="1" t="n">
        <v>481</v>
      </c>
      <c r="C482" s="2" t="n">
        <v>0</v>
      </c>
    </row>
    <row r="483" customFormat="false" ht="13.8" hidden="false" customHeight="false" outlineLevel="0" collapsed="false">
      <c r="B483" s="1" t="n">
        <v>482</v>
      </c>
      <c r="C483" s="2" t="n">
        <v>0</v>
      </c>
    </row>
    <row r="484" customFormat="false" ht="13.8" hidden="false" customHeight="false" outlineLevel="0" collapsed="false">
      <c r="B484" s="1" t="n">
        <v>483</v>
      </c>
      <c r="C484" s="2" t="n">
        <v>0</v>
      </c>
    </row>
    <row r="485" customFormat="false" ht="13.8" hidden="false" customHeight="false" outlineLevel="0" collapsed="false">
      <c r="B485" s="1" t="n">
        <v>484</v>
      </c>
      <c r="C485" s="2" t="n">
        <v>0</v>
      </c>
    </row>
    <row r="486" customFormat="false" ht="13.8" hidden="false" customHeight="false" outlineLevel="0" collapsed="false">
      <c r="B486" s="1" t="n">
        <v>485</v>
      </c>
      <c r="C486" s="2" t="n">
        <v>0</v>
      </c>
    </row>
    <row r="487" customFormat="false" ht="13.8" hidden="false" customHeight="false" outlineLevel="0" collapsed="false">
      <c r="B487" s="1" t="n">
        <v>486</v>
      </c>
      <c r="C487" s="2" t="n">
        <v>0</v>
      </c>
    </row>
    <row r="488" customFormat="false" ht="13.8" hidden="false" customHeight="false" outlineLevel="0" collapsed="false">
      <c r="B488" s="1" t="n">
        <v>487</v>
      </c>
      <c r="C488" s="2" t="n">
        <v>0</v>
      </c>
    </row>
    <row r="489" customFormat="false" ht="13.8" hidden="false" customHeight="false" outlineLevel="0" collapsed="false">
      <c r="B489" s="1" t="n">
        <v>488</v>
      </c>
      <c r="C489" s="2" t="n">
        <v>0</v>
      </c>
    </row>
    <row r="490" customFormat="false" ht="13.8" hidden="false" customHeight="false" outlineLevel="0" collapsed="false">
      <c r="B490" s="1" t="n">
        <v>489</v>
      </c>
      <c r="C490" s="2" t="n">
        <v>0</v>
      </c>
    </row>
    <row r="491" customFormat="false" ht="13.8" hidden="false" customHeight="false" outlineLevel="0" collapsed="false">
      <c r="B491" s="1" t="n">
        <v>490</v>
      </c>
      <c r="C491" s="2" t="n">
        <v>0</v>
      </c>
    </row>
    <row r="492" customFormat="false" ht="13.8" hidden="false" customHeight="false" outlineLevel="0" collapsed="false">
      <c r="B492" s="1" t="n">
        <v>491</v>
      </c>
      <c r="C492" s="2" t="n">
        <v>0</v>
      </c>
    </row>
    <row r="493" customFormat="false" ht="13.8" hidden="false" customHeight="false" outlineLevel="0" collapsed="false">
      <c r="B493" s="1" t="n">
        <v>492</v>
      </c>
      <c r="C493" s="2" t="n">
        <v>0</v>
      </c>
    </row>
    <row r="494" customFormat="false" ht="13.8" hidden="false" customHeight="false" outlineLevel="0" collapsed="false">
      <c r="B494" s="1" t="n">
        <v>493</v>
      </c>
      <c r="C494" s="2" t="n">
        <v>0</v>
      </c>
    </row>
    <row r="495" customFormat="false" ht="13.8" hidden="false" customHeight="false" outlineLevel="0" collapsed="false">
      <c r="B495" s="1" t="n">
        <v>494</v>
      </c>
      <c r="C495" s="2" t="n">
        <v>0</v>
      </c>
    </row>
    <row r="496" customFormat="false" ht="13.8" hidden="false" customHeight="false" outlineLevel="0" collapsed="false">
      <c r="B496" s="1" t="n">
        <v>495</v>
      </c>
      <c r="C496" s="2" t="n">
        <v>0</v>
      </c>
    </row>
    <row r="497" customFormat="false" ht="13.8" hidden="false" customHeight="false" outlineLevel="0" collapsed="false">
      <c r="B497" s="1" t="n">
        <v>496</v>
      </c>
      <c r="C497" s="2" t="n">
        <v>0</v>
      </c>
    </row>
    <row r="498" customFormat="false" ht="13.8" hidden="false" customHeight="false" outlineLevel="0" collapsed="false">
      <c r="B498" s="1" t="n">
        <v>497</v>
      </c>
      <c r="C498" s="2" t="n">
        <v>0</v>
      </c>
    </row>
    <row r="499" customFormat="false" ht="13.8" hidden="false" customHeight="false" outlineLevel="0" collapsed="false">
      <c r="B499" s="1" t="n">
        <v>498</v>
      </c>
      <c r="C499" s="2" t="n">
        <v>0</v>
      </c>
    </row>
    <row r="500" customFormat="false" ht="13.8" hidden="false" customHeight="false" outlineLevel="0" collapsed="false">
      <c r="B500" s="1" t="n">
        <v>499</v>
      </c>
      <c r="C500" s="2" t="n">
        <v>0</v>
      </c>
    </row>
    <row r="501" customFormat="false" ht="13.8" hidden="false" customHeight="false" outlineLevel="0" collapsed="false">
      <c r="B501" s="1" t="n">
        <v>500</v>
      </c>
      <c r="C501" s="2" t="n">
        <v>0</v>
      </c>
    </row>
    <row r="502" customFormat="false" ht="13.8" hidden="false" customHeight="false" outlineLevel="0" collapsed="false">
      <c r="B502" s="1" t="n">
        <v>501</v>
      </c>
      <c r="C502" s="2" t="n">
        <v>0</v>
      </c>
    </row>
    <row r="503" customFormat="false" ht="13.8" hidden="false" customHeight="false" outlineLevel="0" collapsed="false">
      <c r="B503" s="1" t="n">
        <v>502</v>
      </c>
      <c r="C503" s="2" t="n">
        <v>7.1875E-005</v>
      </c>
    </row>
    <row r="504" customFormat="false" ht="13.8" hidden="false" customHeight="false" outlineLevel="0" collapsed="false">
      <c r="B504" s="1" t="n">
        <v>503</v>
      </c>
      <c r="C504" s="2" t="n">
        <v>0.00014375</v>
      </c>
    </row>
    <row r="505" customFormat="false" ht="13.8" hidden="false" customHeight="false" outlineLevel="0" collapsed="false">
      <c r="B505" s="1" t="n">
        <v>504</v>
      </c>
      <c r="C505" s="2" t="n">
        <v>0.000215625</v>
      </c>
    </row>
    <row r="506" customFormat="false" ht="13.8" hidden="false" customHeight="false" outlineLevel="0" collapsed="false">
      <c r="B506" s="1" t="n">
        <v>505</v>
      </c>
      <c r="C506" s="2" t="n">
        <v>0.0002875</v>
      </c>
    </row>
    <row r="507" customFormat="false" ht="13.8" hidden="false" customHeight="false" outlineLevel="0" collapsed="false">
      <c r="B507" s="1" t="n">
        <v>506</v>
      </c>
      <c r="C507" s="2" t="n">
        <v>0.001044375</v>
      </c>
    </row>
    <row r="508" customFormat="false" ht="13.8" hidden="false" customHeight="false" outlineLevel="0" collapsed="false">
      <c r="B508" s="1" t="n">
        <v>507</v>
      </c>
      <c r="C508" s="2" t="n">
        <v>0.00180125</v>
      </c>
    </row>
    <row r="509" customFormat="false" ht="13.8" hidden="false" customHeight="false" outlineLevel="0" collapsed="false">
      <c r="B509" s="1" t="n">
        <v>508</v>
      </c>
      <c r="C509" s="2" t="n">
        <v>0.002558125</v>
      </c>
    </row>
    <row r="510" customFormat="false" ht="13.8" hidden="false" customHeight="false" outlineLevel="0" collapsed="false">
      <c r="B510" s="1" t="n">
        <v>509</v>
      </c>
      <c r="C510" s="2" t="n">
        <v>0.003315</v>
      </c>
    </row>
    <row r="511" customFormat="false" ht="13.8" hidden="false" customHeight="false" outlineLevel="0" collapsed="false">
      <c r="B511" s="1" t="n">
        <v>510</v>
      </c>
      <c r="C511" s="2" t="n">
        <v>0.013855625</v>
      </c>
    </row>
    <row r="512" customFormat="false" ht="13.8" hidden="false" customHeight="false" outlineLevel="0" collapsed="false">
      <c r="B512" s="1" t="n">
        <v>511</v>
      </c>
      <c r="C512" s="2" t="n">
        <v>0.02439625</v>
      </c>
    </row>
    <row r="513" customFormat="false" ht="13.8" hidden="false" customHeight="false" outlineLevel="0" collapsed="false">
      <c r="B513" s="1" t="n">
        <v>512</v>
      </c>
      <c r="C513" s="2" t="n">
        <v>0.034936875</v>
      </c>
    </row>
    <row r="514" customFormat="false" ht="13.8" hidden="false" customHeight="false" outlineLevel="0" collapsed="false">
      <c r="B514" s="1" t="n">
        <v>513</v>
      </c>
      <c r="C514" s="2" t="n">
        <v>0.0454775</v>
      </c>
    </row>
    <row r="515" customFormat="false" ht="13.8" hidden="false" customHeight="false" outlineLevel="0" collapsed="false">
      <c r="B515" s="1" t="n">
        <v>514</v>
      </c>
      <c r="C515" s="2" t="n">
        <v>0.0545375</v>
      </c>
    </row>
    <row r="516" customFormat="false" ht="13.8" hidden="false" customHeight="false" outlineLevel="0" collapsed="false">
      <c r="B516" s="1" t="n">
        <v>515</v>
      </c>
      <c r="C516" s="2" t="n">
        <v>0.0635975</v>
      </c>
    </row>
    <row r="517" customFormat="false" ht="13.8" hidden="false" customHeight="false" outlineLevel="0" collapsed="false">
      <c r="B517" s="1" t="n">
        <v>516</v>
      </c>
      <c r="C517" s="2" t="n">
        <v>0.0726575</v>
      </c>
    </row>
    <row r="518" customFormat="false" ht="13.8" hidden="false" customHeight="false" outlineLevel="0" collapsed="false">
      <c r="B518" s="1" t="n">
        <v>517</v>
      </c>
      <c r="C518" s="2" t="n">
        <v>0.0817175</v>
      </c>
    </row>
    <row r="519" customFormat="false" ht="13.8" hidden="false" customHeight="false" outlineLevel="0" collapsed="false">
      <c r="B519" s="1" t="n">
        <v>518</v>
      </c>
      <c r="C519" s="2" t="n">
        <v>0.085335</v>
      </c>
    </row>
    <row r="520" customFormat="false" ht="13.8" hidden="false" customHeight="false" outlineLevel="0" collapsed="false">
      <c r="B520" s="1" t="n">
        <v>519</v>
      </c>
      <c r="C520" s="2" t="n">
        <v>0.0889525</v>
      </c>
    </row>
    <row r="521" customFormat="false" ht="13.8" hidden="false" customHeight="false" outlineLevel="0" collapsed="false">
      <c r="B521" s="1" t="n">
        <v>520</v>
      </c>
      <c r="C521" s="2" t="n">
        <v>0.09257</v>
      </c>
    </row>
    <row r="522" customFormat="false" ht="13.8" hidden="false" customHeight="false" outlineLevel="0" collapsed="false">
      <c r="B522" s="1" t="n">
        <v>521</v>
      </c>
      <c r="C522" s="2" t="n">
        <v>0.0961875</v>
      </c>
    </row>
    <row r="523" customFormat="false" ht="13.8" hidden="false" customHeight="false" outlineLevel="0" collapsed="false">
      <c r="B523" s="1" t="n">
        <v>522</v>
      </c>
      <c r="C523" s="2" t="n">
        <v>0.108524375</v>
      </c>
    </row>
    <row r="524" customFormat="false" ht="13.8" hidden="false" customHeight="false" outlineLevel="0" collapsed="false">
      <c r="B524" s="1" t="n">
        <v>523</v>
      </c>
      <c r="C524" s="2" t="n">
        <v>0.12086125</v>
      </c>
    </row>
    <row r="525" customFormat="false" ht="13.8" hidden="false" customHeight="false" outlineLevel="0" collapsed="false">
      <c r="B525" s="1" t="n">
        <v>524</v>
      </c>
      <c r="C525" s="2" t="n">
        <v>0.133198125</v>
      </c>
    </row>
    <row r="526" customFormat="false" ht="13.8" hidden="false" customHeight="false" outlineLevel="0" collapsed="false">
      <c r="B526" s="1" t="n">
        <v>525</v>
      </c>
      <c r="C526" s="2" t="n">
        <v>0.145535</v>
      </c>
    </row>
    <row r="527" customFormat="false" ht="13.8" hidden="false" customHeight="false" outlineLevel="0" collapsed="false">
      <c r="B527" s="1" t="n">
        <v>526</v>
      </c>
      <c r="C527" s="2" t="n">
        <v>0.13894625</v>
      </c>
    </row>
    <row r="528" customFormat="false" ht="13.8" hidden="false" customHeight="false" outlineLevel="0" collapsed="false">
      <c r="B528" s="1" t="n">
        <v>527</v>
      </c>
      <c r="C528" s="2" t="n">
        <v>0.1323575</v>
      </c>
    </row>
    <row r="529" customFormat="false" ht="13.8" hidden="false" customHeight="false" outlineLevel="0" collapsed="false">
      <c r="B529" s="1" t="n">
        <v>528</v>
      </c>
      <c r="C529" s="2" t="n">
        <v>0.12576875</v>
      </c>
    </row>
    <row r="530" customFormat="false" ht="13.8" hidden="false" customHeight="false" outlineLevel="0" collapsed="false">
      <c r="B530" s="1" t="n">
        <v>529</v>
      </c>
      <c r="C530" s="2" t="n">
        <v>0.11918</v>
      </c>
    </row>
    <row r="531" customFormat="false" ht="13.8" hidden="false" customHeight="false" outlineLevel="0" collapsed="false">
      <c r="B531" s="1" t="n">
        <v>530</v>
      </c>
      <c r="C531" s="2" t="n">
        <v>0.116291875</v>
      </c>
    </row>
    <row r="532" customFormat="false" ht="13.8" hidden="false" customHeight="false" outlineLevel="0" collapsed="false">
      <c r="B532" s="1" t="n">
        <v>531</v>
      </c>
      <c r="C532" s="2" t="n">
        <v>0.11340375</v>
      </c>
    </row>
    <row r="533" customFormat="false" ht="13.8" hidden="false" customHeight="false" outlineLevel="0" collapsed="false">
      <c r="B533" s="1" t="n">
        <v>532</v>
      </c>
      <c r="C533" s="2" t="n">
        <v>0.110515625</v>
      </c>
    </row>
    <row r="534" customFormat="false" ht="13.8" hidden="false" customHeight="false" outlineLevel="0" collapsed="false">
      <c r="B534" s="1" t="n">
        <v>533</v>
      </c>
      <c r="C534" s="2" t="n">
        <v>0.1076275</v>
      </c>
    </row>
    <row r="535" customFormat="false" ht="13.8" hidden="false" customHeight="false" outlineLevel="0" collapsed="false">
      <c r="B535" s="1" t="n">
        <v>534</v>
      </c>
      <c r="C535" s="2" t="n">
        <v>0.089943125</v>
      </c>
    </row>
    <row r="536" customFormat="false" ht="13.8" hidden="false" customHeight="false" outlineLevel="0" collapsed="false">
      <c r="B536" s="1" t="n">
        <v>535</v>
      </c>
      <c r="C536" s="2" t="n">
        <v>0.07225875</v>
      </c>
    </row>
    <row r="537" customFormat="false" ht="13.8" hidden="false" customHeight="false" outlineLevel="0" collapsed="false">
      <c r="B537" s="1" t="n">
        <v>536</v>
      </c>
      <c r="C537" s="2" t="n">
        <v>0.054574375</v>
      </c>
    </row>
    <row r="538" customFormat="false" ht="13.8" hidden="false" customHeight="false" outlineLevel="0" collapsed="false">
      <c r="B538" s="1" t="n">
        <v>537</v>
      </c>
      <c r="C538" s="2" t="n">
        <v>0.03689</v>
      </c>
    </row>
    <row r="539" customFormat="false" ht="13.8" hidden="false" customHeight="false" outlineLevel="0" collapsed="false">
      <c r="B539" s="1" t="n">
        <v>538</v>
      </c>
      <c r="C539" s="2" t="n">
        <v>0.029913125</v>
      </c>
    </row>
    <row r="540" customFormat="false" ht="13.8" hidden="false" customHeight="false" outlineLevel="0" collapsed="false">
      <c r="B540" s="1" t="n">
        <v>539</v>
      </c>
      <c r="C540" s="2" t="n">
        <v>0.02293625</v>
      </c>
    </row>
    <row r="541" customFormat="false" ht="13.8" hidden="false" customHeight="false" outlineLevel="0" collapsed="false">
      <c r="B541" s="1" t="n">
        <v>540</v>
      </c>
      <c r="C541" s="2" t="n">
        <v>0.015959375</v>
      </c>
    </row>
    <row r="542" customFormat="false" ht="13.8" hidden="false" customHeight="false" outlineLevel="0" collapsed="false">
      <c r="B542" s="1" t="n">
        <v>541</v>
      </c>
      <c r="C542" s="2" t="n">
        <v>0.0089825</v>
      </c>
    </row>
    <row r="543" customFormat="false" ht="13.8" hidden="false" customHeight="false" outlineLevel="0" collapsed="false">
      <c r="B543" s="1" t="n">
        <v>542</v>
      </c>
      <c r="C543" s="2" t="n">
        <v>0.0080775</v>
      </c>
    </row>
    <row r="544" customFormat="false" ht="13.8" hidden="false" customHeight="false" outlineLevel="0" collapsed="false">
      <c r="B544" s="1" t="n">
        <v>543</v>
      </c>
      <c r="C544" s="2" t="n">
        <v>0.0071725</v>
      </c>
    </row>
    <row r="545" customFormat="false" ht="13.8" hidden="false" customHeight="false" outlineLevel="0" collapsed="false">
      <c r="B545" s="1" t="n">
        <v>544</v>
      </c>
      <c r="C545" s="2" t="n">
        <v>0.0062675</v>
      </c>
    </row>
    <row r="546" customFormat="false" ht="13.8" hidden="false" customHeight="false" outlineLevel="0" collapsed="false">
      <c r="B546" s="1" t="n">
        <v>545</v>
      </c>
      <c r="C546" s="2" t="n">
        <v>0.0053625</v>
      </c>
    </row>
    <row r="547" customFormat="false" ht="13.8" hidden="false" customHeight="false" outlineLevel="0" collapsed="false">
      <c r="B547" s="1" t="n">
        <v>546</v>
      </c>
      <c r="C547" s="2" t="n">
        <v>0.004891875</v>
      </c>
    </row>
    <row r="548" customFormat="false" ht="13.8" hidden="false" customHeight="false" outlineLevel="0" collapsed="false">
      <c r="B548" s="1" t="n">
        <v>547</v>
      </c>
      <c r="C548" s="2" t="n">
        <v>0.00442125</v>
      </c>
    </row>
    <row r="549" customFormat="false" ht="13.8" hidden="false" customHeight="false" outlineLevel="0" collapsed="false">
      <c r="B549" s="1" t="n">
        <v>548</v>
      </c>
      <c r="C549" s="2" t="n">
        <v>0.003950625</v>
      </c>
    </row>
    <row r="550" customFormat="false" ht="13.8" hidden="false" customHeight="false" outlineLevel="0" collapsed="false">
      <c r="B550" s="1" t="n">
        <v>549</v>
      </c>
      <c r="C550" s="2" t="n">
        <v>0.00348</v>
      </c>
    </row>
    <row r="551" customFormat="false" ht="13.8" hidden="false" customHeight="false" outlineLevel="0" collapsed="false">
      <c r="B551" s="1" t="n">
        <v>550</v>
      </c>
      <c r="C551" s="2" t="n">
        <v>0.00261</v>
      </c>
    </row>
    <row r="552" customFormat="false" ht="13.8" hidden="false" customHeight="false" outlineLevel="0" collapsed="false">
      <c r="B552" s="1" t="n">
        <v>551</v>
      </c>
      <c r="C552" s="2" t="n">
        <v>0.00174</v>
      </c>
    </row>
    <row r="553" customFormat="false" ht="13.8" hidden="false" customHeight="false" outlineLevel="0" collapsed="false">
      <c r="B553" s="1" t="n">
        <v>552</v>
      </c>
      <c r="C553" s="2" t="n">
        <v>0.00087</v>
      </c>
    </row>
    <row r="554" customFormat="false" ht="13.8" hidden="false" customHeight="false" outlineLevel="0" collapsed="false">
      <c r="B554" s="1" t="n">
        <v>553</v>
      </c>
      <c r="C554" s="2" t="n">
        <v>0</v>
      </c>
    </row>
    <row r="555" customFormat="false" ht="13.8" hidden="false" customHeight="false" outlineLevel="0" collapsed="false">
      <c r="B555" s="1" t="n">
        <v>554</v>
      </c>
      <c r="C555" s="2" t="n">
        <v>0</v>
      </c>
    </row>
    <row r="556" customFormat="false" ht="13.8" hidden="false" customHeight="false" outlineLevel="0" collapsed="false">
      <c r="B556" s="1" t="n">
        <v>555</v>
      </c>
      <c r="C556" s="2" t="n">
        <v>0</v>
      </c>
    </row>
    <row r="557" customFormat="false" ht="13.8" hidden="false" customHeight="false" outlineLevel="0" collapsed="false">
      <c r="B557" s="1" t="n">
        <v>556</v>
      </c>
      <c r="C557" s="2" t="n">
        <v>0</v>
      </c>
    </row>
    <row r="558" customFormat="false" ht="13.8" hidden="false" customHeight="false" outlineLevel="0" collapsed="false">
      <c r="B558" s="1" t="n">
        <v>557</v>
      </c>
      <c r="C558" s="2" t="n">
        <v>0</v>
      </c>
    </row>
    <row r="559" customFormat="false" ht="13.8" hidden="false" customHeight="false" outlineLevel="0" collapsed="false">
      <c r="B559" s="1" t="n">
        <v>558</v>
      </c>
      <c r="C559" s="2" t="n">
        <v>0</v>
      </c>
    </row>
    <row r="560" customFormat="false" ht="13.8" hidden="false" customHeight="false" outlineLevel="0" collapsed="false">
      <c r="B560" s="1" t="n">
        <v>559</v>
      </c>
      <c r="C560" s="2" t="n">
        <v>0</v>
      </c>
    </row>
    <row r="561" customFormat="false" ht="13.8" hidden="false" customHeight="false" outlineLevel="0" collapsed="false">
      <c r="B561" s="1" t="n">
        <v>560</v>
      </c>
      <c r="C561" s="2" t="n">
        <v>0</v>
      </c>
    </row>
    <row r="562" customFormat="false" ht="13.8" hidden="false" customHeight="false" outlineLevel="0" collapsed="false">
      <c r="B562" s="1" t="n">
        <v>561</v>
      </c>
      <c r="C562" s="2" t="n">
        <v>0</v>
      </c>
    </row>
    <row r="563" customFormat="false" ht="13.8" hidden="false" customHeight="false" outlineLevel="0" collapsed="false">
      <c r="B563" s="1" t="n">
        <v>562</v>
      </c>
      <c r="C563" s="2" t="n">
        <v>0</v>
      </c>
    </row>
    <row r="564" customFormat="false" ht="13.8" hidden="false" customHeight="false" outlineLevel="0" collapsed="false">
      <c r="B564" s="1" t="n">
        <v>563</v>
      </c>
      <c r="C564" s="2" t="n">
        <v>0</v>
      </c>
    </row>
    <row r="565" customFormat="false" ht="13.8" hidden="false" customHeight="false" outlineLevel="0" collapsed="false">
      <c r="B565" s="1" t="n">
        <v>564</v>
      </c>
      <c r="C565" s="2" t="n">
        <v>0</v>
      </c>
    </row>
    <row r="566" customFormat="false" ht="13.8" hidden="false" customHeight="false" outlineLevel="0" collapsed="false">
      <c r="B566" s="1" t="n">
        <v>565</v>
      </c>
      <c r="C566" s="2" t="n">
        <v>0</v>
      </c>
    </row>
    <row r="567" customFormat="false" ht="13.8" hidden="false" customHeight="false" outlineLevel="0" collapsed="false">
      <c r="B567" s="1" t="n">
        <v>566</v>
      </c>
      <c r="C567" s="2" t="n">
        <v>0</v>
      </c>
    </row>
    <row r="568" customFormat="false" ht="13.8" hidden="false" customHeight="false" outlineLevel="0" collapsed="false">
      <c r="B568" s="1" t="n">
        <v>567</v>
      </c>
      <c r="C568" s="2" t="n">
        <v>0</v>
      </c>
    </row>
    <row r="569" customFormat="false" ht="13.8" hidden="false" customHeight="false" outlineLevel="0" collapsed="false">
      <c r="B569" s="1" t="n">
        <v>568</v>
      </c>
      <c r="C569" s="2" t="n">
        <v>0</v>
      </c>
    </row>
    <row r="570" customFormat="false" ht="13.8" hidden="false" customHeight="false" outlineLevel="0" collapsed="false">
      <c r="B570" s="1" t="n">
        <v>569</v>
      </c>
      <c r="C570" s="2" t="n">
        <v>0</v>
      </c>
    </row>
    <row r="571" customFormat="false" ht="13.8" hidden="false" customHeight="false" outlineLevel="0" collapsed="false">
      <c r="B571" s="1" t="n">
        <v>570</v>
      </c>
      <c r="C571" s="2" t="n">
        <v>0</v>
      </c>
    </row>
    <row r="572" customFormat="false" ht="13.8" hidden="false" customHeight="false" outlineLevel="0" collapsed="false">
      <c r="B572" s="1" t="n">
        <v>571</v>
      </c>
      <c r="C572" s="2" t="n">
        <v>0</v>
      </c>
    </row>
    <row r="573" customFormat="false" ht="13.8" hidden="false" customHeight="false" outlineLevel="0" collapsed="false">
      <c r="B573" s="1" t="n">
        <v>572</v>
      </c>
      <c r="C573" s="2" t="n">
        <v>0</v>
      </c>
    </row>
    <row r="574" customFormat="false" ht="13.8" hidden="false" customHeight="false" outlineLevel="0" collapsed="false">
      <c r="B574" s="1" t="n">
        <v>573</v>
      </c>
      <c r="C574" s="2" t="n">
        <v>0</v>
      </c>
    </row>
    <row r="575" customFormat="false" ht="13.8" hidden="false" customHeight="false" outlineLevel="0" collapsed="false">
      <c r="B575" s="1" t="n">
        <v>574</v>
      </c>
      <c r="C575" s="2" t="n">
        <v>0</v>
      </c>
    </row>
    <row r="576" customFormat="false" ht="13.8" hidden="false" customHeight="false" outlineLevel="0" collapsed="false">
      <c r="B576" s="1" t="n">
        <v>575</v>
      </c>
      <c r="C576" s="2" t="n">
        <v>0</v>
      </c>
    </row>
    <row r="577" customFormat="false" ht="13.8" hidden="false" customHeight="false" outlineLevel="0" collapsed="false">
      <c r="B577" s="1" t="n">
        <v>576</v>
      </c>
      <c r="C577" s="2" t="n">
        <v>0</v>
      </c>
    </row>
    <row r="578" customFormat="false" ht="13.8" hidden="false" customHeight="false" outlineLevel="0" collapsed="false">
      <c r="B578" s="1" t="n">
        <v>577</v>
      </c>
      <c r="C578" s="2" t="n">
        <v>0</v>
      </c>
    </row>
    <row r="579" customFormat="false" ht="13.8" hidden="false" customHeight="false" outlineLevel="0" collapsed="false">
      <c r="B579" s="1" t="n">
        <v>578</v>
      </c>
      <c r="C579" s="2" t="n">
        <v>0</v>
      </c>
    </row>
    <row r="580" customFormat="false" ht="13.8" hidden="false" customHeight="false" outlineLevel="0" collapsed="false">
      <c r="B580" s="1" t="n">
        <v>579</v>
      </c>
      <c r="C580" s="2" t="n">
        <v>0</v>
      </c>
    </row>
    <row r="581" customFormat="false" ht="13.8" hidden="false" customHeight="false" outlineLevel="0" collapsed="false">
      <c r="B581" s="1" t="n">
        <v>580</v>
      </c>
      <c r="C581" s="2" t="n">
        <v>0</v>
      </c>
    </row>
    <row r="582" customFormat="false" ht="13.8" hidden="false" customHeight="false" outlineLevel="0" collapsed="false">
      <c r="B582" s="1" t="n">
        <v>581</v>
      </c>
      <c r="C582" s="2" t="n">
        <v>0</v>
      </c>
    </row>
    <row r="583" customFormat="false" ht="13.8" hidden="false" customHeight="false" outlineLevel="0" collapsed="false">
      <c r="B583" s="1" t="n">
        <v>582</v>
      </c>
      <c r="C583" s="2" t="n">
        <v>0</v>
      </c>
    </row>
    <row r="584" customFormat="false" ht="13.8" hidden="false" customHeight="false" outlineLevel="0" collapsed="false">
      <c r="B584" s="1" t="n">
        <v>583</v>
      </c>
      <c r="C584" s="2" t="n">
        <v>0</v>
      </c>
    </row>
    <row r="585" customFormat="false" ht="13.8" hidden="false" customHeight="false" outlineLevel="0" collapsed="false">
      <c r="B585" s="1" t="n">
        <v>584</v>
      </c>
      <c r="C585" s="2" t="n">
        <v>0</v>
      </c>
    </row>
    <row r="586" customFormat="false" ht="13.8" hidden="false" customHeight="false" outlineLevel="0" collapsed="false">
      <c r="B586" s="1" t="n">
        <v>585</v>
      </c>
      <c r="C586" s="2" t="n">
        <v>0</v>
      </c>
    </row>
    <row r="587" customFormat="false" ht="13.8" hidden="false" customHeight="false" outlineLevel="0" collapsed="false">
      <c r="B587" s="1" t="n">
        <v>586</v>
      </c>
      <c r="C587" s="2" t="n">
        <v>0</v>
      </c>
    </row>
    <row r="588" customFormat="false" ht="13.8" hidden="false" customHeight="false" outlineLevel="0" collapsed="false">
      <c r="B588" s="1" t="n">
        <v>587</v>
      </c>
      <c r="C588" s="2" t="n">
        <v>0</v>
      </c>
    </row>
    <row r="589" customFormat="false" ht="13.8" hidden="false" customHeight="false" outlineLevel="0" collapsed="false">
      <c r="B589" s="1" t="n">
        <v>588</v>
      </c>
      <c r="C589" s="2" t="n">
        <v>0</v>
      </c>
    </row>
    <row r="590" customFormat="false" ht="13.8" hidden="false" customHeight="false" outlineLevel="0" collapsed="false">
      <c r="B590" s="1" t="n">
        <v>589</v>
      </c>
      <c r="C590" s="2" t="n">
        <v>0</v>
      </c>
    </row>
    <row r="591" customFormat="false" ht="13.8" hidden="false" customHeight="false" outlineLevel="0" collapsed="false">
      <c r="B591" s="1" t="n">
        <v>590</v>
      </c>
      <c r="C591" s="2" t="n">
        <v>0</v>
      </c>
    </row>
    <row r="592" customFormat="false" ht="13.8" hidden="false" customHeight="false" outlineLevel="0" collapsed="false">
      <c r="B592" s="1" t="n">
        <v>591</v>
      </c>
      <c r="C592" s="2" t="n">
        <v>0</v>
      </c>
    </row>
    <row r="593" customFormat="false" ht="13.8" hidden="false" customHeight="false" outlineLevel="0" collapsed="false">
      <c r="B593" s="1" t="n">
        <v>592</v>
      </c>
      <c r="C593" s="2" t="n">
        <v>0</v>
      </c>
    </row>
    <row r="594" customFormat="false" ht="13.8" hidden="false" customHeight="false" outlineLevel="0" collapsed="false">
      <c r="B594" s="1" t="n">
        <v>593</v>
      </c>
      <c r="C594" s="2" t="n">
        <v>0</v>
      </c>
    </row>
    <row r="595" customFormat="false" ht="13.8" hidden="false" customHeight="false" outlineLevel="0" collapsed="false">
      <c r="B595" s="1" t="n">
        <v>594</v>
      </c>
      <c r="C595" s="2" t="n">
        <v>0</v>
      </c>
    </row>
    <row r="596" customFormat="false" ht="13.8" hidden="false" customHeight="false" outlineLevel="0" collapsed="false">
      <c r="B596" s="1" t="n">
        <v>595</v>
      </c>
      <c r="C596" s="2" t="n">
        <v>0</v>
      </c>
    </row>
    <row r="597" customFormat="false" ht="13.8" hidden="false" customHeight="false" outlineLevel="0" collapsed="false">
      <c r="B597" s="1" t="n">
        <v>596</v>
      </c>
      <c r="C597" s="2" t="n">
        <v>0</v>
      </c>
    </row>
    <row r="598" customFormat="false" ht="13.8" hidden="false" customHeight="false" outlineLevel="0" collapsed="false">
      <c r="B598" s="1" t="n">
        <v>597</v>
      </c>
      <c r="C598" s="2" t="n">
        <v>0</v>
      </c>
    </row>
    <row r="599" customFormat="false" ht="13.8" hidden="false" customHeight="false" outlineLevel="0" collapsed="false">
      <c r="B599" s="1" t="n">
        <v>598</v>
      </c>
      <c r="C599" s="2" t="n">
        <v>0.001459375</v>
      </c>
    </row>
    <row r="600" customFormat="false" ht="13.8" hidden="false" customHeight="false" outlineLevel="0" collapsed="false">
      <c r="B600" s="1" t="n">
        <v>599</v>
      </c>
      <c r="C600" s="2" t="n">
        <v>0.00291875</v>
      </c>
    </row>
    <row r="601" customFormat="false" ht="13.8" hidden="false" customHeight="false" outlineLevel="0" collapsed="false">
      <c r="B601" s="1" t="n">
        <v>600</v>
      </c>
      <c r="C601" s="2" t="n">
        <v>0.004378125</v>
      </c>
    </row>
    <row r="602" customFormat="false" ht="13.8" hidden="false" customHeight="false" outlineLevel="0" collapsed="false">
      <c r="B602" s="1" t="n">
        <v>601</v>
      </c>
      <c r="C602" s="2" t="n">
        <v>0.0058375</v>
      </c>
    </row>
    <row r="603" customFormat="false" ht="13.8" hidden="false" customHeight="false" outlineLevel="0" collapsed="false">
      <c r="B603" s="1" t="n">
        <v>602</v>
      </c>
      <c r="C603" s="2" t="n">
        <v>0.0131025</v>
      </c>
    </row>
    <row r="604" customFormat="false" ht="13.8" hidden="false" customHeight="false" outlineLevel="0" collapsed="false">
      <c r="B604" s="1" t="n">
        <v>603</v>
      </c>
      <c r="C604" s="2" t="n">
        <v>0.0203675</v>
      </c>
    </row>
    <row r="605" customFormat="false" ht="13.8" hidden="false" customHeight="false" outlineLevel="0" collapsed="false">
      <c r="B605" s="1" t="n">
        <v>604</v>
      </c>
      <c r="C605" s="2" t="n">
        <v>0.0276325</v>
      </c>
    </row>
    <row r="606" customFormat="false" ht="13.8" hidden="false" customHeight="false" outlineLevel="0" collapsed="false">
      <c r="B606" s="1" t="n">
        <v>605</v>
      </c>
      <c r="C606" s="2" t="n">
        <v>0.0348975</v>
      </c>
    </row>
    <row r="607" customFormat="false" ht="13.8" hidden="false" customHeight="false" outlineLevel="0" collapsed="false">
      <c r="B607" s="1" t="n">
        <v>606</v>
      </c>
      <c r="C607" s="2" t="n">
        <v>0.047335625</v>
      </c>
    </row>
    <row r="608" customFormat="false" ht="13.8" hidden="false" customHeight="false" outlineLevel="0" collapsed="false">
      <c r="B608" s="1" t="n">
        <v>607</v>
      </c>
      <c r="C608" s="2" t="n">
        <v>0.05977375</v>
      </c>
    </row>
    <row r="609" customFormat="false" ht="13.8" hidden="false" customHeight="false" outlineLevel="0" collapsed="false">
      <c r="B609" s="1" t="n">
        <v>608</v>
      </c>
      <c r="C609" s="2" t="n">
        <v>0.072211875</v>
      </c>
    </row>
    <row r="610" customFormat="false" ht="13.8" hidden="false" customHeight="false" outlineLevel="0" collapsed="false">
      <c r="B610" s="1" t="n">
        <v>609</v>
      </c>
      <c r="C610" s="2" t="n">
        <v>0.08465</v>
      </c>
    </row>
    <row r="611" customFormat="false" ht="13.8" hidden="false" customHeight="false" outlineLevel="0" collapsed="false">
      <c r="B611" s="1" t="n">
        <v>610</v>
      </c>
      <c r="C611" s="2" t="n">
        <v>0.09511875</v>
      </c>
    </row>
    <row r="612" customFormat="false" ht="13.8" hidden="false" customHeight="false" outlineLevel="0" collapsed="false">
      <c r="B612" s="1" t="n">
        <v>611</v>
      </c>
      <c r="C612" s="2" t="n">
        <v>0.1055875</v>
      </c>
    </row>
    <row r="613" customFormat="false" ht="13.8" hidden="false" customHeight="false" outlineLevel="0" collapsed="false">
      <c r="B613" s="1" t="n">
        <v>612</v>
      </c>
      <c r="C613" s="2" t="n">
        <v>0.11605625</v>
      </c>
    </row>
    <row r="614" customFormat="false" ht="13.8" hidden="false" customHeight="false" outlineLevel="0" collapsed="false">
      <c r="B614" s="1" t="n">
        <v>613</v>
      </c>
      <c r="C614" s="2" t="n">
        <v>0.126525</v>
      </c>
    </row>
    <row r="615" customFormat="false" ht="13.8" hidden="false" customHeight="false" outlineLevel="0" collapsed="false">
      <c r="B615" s="1" t="n">
        <v>614</v>
      </c>
      <c r="C615" s="2" t="n">
        <v>0.1344325</v>
      </c>
    </row>
    <row r="616" customFormat="false" ht="13.8" hidden="false" customHeight="false" outlineLevel="0" collapsed="false">
      <c r="B616" s="1" t="n">
        <v>615</v>
      </c>
      <c r="C616" s="2" t="n">
        <v>0.14234</v>
      </c>
    </row>
    <row r="617" customFormat="false" ht="13.8" hidden="false" customHeight="false" outlineLevel="0" collapsed="false">
      <c r="B617" s="1" t="n">
        <v>616</v>
      </c>
      <c r="C617" s="2" t="n">
        <v>0.1502475</v>
      </c>
    </row>
    <row r="618" customFormat="false" ht="13.8" hidden="false" customHeight="false" outlineLevel="0" collapsed="false">
      <c r="B618" s="1" t="n">
        <v>617</v>
      </c>
      <c r="C618" s="2" t="n">
        <v>0.158155</v>
      </c>
    </row>
    <row r="619" customFormat="false" ht="13.8" hidden="false" customHeight="false" outlineLevel="0" collapsed="false">
      <c r="B619" s="1" t="n">
        <v>618</v>
      </c>
      <c r="C619" s="2" t="n">
        <v>0.162835</v>
      </c>
    </row>
    <row r="620" customFormat="false" ht="13.8" hidden="false" customHeight="false" outlineLevel="0" collapsed="false">
      <c r="B620" s="1" t="n">
        <v>619</v>
      </c>
      <c r="C620" s="2" t="n">
        <v>0.167515</v>
      </c>
    </row>
    <row r="621" customFormat="false" ht="13.8" hidden="false" customHeight="false" outlineLevel="0" collapsed="false">
      <c r="B621" s="1" t="n">
        <v>620</v>
      </c>
      <c r="C621" s="2" t="n">
        <v>0.172195</v>
      </c>
    </row>
    <row r="622" customFormat="false" ht="13.8" hidden="false" customHeight="false" outlineLevel="0" collapsed="false">
      <c r="B622" s="1" t="n">
        <v>621</v>
      </c>
      <c r="C622" s="2" t="n">
        <v>0.176875</v>
      </c>
    </row>
    <row r="623" customFormat="false" ht="13.8" hidden="false" customHeight="false" outlineLevel="0" collapsed="false">
      <c r="B623" s="1" t="n">
        <v>622</v>
      </c>
      <c r="C623" s="2" t="n">
        <v>0.17365125</v>
      </c>
    </row>
    <row r="624" customFormat="false" ht="13.8" hidden="false" customHeight="false" outlineLevel="0" collapsed="false">
      <c r="B624" s="1" t="n">
        <v>623</v>
      </c>
      <c r="C624" s="2" t="n">
        <v>0.1704275</v>
      </c>
    </row>
    <row r="625" customFormat="false" ht="13.8" hidden="false" customHeight="false" outlineLevel="0" collapsed="false">
      <c r="B625" s="1" t="n">
        <v>624</v>
      </c>
      <c r="C625" s="2" t="n">
        <v>0.16720375</v>
      </c>
    </row>
    <row r="626" customFormat="false" ht="13.8" hidden="false" customHeight="false" outlineLevel="0" collapsed="false">
      <c r="B626" s="1" t="n">
        <v>625</v>
      </c>
      <c r="C626" s="2" t="n">
        <v>0.16398</v>
      </c>
    </row>
    <row r="627" customFormat="false" ht="13.8" hidden="false" customHeight="false" outlineLevel="0" collapsed="false">
      <c r="B627" s="1" t="n">
        <v>626</v>
      </c>
      <c r="C627" s="2" t="n">
        <v>0.1457525</v>
      </c>
    </row>
    <row r="628" customFormat="false" ht="13.8" hidden="false" customHeight="false" outlineLevel="0" collapsed="false">
      <c r="B628" s="1" t="n">
        <v>627</v>
      </c>
      <c r="C628" s="2" t="n">
        <v>0.127525</v>
      </c>
    </row>
    <row r="629" customFormat="false" ht="13.8" hidden="false" customHeight="false" outlineLevel="0" collapsed="false">
      <c r="B629" s="1" t="n">
        <v>628</v>
      </c>
      <c r="C629" s="2" t="n">
        <v>0.1092975</v>
      </c>
    </row>
    <row r="630" customFormat="false" ht="13.8" hidden="false" customHeight="false" outlineLevel="0" collapsed="false">
      <c r="B630" s="1" t="n">
        <v>629</v>
      </c>
      <c r="C630" s="2" t="n">
        <v>0.09107</v>
      </c>
    </row>
    <row r="631" customFormat="false" ht="13.8" hidden="false" customHeight="false" outlineLevel="0" collapsed="false">
      <c r="B631" s="1" t="n">
        <v>630</v>
      </c>
      <c r="C631" s="2" t="n">
        <v>0.08901375</v>
      </c>
    </row>
    <row r="632" customFormat="false" ht="13.8" hidden="false" customHeight="false" outlineLevel="0" collapsed="false">
      <c r="B632" s="1" t="n">
        <v>631</v>
      </c>
      <c r="C632" s="2" t="n">
        <v>0.0869575</v>
      </c>
    </row>
    <row r="633" customFormat="false" ht="13.8" hidden="false" customHeight="false" outlineLevel="0" collapsed="false">
      <c r="B633" s="1" t="n">
        <v>632</v>
      </c>
      <c r="C633" s="2" t="n">
        <v>0.08490125</v>
      </c>
    </row>
    <row r="634" customFormat="false" ht="13.8" hidden="false" customHeight="false" outlineLevel="0" collapsed="false">
      <c r="B634" s="1" t="n">
        <v>633</v>
      </c>
      <c r="C634" s="2" t="n">
        <v>0.082845</v>
      </c>
    </row>
    <row r="635" customFormat="false" ht="13.8" hidden="false" customHeight="false" outlineLevel="0" collapsed="false">
      <c r="B635" s="1" t="n">
        <v>634</v>
      </c>
      <c r="C635" s="2" t="n">
        <v>0.07641375</v>
      </c>
    </row>
    <row r="636" customFormat="false" ht="13.8" hidden="false" customHeight="false" outlineLevel="0" collapsed="false">
      <c r="B636" s="1" t="n">
        <v>635</v>
      </c>
      <c r="C636" s="2" t="n">
        <v>0.0699825</v>
      </c>
    </row>
    <row r="637" customFormat="false" ht="13.8" hidden="false" customHeight="false" outlineLevel="0" collapsed="false">
      <c r="B637" s="1" t="n">
        <v>636</v>
      </c>
      <c r="C637" s="2" t="n">
        <v>0.06355125</v>
      </c>
    </row>
    <row r="638" customFormat="false" ht="13.8" hidden="false" customHeight="false" outlineLevel="0" collapsed="false">
      <c r="B638" s="1" t="n">
        <v>637</v>
      </c>
      <c r="C638" s="2" t="n">
        <v>0.05712</v>
      </c>
    </row>
    <row r="639" customFormat="false" ht="13.8" hidden="false" customHeight="false" outlineLevel="0" collapsed="false">
      <c r="B639" s="1" t="n">
        <v>638</v>
      </c>
      <c r="C639" s="2" t="n">
        <v>0.045080625</v>
      </c>
    </row>
    <row r="640" customFormat="false" ht="13.8" hidden="false" customHeight="false" outlineLevel="0" collapsed="false">
      <c r="B640" s="1" t="n">
        <v>639</v>
      </c>
      <c r="C640" s="2" t="n">
        <v>0.03304125</v>
      </c>
    </row>
    <row r="641" customFormat="false" ht="13.8" hidden="false" customHeight="false" outlineLevel="0" collapsed="false">
      <c r="B641" s="1" t="n">
        <v>640</v>
      </c>
      <c r="C641" s="2" t="n">
        <v>0.021001875</v>
      </c>
    </row>
    <row r="642" customFormat="false" ht="13.8" hidden="false" customHeight="false" outlineLevel="0" collapsed="false">
      <c r="B642" s="1" t="n">
        <v>641</v>
      </c>
      <c r="C642" s="2" t="n">
        <v>0.0089625</v>
      </c>
    </row>
    <row r="643" customFormat="false" ht="13.8" hidden="false" customHeight="false" outlineLevel="0" collapsed="false">
      <c r="B643" s="1" t="n">
        <v>642</v>
      </c>
      <c r="C643" s="2" t="n">
        <v>0.00814375</v>
      </c>
    </row>
    <row r="644" customFormat="false" ht="13.8" hidden="false" customHeight="false" outlineLevel="0" collapsed="false">
      <c r="B644" s="1" t="n">
        <v>643</v>
      </c>
      <c r="C644" s="2" t="n">
        <v>0.007325</v>
      </c>
    </row>
    <row r="645" customFormat="false" ht="13.8" hidden="false" customHeight="false" outlineLevel="0" collapsed="false">
      <c r="B645" s="1" t="n">
        <v>644</v>
      </c>
      <c r="C645" s="2" t="n">
        <v>0.00650625</v>
      </c>
    </row>
    <row r="646" customFormat="false" ht="13.8" hidden="false" customHeight="false" outlineLevel="0" collapsed="false">
      <c r="B646" s="1" t="n">
        <v>645</v>
      </c>
      <c r="C646" s="2" t="n">
        <v>0.0056875</v>
      </c>
    </row>
    <row r="647" customFormat="false" ht="13.8" hidden="false" customHeight="false" outlineLevel="0" collapsed="false">
      <c r="B647" s="1" t="n">
        <v>646</v>
      </c>
      <c r="C647" s="2" t="n">
        <v>0.004265625</v>
      </c>
    </row>
    <row r="648" customFormat="false" ht="13.8" hidden="false" customHeight="false" outlineLevel="0" collapsed="false">
      <c r="B648" s="1" t="n">
        <v>647</v>
      </c>
      <c r="C648" s="2" t="n">
        <v>0.00284375</v>
      </c>
    </row>
    <row r="649" customFormat="false" ht="13.8" hidden="false" customHeight="false" outlineLevel="0" collapsed="false">
      <c r="B649" s="1" t="n">
        <v>648</v>
      </c>
      <c r="C649" s="2" t="n">
        <v>0.001421875</v>
      </c>
    </row>
    <row r="650" customFormat="false" ht="13.8" hidden="false" customHeight="false" outlineLevel="0" collapsed="false">
      <c r="B650" s="1" t="n">
        <v>649</v>
      </c>
      <c r="C650" s="2" t="n">
        <v>0</v>
      </c>
    </row>
    <row r="651" customFormat="false" ht="13.8" hidden="false" customHeight="false" outlineLevel="0" collapsed="false">
      <c r="B651" s="1" t="n">
        <v>650</v>
      </c>
      <c r="C651" s="2" t="n">
        <v>0</v>
      </c>
    </row>
    <row r="652" customFormat="false" ht="13.8" hidden="false" customHeight="false" outlineLevel="0" collapsed="false">
      <c r="B652" s="1" t="n">
        <v>651</v>
      </c>
      <c r="C652" s="2" t="n">
        <v>0</v>
      </c>
    </row>
    <row r="653" customFormat="false" ht="13.8" hidden="false" customHeight="false" outlineLevel="0" collapsed="false">
      <c r="B653" s="1" t="n">
        <v>652</v>
      </c>
      <c r="C653" s="2" t="n">
        <v>0</v>
      </c>
    </row>
    <row r="654" customFormat="false" ht="13.8" hidden="false" customHeight="false" outlineLevel="0" collapsed="false">
      <c r="B654" s="1" t="n">
        <v>653</v>
      </c>
      <c r="C654" s="2" t="n">
        <v>0</v>
      </c>
    </row>
    <row r="655" customFormat="false" ht="13.8" hidden="false" customHeight="false" outlineLevel="0" collapsed="false">
      <c r="B655" s="1" t="n">
        <v>654</v>
      </c>
      <c r="C655" s="2" t="n">
        <v>0</v>
      </c>
    </row>
    <row r="656" customFormat="false" ht="13.8" hidden="false" customHeight="false" outlineLevel="0" collapsed="false">
      <c r="B656" s="1" t="n">
        <v>655</v>
      </c>
      <c r="C656" s="2" t="n">
        <v>0</v>
      </c>
    </row>
    <row r="657" customFormat="false" ht="13.8" hidden="false" customHeight="false" outlineLevel="0" collapsed="false">
      <c r="B657" s="1" t="n">
        <v>656</v>
      </c>
      <c r="C657" s="2" t="n">
        <v>0</v>
      </c>
    </row>
    <row r="658" customFormat="false" ht="13.8" hidden="false" customHeight="false" outlineLevel="0" collapsed="false">
      <c r="B658" s="1" t="n">
        <v>657</v>
      </c>
      <c r="C658" s="2" t="n">
        <v>0</v>
      </c>
    </row>
    <row r="659" customFormat="false" ht="13.8" hidden="false" customHeight="false" outlineLevel="0" collapsed="false">
      <c r="B659" s="1" t="n">
        <v>658</v>
      </c>
      <c r="C659" s="2" t="n">
        <v>0</v>
      </c>
    </row>
    <row r="660" customFormat="false" ht="13.8" hidden="false" customHeight="false" outlineLevel="0" collapsed="false">
      <c r="B660" s="1" t="n">
        <v>659</v>
      </c>
      <c r="C660" s="2" t="n">
        <v>0</v>
      </c>
    </row>
    <row r="661" customFormat="false" ht="13.8" hidden="false" customHeight="false" outlineLevel="0" collapsed="false">
      <c r="B661" s="1" t="n">
        <v>660</v>
      </c>
      <c r="C661" s="2" t="n">
        <v>0</v>
      </c>
    </row>
    <row r="662" customFormat="false" ht="13.8" hidden="false" customHeight="false" outlineLevel="0" collapsed="false">
      <c r="B662" s="1" t="n">
        <v>661</v>
      </c>
      <c r="C662" s="2" t="n">
        <v>0</v>
      </c>
    </row>
    <row r="663" customFormat="false" ht="13.8" hidden="false" customHeight="false" outlineLevel="0" collapsed="false">
      <c r="B663" s="1" t="n">
        <v>662</v>
      </c>
      <c r="C663" s="2" t="n">
        <v>0</v>
      </c>
    </row>
    <row r="664" customFormat="false" ht="13.8" hidden="false" customHeight="false" outlineLevel="0" collapsed="false">
      <c r="B664" s="1" t="n">
        <v>663</v>
      </c>
      <c r="C664" s="2" t="n">
        <v>0</v>
      </c>
    </row>
    <row r="665" customFormat="false" ht="13.8" hidden="false" customHeight="false" outlineLevel="0" collapsed="false">
      <c r="B665" s="1" t="n">
        <v>664</v>
      </c>
      <c r="C665" s="2" t="n">
        <v>0</v>
      </c>
    </row>
    <row r="666" customFormat="false" ht="13.8" hidden="false" customHeight="false" outlineLevel="0" collapsed="false">
      <c r="B666" s="1" t="n">
        <v>665</v>
      </c>
      <c r="C666" s="2" t="n">
        <v>0</v>
      </c>
    </row>
    <row r="667" customFormat="false" ht="13.8" hidden="false" customHeight="false" outlineLevel="0" collapsed="false">
      <c r="B667" s="1" t="n">
        <v>666</v>
      </c>
      <c r="C667" s="2" t="n">
        <v>0</v>
      </c>
    </row>
    <row r="668" customFormat="false" ht="13.8" hidden="false" customHeight="false" outlineLevel="0" collapsed="false">
      <c r="B668" s="1" t="n">
        <v>667</v>
      </c>
      <c r="C668" s="2" t="n">
        <v>0</v>
      </c>
    </row>
    <row r="669" customFormat="false" ht="13.8" hidden="false" customHeight="false" outlineLevel="0" collapsed="false">
      <c r="B669" s="1" t="n">
        <v>668</v>
      </c>
      <c r="C669" s="2" t="n">
        <v>0</v>
      </c>
    </row>
    <row r="670" customFormat="false" ht="13.8" hidden="false" customHeight="false" outlineLevel="0" collapsed="false">
      <c r="B670" s="1" t="n">
        <v>669</v>
      </c>
      <c r="C670" s="2" t="n">
        <v>0</v>
      </c>
    </row>
    <row r="671" customFormat="false" ht="13.8" hidden="false" customHeight="false" outlineLevel="0" collapsed="false">
      <c r="B671" s="1" t="n">
        <v>670</v>
      </c>
      <c r="C671" s="2" t="n">
        <v>0</v>
      </c>
    </row>
    <row r="672" customFormat="false" ht="13.8" hidden="false" customHeight="false" outlineLevel="0" collapsed="false">
      <c r="B672" s="1" t="n">
        <v>671</v>
      </c>
      <c r="C672" s="2" t="n">
        <v>0</v>
      </c>
    </row>
    <row r="673" customFormat="false" ht="13.8" hidden="false" customHeight="false" outlineLevel="0" collapsed="false">
      <c r="B673" s="1" t="n">
        <v>672</v>
      </c>
      <c r="C673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674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0" sqref="C3"/>
    </sheetView>
  </sheetViews>
  <sheetFormatPr defaultColWidth="8.5429687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B3" s="2" t="n">
        <v>1</v>
      </c>
      <c r="C3" s="2" t="n">
        <v>0.0480098666666667</v>
      </c>
      <c r="D3" s="2" t="n">
        <v>0</v>
      </c>
      <c r="E3" s="2" t="n">
        <v>0.0933338666666667</v>
      </c>
    </row>
    <row r="4" customFormat="false" ht="13.8" hidden="false" customHeight="false" outlineLevel="0" collapsed="false">
      <c r="B4" s="2" t="n">
        <v>2</v>
      </c>
      <c r="C4" s="2" t="n">
        <v>0.193541933333333</v>
      </c>
      <c r="D4" s="2" t="n">
        <v>0</v>
      </c>
      <c r="E4" s="2" t="n">
        <v>0.044</v>
      </c>
    </row>
    <row r="5" customFormat="false" ht="13.8" hidden="false" customHeight="false" outlineLevel="0" collapsed="false">
      <c r="B5" s="2" t="n">
        <v>3</v>
      </c>
      <c r="C5" s="2" t="n">
        <v>0.220741066666667</v>
      </c>
      <c r="D5" s="2" t="n">
        <v>0</v>
      </c>
      <c r="E5" s="2" t="n">
        <v>0.0560002</v>
      </c>
    </row>
    <row r="6" customFormat="false" ht="13.8" hidden="false" customHeight="false" outlineLevel="0" collapsed="false">
      <c r="B6" s="2" t="n">
        <v>4</v>
      </c>
      <c r="C6" s="2" t="n">
        <v>0.2126704</v>
      </c>
      <c r="D6" s="2" t="n">
        <v>0.133333333333333</v>
      </c>
      <c r="E6" s="2" t="n">
        <v>0.0400008</v>
      </c>
    </row>
    <row r="7" customFormat="false" ht="13.8" hidden="false" customHeight="false" outlineLevel="0" collapsed="false">
      <c r="B7" s="2" t="n">
        <v>5</v>
      </c>
      <c r="C7" s="2" t="n">
        <v>0.217001733333333</v>
      </c>
      <c r="D7" s="2" t="n">
        <v>0.4</v>
      </c>
      <c r="E7" s="2" t="n">
        <v>0.096</v>
      </c>
    </row>
    <row r="8" customFormat="false" ht="13.8" hidden="false" customHeight="false" outlineLevel="0" collapsed="false">
      <c r="B8" s="2" t="n">
        <v>6</v>
      </c>
      <c r="C8" s="2" t="n">
        <v>0.1589342</v>
      </c>
      <c r="D8" s="2" t="n">
        <v>0.4</v>
      </c>
      <c r="E8" s="2" t="n">
        <v>0.044</v>
      </c>
    </row>
    <row r="9" customFormat="false" ht="13.8" hidden="false" customHeight="false" outlineLevel="0" collapsed="false">
      <c r="B9" s="2" t="n">
        <v>7</v>
      </c>
      <c r="C9" s="2" t="n">
        <v>0.216133866666667</v>
      </c>
      <c r="D9" s="2" t="n">
        <v>0.4</v>
      </c>
      <c r="E9" s="2" t="n">
        <v>0.096</v>
      </c>
    </row>
    <row r="10" customFormat="false" ht="13.8" hidden="false" customHeight="false" outlineLevel="0" collapsed="false">
      <c r="B10" s="2" t="n">
        <v>8</v>
      </c>
      <c r="C10" s="2" t="n">
        <v>0.164467333333333</v>
      </c>
      <c r="D10" s="2" t="n">
        <v>0.4</v>
      </c>
      <c r="E10" s="2" t="n">
        <v>0.044</v>
      </c>
    </row>
    <row r="11" customFormat="false" ht="13.8" hidden="false" customHeight="false" outlineLevel="0" collapsed="false">
      <c r="B11" s="2" t="n">
        <v>9</v>
      </c>
      <c r="C11" s="2" t="n">
        <v>0.221000466666667</v>
      </c>
      <c r="D11" s="2" t="n">
        <v>0.4</v>
      </c>
      <c r="E11" s="2" t="n">
        <v>0.096</v>
      </c>
    </row>
    <row r="12" customFormat="false" ht="13.8" hidden="false" customHeight="false" outlineLevel="0" collapsed="false">
      <c r="B12" s="2" t="n">
        <v>10</v>
      </c>
      <c r="C12" s="2" t="n">
        <v>0.160201066666667</v>
      </c>
      <c r="D12" s="2" t="n">
        <v>0.4</v>
      </c>
      <c r="E12" s="2" t="n">
        <v>0.044</v>
      </c>
    </row>
    <row r="13" customFormat="false" ht="13.8" hidden="false" customHeight="false" outlineLevel="0" collapsed="false">
      <c r="B13" s="2" t="n">
        <v>11</v>
      </c>
      <c r="C13" s="2" t="n">
        <v>0.0846671333333333</v>
      </c>
      <c r="D13" s="2" t="n">
        <v>0.4</v>
      </c>
      <c r="E13" s="2" t="n">
        <v>0.0533340666666667</v>
      </c>
    </row>
    <row r="14" customFormat="false" ht="13.8" hidden="false" customHeight="false" outlineLevel="0" collapsed="false">
      <c r="B14" s="2" t="n">
        <v>12</v>
      </c>
      <c r="C14" s="2" t="n">
        <v>0.2064</v>
      </c>
      <c r="D14" s="2" t="n">
        <v>0.4</v>
      </c>
      <c r="E14" s="2" t="n">
        <v>0.0666673333333333</v>
      </c>
    </row>
    <row r="15" customFormat="false" ht="13.8" hidden="false" customHeight="false" outlineLevel="0" collapsed="false">
      <c r="B15" s="2" t="n">
        <v>13</v>
      </c>
      <c r="C15" s="2" t="n">
        <v>0.292200466666667</v>
      </c>
      <c r="D15" s="2" t="n">
        <v>0.4</v>
      </c>
      <c r="E15" s="2" t="n">
        <v>0.07</v>
      </c>
    </row>
    <row r="16" customFormat="false" ht="13.8" hidden="false" customHeight="false" outlineLevel="0" collapsed="false">
      <c r="B16" s="2" t="n">
        <v>14</v>
      </c>
      <c r="C16" s="2" t="n">
        <v>0.335866733333333</v>
      </c>
      <c r="D16" s="2" t="n">
        <v>0.4</v>
      </c>
      <c r="E16" s="2" t="n">
        <v>0.0566667333333333</v>
      </c>
    </row>
    <row r="17" customFormat="false" ht="13.8" hidden="false" customHeight="false" outlineLevel="0" collapsed="false">
      <c r="B17" s="2" t="n">
        <v>15</v>
      </c>
      <c r="C17" s="2" t="n">
        <v>0.189266733333333</v>
      </c>
      <c r="D17" s="2" t="n">
        <v>0.4</v>
      </c>
      <c r="E17" s="2" t="n">
        <v>0.083</v>
      </c>
    </row>
    <row r="18" customFormat="false" ht="13.8" hidden="false" customHeight="false" outlineLevel="0" collapsed="false">
      <c r="B18" s="2" t="n">
        <v>16</v>
      </c>
      <c r="C18" s="2" t="n">
        <v>0.307600533333333</v>
      </c>
      <c r="D18" s="2" t="n">
        <v>0.4</v>
      </c>
      <c r="E18" s="2" t="n">
        <v>0.0303334666666667</v>
      </c>
    </row>
    <row r="19" customFormat="false" ht="13.8" hidden="false" customHeight="false" outlineLevel="0" collapsed="false">
      <c r="B19" s="2" t="n">
        <v>17</v>
      </c>
      <c r="C19" s="2" t="n">
        <v>0.172800866666667</v>
      </c>
      <c r="D19" s="2" t="n">
        <v>0.4</v>
      </c>
      <c r="E19" s="2" t="n">
        <v>1E-006</v>
      </c>
    </row>
    <row r="20" customFormat="false" ht="13.8" hidden="false" customHeight="false" outlineLevel="0" collapsed="false">
      <c r="B20" s="2" t="n">
        <v>18</v>
      </c>
      <c r="C20" s="2" t="n">
        <v>0.2914676</v>
      </c>
      <c r="D20" s="2" t="n">
        <v>0.4</v>
      </c>
      <c r="E20" s="2" t="n">
        <v>0.135</v>
      </c>
    </row>
    <row r="21" customFormat="false" ht="13.8" hidden="false" customHeight="false" outlineLevel="0" collapsed="false">
      <c r="B21" s="2" t="n">
        <v>19</v>
      </c>
      <c r="C21" s="2" t="n">
        <v>0.163934066666667</v>
      </c>
      <c r="D21" s="2" t="n">
        <v>0.4</v>
      </c>
      <c r="E21" s="2" t="n">
        <v>0.005</v>
      </c>
    </row>
    <row r="22" customFormat="false" ht="13.8" hidden="false" customHeight="false" outlineLevel="0" collapsed="false">
      <c r="B22" s="2" t="n">
        <v>20</v>
      </c>
      <c r="C22" s="2" t="n">
        <v>0.2147346</v>
      </c>
      <c r="D22" s="2" t="n">
        <v>0.4</v>
      </c>
      <c r="E22" s="2" t="n">
        <v>0.106667133333333</v>
      </c>
    </row>
    <row r="23" customFormat="false" ht="13.8" hidden="false" customHeight="false" outlineLevel="0" collapsed="false">
      <c r="B23" s="2" t="n">
        <v>21</v>
      </c>
      <c r="C23" s="2" t="n">
        <v>0.257201733333333</v>
      </c>
      <c r="D23" s="2" t="n">
        <v>0.4</v>
      </c>
      <c r="E23" s="2" t="n">
        <v>0.044</v>
      </c>
    </row>
    <row r="24" customFormat="false" ht="13.8" hidden="false" customHeight="false" outlineLevel="0" collapsed="false">
      <c r="B24" s="2" t="n">
        <v>22</v>
      </c>
      <c r="C24" s="2" t="n">
        <v>0.281133466666667</v>
      </c>
      <c r="D24" s="2" t="n">
        <v>0</v>
      </c>
      <c r="E24" s="2" t="n">
        <v>0.096</v>
      </c>
    </row>
    <row r="25" customFormat="false" ht="13.8" hidden="false" customHeight="false" outlineLevel="0" collapsed="false">
      <c r="B25" s="2" t="n">
        <v>23</v>
      </c>
      <c r="C25" s="2" t="n">
        <v>0.152267466666667</v>
      </c>
      <c r="D25" s="2" t="n">
        <v>0</v>
      </c>
      <c r="E25" s="2" t="n">
        <v>0.044</v>
      </c>
    </row>
    <row r="26" customFormat="false" ht="13.8" hidden="false" customHeight="false" outlineLevel="0" collapsed="false">
      <c r="B26" s="2" t="n">
        <v>24</v>
      </c>
      <c r="C26" s="2" t="n">
        <v>0.382734133333333</v>
      </c>
      <c r="D26" s="2" t="n">
        <v>0</v>
      </c>
      <c r="E26" s="2" t="n">
        <v>0.0560002</v>
      </c>
    </row>
    <row r="27" customFormat="false" ht="13.8" hidden="false" customHeight="false" outlineLevel="0" collapsed="false">
      <c r="B27" s="2" t="n">
        <v>25</v>
      </c>
      <c r="C27" s="2" t="n">
        <v>0.1504674</v>
      </c>
      <c r="D27" s="2" t="n">
        <v>0</v>
      </c>
      <c r="E27" s="2" t="n">
        <v>0.109</v>
      </c>
    </row>
    <row r="28" customFormat="false" ht="13.8" hidden="false" customHeight="false" outlineLevel="0" collapsed="false">
      <c r="B28" s="2" t="n">
        <v>26</v>
      </c>
      <c r="C28" s="2" t="n">
        <v>0.407667866666667</v>
      </c>
      <c r="D28" s="2" t="n">
        <v>0</v>
      </c>
      <c r="E28" s="2" t="n">
        <v>0.031</v>
      </c>
    </row>
    <row r="29" customFormat="false" ht="13.8" hidden="false" customHeight="false" outlineLevel="0" collapsed="false">
      <c r="B29" s="2" t="n">
        <v>27</v>
      </c>
      <c r="C29" s="2" t="n">
        <v>0.160868666666667</v>
      </c>
      <c r="D29" s="2" t="n">
        <v>0</v>
      </c>
      <c r="E29" s="2" t="n">
        <v>0.109</v>
      </c>
    </row>
    <row r="30" customFormat="false" ht="13.8" hidden="false" customHeight="false" outlineLevel="0" collapsed="false">
      <c r="B30" s="2" t="n">
        <v>28</v>
      </c>
      <c r="C30" s="2" t="n">
        <v>0.3845374</v>
      </c>
      <c r="D30" s="2" t="n">
        <v>0</v>
      </c>
      <c r="E30" s="2" t="n">
        <v>0.031</v>
      </c>
    </row>
    <row r="31" customFormat="false" ht="13.8" hidden="false" customHeight="false" outlineLevel="0" collapsed="false">
      <c r="B31" s="2" t="n">
        <v>29</v>
      </c>
      <c r="C31" s="2" t="n">
        <v>0.1332708</v>
      </c>
      <c r="D31" s="2" t="n">
        <v>0</v>
      </c>
      <c r="E31" s="2" t="n">
        <v>0.109</v>
      </c>
    </row>
    <row r="32" customFormat="false" ht="13.8" hidden="false" customHeight="false" outlineLevel="0" collapsed="false">
      <c r="B32" s="2" t="n">
        <v>30</v>
      </c>
      <c r="C32" s="2" t="n">
        <v>0.378405533333333</v>
      </c>
      <c r="D32" s="2" t="n">
        <v>0</v>
      </c>
      <c r="E32" s="2" t="n">
        <v>0.0310001333333333</v>
      </c>
    </row>
    <row r="33" customFormat="false" ht="13.8" hidden="false" customHeight="false" outlineLevel="0" collapsed="false">
      <c r="B33" s="2" t="n">
        <v>31</v>
      </c>
      <c r="C33" s="2" t="n">
        <v>0.141004133333333</v>
      </c>
      <c r="D33" s="2" t="n">
        <v>0</v>
      </c>
      <c r="E33" s="2" t="n">
        <v>0.109001</v>
      </c>
    </row>
    <row r="34" customFormat="false" ht="13.8" hidden="false" customHeight="false" outlineLevel="0" collapsed="false">
      <c r="B34" s="2" t="n">
        <v>32</v>
      </c>
      <c r="C34" s="2" t="n">
        <v>0.282673066666667</v>
      </c>
      <c r="D34" s="2" t="n">
        <v>0</v>
      </c>
      <c r="E34" s="2" t="n">
        <v>0.031001</v>
      </c>
    </row>
    <row r="35" customFormat="false" ht="13.8" hidden="false" customHeight="false" outlineLevel="0" collapsed="false">
      <c r="B35" s="2" t="n">
        <v>33</v>
      </c>
      <c r="C35" s="2" t="n">
        <v>0.1280074</v>
      </c>
      <c r="D35" s="2" t="n">
        <v>0</v>
      </c>
      <c r="E35" s="2" t="n">
        <v>0.109001</v>
      </c>
    </row>
    <row r="36" customFormat="false" ht="13.8" hidden="false" customHeight="false" outlineLevel="0" collapsed="false">
      <c r="B36" s="2" t="n">
        <v>34</v>
      </c>
      <c r="C36" s="2" t="n">
        <v>0.369007</v>
      </c>
      <c r="D36" s="2" t="n">
        <v>0</v>
      </c>
      <c r="E36" s="2" t="n">
        <v>0.031001</v>
      </c>
    </row>
    <row r="37" customFormat="false" ht="13.8" hidden="false" customHeight="false" outlineLevel="0" collapsed="false">
      <c r="B37" s="2" t="n">
        <v>35</v>
      </c>
      <c r="C37" s="2" t="n">
        <v>0.1822076</v>
      </c>
      <c r="D37" s="2" t="n">
        <v>0</v>
      </c>
      <c r="E37" s="2" t="n">
        <v>0.109001</v>
      </c>
    </row>
    <row r="38" customFormat="false" ht="13.8" hidden="false" customHeight="false" outlineLevel="0" collapsed="false">
      <c r="B38" s="2" t="n">
        <v>36</v>
      </c>
      <c r="C38" s="2" t="n">
        <v>0.291008333333333</v>
      </c>
      <c r="D38" s="2" t="n">
        <v>0</v>
      </c>
      <c r="E38" s="2" t="n">
        <v>0.031001</v>
      </c>
    </row>
    <row r="39" customFormat="false" ht="13.8" hidden="false" customHeight="false" outlineLevel="0" collapsed="false">
      <c r="B39" s="2" t="n">
        <v>37</v>
      </c>
      <c r="C39" s="2" t="n">
        <v>0.298008</v>
      </c>
      <c r="D39" s="2" t="n">
        <v>0</v>
      </c>
      <c r="E39" s="2" t="n">
        <v>0.109001</v>
      </c>
    </row>
    <row r="40" customFormat="false" ht="13.8" hidden="false" customHeight="false" outlineLevel="0" collapsed="false">
      <c r="B40" s="2" t="n">
        <v>38</v>
      </c>
      <c r="C40" s="2" t="n">
        <v>0.273673933333333</v>
      </c>
      <c r="D40" s="2" t="n">
        <v>0</v>
      </c>
      <c r="E40" s="2" t="n">
        <v>2.2E-006</v>
      </c>
    </row>
    <row r="41" customFormat="false" ht="13.8" hidden="false" customHeight="false" outlineLevel="0" collapsed="false">
      <c r="B41" s="2" t="n">
        <v>39</v>
      </c>
      <c r="C41" s="2" t="n">
        <v>0.3010068</v>
      </c>
      <c r="D41" s="2" t="n">
        <v>0</v>
      </c>
      <c r="E41" s="2" t="n">
        <v>0.0566687333333333</v>
      </c>
    </row>
    <row r="42" customFormat="false" ht="13.8" hidden="false" customHeight="false" outlineLevel="0" collapsed="false">
      <c r="B42" s="2" t="n">
        <v>40</v>
      </c>
      <c r="C42" s="2" t="n">
        <v>0.265008</v>
      </c>
      <c r="D42" s="2" t="n">
        <v>0</v>
      </c>
      <c r="E42" s="2" t="n">
        <v>0.2005352</v>
      </c>
    </row>
    <row r="43" customFormat="false" ht="13.8" hidden="false" customHeight="false" outlineLevel="0" collapsed="false">
      <c r="B43" s="2" t="n">
        <v>41</v>
      </c>
      <c r="C43" s="2" t="n">
        <v>0.184341866666667</v>
      </c>
      <c r="D43" s="2" t="n">
        <v>0</v>
      </c>
      <c r="E43" s="2" t="n">
        <v>0.074001</v>
      </c>
    </row>
    <row r="44" customFormat="false" ht="13.8" hidden="false" customHeight="false" outlineLevel="0" collapsed="false">
      <c r="B44" s="2" t="n">
        <v>42</v>
      </c>
      <c r="C44" s="2" t="n">
        <v>0.1658084</v>
      </c>
      <c r="D44" s="2" t="n">
        <v>0</v>
      </c>
      <c r="E44" s="2" t="n">
        <v>0.2034678</v>
      </c>
    </row>
    <row r="45" customFormat="false" ht="13.8" hidden="false" customHeight="false" outlineLevel="0" collapsed="false">
      <c r="B45" s="2" t="n">
        <v>43</v>
      </c>
      <c r="C45" s="2" t="n">
        <v>0.311140933333333</v>
      </c>
      <c r="D45" s="2" t="n">
        <v>0</v>
      </c>
      <c r="E45" s="2" t="n">
        <v>0.1500016</v>
      </c>
    </row>
    <row r="46" customFormat="false" ht="13.8" hidden="false" customHeight="false" outlineLevel="0" collapsed="false">
      <c r="B46" s="2" t="n">
        <v>44</v>
      </c>
      <c r="C46" s="2" t="n">
        <v>0.244739666666667</v>
      </c>
      <c r="D46" s="2" t="n">
        <v>0</v>
      </c>
      <c r="E46" s="2" t="n">
        <v>0.400001</v>
      </c>
    </row>
    <row r="47" customFormat="false" ht="13.8" hidden="false" customHeight="false" outlineLevel="0" collapsed="false">
      <c r="B47" s="2" t="n">
        <v>45</v>
      </c>
      <c r="C47" s="2" t="n">
        <v>0.367004733333333</v>
      </c>
      <c r="D47" s="2" t="n">
        <v>0</v>
      </c>
      <c r="E47" s="2" t="n">
        <v>0.164001466666667</v>
      </c>
    </row>
    <row r="48" customFormat="false" ht="13.8" hidden="false" customHeight="false" outlineLevel="0" collapsed="false">
      <c r="B48" s="2" t="n">
        <v>46</v>
      </c>
      <c r="C48" s="2" t="n">
        <v>0.2610054</v>
      </c>
      <c r="D48" s="2" t="n">
        <v>0</v>
      </c>
      <c r="E48" s="2" t="n">
        <v>0.210001</v>
      </c>
    </row>
    <row r="49" customFormat="false" ht="13.8" hidden="false" customHeight="false" outlineLevel="0" collapsed="false">
      <c r="B49" s="2" t="n">
        <v>47</v>
      </c>
      <c r="C49" s="2" t="n">
        <v>0.196006533333333</v>
      </c>
      <c r="D49" s="2" t="n">
        <v>0</v>
      </c>
      <c r="E49" s="2" t="n">
        <v>0.080001</v>
      </c>
    </row>
    <row r="50" customFormat="false" ht="13.8" hidden="false" customHeight="false" outlineLevel="0" collapsed="false">
      <c r="B50" s="2" t="n">
        <v>48</v>
      </c>
      <c r="C50" s="2" t="n">
        <v>0.1662068</v>
      </c>
      <c r="D50" s="2" t="n">
        <v>0</v>
      </c>
      <c r="E50" s="2" t="n">
        <v>0.2040016</v>
      </c>
    </row>
    <row r="51" customFormat="false" ht="13.8" hidden="false" customHeight="false" outlineLevel="0" collapsed="false">
      <c r="B51" s="2" t="n">
        <v>49</v>
      </c>
      <c r="C51" s="2" t="n">
        <v>0.2823404</v>
      </c>
      <c r="D51" s="2" t="n">
        <v>0</v>
      </c>
      <c r="E51" s="2" t="n">
        <v>0.0700010666666667</v>
      </c>
    </row>
    <row r="52" customFormat="false" ht="13.8" hidden="false" customHeight="false" outlineLevel="0" collapsed="false">
      <c r="B52" s="2" t="n">
        <v>50</v>
      </c>
      <c r="C52" s="2" t="n">
        <v>0.2570072</v>
      </c>
      <c r="D52" s="2" t="n">
        <v>0</v>
      </c>
      <c r="E52" s="2" t="n">
        <v>0.200001</v>
      </c>
    </row>
    <row r="53" customFormat="false" ht="13.8" hidden="false" customHeight="false" outlineLevel="0" collapsed="false">
      <c r="B53" s="2" t="n">
        <v>51</v>
      </c>
      <c r="C53" s="2" t="n">
        <v>0.295674333333333</v>
      </c>
      <c r="D53" s="2" t="n">
        <v>0</v>
      </c>
      <c r="E53" s="2" t="n">
        <v>0.070001</v>
      </c>
    </row>
    <row r="54" customFormat="false" ht="13.8" hidden="false" customHeight="false" outlineLevel="0" collapsed="false">
      <c r="B54" s="2" t="n">
        <v>52</v>
      </c>
      <c r="C54" s="2" t="n">
        <v>0.292872666666667</v>
      </c>
      <c r="D54" s="2" t="n">
        <v>0</v>
      </c>
      <c r="E54" s="2" t="n">
        <v>0.200001</v>
      </c>
    </row>
    <row r="55" customFormat="false" ht="13.8" hidden="false" customHeight="false" outlineLevel="0" collapsed="false">
      <c r="B55" s="2" t="n">
        <v>53</v>
      </c>
      <c r="C55" s="2" t="n">
        <v>0.310673666666667</v>
      </c>
      <c r="D55" s="2" t="n">
        <v>0</v>
      </c>
      <c r="E55" s="2" t="n">
        <v>0.070001</v>
      </c>
    </row>
    <row r="56" customFormat="false" ht="13.8" hidden="false" customHeight="false" outlineLevel="0" collapsed="false">
      <c r="B56" s="2" t="n">
        <v>54</v>
      </c>
      <c r="C56" s="2" t="n">
        <v>0.257008266666667</v>
      </c>
      <c r="D56" s="2" t="n">
        <v>0</v>
      </c>
      <c r="E56" s="2" t="n">
        <v>0.480000333333333</v>
      </c>
    </row>
    <row r="57" customFormat="false" ht="13.8" hidden="false" customHeight="false" outlineLevel="0" collapsed="false">
      <c r="B57" s="2" t="n">
        <v>55</v>
      </c>
      <c r="C57" s="2" t="n">
        <v>0.283006733333333</v>
      </c>
      <c r="D57" s="2" t="n">
        <v>0</v>
      </c>
      <c r="E57" s="2" t="n">
        <v>0.0010018</v>
      </c>
    </row>
    <row r="58" customFormat="false" ht="13.8" hidden="false" customHeight="false" outlineLevel="0" collapsed="false">
      <c r="B58" s="2" t="n">
        <v>56</v>
      </c>
      <c r="C58" s="2" t="n">
        <v>0.257004933333333</v>
      </c>
      <c r="D58" s="2" t="n">
        <v>0</v>
      </c>
      <c r="E58" s="2" t="n">
        <v>0.109667466666667</v>
      </c>
    </row>
    <row r="59" customFormat="false" ht="13.8" hidden="false" customHeight="false" outlineLevel="0" collapsed="false">
      <c r="B59" s="2" t="n">
        <v>57</v>
      </c>
      <c r="C59" s="2" t="n">
        <v>0.202337666666667</v>
      </c>
      <c r="D59" s="2" t="n">
        <v>0</v>
      </c>
      <c r="E59" s="2" t="n">
        <v>0.1634006</v>
      </c>
    </row>
    <row r="60" customFormat="false" ht="13.8" hidden="false" customHeight="false" outlineLevel="0" collapsed="false">
      <c r="B60" s="2" t="n">
        <v>58</v>
      </c>
      <c r="C60" s="2" t="n">
        <v>0.296002933333333</v>
      </c>
      <c r="D60" s="2" t="n">
        <v>0</v>
      </c>
      <c r="E60" s="2" t="n">
        <v>0.00480113333333333</v>
      </c>
    </row>
    <row r="61" customFormat="false" ht="13.8" hidden="false" customHeight="false" outlineLevel="0" collapsed="false">
      <c r="B61" s="2" t="n">
        <v>59</v>
      </c>
      <c r="C61" s="2" t="n">
        <v>0.244001266666667</v>
      </c>
      <c r="D61" s="2" t="n">
        <v>0</v>
      </c>
      <c r="E61" s="2" t="n">
        <v>0.148001</v>
      </c>
    </row>
    <row r="62" customFormat="false" ht="13.8" hidden="false" customHeight="false" outlineLevel="0" collapsed="false">
      <c r="B62" s="2" t="n">
        <v>60</v>
      </c>
      <c r="C62" s="2" t="n">
        <v>0.296</v>
      </c>
      <c r="D62" s="2" t="n">
        <v>0</v>
      </c>
      <c r="E62" s="2" t="n">
        <v>0.128400733333333</v>
      </c>
    </row>
    <row r="63" customFormat="false" ht="13.8" hidden="false" customHeight="false" outlineLevel="0" collapsed="false">
      <c r="B63" s="2" t="n">
        <v>61</v>
      </c>
      <c r="C63" s="2" t="n">
        <v>0.244000666666667</v>
      </c>
      <c r="D63" s="2" t="n">
        <v>0</v>
      </c>
      <c r="E63" s="2" t="n">
        <v>0.156001</v>
      </c>
    </row>
    <row r="64" customFormat="false" ht="13.8" hidden="false" customHeight="false" outlineLevel="0" collapsed="false">
      <c r="B64" s="2" t="n">
        <v>62</v>
      </c>
      <c r="C64" s="2" t="n">
        <v>0.299666933333333</v>
      </c>
      <c r="D64" s="2" t="n">
        <v>0</v>
      </c>
      <c r="E64" s="2" t="n">
        <v>0.130001</v>
      </c>
    </row>
    <row r="65" customFormat="false" ht="13.8" hidden="false" customHeight="false" outlineLevel="0" collapsed="false">
      <c r="B65" s="2" t="n">
        <v>63</v>
      </c>
      <c r="C65" s="2" t="n">
        <v>0.249</v>
      </c>
      <c r="D65" s="2" t="n">
        <v>0</v>
      </c>
      <c r="E65" s="2" t="n">
        <v>0.482666733333333</v>
      </c>
    </row>
    <row r="66" customFormat="false" ht="13.8" hidden="false" customHeight="false" outlineLevel="0" collapsed="false">
      <c r="B66" s="2" t="n">
        <v>64</v>
      </c>
      <c r="C66" s="2" t="n">
        <v>0.301</v>
      </c>
      <c r="D66" s="2" t="n">
        <v>0</v>
      </c>
      <c r="E66" s="2" t="n">
        <v>0.48</v>
      </c>
    </row>
    <row r="67" customFormat="false" ht="13.8" hidden="false" customHeight="false" outlineLevel="0" collapsed="false">
      <c r="B67" s="2" t="n">
        <v>65</v>
      </c>
      <c r="C67" s="2" t="n">
        <v>0.249</v>
      </c>
      <c r="D67" s="2" t="n">
        <v>0</v>
      </c>
      <c r="E67" s="2" t="n">
        <v>0.506</v>
      </c>
    </row>
    <row r="68" customFormat="false" ht="13.8" hidden="false" customHeight="false" outlineLevel="0" collapsed="false">
      <c r="B68" s="2" t="n">
        <v>66</v>
      </c>
      <c r="C68" s="2" t="n">
        <v>0.296001</v>
      </c>
      <c r="D68" s="2" t="n">
        <v>0</v>
      </c>
      <c r="E68" s="2" t="n">
        <v>0.176667533333333</v>
      </c>
    </row>
    <row r="69" customFormat="false" ht="13.8" hidden="false" customHeight="false" outlineLevel="0" collapsed="false">
      <c r="B69" s="2" t="n">
        <v>67</v>
      </c>
      <c r="C69" s="2" t="n">
        <v>0.244001</v>
      </c>
      <c r="D69" s="2" t="n">
        <v>0</v>
      </c>
      <c r="E69" s="2" t="n">
        <v>0.008002</v>
      </c>
    </row>
    <row r="70" customFormat="false" ht="13.8" hidden="false" customHeight="false" outlineLevel="0" collapsed="false">
      <c r="B70" s="2" t="n">
        <v>68</v>
      </c>
      <c r="C70" s="2" t="n">
        <v>0.296001</v>
      </c>
      <c r="D70" s="2" t="n">
        <v>0</v>
      </c>
      <c r="E70" s="2" t="n">
        <v>0.3286686</v>
      </c>
    </row>
    <row r="71" customFormat="false" ht="13.8" hidden="false" customHeight="false" outlineLevel="0" collapsed="false">
      <c r="B71" s="2" t="n">
        <v>69</v>
      </c>
      <c r="C71" s="2" t="n">
        <v>0.244001</v>
      </c>
      <c r="D71" s="2" t="n">
        <v>0</v>
      </c>
      <c r="E71" s="2" t="n">
        <v>0.3466682</v>
      </c>
    </row>
    <row r="72" customFormat="false" ht="13.8" hidden="false" customHeight="false" outlineLevel="0" collapsed="false">
      <c r="B72" s="2" t="n">
        <v>70</v>
      </c>
      <c r="C72" s="2" t="n">
        <v>0.296001333333333</v>
      </c>
      <c r="D72" s="2" t="n">
        <v>0</v>
      </c>
      <c r="E72" s="2" t="n">
        <v>0.4675348</v>
      </c>
    </row>
    <row r="73" customFormat="false" ht="13.8" hidden="false" customHeight="false" outlineLevel="0" collapsed="false">
      <c r="B73" s="2" t="n">
        <v>71</v>
      </c>
      <c r="C73" s="2" t="n">
        <v>0.244002</v>
      </c>
      <c r="D73" s="2" t="n">
        <v>0</v>
      </c>
      <c r="E73" s="2" t="n">
        <v>0.535001</v>
      </c>
    </row>
    <row r="74" customFormat="false" ht="13.8" hidden="false" customHeight="false" outlineLevel="0" collapsed="false">
      <c r="B74" s="2" t="n">
        <v>72</v>
      </c>
      <c r="C74" s="2" t="n">
        <v>0.296002</v>
      </c>
      <c r="D74" s="2" t="n">
        <v>0</v>
      </c>
      <c r="E74" s="2" t="n">
        <v>0.5314016</v>
      </c>
    </row>
    <row r="75" customFormat="false" ht="13.8" hidden="false" customHeight="false" outlineLevel="0" collapsed="false">
      <c r="B75" s="2" t="n">
        <v>73</v>
      </c>
      <c r="C75" s="2" t="n">
        <v>0.282335666666667</v>
      </c>
      <c r="D75" s="2" t="n">
        <v>0</v>
      </c>
      <c r="E75" s="2" t="n">
        <v>0.456668533333333</v>
      </c>
    </row>
    <row r="76" customFormat="false" ht="13.8" hidden="false" customHeight="false" outlineLevel="0" collapsed="false">
      <c r="B76" s="2" t="n">
        <v>74</v>
      </c>
      <c r="C76" s="2" t="n">
        <v>0.347671266666667</v>
      </c>
      <c r="D76" s="2" t="n">
        <v>0</v>
      </c>
      <c r="E76" s="2" t="n">
        <v>0.4480006</v>
      </c>
    </row>
    <row r="77" customFormat="false" ht="13.8" hidden="false" customHeight="false" outlineLevel="0" collapsed="false">
      <c r="B77" s="2" t="n">
        <v>75</v>
      </c>
      <c r="C77" s="2" t="n">
        <v>0.311340733333333</v>
      </c>
      <c r="D77" s="2" t="n">
        <v>0</v>
      </c>
      <c r="E77" s="2" t="n">
        <v>0.422</v>
      </c>
    </row>
    <row r="78" customFormat="false" ht="13.8" hidden="false" customHeight="false" outlineLevel="0" collapsed="false">
      <c r="B78" s="2" t="n">
        <v>76</v>
      </c>
      <c r="C78" s="2" t="n">
        <v>0.1818114</v>
      </c>
      <c r="D78" s="2" t="n">
        <v>0</v>
      </c>
      <c r="E78" s="2" t="n">
        <v>0.368000266666667</v>
      </c>
    </row>
    <row r="79" customFormat="false" ht="13.8" hidden="false" customHeight="false" outlineLevel="0" collapsed="false">
      <c r="B79" s="2" t="n">
        <v>77</v>
      </c>
      <c r="C79" s="2" t="n">
        <v>0.4102792</v>
      </c>
      <c r="D79" s="2" t="n">
        <v>0</v>
      </c>
      <c r="E79" s="2" t="n">
        <v>0.222000133333333</v>
      </c>
    </row>
    <row r="80" customFormat="false" ht="13.8" hidden="false" customHeight="false" outlineLevel="0" collapsed="false">
      <c r="B80" s="2" t="n">
        <v>78</v>
      </c>
      <c r="C80" s="2" t="n">
        <v>0.258812133333333</v>
      </c>
      <c r="D80" s="2" t="n">
        <v>0.133333333333333</v>
      </c>
      <c r="E80" s="2" t="n">
        <v>0.148</v>
      </c>
    </row>
    <row r="81" customFormat="false" ht="13.8" hidden="false" customHeight="false" outlineLevel="0" collapsed="false">
      <c r="B81" s="2" t="n">
        <v>79</v>
      </c>
      <c r="C81" s="2" t="n">
        <v>0.526013333333333</v>
      </c>
      <c r="D81" s="2" t="n">
        <v>0.4</v>
      </c>
      <c r="E81" s="2" t="n">
        <v>0.122</v>
      </c>
    </row>
    <row r="82" customFormat="false" ht="13.8" hidden="false" customHeight="false" outlineLevel="0" collapsed="false">
      <c r="B82" s="2" t="n">
        <v>80</v>
      </c>
      <c r="C82" s="2" t="n">
        <v>0.2032846</v>
      </c>
      <c r="D82" s="2" t="n">
        <v>0.4</v>
      </c>
      <c r="E82" s="2" t="n">
        <v>0.148</v>
      </c>
    </row>
    <row r="83" customFormat="false" ht="13.8" hidden="false" customHeight="false" outlineLevel="0" collapsed="false">
      <c r="B83" s="2" t="n">
        <v>81</v>
      </c>
      <c r="C83" s="2" t="n">
        <v>0.428150266666667</v>
      </c>
      <c r="D83" s="2" t="n">
        <v>0.4</v>
      </c>
      <c r="E83" s="2" t="n">
        <v>0.122</v>
      </c>
    </row>
    <row r="84" customFormat="false" ht="13.8" hidden="false" customHeight="false" outlineLevel="0" collapsed="false">
      <c r="B84" s="2" t="n">
        <v>82</v>
      </c>
      <c r="C84" s="2" t="n">
        <v>0.254882733333333</v>
      </c>
      <c r="D84" s="2" t="n">
        <v>0.4</v>
      </c>
      <c r="E84" s="2" t="n">
        <v>0.148</v>
      </c>
    </row>
    <row r="85" customFormat="false" ht="13.8" hidden="false" customHeight="false" outlineLevel="0" collapsed="false">
      <c r="B85" s="2" t="n">
        <v>83</v>
      </c>
      <c r="C85" s="2" t="n">
        <v>0.398214466666667</v>
      </c>
      <c r="D85" s="2" t="n">
        <v>0.4</v>
      </c>
      <c r="E85" s="2" t="n">
        <v>0.122</v>
      </c>
    </row>
    <row r="86" customFormat="false" ht="13.8" hidden="false" customHeight="false" outlineLevel="0" collapsed="false">
      <c r="B86" s="2" t="n">
        <v>84</v>
      </c>
      <c r="C86" s="2" t="n">
        <v>0.423347666666667</v>
      </c>
      <c r="D86" s="2" t="n">
        <v>0.4</v>
      </c>
      <c r="E86" s="2" t="n">
        <v>0.148</v>
      </c>
    </row>
    <row r="87" customFormat="false" ht="13.8" hidden="false" customHeight="false" outlineLevel="0" collapsed="false">
      <c r="B87" s="2" t="n">
        <v>85</v>
      </c>
      <c r="C87" s="2" t="n">
        <v>0.360882933333333</v>
      </c>
      <c r="D87" s="2" t="n">
        <v>0.4</v>
      </c>
      <c r="E87" s="2" t="n">
        <v>0.122</v>
      </c>
    </row>
    <row r="88" customFormat="false" ht="13.8" hidden="false" customHeight="false" outlineLevel="0" collapsed="false">
      <c r="B88" s="2" t="n">
        <v>86</v>
      </c>
      <c r="C88" s="2" t="n">
        <v>0.3121492</v>
      </c>
      <c r="D88" s="2" t="n">
        <v>0.4</v>
      </c>
      <c r="E88" s="2" t="n">
        <v>0.148</v>
      </c>
    </row>
    <row r="89" customFormat="false" ht="13.8" hidden="false" customHeight="false" outlineLevel="0" collapsed="false">
      <c r="B89" s="2" t="n">
        <v>87</v>
      </c>
      <c r="C89" s="2" t="n">
        <v>0.288680533333333</v>
      </c>
      <c r="D89" s="2" t="n">
        <v>0.4</v>
      </c>
      <c r="E89" s="2" t="n">
        <v>0.122</v>
      </c>
    </row>
    <row r="90" customFormat="false" ht="13.8" hidden="false" customHeight="false" outlineLevel="0" collapsed="false">
      <c r="B90" s="2" t="n">
        <v>88</v>
      </c>
      <c r="C90" s="2" t="n">
        <v>0.3787456</v>
      </c>
      <c r="D90" s="2" t="n">
        <v>0.4</v>
      </c>
      <c r="E90" s="2" t="n">
        <v>0.148</v>
      </c>
    </row>
    <row r="91" customFormat="false" ht="13.8" hidden="false" customHeight="false" outlineLevel="0" collapsed="false">
      <c r="B91" s="2" t="n">
        <v>89</v>
      </c>
      <c r="C91" s="2" t="n">
        <v>0.3160794</v>
      </c>
      <c r="D91" s="2" t="n">
        <v>0.4</v>
      </c>
      <c r="E91" s="2" t="n">
        <v>0.0673338666666667</v>
      </c>
    </row>
    <row r="92" customFormat="false" ht="13.8" hidden="false" customHeight="false" outlineLevel="0" collapsed="false">
      <c r="B92" s="2" t="n">
        <v>90</v>
      </c>
      <c r="C92" s="2" t="n">
        <v>0.168082466666667</v>
      </c>
      <c r="D92" s="2" t="n">
        <v>0.4</v>
      </c>
      <c r="E92" s="2" t="n">
        <v>0.07</v>
      </c>
    </row>
    <row r="93" customFormat="false" ht="13.8" hidden="false" customHeight="false" outlineLevel="0" collapsed="false">
      <c r="B93" s="2" t="n">
        <v>91</v>
      </c>
      <c r="C93" s="2" t="n">
        <v>0.152014333333333</v>
      </c>
      <c r="D93" s="2" t="n">
        <v>0.4</v>
      </c>
      <c r="E93" s="2" t="n">
        <v>0.07</v>
      </c>
    </row>
    <row r="94" customFormat="false" ht="13.8" hidden="false" customHeight="false" outlineLevel="0" collapsed="false">
      <c r="B94" s="2" t="n">
        <v>92</v>
      </c>
      <c r="C94" s="2" t="n">
        <v>0.3966794</v>
      </c>
      <c r="D94" s="2" t="n">
        <v>0.4</v>
      </c>
      <c r="E94" s="2" t="n">
        <v>0.07</v>
      </c>
    </row>
    <row r="95" customFormat="false" ht="13.8" hidden="false" customHeight="false" outlineLevel="0" collapsed="false">
      <c r="B95" s="2" t="n">
        <v>93</v>
      </c>
      <c r="C95" s="2" t="n">
        <v>0.215207866666667</v>
      </c>
      <c r="D95" s="2" t="n">
        <v>0.4</v>
      </c>
      <c r="E95" s="2" t="n">
        <v>0.0020006</v>
      </c>
    </row>
    <row r="96" customFormat="false" ht="13.8" hidden="false" customHeight="false" outlineLevel="0" collapsed="false">
      <c r="B96" s="2" t="n">
        <v>94</v>
      </c>
      <c r="C96" s="2" t="n">
        <v>0.4427408</v>
      </c>
      <c r="D96" s="2" t="n">
        <v>0.4</v>
      </c>
      <c r="E96" s="2" t="n">
        <v>0.133666933333333</v>
      </c>
    </row>
    <row r="97" customFormat="false" ht="13.8" hidden="false" customHeight="false" outlineLevel="0" collapsed="false">
      <c r="B97" s="2" t="n">
        <v>95</v>
      </c>
      <c r="C97" s="2" t="n">
        <v>0.160209733333333</v>
      </c>
      <c r="D97" s="2" t="n">
        <v>0.4</v>
      </c>
      <c r="E97" s="2" t="n">
        <v>0.005</v>
      </c>
    </row>
    <row r="98" customFormat="false" ht="13.8" hidden="false" customHeight="false" outlineLevel="0" collapsed="false">
      <c r="B98" s="2" t="n">
        <v>96</v>
      </c>
      <c r="C98" s="2" t="n">
        <v>0.141677333333333</v>
      </c>
      <c r="D98" s="2" t="n">
        <v>0.373333333333333</v>
      </c>
      <c r="E98" s="2" t="n">
        <v>0.00133406666666667</v>
      </c>
    </row>
    <row r="99" customFormat="false" ht="13.8" hidden="false" customHeight="false" outlineLevel="0" collapsed="false">
      <c r="B99" s="2" t="n">
        <v>97</v>
      </c>
      <c r="C99" s="2" t="n">
        <v>0.124078933333333</v>
      </c>
      <c r="D99" s="2" t="n">
        <v>0.4</v>
      </c>
      <c r="E99" s="2" t="n">
        <v>0.0533340666666667</v>
      </c>
    </row>
    <row r="100" customFormat="false" ht="13.8" hidden="false" customHeight="false" outlineLevel="0" collapsed="false">
      <c r="B100" s="2" t="n">
        <v>98</v>
      </c>
      <c r="C100" s="2" t="n">
        <v>0.44234</v>
      </c>
      <c r="D100" s="2" t="n">
        <v>0.4</v>
      </c>
      <c r="E100" s="2" t="n">
        <v>0.083</v>
      </c>
    </row>
    <row r="101" customFormat="false" ht="13.8" hidden="false" customHeight="false" outlineLevel="0" collapsed="false">
      <c r="B101" s="2" t="n">
        <v>99</v>
      </c>
      <c r="C101" s="2" t="n">
        <v>0.159005466666667</v>
      </c>
      <c r="D101" s="2" t="n">
        <v>0.4</v>
      </c>
      <c r="E101" s="2" t="n">
        <v>0.057</v>
      </c>
    </row>
    <row r="102" customFormat="false" ht="13.8" hidden="false" customHeight="false" outlineLevel="0" collapsed="false">
      <c r="B102" s="2" t="n">
        <v>100</v>
      </c>
      <c r="C102" s="2" t="n">
        <v>0.1664714</v>
      </c>
      <c r="D102" s="2" t="n">
        <v>0.4</v>
      </c>
      <c r="E102" s="2" t="n">
        <v>0.160333466666667</v>
      </c>
    </row>
    <row r="103" customFormat="false" ht="13.8" hidden="false" customHeight="false" outlineLevel="0" collapsed="false">
      <c r="B103" s="2" t="n">
        <v>101</v>
      </c>
      <c r="C103" s="2" t="n">
        <v>0.211933933333333</v>
      </c>
      <c r="D103" s="2" t="n">
        <v>0.4</v>
      </c>
      <c r="E103" s="2" t="n">
        <v>0.005</v>
      </c>
    </row>
    <row r="104" customFormat="false" ht="13.8" hidden="false" customHeight="false" outlineLevel="0" collapsed="false">
      <c r="B104" s="2" t="n">
        <v>102</v>
      </c>
      <c r="C104" s="2" t="n">
        <v>0.0707345333333333</v>
      </c>
      <c r="D104" s="2" t="n">
        <v>0.4</v>
      </c>
      <c r="E104" s="2" t="n">
        <v>0.121333466666667</v>
      </c>
    </row>
    <row r="105" customFormat="false" ht="13.8" hidden="false" customHeight="false" outlineLevel="0" collapsed="false">
      <c r="B105" s="2" t="n">
        <v>103</v>
      </c>
      <c r="C105" s="2" t="n">
        <v>0.3085336</v>
      </c>
      <c r="D105" s="2" t="n">
        <v>0.4</v>
      </c>
      <c r="E105" s="2" t="n">
        <v>0.018</v>
      </c>
    </row>
    <row r="106" customFormat="false" ht="13.8" hidden="false" customHeight="false" outlineLevel="0" collapsed="false">
      <c r="B106" s="2" t="n">
        <v>104</v>
      </c>
      <c r="C106" s="2" t="n">
        <v>0.0482007333333333</v>
      </c>
      <c r="D106" s="2" t="n">
        <v>0.4</v>
      </c>
      <c r="E106" s="2" t="n">
        <v>0.122</v>
      </c>
    </row>
    <row r="107" customFormat="false" ht="13.8" hidden="false" customHeight="false" outlineLevel="0" collapsed="false">
      <c r="B107" s="2" t="n">
        <v>105</v>
      </c>
      <c r="C107" s="2" t="n">
        <v>0.1990016</v>
      </c>
      <c r="D107" s="2" t="n">
        <v>0.4</v>
      </c>
      <c r="E107" s="2" t="n">
        <v>0.018</v>
      </c>
    </row>
    <row r="108" customFormat="false" ht="13.8" hidden="false" customHeight="false" outlineLevel="0" collapsed="false">
      <c r="B108" s="2" t="n">
        <v>106</v>
      </c>
      <c r="C108" s="2" t="n">
        <v>0.0556667333333333</v>
      </c>
      <c r="D108" s="2" t="n">
        <v>0.4</v>
      </c>
      <c r="E108" s="2" t="n">
        <v>0.122</v>
      </c>
    </row>
    <row r="109" customFormat="false" ht="13.8" hidden="false" customHeight="false" outlineLevel="0" collapsed="false">
      <c r="B109" s="2" t="n">
        <v>107</v>
      </c>
      <c r="C109" s="2" t="n">
        <v>0.298200533333333</v>
      </c>
      <c r="D109" s="2" t="n">
        <v>0.4</v>
      </c>
      <c r="E109" s="2" t="n">
        <v>0.018</v>
      </c>
    </row>
    <row r="110" customFormat="false" ht="13.8" hidden="false" customHeight="false" outlineLevel="0" collapsed="false">
      <c r="B110" s="2" t="n">
        <v>108</v>
      </c>
      <c r="C110" s="2" t="n">
        <v>0.0646678666666667</v>
      </c>
      <c r="D110" s="2" t="n">
        <v>0.4</v>
      </c>
      <c r="E110" s="2" t="n">
        <v>0.122</v>
      </c>
    </row>
    <row r="111" customFormat="false" ht="13.8" hidden="false" customHeight="false" outlineLevel="0" collapsed="false">
      <c r="B111" s="2" t="n">
        <v>109</v>
      </c>
      <c r="C111" s="2" t="n">
        <v>0.256001</v>
      </c>
      <c r="D111" s="2" t="n">
        <v>0.4</v>
      </c>
      <c r="E111" s="2" t="n">
        <v>0.018</v>
      </c>
    </row>
    <row r="112" customFormat="false" ht="13.8" hidden="false" customHeight="false" outlineLevel="0" collapsed="false">
      <c r="B112" s="2" t="n">
        <v>110</v>
      </c>
      <c r="C112" s="2" t="n">
        <v>0.125534266666667</v>
      </c>
      <c r="D112" s="2" t="n">
        <v>0.4</v>
      </c>
      <c r="E112" s="2" t="n">
        <v>0.122</v>
      </c>
    </row>
    <row r="113" customFormat="false" ht="13.8" hidden="false" customHeight="false" outlineLevel="0" collapsed="false">
      <c r="B113" s="2" t="n">
        <v>111</v>
      </c>
      <c r="C113" s="2" t="n">
        <v>0.179534066666667</v>
      </c>
      <c r="D113" s="2" t="n">
        <v>0.4</v>
      </c>
      <c r="E113" s="2" t="n">
        <v>0.018</v>
      </c>
    </row>
    <row r="114" customFormat="false" ht="13.8" hidden="false" customHeight="false" outlineLevel="0" collapsed="false">
      <c r="B114" s="2" t="n">
        <v>112</v>
      </c>
      <c r="C114" s="2" t="n">
        <v>0.162934333333333</v>
      </c>
      <c r="D114" s="2" t="n">
        <v>0.4</v>
      </c>
      <c r="E114" s="2" t="n">
        <v>0.122</v>
      </c>
    </row>
    <row r="115" customFormat="false" ht="13.8" hidden="false" customHeight="false" outlineLevel="0" collapsed="false">
      <c r="B115" s="2" t="n">
        <v>113</v>
      </c>
      <c r="C115" s="2" t="n">
        <v>0.156</v>
      </c>
      <c r="D115" s="2" t="n">
        <v>0.4</v>
      </c>
      <c r="E115" s="2" t="n">
        <v>0.018</v>
      </c>
    </row>
    <row r="116" customFormat="false" ht="13.8" hidden="false" customHeight="false" outlineLevel="0" collapsed="false">
      <c r="B116" s="2" t="n">
        <v>114</v>
      </c>
      <c r="C116" s="2" t="n">
        <v>0.1522006</v>
      </c>
      <c r="D116" s="2" t="n">
        <v>0.4</v>
      </c>
      <c r="E116" s="2" t="n">
        <v>0.122</v>
      </c>
    </row>
    <row r="117" customFormat="false" ht="13.8" hidden="false" customHeight="false" outlineLevel="0" collapsed="false">
      <c r="B117" s="2" t="n">
        <v>115</v>
      </c>
      <c r="C117" s="2" t="n">
        <v>0.219333666666667</v>
      </c>
      <c r="D117" s="2" t="n">
        <v>0.4</v>
      </c>
      <c r="E117" s="2" t="n">
        <v>0.018</v>
      </c>
    </row>
    <row r="118" customFormat="false" ht="13.8" hidden="false" customHeight="false" outlineLevel="0" collapsed="false">
      <c r="B118" s="2" t="n">
        <v>116</v>
      </c>
      <c r="C118" s="2" t="n">
        <v>0.089667</v>
      </c>
      <c r="D118" s="2" t="n">
        <v>0.4</v>
      </c>
      <c r="E118" s="2" t="n">
        <v>0.0140008</v>
      </c>
    </row>
    <row r="119" customFormat="false" ht="13.8" hidden="false" customHeight="false" outlineLevel="0" collapsed="false">
      <c r="B119" s="2" t="n">
        <v>117</v>
      </c>
      <c r="C119" s="2" t="n">
        <v>0.221800066666667</v>
      </c>
      <c r="D119" s="2" t="n">
        <v>0.4</v>
      </c>
      <c r="E119" s="2" t="n">
        <v>0.122</v>
      </c>
    </row>
    <row r="120" customFormat="false" ht="13.8" hidden="false" customHeight="false" outlineLevel="0" collapsed="false">
      <c r="B120" s="2" t="n">
        <v>118</v>
      </c>
      <c r="C120" s="2" t="n">
        <v>0.085068</v>
      </c>
      <c r="D120" s="2" t="n">
        <v>0.4</v>
      </c>
      <c r="E120" s="2" t="n">
        <v>0.018</v>
      </c>
    </row>
    <row r="121" customFormat="false" ht="13.8" hidden="false" customHeight="false" outlineLevel="0" collapsed="false">
      <c r="B121" s="2" t="n">
        <v>119</v>
      </c>
      <c r="C121" s="2" t="n">
        <v>0.121134</v>
      </c>
      <c r="D121" s="2" t="n">
        <v>0.4</v>
      </c>
      <c r="E121" s="2" t="n">
        <v>0.1210002</v>
      </c>
    </row>
    <row r="122" customFormat="false" ht="13.8" hidden="false" customHeight="false" outlineLevel="0" collapsed="false">
      <c r="B122" s="2" t="n">
        <v>120</v>
      </c>
      <c r="C122" s="2" t="n">
        <v>0.2865342</v>
      </c>
      <c r="D122" s="2" t="n">
        <v>0.4</v>
      </c>
      <c r="E122" s="2" t="n">
        <v>0.134666733333333</v>
      </c>
    </row>
    <row r="123" customFormat="false" ht="13.8" hidden="false" customHeight="false" outlineLevel="0" collapsed="false">
      <c r="B123" s="2" t="n">
        <v>121</v>
      </c>
      <c r="C123" s="2" t="n">
        <v>0.04</v>
      </c>
      <c r="D123" s="2" t="n">
        <v>0.106666666666667</v>
      </c>
      <c r="E123" s="2" t="n">
        <v>0.005</v>
      </c>
    </row>
    <row r="124" customFormat="false" ht="13.8" hidden="false" customHeight="false" outlineLevel="0" collapsed="false">
      <c r="B124" s="2" t="n">
        <v>122</v>
      </c>
      <c r="C124" s="2" t="n">
        <v>0.377468266666667</v>
      </c>
      <c r="D124" s="2" t="n">
        <v>0</v>
      </c>
      <c r="E124" s="2" t="n">
        <v>0.134666733333333</v>
      </c>
    </row>
    <row r="125" customFormat="false" ht="13.8" hidden="false" customHeight="false" outlineLevel="0" collapsed="false">
      <c r="B125" s="2" t="n">
        <v>123</v>
      </c>
      <c r="C125" s="2" t="n">
        <v>0.0216707333333333</v>
      </c>
      <c r="D125" s="2" t="n">
        <v>0</v>
      </c>
      <c r="E125" s="2" t="n">
        <v>0.005</v>
      </c>
    </row>
    <row r="126" customFormat="false" ht="13.8" hidden="false" customHeight="false" outlineLevel="0" collapsed="false">
      <c r="B126" s="2" t="n">
        <v>124</v>
      </c>
      <c r="C126" s="2" t="n">
        <v>0.321004133333333</v>
      </c>
      <c r="D126" s="2" t="n">
        <v>0</v>
      </c>
      <c r="E126" s="2" t="n">
        <v>0.174</v>
      </c>
    </row>
    <row r="127" customFormat="false" ht="13.8" hidden="false" customHeight="false" outlineLevel="0" collapsed="false">
      <c r="B127" s="2" t="n">
        <v>125</v>
      </c>
      <c r="C127" s="2" t="n">
        <v>0.101005</v>
      </c>
      <c r="D127" s="2" t="n">
        <v>0</v>
      </c>
      <c r="E127" s="2" t="n">
        <v>0.018</v>
      </c>
    </row>
    <row r="128" customFormat="false" ht="13.8" hidden="false" customHeight="false" outlineLevel="0" collapsed="false">
      <c r="B128" s="2" t="n">
        <v>126</v>
      </c>
      <c r="C128" s="2" t="n">
        <v>0.3428714</v>
      </c>
      <c r="D128" s="2" t="n">
        <v>0</v>
      </c>
      <c r="E128" s="2" t="n">
        <v>0.0953348666666667</v>
      </c>
    </row>
    <row r="129" customFormat="false" ht="13.8" hidden="false" customHeight="false" outlineLevel="0" collapsed="false">
      <c r="B129" s="2" t="n">
        <v>127</v>
      </c>
      <c r="C129" s="2" t="n">
        <v>0.125672866666667</v>
      </c>
      <c r="D129" s="2" t="n">
        <v>0</v>
      </c>
      <c r="E129" s="2" t="n">
        <v>0.1340028</v>
      </c>
    </row>
    <row r="130" customFormat="false" ht="13.8" hidden="false" customHeight="false" outlineLevel="0" collapsed="false">
      <c r="B130" s="2" t="n">
        <v>128</v>
      </c>
      <c r="C130" s="2" t="n">
        <v>0.203207866666667</v>
      </c>
      <c r="D130" s="2" t="n">
        <v>0</v>
      </c>
      <c r="E130" s="2" t="n">
        <v>0.005003</v>
      </c>
    </row>
    <row r="131" customFormat="false" ht="13.8" hidden="false" customHeight="false" outlineLevel="0" collapsed="false">
      <c r="B131" s="2" t="n">
        <v>129</v>
      </c>
      <c r="C131" s="2" t="n">
        <v>0.3008074</v>
      </c>
      <c r="D131" s="2" t="n">
        <v>0</v>
      </c>
      <c r="E131" s="2" t="n">
        <v>0.135003</v>
      </c>
    </row>
    <row r="132" customFormat="false" ht="13.8" hidden="false" customHeight="false" outlineLevel="0" collapsed="false">
      <c r="B132" s="2" t="n">
        <v>130</v>
      </c>
      <c r="C132" s="2" t="n">
        <v>0.244541266666667</v>
      </c>
      <c r="D132" s="2" t="n">
        <v>0</v>
      </c>
      <c r="E132" s="2" t="n">
        <v>0.3063366</v>
      </c>
    </row>
    <row r="133" customFormat="false" ht="13.8" hidden="false" customHeight="false" outlineLevel="0" collapsed="false">
      <c r="B133" s="2" t="n">
        <v>131</v>
      </c>
      <c r="C133" s="2" t="n">
        <v>0.157341266666667</v>
      </c>
      <c r="D133" s="2" t="n">
        <v>0</v>
      </c>
      <c r="E133" s="2" t="n">
        <v>0.3540032</v>
      </c>
    </row>
    <row r="134" customFormat="false" ht="13.8" hidden="false" customHeight="false" outlineLevel="0" collapsed="false">
      <c r="B134" s="2" t="n">
        <v>132</v>
      </c>
      <c r="C134" s="2" t="n">
        <v>0.379874933333333</v>
      </c>
      <c r="D134" s="2" t="n">
        <v>0</v>
      </c>
      <c r="E134" s="2" t="n">
        <v>0.513669333333333</v>
      </c>
    </row>
    <row r="135" customFormat="false" ht="13.8" hidden="false" customHeight="false" outlineLevel="0" collapsed="false">
      <c r="B135" s="2" t="n">
        <v>133</v>
      </c>
      <c r="C135" s="2" t="n">
        <v>0.166009</v>
      </c>
      <c r="D135" s="2" t="n">
        <v>0</v>
      </c>
      <c r="E135" s="2" t="n">
        <v>0.400669533333333</v>
      </c>
    </row>
    <row r="136" customFormat="false" ht="13.8" hidden="false" customHeight="false" outlineLevel="0" collapsed="false">
      <c r="B136" s="2" t="n">
        <v>134</v>
      </c>
      <c r="C136" s="2" t="n">
        <v>0.374009</v>
      </c>
      <c r="D136" s="2" t="n">
        <v>0</v>
      </c>
      <c r="E136" s="2" t="n">
        <v>0.369003</v>
      </c>
    </row>
    <row r="137" customFormat="false" ht="13.8" hidden="false" customHeight="false" outlineLevel="0" collapsed="false">
      <c r="B137" s="2" t="n">
        <v>135</v>
      </c>
      <c r="C137" s="2" t="n">
        <v>0.166009</v>
      </c>
      <c r="D137" s="2" t="n">
        <v>0</v>
      </c>
      <c r="E137" s="2" t="n">
        <v>0.233669733333333</v>
      </c>
    </row>
    <row r="138" customFormat="false" ht="13.8" hidden="false" customHeight="false" outlineLevel="0" collapsed="false">
      <c r="B138" s="2" t="n">
        <v>136</v>
      </c>
      <c r="C138" s="2" t="n">
        <v>0.374009</v>
      </c>
      <c r="D138" s="2" t="n">
        <v>0</v>
      </c>
      <c r="E138" s="2" t="n">
        <v>0.1894034</v>
      </c>
    </row>
    <row r="139" customFormat="false" ht="13.8" hidden="false" customHeight="false" outlineLevel="0" collapsed="false">
      <c r="B139" s="2" t="n">
        <v>137</v>
      </c>
      <c r="C139" s="2" t="n">
        <v>0.171874933333333</v>
      </c>
      <c r="D139" s="2" t="n">
        <v>0</v>
      </c>
      <c r="E139" s="2" t="n">
        <v>0.087003</v>
      </c>
    </row>
    <row r="140" customFormat="false" ht="13.8" hidden="false" customHeight="false" outlineLevel="0" collapsed="false">
      <c r="B140" s="2" t="n">
        <v>138</v>
      </c>
      <c r="C140" s="2" t="n">
        <v>0.382007</v>
      </c>
      <c r="D140" s="2" t="n">
        <v>0</v>
      </c>
      <c r="E140" s="2" t="n">
        <v>0.4710022</v>
      </c>
    </row>
    <row r="141" customFormat="false" ht="13.8" hidden="false" customHeight="false" outlineLevel="0" collapsed="false">
      <c r="B141" s="2" t="n">
        <v>139</v>
      </c>
      <c r="C141" s="2" t="n">
        <v>0.1578738</v>
      </c>
      <c r="D141" s="2" t="n">
        <v>0</v>
      </c>
      <c r="E141" s="2" t="n">
        <v>0.410335466666667</v>
      </c>
    </row>
    <row r="142" customFormat="false" ht="13.8" hidden="false" customHeight="false" outlineLevel="0" collapsed="false">
      <c r="B142" s="2" t="n">
        <v>140</v>
      </c>
      <c r="C142" s="2" t="n">
        <v>0.415005</v>
      </c>
      <c r="D142" s="2" t="n">
        <v>0</v>
      </c>
      <c r="E142" s="2" t="n">
        <v>0.354669666666667</v>
      </c>
    </row>
    <row r="143" customFormat="false" ht="13.8" hidden="false" customHeight="false" outlineLevel="0" collapsed="false">
      <c r="B143" s="2" t="n">
        <v>141</v>
      </c>
      <c r="C143" s="2" t="n">
        <v>0.1576718</v>
      </c>
      <c r="D143" s="2" t="n">
        <v>0</v>
      </c>
      <c r="E143" s="2" t="n">
        <v>0.1448036</v>
      </c>
    </row>
    <row r="144" customFormat="false" ht="13.8" hidden="false" customHeight="false" outlineLevel="0" collapsed="false">
      <c r="B144" s="2" t="n">
        <v>142</v>
      </c>
      <c r="C144" s="2" t="n">
        <v>0.366672333333333</v>
      </c>
      <c r="D144" s="2" t="n">
        <v>0</v>
      </c>
      <c r="E144" s="2" t="n">
        <v>0.1740032</v>
      </c>
    </row>
    <row r="145" customFormat="false" ht="13.8" hidden="false" customHeight="false" outlineLevel="0" collapsed="false">
      <c r="B145" s="2" t="n">
        <v>143</v>
      </c>
      <c r="C145" s="2" t="n">
        <v>0.372005</v>
      </c>
      <c r="D145" s="2" t="n">
        <v>0</v>
      </c>
      <c r="E145" s="2" t="n">
        <v>0.096003</v>
      </c>
    </row>
    <row r="146" customFormat="false" ht="13.8" hidden="false" customHeight="false" outlineLevel="0" collapsed="false">
      <c r="B146" s="2" t="n">
        <v>144</v>
      </c>
      <c r="C146" s="2" t="n">
        <v>0.234673066666667</v>
      </c>
      <c r="D146" s="2" t="n">
        <v>0</v>
      </c>
      <c r="E146" s="2" t="n">
        <v>0.1756026</v>
      </c>
    </row>
    <row r="147" customFormat="false" ht="13.8" hidden="false" customHeight="false" outlineLevel="0" collapsed="false">
      <c r="B147" s="2" t="n">
        <v>145</v>
      </c>
      <c r="C147" s="2" t="n">
        <v>0.2020088</v>
      </c>
      <c r="D147" s="2" t="n">
        <v>0</v>
      </c>
      <c r="E147" s="2" t="n">
        <v>0.00633586666666667</v>
      </c>
    </row>
    <row r="148" customFormat="false" ht="13.8" hidden="false" customHeight="false" outlineLevel="0" collapsed="false">
      <c r="B148" s="2" t="n">
        <v>146</v>
      </c>
      <c r="C148" s="2" t="n">
        <v>0.164409</v>
      </c>
      <c r="D148" s="2" t="n">
        <v>0</v>
      </c>
      <c r="E148" s="2" t="n">
        <v>0.3615358</v>
      </c>
    </row>
    <row r="149" customFormat="false" ht="13.8" hidden="false" customHeight="false" outlineLevel="0" collapsed="false">
      <c r="B149" s="2" t="n">
        <v>147</v>
      </c>
      <c r="C149" s="2" t="n">
        <v>0.1766096</v>
      </c>
      <c r="D149" s="2" t="n">
        <v>0</v>
      </c>
      <c r="E149" s="2" t="n">
        <v>0.611668333333333</v>
      </c>
    </row>
    <row r="150" customFormat="false" ht="13.8" hidden="false" customHeight="false" outlineLevel="0" collapsed="false">
      <c r="B150" s="2" t="n">
        <v>148</v>
      </c>
      <c r="C150" s="2" t="n">
        <v>0.386873133333333</v>
      </c>
      <c r="D150" s="2" t="n">
        <v>0</v>
      </c>
      <c r="E150" s="2" t="n">
        <v>0.627668733333333</v>
      </c>
    </row>
    <row r="151" customFormat="false" ht="13.8" hidden="false" customHeight="false" outlineLevel="0" collapsed="false">
      <c r="B151" s="2" t="n">
        <v>149</v>
      </c>
      <c r="C151" s="2" t="n">
        <v>0.2036068</v>
      </c>
      <c r="D151" s="2" t="n">
        <v>0</v>
      </c>
      <c r="E151" s="2" t="n">
        <v>0.109003</v>
      </c>
    </row>
    <row r="152" customFormat="false" ht="13.8" hidden="false" customHeight="false" outlineLevel="0" collapsed="false">
      <c r="B152" s="2" t="n">
        <v>150</v>
      </c>
      <c r="C152" s="2" t="n">
        <v>0.385073533333333</v>
      </c>
      <c r="D152" s="2" t="n">
        <v>0</v>
      </c>
      <c r="E152" s="2" t="n">
        <v>0.161003133333333</v>
      </c>
    </row>
    <row r="153" customFormat="false" ht="13.8" hidden="false" customHeight="false" outlineLevel="0" collapsed="false">
      <c r="B153" s="2" t="n">
        <v>151</v>
      </c>
      <c r="C153" s="2" t="n">
        <v>0.1885402</v>
      </c>
      <c r="D153" s="2" t="n">
        <v>0</v>
      </c>
      <c r="E153" s="2" t="n">
        <v>0.109003533333333</v>
      </c>
    </row>
    <row r="154" customFormat="false" ht="13.8" hidden="false" customHeight="false" outlineLevel="0" collapsed="false">
      <c r="B154" s="2" t="n">
        <v>152</v>
      </c>
      <c r="C154" s="2" t="n">
        <v>0.402205066666667</v>
      </c>
      <c r="D154" s="2" t="n">
        <v>0</v>
      </c>
      <c r="E154" s="2" t="n">
        <v>0.161002866666667</v>
      </c>
    </row>
    <row r="155" customFormat="false" ht="13.8" hidden="false" customHeight="false" outlineLevel="0" collapsed="false">
      <c r="B155" s="2" t="n">
        <v>153</v>
      </c>
      <c r="C155" s="2" t="n">
        <v>0.127336866666667</v>
      </c>
      <c r="D155" s="2" t="n">
        <v>0</v>
      </c>
      <c r="E155" s="2" t="n">
        <v>0.1100694</v>
      </c>
    </row>
    <row r="156" customFormat="false" ht="13.8" hidden="false" customHeight="false" outlineLevel="0" collapsed="false">
      <c r="B156" s="2" t="n">
        <v>154</v>
      </c>
      <c r="C156" s="2" t="n">
        <v>0.258669</v>
      </c>
      <c r="D156" s="2" t="n">
        <v>0</v>
      </c>
      <c r="E156" s="2" t="n">
        <v>0.0346687333333333</v>
      </c>
    </row>
    <row r="157" customFormat="false" ht="13.8" hidden="false" customHeight="false" outlineLevel="0" collapsed="false">
      <c r="B157" s="2" t="n">
        <v>155</v>
      </c>
      <c r="C157" s="2" t="n">
        <v>0.298001</v>
      </c>
      <c r="D157" s="2" t="n">
        <v>0</v>
      </c>
      <c r="E157" s="2" t="n">
        <v>0.204002</v>
      </c>
    </row>
    <row r="158" customFormat="false" ht="13.8" hidden="false" customHeight="false" outlineLevel="0" collapsed="false">
      <c r="B158" s="2" t="n">
        <v>156</v>
      </c>
      <c r="C158" s="2" t="n">
        <v>0.2600008</v>
      </c>
      <c r="D158" s="2" t="n">
        <v>0</v>
      </c>
      <c r="E158" s="2" t="n">
        <v>0.0737359333333333</v>
      </c>
    </row>
    <row r="159" customFormat="false" ht="13.8" hidden="false" customHeight="false" outlineLevel="0" collapsed="false">
      <c r="B159" s="2" t="n">
        <v>157</v>
      </c>
      <c r="C159" s="2" t="n">
        <v>0.283</v>
      </c>
      <c r="D159" s="2" t="n">
        <v>0</v>
      </c>
      <c r="E159" s="2" t="n">
        <v>0.200004</v>
      </c>
    </row>
    <row r="160" customFormat="false" ht="13.8" hidden="false" customHeight="false" outlineLevel="0" collapsed="false">
      <c r="B160" s="2" t="n">
        <v>158</v>
      </c>
      <c r="C160" s="2" t="n">
        <v>0.387</v>
      </c>
      <c r="D160" s="2" t="n">
        <v>0</v>
      </c>
      <c r="E160" s="2" t="n">
        <v>0.0410046</v>
      </c>
    </row>
    <row r="161" customFormat="false" ht="13.8" hidden="false" customHeight="false" outlineLevel="0" collapsed="false">
      <c r="B161" s="2" t="n">
        <v>159</v>
      </c>
      <c r="C161" s="2" t="n">
        <v>0.203333666666667</v>
      </c>
      <c r="D161" s="2" t="n">
        <v>0</v>
      </c>
      <c r="E161" s="2" t="n">
        <v>0.00747053333333333</v>
      </c>
    </row>
    <row r="162" customFormat="false" ht="13.8" hidden="false" customHeight="false" outlineLevel="0" collapsed="false">
      <c r="B162" s="2" t="n">
        <v>160</v>
      </c>
      <c r="C162" s="2" t="n">
        <v>0.361</v>
      </c>
      <c r="D162" s="2" t="n">
        <v>0</v>
      </c>
      <c r="E162" s="2" t="n">
        <v>0.1868022</v>
      </c>
    </row>
    <row r="163" customFormat="false" ht="13.8" hidden="false" customHeight="false" outlineLevel="0" collapsed="false">
      <c r="B163" s="2" t="n">
        <v>161</v>
      </c>
      <c r="C163" s="2" t="n">
        <v>0.152333466666667</v>
      </c>
      <c r="D163" s="2" t="n">
        <v>0</v>
      </c>
      <c r="E163" s="2" t="n">
        <v>0.176668533333333</v>
      </c>
    </row>
    <row r="164" customFormat="false" ht="13.8" hidden="false" customHeight="false" outlineLevel="0" collapsed="false">
      <c r="B164" s="2" t="n">
        <v>162</v>
      </c>
      <c r="C164" s="2" t="n">
        <v>0.226667533333333</v>
      </c>
      <c r="D164" s="2" t="n">
        <v>0</v>
      </c>
      <c r="E164" s="2" t="n">
        <v>0.687601066666667</v>
      </c>
    </row>
    <row r="165" customFormat="false" ht="13.8" hidden="false" customHeight="false" outlineLevel="0" collapsed="false">
      <c r="B165" s="2" t="n">
        <v>163</v>
      </c>
      <c r="C165" s="2" t="n">
        <v>0.2740002</v>
      </c>
      <c r="D165" s="2" t="n">
        <v>0</v>
      </c>
      <c r="E165" s="2" t="n">
        <v>0.604002</v>
      </c>
    </row>
    <row r="166" customFormat="false" ht="13.8" hidden="false" customHeight="false" outlineLevel="0" collapsed="false">
      <c r="B166" s="2" t="n">
        <v>164</v>
      </c>
      <c r="C166" s="2" t="n">
        <v>0.275667266666667</v>
      </c>
      <c r="D166" s="2" t="n">
        <v>0</v>
      </c>
      <c r="E166" s="2" t="n">
        <v>0.696935466666667</v>
      </c>
    </row>
    <row r="167" customFormat="false" ht="13.8" hidden="false" customHeight="false" outlineLevel="0" collapsed="false">
      <c r="B167" s="2" t="n">
        <v>165</v>
      </c>
      <c r="C167" s="2" t="n">
        <v>0.277333466666667</v>
      </c>
      <c r="D167" s="2" t="n">
        <v>0</v>
      </c>
      <c r="E167" s="2" t="n">
        <v>0.258137</v>
      </c>
    </row>
    <row r="168" customFormat="false" ht="13.8" hidden="false" customHeight="false" outlineLevel="0" collapsed="false">
      <c r="B168" s="2" t="n">
        <v>166</v>
      </c>
      <c r="C168" s="2" t="n">
        <v>0.248334</v>
      </c>
      <c r="D168" s="2" t="n">
        <v>0</v>
      </c>
      <c r="E168" s="2" t="n">
        <v>0.2422036</v>
      </c>
    </row>
    <row r="169" customFormat="false" ht="13.8" hidden="false" customHeight="false" outlineLevel="0" collapsed="false">
      <c r="B169" s="2" t="n">
        <v>167</v>
      </c>
      <c r="C169" s="2" t="n">
        <v>0.246668933333333</v>
      </c>
      <c r="D169" s="2" t="n">
        <v>0</v>
      </c>
      <c r="E169" s="2" t="n">
        <v>0.151671</v>
      </c>
    </row>
    <row r="170" customFormat="false" ht="13.8" hidden="false" customHeight="false" outlineLevel="0" collapsed="false">
      <c r="B170" s="2" t="n">
        <v>168</v>
      </c>
      <c r="C170" s="2" t="n">
        <v>0.3523348</v>
      </c>
      <c r="D170" s="2" t="n">
        <v>0</v>
      </c>
      <c r="E170" s="2" t="n">
        <v>0.195004066666667</v>
      </c>
    </row>
    <row r="171" customFormat="false" ht="13.8" hidden="false" customHeight="false" outlineLevel="0" collapsed="false">
      <c r="B171" s="2" t="n">
        <v>169</v>
      </c>
      <c r="C171" s="2" t="n">
        <v>0.222002266666667</v>
      </c>
      <c r="D171" s="2" t="n">
        <v>0</v>
      </c>
      <c r="E171" s="2" t="n">
        <v>0.098803</v>
      </c>
    </row>
    <row r="172" customFormat="false" ht="13.8" hidden="false" customHeight="false" outlineLevel="0" collapsed="false">
      <c r="B172" s="2" t="n">
        <v>170</v>
      </c>
      <c r="C172" s="2" t="n">
        <v>0.378005266666667</v>
      </c>
      <c r="D172" s="2" t="n">
        <v>0</v>
      </c>
      <c r="E172" s="2" t="n">
        <v>0.0003354</v>
      </c>
    </row>
    <row r="173" customFormat="false" ht="13.8" hidden="false" customHeight="false" outlineLevel="0" collapsed="false">
      <c r="B173" s="2" t="n">
        <v>171</v>
      </c>
      <c r="C173" s="2" t="n">
        <v>0.176940533333333</v>
      </c>
      <c r="D173" s="2" t="n">
        <v>0</v>
      </c>
      <c r="E173" s="2" t="n">
        <v>1.8E-006</v>
      </c>
    </row>
    <row r="174" customFormat="false" ht="13.8" hidden="false" customHeight="false" outlineLevel="0" collapsed="false">
      <c r="B174" s="2" t="n">
        <v>172</v>
      </c>
      <c r="C174" s="2" t="n">
        <v>0.287210866666667</v>
      </c>
      <c r="D174" s="2" t="n">
        <v>0</v>
      </c>
      <c r="E174" s="2" t="n">
        <v>0.07</v>
      </c>
    </row>
    <row r="175" customFormat="false" ht="13.8" hidden="false" customHeight="false" outlineLevel="0" collapsed="false">
      <c r="B175" s="2" t="n">
        <v>173</v>
      </c>
      <c r="C175" s="2" t="n">
        <v>0.2924808</v>
      </c>
      <c r="D175" s="2" t="n">
        <v>0</v>
      </c>
      <c r="E175" s="2" t="n">
        <v>0.2</v>
      </c>
    </row>
    <row r="176" customFormat="false" ht="13.8" hidden="false" customHeight="false" outlineLevel="0" collapsed="false">
      <c r="B176" s="2" t="n">
        <v>174</v>
      </c>
      <c r="C176" s="2" t="n">
        <v>0.409147666666667</v>
      </c>
      <c r="D176" s="2" t="n">
        <v>0.293333333333333</v>
      </c>
      <c r="E176" s="2" t="n">
        <v>0.07</v>
      </c>
    </row>
    <row r="177" customFormat="false" ht="13.8" hidden="false" customHeight="false" outlineLevel="0" collapsed="false">
      <c r="B177" s="2" t="n">
        <v>175</v>
      </c>
      <c r="C177" s="2" t="n">
        <v>0.302816733333333</v>
      </c>
      <c r="D177" s="2" t="n">
        <v>0.4</v>
      </c>
      <c r="E177" s="2" t="n">
        <v>0.2</v>
      </c>
    </row>
    <row r="178" customFormat="false" ht="13.8" hidden="false" customHeight="false" outlineLevel="0" collapsed="false">
      <c r="B178" s="2" t="n">
        <v>176</v>
      </c>
      <c r="C178" s="2" t="n">
        <v>0.4285474</v>
      </c>
      <c r="D178" s="2" t="n">
        <v>0.4</v>
      </c>
      <c r="E178" s="2" t="n">
        <v>1E-006</v>
      </c>
    </row>
    <row r="179" customFormat="false" ht="13.8" hidden="false" customHeight="false" outlineLevel="0" collapsed="false">
      <c r="B179" s="2" t="n">
        <v>177</v>
      </c>
      <c r="C179" s="2" t="n">
        <v>0.358749666666667</v>
      </c>
      <c r="D179" s="2" t="n">
        <v>0.4</v>
      </c>
      <c r="E179" s="2" t="n">
        <v>0.1340002</v>
      </c>
    </row>
    <row r="180" customFormat="false" ht="13.8" hidden="false" customHeight="false" outlineLevel="0" collapsed="false">
      <c r="B180" s="2" t="n">
        <v>178</v>
      </c>
      <c r="C180" s="2" t="n">
        <v>0.4338178</v>
      </c>
      <c r="D180" s="2" t="n">
        <v>0.4</v>
      </c>
      <c r="E180" s="2" t="n">
        <v>0.005</v>
      </c>
    </row>
    <row r="181" customFormat="false" ht="13.8" hidden="false" customHeight="false" outlineLevel="0" collapsed="false">
      <c r="B181" s="2" t="n">
        <v>179</v>
      </c>
      <c r="C181" s="2" t="n">
        <v>0.348617466666667</v>
      </c>
      <c r="D181" s="2" t="n">
        <v>0.4</v>
      </c>
      <c r="E181" s="2" t="n">
        <v>0.135</v>
      </c>
    </row>
    <row r="182" customFormat="false" ht="13.8" hidden="false" customHeight="false" outlineLevel="0" collapsed="false">
      <c r="B182" s="2" t="n">
        <v>180</v>
      </c>
      <c r="C182" s="2" t="n">
        <v>0.387684333333333</v>
      </c>
      <c r="D182" s="2" t="n">
        <v>0.4</v>
      </c>
      <c r="E182" s="2" t="n">
        <v>0.005</v>
      </c>
    </row>
    <row r="183" customFormat="false" ht="13.8" hidden="false" customHeight="false" outlineLevel="0" collapsed="false">
      <c r="B183" s="2" t="n">
        <v>181</v>
      </c>
      <c r="C183" s="2" t="n">
        <v>0.307949466666667</v>
      </c>
      <c r="D183" s="2" t="n">
        <v>0.4</v>
      </c>
      <c r="E183" s="2" t="n">
        <v>0.135</v>
      </c>
    </row>
    <row r="184" customFormat="false" ht="13.8" hidden="false" customHeight="false" outlineLevel="0" collapsed="false">
      <c r="B184" s="2" t="n">
        <v>182</v>
      </c>
      <c r="C184" s="2" t="n">
        <v>0.302682066666667</v>
      </c>
      <c r="D184" s="2" t="n">
        <v>0.4</v>
      </c>
      <c r="E184" s="2" t="n">
        <v>0.0936671333333334</v>
      </c>
    </row>
    <row r="185" customFormat="false" ht="13.8" hidden="false" customHeight="false" outlineLevel="0" collapsed="false">
      <c r="B185" s="2" t="n">
        <v>183</v>
      </c>
      <c r="C185" s="2" t="n">
        <v>0.251146866666667</v>
      </c>
      <c r="D185" s="2" t="n">
        <v>0.4</v>
      </c>
      <c r="E185" s="2" t="n">
        <v>0.044</v>
      </c>
    </row>
    <row r="186" customFormat="false" ht="13.8" hidden="false" customHeight="false" outlineLevel="0" collapsed="false">
      <c r="B186" s="2" t="n">
        <v>184</v>
      </c>
      <c r="C186" s="2" t="n">
        <v>0.1769492</v>
      </c>
      <c r="D186" s="2" t="n">
        <v>0.4</v>
      </c>
      <c r="E186" s="2" t="n">
        <v>0.0560002</v>
      </c>
    </row>
    <row r="187" customFormat="false" ht="13.8" hidden="false" customHeight="false" outlineLevel="0" collapsed="false">
      <c r="B187" s="2" t="n">
        <v>185</v>
      </c>
      <c r="C187" s="2" t="n">
        <v>0.431882333333333</v>
      </c>
      <c r="D187" s="2" t="n">
        <v>0.4</v>
      </c>
      <c r="E187" s="2" t="n">
        <v>0.1340002</v>
      </c>
    </row>
    <row r="188" customFormat="false" ht="13.8" hidden="false" customHeight="false" outlineLevel="0" collapsed="false">
      <c r="B188" s="2" t="n">
        <v>186</v>
      </c>
      <c r="C188" s="2" t="n">
        <v>0.194150133333333</v>
      </c>
      <c r="D188" s="2" t="n">
        <v>0.4</v>
      </c>
      <c r="E188" s="2" t="n">
        <v>0.005</v>
      </c>
    </row>
    <row r="189" customFormat="false" ht="13.8" hidden="false" customHeight="false" outlineLevel="0" collapsed="false">
      <c r="B189" s="2" t="n">
        <v>187</v>
      </c>
      <c r="C189" s="2" t="n">
        <v>0.2950132</v>
      </c>
      <c r="D189" s="2" t="n">
        <v>0.4</v>
      </c>
      <c r="E189" s="2" t="n">
        <v>0.135</v>
      </c>
    </row>
    <row r="190" customFormat="false" ht="13.8" hidden="false" customHeight="false" outlineLevel="0" collapsed="false">
      <c r="B190" s="2" t="n">
        <v>188</v>
      </c>
      <c r="C190" s="2" t="n">
        <v>0.379345466666667</v>
      </c>
      <c r="D190" s="2" t="n">
        <v>0.4</v>
      </c>
      <c r="E190" s="2" t="n">
        <v>0.005</v>
      </c>
    </row>
    <row r="191" customFormat="false" ht="13.8" hidden="false" customHeight="false" outlineLevel="0" collapsed="false">
      <c r="B191" s="2" t="n">
        <v>189</v>
      </c>
      <c r="C191" s="2" t="n">
        <v>0.274612133333333</v>
      </c>
      <c r="D191" s="2" t="n">
        <v>0.4</v>
      </c>
      <c r="E191" s="2" t="n">
        <v>0.134666733333333</v>
      </c>
    </row>
    <row r="192" customFormat="false" ht="13.8" hidden="false" customHeight="false" outlineLevel="0" collapsed="false">
      <c r="B192" s="2" t="n">
        <v>190</v>
      </c>
      <c r="C192" s="2" t="n">
        <v>0.2364802</v>
      </c>
      <c r="D192" s="2" t="n">
        <v>0.4</v>
      </c>
      <c r="E192" s="2" t="n">
        <v>0.133333666666667</v>
      </c>
    </row>
    <row r="193" customFormat="false" ht="13.8" hidden="false" customHeight="false" outlineLevel="0" collapsed="false">
      <c r="B193" s="2" t="n">
        <v>191</v>
      </c>
      <c r="C193" s="2" t="n">
        <v>0.0742753333333333</v>
      </c>
      <c r="D193" s="2" t="n">
        <v>0.32</v>
      </c>
      <c r="E193" s="2" t="n">
        <v>0.005</v>
      </c>
    </row>
    <row r="194" customFormat="false" ht="13.8" hidden="false" customHeight="false" outlineLevel="0" collapsed="false">
      <c r="B194" s="2" t="n">
        <v>192</v>
      </c>
      <c r="C194" s="2" t="n">
        <v>0.178009933333333</v>
      </c>
      <c r="D194" s="2" t="n">
        <v>0</v>
      </c>
      <c r="E194" s="2" t="n">
        <v>0.0283338666666667</v>
      </c>
    </row>
    <row r="195" customFormat="false" ht="13.8" hidden="false" customHeight="false" outlineLevel="0" collapsed="false">
      <c r="B195" s="2" t="n">
        <v>193</v>
      </c>
      <c r="C195" s="2" t="n">
        <v>0.0370768</v>
      </c>
      <c r="D195" s="2" t="n">
        <v>0</v>
      </c>
      <c r="E195" s="2" t="n">
        <v>0.00433346666666667</v>
      </c>
    </row>
    <row r="196" customFormat="false" ht="13.8" hidden="false" customHeight="false" outlineLevel="0" collapsed="false">
      <c r="B196" s="2" t="n">
        <v>194</v>
      </c>
      <c r="C196" s="2" t="n">
        <v>0.115809533333333</v>
      </c>
      <c r="D196" s="2" t="n">
        <v>0</v>
      </c>
      <c r="E196" s="2" t="n">
        <v>0.109</v>
      </c>
    </row>
    <row r="197" customFormat="false" ht="13.8" hidden="false" customHeight="false" outlineLevel="0" collapsed="false">
      <c r="B197" s="2" t="n">
        <v>195</v>
      </c>
      <c r="C197" s="2" t="n">
        <v>0.3270722</v>
      </c>
      <c r="D197" s="2" t="n">
        <v>0.373333333333333</v>
      </c>
      <c r="E197" s="2" t="n">
        <v>0.031</v>
      </c>
    </row>
    <row r="198" customFormat="false" ht="13.8" hidden="false" customHeight="false" outlineLevel="0" collapsed="false">
      <c r="B198" s="2" t="n">
        <v>196</v>
      </c>
      <c r="C198" s="2" t="n">
        <v>0.0530019333333333</v>
      </c>
      <c r="D198" s="2" t="n">
        <v>0.4</v>
      </c>
      <c r="E198" s="2" t="n">
        <v>0.109</v>
      </c>
    </row>
    <row r="199" customFormat="false" ht="13.8" hidden="false" customHeight="false" outlineLevel="0" collapsed="false">
      <c r="B199" s="2" t="n">
        <v>197</v>
      </c>
      <c r="C199" s="2" t="n">
        <v>0.310467533333333</v>
      </c>
      <c r="D199" s="2" t="n">
        <v>0.4</v>
      </c>
      <c r="E199" s="2" t="n">
        <v>0.031</v>
      </c>
    </row>
    <row r="200" customFormat="false" ht="13.8" hidden="false" customHeight="false" outlineLevel="0" collapsed="false">
      <c r="B200" s="2" t="n">
        <v>198</v>
      </c>
      <c r="C200" s="2" t="n">
        <v>0.0550004666666667</v>
      </c>
      <c r="D200" s="2" t="n">
        <v>0.4</v>
      </c>
      <c r="E200" s="2" t="n">
        <v>0.109</v>
      </c>
    </row>
    <row r="201" customFormat="false" ht="13.8" hidden="false" customHeight="false" outlineLevel="0" collapsed="false">
      <c r="B201" s="2" t="n">
        <v>199</v>
      </c>
      <c r="C201" s="2" t="n">
        <v>0.186334333333333</v>
      </c>
      <c r="D201" s="2" t="n">
        <v>0.4</v>
      </c>
      <c r="E201" s="2" t="n">
        <v>0.031</v>
      </c>
    </row>
    <row r="202" customFormat="false" ht="13.8" hidden="false" customHeight="false" outlineLevel="0" collapsed="false">
      <c r="B202" s="2" t="n">
        <v>200</v>
      </c>
      <c r="C202" s="2" t="n">
        <v>0.061</v>
      </c>
      <c r="D202" s="2" t="n">
        <v>0.4</v>
      </c>
      <c r="E202" s="2" t="n">
        <v>0.109</v>
      </c>
    </row>
    <row r="203" customFormat="false" ht="13.8" hidden="false" customHeight="false" outlineLevel="0" collapsed="false">
      <c r="B203" s="2" t="n">
        <v>201</v>
      </c>
      <c r="C203" s="2" t="n">
        <v>0.319667</v>
      </c>
      <c r="D203" s="2" t="n">
        <v>0.4</v>
      </c>
      <c r="E203" s="2" t="n">
        <v>0.031</v>
      </c>
    </row>
    <row r="204" customFormat="false" ht="13.8" hidden="false" customHeight="false" outlineLevel="0" collapsed="false">
      <c r="B204" s="2" t="n">
        <v>202</v>
      </c>
      <c r="C204" s="2" t="n">
        <v>0.0586009333333333</v>
      </c>
      <c r="D204" s="2" t="n">
        <v>0.4</v>
      </c>
      <c r="E204" s="2" t="n">
        <v>0.005</v>
      </c>
    </row>
    <row r="205" customFormat="false" ht="13.8" hidden="false" customHeight="false" outlineLevel="0" collapsed="false">
      <c r="B205" s="2" t="n">
        <v>203</v>
      </c>
      <c r="C205" s="2" t="n">
        <v>0.0568676666666667</v>
      </c>
      <c r="D205" s="2" t="n">
        <v>0.4</v>
      </c>
      <c r="E205" s="2" t="n">
        <v>0.083</v>
      </c>
    </row>
    <row r="206" customFormat="false" ht="13.8" hidden="false" customHeight="false" outlineLevel="0" collapsed="false">
      <c r="B206" s="2" t="n">
        <v>204</v>
      </c>
      <c r="C206" s="2" t="n">
        <v>0.280000533333333</v>
      </c>
      <c r="D206" s="2" t="n">
        <v>0.4</v>
      </c>
      <c r="E206" s="2" t="n">
        <v>0.057</v>
      </c>
    </row>
    <row r="207" customFormat="false" ht="13.8" hidden="false" customHeight="false" outlineLevel="0" collapsed="false">
      <c r="B207" s="2" t="n">
        <v>205</v>
      </c>
      <c r="C207" s="2" t="n">
        <v>0.0878001333333333</v>
      </c>
      <c r="D207" s="2" t="n">
        <v>0.4</v>
      </c>
      <c r="E207" s="2" t="n">
        <v>0.083</v>
      </c>
    </row>
    <row r="208" customFormat="false" ht="13.8" hidden="false" customHeight="false" outlineLevel="0" collapsed="false">
      <c r="B208" s="2" t="n">
        <v>206</v>
      </c>
      <c r="C208" s="2" t="n">
        <v>0.281000533333333</v>
      </c>
      <c r="D208" s="2" t="n">
        <v>0.4</v>
      </c>
      <c r="E208" s="2" t="n">
        <v>0.057</v>
      </c>
    </row>
    <row r="209" customFormat="false" ht="13.8" hidden="false" customHeight="false" outlineLevel="0" collapsed="false">
      <c r="B209" s="2" t="n">
        <v>207</v>
      </c>
      <c r="C209" s="2" t="n">
        <v>0.0763336</v>
      </c>
      <c r="D209" s="2" t="n">
        <v>0.4</v>
      </c>
      <c r="E209" s="2" t="n">
        <v>0.0163336666666667</v>
      </c>
    </row>
    <row r="210" customFormat="false" ht="13.8" hidden="false" customHeight="false" outlineLevel="0" collapsed="false">
      <c r="B210" s="2" t="n">
        <v>208</v>
      </c>
      <c r="C210" s="2" t="n">
        <v>0.2855336</v>
      </c>
      <c r="D210" s="2" t="n">
        <v>0.4</v>
      </c>
      <c r="E210" s="2" t="n">
        <v>0.000334266666666667</v>
      </c>
    </row>
    <row r="211" customFormat="false" ht="13.8" hidden="false" customHeight="false" outlineLevel="0" collapsed="false">
      <c r="B211" s="2" t="n">
        <v>209</v>
      </c>
      <c r="C211" s="2" t="n">
        <v>0.0741348666666667</v>
      </c>
      <c r="D211" s="2" t="n">
        <v>0.4</v>
      </c>
      <c r="E211" s="2" t="n">
        <v>0.005</v>
      </c>
    </row>
    <row r="212" customFormat="false" ht="13.8" hidden="false" customHeight="false" outlineLevel="0" collapsed="false">
      <c r="B212" s="2" t="n">
        <v>210</v>
      </c>
      <c r="C212" s="2" t="n">
        <v>0.176734333333333</v>
      </c>
      <c r="D212" s="2" t="n">
        <v>0.4</v>
      </c>
      <c r="E212" s="2" t="n">
        <v>0.135</v>
      </c>
    </row>
    <row r="213" customFormat="false" ht="13.8" hidden="false" customHeight="false" outlineLevel="0" collapsed="false">
      <c r="B213" s="2" t="n">
        <v>211</v>
      </c>
      <c r="C213" s="2" t="n">
        <v>0.1640002</v>
      </c>
      <c r="D213" s="2" t="n">
        <v>0.4</v>
      </c>
      <c r="E213" s="2" t="n">
        <v>0.00433346666666667</v>
      </c>
    </row>
    <row r="214" customFormat="false" ht="13.8" hidden="false" customHeight="false" outlineLevel="0" collapsed="false">
      <c r="B214" s="2" t="n">
        <v>212</v>
      </c>
      <c r="C214" s="2" t="n">
        <v>0.268666733333333</v>
      </c>
      <c r="D214" s="2" t="n">
        <v>0.4</v>
      </c>
      <c r="E214" s="2" t="n">
        <v>1E-006</v>
      </c>
    </row>
    <row r="215" customFormat="false" ht="13.8" hidden="false" customHeight="false" outlineLevel="0" collapsed="false">
      <c r="B215" s="2" t="n">
        <v>213</v>
      </c>
      <c r="C215" s="2" t="n">
        <v>0.334</v>
      </c>
      <c r="D215" s="2" t="n">
        <v>0.4</v>
      </c>
      <c r="E215" s="2" t="n">
        <v>0.00166733333333333</v>
      </c>
    </row>
    <row r="216" customFormat="false" ht="13.8" hidden="false" customHeight="false" outlineLevel="0" collapsed="false">
      <c r="B216" s="2" t="n">
        <v>214</v>
      </c>
      <c r="C216" s="2" t="n">
        <v>0.2291336</v>
      </c>
      <c r="D216" s="2" t="n">
        <v>0.4</v>
      </c>
      <c r="E216" s="2" t="n">
        <v>0.135</v>
      </c>
    </row>
    <row r="217" customFormat="false" ht="13.8" hidden="false" customHeight="false" outlineLevel="0" collapsed="false">
      <c r="B217" s="2" t="n">
        <v>215</v>
      </c>
      <c r="C217" s="2" t="n">
        <v>0.306334133333333</v>
      </c>
      <c r="D217" s="2" t="n">
        <v>0.4</v>
      </c>
      <c r="E217" s="2" t="n">
        <v>0.135</v>
      </c>
    </row>
    <row r="218" customFormat="false" ht="13.8" hidden="false" customHeight="false" outlineLevel="0" collapsed="false">
      <c r="B218" s="2" t="n">
        <v>216</v>
      </c>
      <c r="C218" s="2" t="n">
        <v>0.213933466666667</v>
      </c>
      <c r="D218" s="2" t="n">
        <v>0.4</v>
      </c>
      <c r="E218" s="2" t="n">
        <v>0.135</v>
      </c>
    </row>
    <row r="219" customFormat="false" ht="13.8" hidden="false" customHeight="false" outlineLevel="0" collapsed="false">
      <c r="B219" s="2" t="n">
        <v>217</v>
      </c>
      <c r="C219" s="2" t="n">
        <v>0.299267866666667</v>
      </c>
      <c r="D219" s="2" t="n">
        <v>0.4</v>
      </c>
      <c r="E219" s="2" t="n">
        <v>0.135</v>
      </c>
    </row>
    <row r="220" customFormat="false" ht="13.8" hidden="false" customHeight="false" outlineLevel="0" collapsed="false">
      <c r="B220" s="2" t="n">
        <v>218</v>
      </c>
      <c r="C220" s="2" t="n">
        <v>0.194935666666667</v>
      </c>
      <c r="D220" s="2" t="n">
        <v>0.4</v>
      </c>
      <c r="E220" s="2" t="n">
        <v>0.135</v>
      </c>
    </row>
    <row r="221" customFormat="false" ht="13.8" hidden="false" customHeight="false" outlineLevel="0" collapsed="false">
      <c r="B221" s="2" t="n">
        <v>219</v>
      </c>
      <c r="C221" s="2" t="n">
        <v>0.294402933333333</v>
      </c>
      <c r="D221" s="2" t="n">
        <v>0.32</v>
      </c>
      <c r="E221" s="2" t="n">
        <v>0.135</v>
      </c>
    </row>
    <row r="222" customFormat="false" ht="13.8" hidden="false" customHeight="false" outlineLevel="0" collapsed="false">
      <c r="B222" s="2" t="n">
        <v>220</v>
      </c>
      <c r="C222" s="2" t="n">
        <v>0.229537133333333</v>
      </c>
      <c r="D222" s="2" t="n">
        <v>0</v>
      </c>
      <c r="E222" s="2" t="n">
        <v>0.135</v>
      </c>
    </row>
    <row r="223" customFormat="false" ht="13.8" hidden="false" customHeight="false" outlineLevel="0" collapsed="false">
      <c r="B223" s="2" t="n">
        <v>221</v>
      </c>
      <c r="C223" s="2" t="n">
        <v>0.3022062</v>
      </c>
      <c r="D223" s="2" t="n">
        <v>0</v>
      </c>
      <c r="E223" s="2" t="n">
        <v>0.135</v>
      </c>
    </row>
    <row r="224" customFormat="false" ht="13.8" hidden="false" customHeight="false" outlineLevel="0" collapsed="false">
      <c r="B224" s="2" t="n">
        <v>222</v>
      </c>
      <c r="C224" s="2" t="n">
        <v>0.2220054</v>
      </c>
      <c r="D224" s="2" t="n">
        <v>0</v>
      </c>
      <c r="E224" s="2" t="n">
        <v>0.135</v>
      </c>
    </row>
    <row r="225" customFormat="false" ht="13.8" hidden="false" customHeight="false" outlineLevel="0" collapsed="false">
      <c r="B225" s="2" t="n">
        <v>223</v>
      </c>
      <c r="C225" s="2" t="n">
        <v>0.293005133333333</v>
      </c>
      <c r="D225" s="2" t="n">
        <v>0</v>
      </c>
      <c r="E225" s="2" t="n">
        <v>0.135000133333333</v>
      </c>
    </row>
    <row r="226" customFormat="false" ht="13.8" hidden="false" customHeight="false" outlineLevel="0" collapsed="false">
      <c r="B226" s="2" t="n">
        <v>224</v>
      </c>
      <c r="C226" s="2" t="n">
        <v>0.200004933333333</v>
      </c>
      <c r="D226" s="2" t="n">
        <v>0</v>
      </c>
      <c r="E226" s="2" t="n">
        <v>0.135001</v>
      </c>
    </row>
    <row r="227" customFormat="false" ht="13.8" hidden="false" customHeight="false" outlineLevel="0" collapsed="false">
      <c r="B227" s="2" t="n">
        <v>225</v>
      </c>
      <c r="C227" s="2" t="n">
        <v>0.300139533333333</v>
      </c>
      <c r="D227" s="2" t="n">
        <v>0</v>
      </c>
      <c r="E227" s="2" t="n">
        <v>0.135001</v>
      </c>
    </row>
    <row r="228" customFormat="false" ht="13.8" hidden="false" customHeight="false" outlineLevel="0" collapsed="false">
      <c r="B228" s="2" t="n">
        <v>226</v>
      </c>
      <c r="C228" s="2" t="n">
        <v>0.212406733333333</v>
      </c>
      <c r="D228" s="2" t="n">
        <v>0</v>
      </c>
      <c r="E228" s="2" t="n">
        <v>0.335000333333333</v>
      </c>
    </row>
    <row r="229" customFormat="false" ht="13.8" hidden="false" customHeight="false" outlineLevel="0" collapsed="false">
      <c r="B229" s="2" t="n">
        <v>227</v>
      </c>
      <c r="C229" s="2" t="n">
        <v>0.285008866666667</v>
      </c>
      <c r="D229" s="2" t="n">
        <v>0</v>
      </c>
      <c r="E229" s="2" t="n">
        <v>0.335000333333333</v>
      </c>
    </row>
    <row r="230" customFormat="false" ht="13.8" hidden="false" customHeight="false" outlineLevel="0" collapsed="false">
      <c r="B230" s="2" t="n">
        <v>228</v>
      </c>
      <c r="C230" s="2" t="n">
        <v>0.1120094</v>
      </c>
      <c r="D230" s="2" t="n">
        <v>0</v>
      </c>
      <c r="E230" s="2" t="n">
        <v>0.1483342</v>
      </c>
    </row>
    <row r="231" customFormat="false" ht="13.8" hidden="false" customHeight="false" outlineLevel="0" collapsed="false">
      <c r="B231" s="2" t="n">
        <v>229</v>
      </c>
      <c r="C231" s="2" t="n">
        <v>0.200343266666667</v>
      </c>
      <c r="D231" s="2" t="n">
        <v>0</v>
      </c>
      <c r="E231" s="2" t="n">
        <v>0.235</v>
      </c>
    </row>
    <row r="232" customFormat="false" ht="13.8" hidden="false" customHeight="false" outlineLevel="0" collapsed="false">
      <c r="B232" s="2" t="n">
        <v>230</v>
      </c>
      <c r="C232" s="2" t="n">
        <v>0.285675333333333</v>
      </c>
      <c r="D232" s="2" t="n">
        <v>0</v>
      </c>
      <c r="E232" s="2" t="n">
        <v>0.235001266666667</v>
      </c>
    </row>
    <row r="233" customFormat="false" ht="13.8" hidden="false" customHeight="false" outlineLevel="0" collapsed="false">
      <c r="B233" s="2" t="n">
        <v>231</v>
      </c>
      <c r="C233" s="2" t="n">
        <v>0.265008</v>
      </c>
      <c r="D233" s="2" t="n">
        <v>0</v>
      </c>
      <c r="E233" s="2" t="n">
        <v>0.235002</v>
      </c>
    </row>
    <row r="234" customFormat="false" ht="13.8" hidden="false" customHeight="false" outlineLevel="0" collapsed="false">
      <c r="B234" s="2" t="n">
        <v>232</v>
      </c>
      <c r="C234" s="2" t="n">
        <v>0.2935416</v>
      </c>
      <c r="D234" s="2" t="n">
        <v>0</v>
      </c>
      <c r="E234" s="2" t="n">
        <v>0.235002</v>
      </c>
    </row>
    <row r="235" customFormat="false" ht="13.8" hidden="false" customHeight="false" outlineLevel="0" collapsed="false">
      <c r="B235" s="2" t="n">
        <v>233</v>
      </c>
      <c r="C235" s="2" t="n">
        <v>0.2720072</v>
      </c>
      <c r="D235" s="2" t="n">
        <v>0</v>
      </c>
      <c r="E235" s="2" t="n">
        <v>0.241934466666667</v>
      </c>
    </row>
    <row r="236" customFormat="false" ht="13.8" hidden="false" customHeight="false" outlineLevel="0" collapsed="false">
      <c r="B236" s="2" t="n">
        <v>234</v>
      </c>
      <c r="C236" s="2" t="n">
        <v>0.2908072</v>
      </c>
      <c r="D236" s="2" t="n">
        <v>0</v>
      </c>
      <c r="E236" s="2" t="n">
        <v>0.238734866666667</v>
      </c>
    </row>
    <row r="237" customFormat="false" ht="13.8" hidden="false" customHeight="false" outlineLevel="0" collapsed="false">
      <c r="B237" s="2" t="n">
        <v>235</v>
      </c>
      <c r="C237" s="2" t="n">
        <v>0.257007733333333</v>
      </c>
      <c r="D237" s="2" t="n">
        <v>0</v>
      </c>
      <c r="E237" s="2" t="n">
        <v>0.240201133333333</v>
      </c>
    </row>
    <row r="238" customFormat="false" ht="13.8" hidden="false" customHeight="false" outlineLevel="0" collapsed="false">
      <c r="B238" s="2" t="n">
        <v>236</v>
      </c>
      <c r="C238" s="2" t="n">
        <v>0.289939133333333</v>
      </c>
      <c r="D238" s="2" t="n">
        <v>0</v>
      </c>
      <c r="E238" s="2" t="n">
        <v>0.241001</v>
      </c>
    </row>
    <row r="239" customFormat="false" ht="13.8" hidden="false" customHeight="false" outlineLevel="0" collapsed="false">
      <c r="B239" s="2" t="n">
        <v>237</v>
      </c>
      <c r="C239" s="2" t="n">
        <v>0.2612716</v>
      </c>
      <c r="D239" s="2" t="n">
        <v>0</v>
      </c>
      <c r="E239" s="2" t="n">
        <v>0.241001</v>
      </c>
    </row>
    <row r="240" customFormat="false" ht="13.8" hidden="false" customHeight="false" outlineLevel="0" collapsed="false">
      <c r="B240" s="2" t="n">
        <v>238</v>
      </c>
      <c r="C240" s="2" t="n">
        <v>0.287406</v>
      </c>
      <c r="D240" s="2" t="n">
        <v>0</v>
      </c>
      <c r="E240" s="2" t="n">
        <v>0.241001</v>
      </c>
    </row>
    <row r="241" customFormat="false" ht="13.8" hidden="false" customHeight="false" outlineLevel="0" collapsed="false">
      <c r="B241" s="2" t="n">
        <v>239</v>
      </c>
      <c r="C241" s="2" t="n">
        <v>0.265140666666667</v>
      </c>
      <c r="D241" s="2" t="n">
        <v>0</v>
      </c>
      <c r="E241" s="2" t="n">
        <v>0.241001</v>
      </c>
    </row>
    <row r="242" customFormat="false" ht="13.8" hidden="false" customHeight="false" outlineLevel="0" collapsed="false">
      <c r="B242" s="2" t="n">
        <v>240</v>
      </c>
      <c r="C242" s="2" t="n">
        <v>0.1730094</v>
      </c>
      <c r="D242" s="2" t="n">
        <v>0</v>
      </c>
      <c r="E242" s="2" t="n">
        <v>0.1922016</v>
      </c>
    </row>
    <row r="243" customFormat="false" ht="13.8" hidden="false" customHeight="false" outlineLevel="0" collapsed="false">
      <c r="B243" s="2" t="n">
        <v>241</v>
      </c>
      <c r="C243" s="2" t="n">
        <v>0.379874333333333</v>
      </c>
      <c r="D243" s="2" t="n">
        <v>0</v>
      </c>
      <c r="E243" s="2" t="n">
        <v>0.1390016</v>
      </c>
    </row>
    <row r="244" customFormat="false" ht="13.8" hidden="false" customHeight="false" outlineLevel="0" collapsed="false">
      <c r="B244" s="2" t="n">
        <v>242</v>
      </c>
      <c r="C244" s="2" t="n">
        <v>0.141476333333333</v>
      </c>
      <c r="D244" s="2" t="n">
        <v>0</v>
      </c>
      <c r="E244" s="2" t="n">
        <v>0.1371348</v>
      </c>
    </row>
    <row r="245" customFormat="false" ht="13.8" hidden="false" customHeight="false" outlineLevel="0" collapsed="false">
      <c r="B245" s="2" t="n">
        <v>243</v>
      </c>
      <c r="C245" s="2" t="n">
        <v>0.387009</v>
      </c>
      <c r="D245" s="2" t="n">
        <v>0</v>
      </c>
      <c r="E245" s="2" t="n">
        <v>0.135002</v>
      </c>
    </row>
    <row r="246" customFormat="false" ht="13.8" hidden="false" customHeight="false" outlineLevel="0" collapsed="false">
      <c r="B246" s="2" t="n">
        <v>244</v>
      </c>
      <c r="C246" s="2" t="n">
        <v>0.126342466666667</v>
      </c>
      <c r="D246" s="2" t="n">
        <v>0</v>
      </c>
      <c r="E246" s="2" t="n">
        <v>0.135002</v>
      </c>
    </row>
    <row r="247" customFormat="false" ht="13.8" hidden="false" customHeight="false" outlineLevel="0" collapsed="false">
      <c r="B247" s="2" t="n">
        <v>245</v>
      </c>
      <c r="C247" s="2" t="n">
        <v>0.392874333333333</v>
      </c>
      <c r="D247" s="2" t="n">
        <v>0</v>
      </c>
      <c r="E247" s="2" t="n">
        <v>0.135002</v>
      </c>
    </row>
    <row r="248" customFormat="false" ht="13.8" hidden="false" customHeight="false" outlineLevel="0" collapsed="false">
      <c r="B248" s="2" t="n">
        <v>246</v>
      </c>
      <c r="C248" s="2" t="n">
        <v>0.156207133333333</v>
      </c>
      <c r="D248" s="2" t="n">
        <v>0</v>
      </c>
      <c r="E248" s="2" t="n">
        <v>0.135002</v>
      </c>
    </row>
    <row r="249" customFormat="false" ht="13.8" hidden="false" customHeight="false" outlineLevel="0" collapsed="false">
      <c r="B249" s="2" t="n">
        <v>247</v>
      </c>
      <c r="C249" s="2" t="n">
        <v>0.360337733333333</v>
      </c>
      <c r="D249" s="2" t="n">
        <v>0</v>
      </c>
      <c r="E249" s="2" t="n">
        <v>0.135002</v>
      </c>
    </row>
    <row r="250" customFormat="false" ht="13.8" hidden="false" customHeight="false" outlineLevel="0" collapsed="false">
      <c r="B250" s="2" t="n">
        <v>248</v>
      </c>
      <c r="C250" s="2" t="n">
        <v>0.218002466666667</v>
      </c>
      <c r="D250" s="2" t="n">
        <v>0</v>
      </c>
      <c r="E250" s="2" t="n">
        <v>0.135002</v>
      </c>
    </row>
    <row r="251" customFormat="false" ht="13.8" hidden="false" customHeight="false" outlineLevel="0" collapsed="false">
      <c r="B251" s="2" t="n">
        <v>249</v>
      </c>
      <c r="C251" s="2" t="n">
        <v>0.303333533333333</v>
      </c>
      <c r="D251" s="2" t="n">
        <v>0</v>
      </c>
      <c r="E251" s="2" t="n">
        <v>0.138201466666667</v>
      </c>
    </row>
    <row r="252" customFormat="false" ht="13.8" hidden="false" customHeight="false" outlineLevel="0" collapsed="false">
      <c r="B252" s="2" t="n">
        <v>250</v>
      </c>
      <c r="C252" s="2" t="n">
        <v>0.2846008</v>
      </c>
      <c r="D252" s="2" t="n">
        <v>0</v>
      </c>
      <c r="E252" s="2" t="n">
        <v>0.139401266666667</v>
      </c>
    </row>
    <row r="253" customFormat="false" ht="13.8" hidden="false" customHeight="false" outlineLevel="0" collapsed="false">
      <c r="B253" s="2" t="n">
        <v>251</v>
      </c>
      <c r="C253" s="2" t="n">
        <v>0.243667</v>
      </c>
      <c r="D253" s="2" t="n">
        <v>0</v>
      </c>
      <c r="E253" s="2" t="n">
        <v>0.135002466666667</v>
      </c>
    </row>
    <row r="254" customFormat="false" ht="13.8" hidden="false" customHeight="false" outlineLevel="0" collapsed="false">
      <c r="B254" s="2" t="n">
        <v>252</v>
      </c>
      <c r="C254" s="2" t="n">
        <v>0.283</v>
      </c>
      <c r="D254" s="2" t="n">
        <v>0</v>
      </c>
      <c r="E254" s="2" t="n">
        <v>0.143668333333333</v>
      </c>
    </row>
    <row r="255" customFormat="false" ht="13.8" hidden="false" customHeight="false" outlineLevel="0" collapsed="false">
      <c r="B255" s="2" t="n">
        <v>253</v>
      </c>
      <c r="C255" s="2" t="n">
        <v>0.2300002</v>
      </c>
      <c r="D255" s="2" t="n">
        <v>0</v>
      </c>
      <c r="E255" s="2" t="n">
        <v>0.2236674</v>
      </c>
    </row>
    <row r="256" customFormat="false" ht="13.8" hidden="false" customHeight="false" outlineLevel="0" collapsed="false">
      <c r="B256" s="2" t="n">
        <v>254</v>
      </c>
      <c r="C256" s="2" t="n">
        <v>0.2020006</v>
      </c>
      <c r="D256" s="2" t="n">
        <v>0</v>
      </c>
      <c r="E256" s="2" t="n">
        <v>0.300334066666667</v>
      </c>
    </row>
    <row r="257" customFormat="false" ht="13.8" hidden="false" customHeight="false" outlineLevel="0" collapsed="false">
      <c r="B257" s="2" t="n">
        <v>255</v>
      </c>
      <c r="C257" s="2" t="n">
        <v>0.218</v>
      </c>
      <c r="D257" s="2" t="n">
        <v>0</v>
      </c>
      <c r="E257" s="2" t="n">
        <v>0.1370026</v>
      </c>
    </row>
    <row r="258" customFormat="false" ht="13.8" hidden="false" customHeight="false" outlineLevel="0" collapsed="false">
      <c r="B258" s="2" t="n">
        <v>256</v>
      </c>
      <c r="C258" s="2" t="n">
        <v>0.322</v>
      </c>
      <c r="D258" s="2" t="n">
        <v>0</v>
      </c>
      <c r="E258" s="2" t="n">
        <v>0.135003</v>
      </c>
    </row>
    <row r="259" customFormat="false" ht="13.8" hidden="false" customHeight="false" outlineLevel="0" collapsed="false">
      <c r="B259" s="2" t="n">
        <v>257</v>
      </c>
      <c r="C259" s="2" t="n">
        <v>0.218</v>
      </c>
      <c r="D259" s="2" t="n">
        <v>0</v>
      </c>
      <c r="E259" s="2" t="n">
        <v>0.135003</v>
      </c>
    </row>
    <row r="260" customFormat="false" ht="13.8" hidden="false" customHeight="false" outlineLevel="0" collapsed="false">
      <c r="B260" s="2" t="n">
        <v>258</v>
      </c>
      <c r="C260" s="2" t="n">
        <v>0.322000933333333</v>
      </c>
      <c r="D260" s="2" t="n">
        <v>0</v>
      </c>
      <c r="E260" s="2" t="n">
        <v>0.135003</v>
      </c>
    </row>
    <row r="261" customFormat="false" ht="13.8" hidden="false" customHeight="false" outlineLevel="0" collapsed="false">
      <c r="B261" s="2" t="n">
        <v>259</v>
      </c>
      <c r="C261" s="2" t="n">
        <v>0.218001</v>
      </c>
      <c r="D261" s="2" t="n">
        <v>0</v>
      </c>
      <c r="E261" s="2" t="n">
        <v>0.1080032</v>
      </c>
    </row>
    <row r="262" customFormat="false" ht="13.8" hidden="false" customHeight="false" outlineLevel="0" collapsed="false">
      <c r="B262" s="2" t="n">
        <v>260</v>
      </c>
      <c r="C262" s="2" t="n">
        <v>0.294667933333333</v>
      </c>
      <c r="D262" s="2" t="n">
        <v>0</v>
      </c>
      <c r="E262" s="2" t="n">
        <v>0.122002066666667</v>
      </c>
    </row>
    <row r="263" customFormat="false" ht="13.8" hidden="false" customHeight="false" outlineLevel="0" collapsed="false">
      <c r="B263" s="2" t="n">
        <v>261</v>
      </c>
      <c r="C263" s="2" t="n">
        <v>0.192001</v>
      </c>
      <c r="D263" s="2" t="n">
        <v>0</v>
      </c>
      <c r="E263" s="2" t="n">
        <v>0.1544678</v>
      </c>
    </row>
    <row r="264" customFormat="false" ht="13.8" hidden="false" customHeight="false" outlineLevel="0" collapsed="false">
      <c r="B264" s="2" t="n">
        <v>262</v>
      </c>
      <c r="C264" s="2" t="n">
        <v>0.3480016</v>
      </c>
      <c r="D264" s="2" t="n">
        <v>0</v>
      </c>
      <c r="E264" s="2" t="n">
        <v>0.177601</v>
      </c>
    </row>
    <row r="265" customFormat="false" ht="13.8" hidden="false" customHeight="false" outlineLevel="0" collapsed="false">
      <c r="B265" s="2" t="n">
        <v>263</v>
      </c>
      <c r="C265" s="2" t="n">
        <v>0.232001533333333</v>
      </c>
      <c r="D265" s="2" t="n">
        <v>0</v>
      </c>
      <c r="E265" s="2" t="n">
        <v>0.158335133333333</v>
      </c>
    </row>
    <row r="266" customFormat="false" ht="13.8" hidden="false" customHeight="false" outlineLevel="0" collapsed="false">
      <c r="B266" s="2" t="n">
        <v>264</v>
      </c>
      <c r="C266" s="2" t="n">
        <v>0.360535666666667</v>
      </c>
      <c r="D266" s="2" t="n">
        <v>0.266666666666667</v>
      </c>
      <c r="E266" s="2" t="n">
        <v>0.0672021333333333</v>
      </c>
    </row>
    <row r="267" customFormat="false" ht="13.8" hidden="false" customHeight="false" outlineLevel="0" collapsed="false">
      <c r="B267" s="2" t="n">
        <v>265</v>
      </c>
      <c r="C267" s="2" t="n">
        <v>0.200339266666667</v>
      </c>
      <c r="D267" s="2" t="n">
        <v>0.4</v>
      </c>
      <c r="E267" s="2" t="n">
        <v>0.165201666666667</v>
      </c>
    </row>
    <row r="268" customFormat="false" ht="13.8" hidden="false" customHeight="false" outlineLevel="0" collapsed="false">
      <c r="B268" s="2" t="n">
        <v>266</v>
      </c>
      <c r="C268" s="2" t="n">
        <v>0.3715416</v>
      </c>
      <c r="D268" s="2" t="n">
        <v>0.4</v>
      </c>
      <c r="E268" s="2" t="n">
        <v>0.1480014</v>
      </c>
    </row>
    <row r="269" customFormat="false" ht="13.8" hidden="false" customHeight="false" outlineLevel="0" collapsed="false">
      <c r="B269" s="2" t="n">
        <v>267</v>
      </c>
      <c r="C269" s="2" t="n">
        <v>0.2216118</v>
      </c>
      <c r="D269" s="2" t="n">
        <v>0.4</v>
      </c>
      <c r="E269" s="2" t="n">
        <v>0.0553346666666667</v>
      </c>
    </row>
    <row r="270" customFormat="false" ht="13.8" hidden="false" customHeight="false" outlineLevel="0" collapsed="false">
      <c r="B270" s="2" t="n">
        <v>268</v>
      </c>
      <c r="C270" s="2" t="n">
        <v>0.424946266666667</v>
      </c>
      <c r="D270" s="2" t="n">
        <v>0.4</v>
      </c>
      <c r="E270" s="2" t="n">
        <v>0.0433344666666667</v>
      </c>
    </row>
    <row r="271" customFormat="false" ht="13.8" hidden="false" customHeight="false" outlineLevel="0" collapsed="false">
      <c r="B271" s="2" t="n">
        <v>269</v>
      </c>
      <c r="C271" s="2" t="n">
        <v>0.329010933333333</v>
      </c>
      <c r="D271" s="2" t="n">
        <v>0.4</v>
      </c>
      <c r="E271" s="2" t="n">
        <v>0.200001</v>
      </c>
    </row>
    <row r="272" customFormat="false" ht="13.8" hidden="false" customHeight="false" outlineLevel="0" collapsed="false">
      <c r="B272" s="2" t="n">
        <v>270</v>
      </c>
      <c r="C272" s="2" t="n">
        <v>0.542341333333333</v>
      </c>
      <c r="D272" s="2" t="n">
        <v>0.4</v>
      </c>
      <c r="E272" s="2" t="n">
        <v>0.07</v>
      </c>
    </row>
    <row r="273" customFormat="false" ht="13.8" hidden="false" customHeight="false" outlineLevel="0" collapsed="false">
      <c r="B273" s="2" t="n">
        <v>271</v>
      </c>
      <c r="C273" s="2" t="n">
        <v>0.299811933333333</v>
      </c>
      <c r="D273" s="2" t="n">
        <v>0.4</v>
      </c>
      <c r="E273" s="2" t="n">
        <v>0.2</v>
      </c>
    </row>
    <row r="274" customFormat="false" ht="13.8" hidden="false" customHeight="false" outlineLevel="0" collapsed="false">
      <c r="B274" s="2" t="n">
        <v>272</v>
      </c>
      <c r="C274" s="2" t="n">
        <v>0.517081</v>
      </c>
      <c r="D274" s="2" t="n">
        <v>0.4</v>
      </c>
      <c r="E274" s="2" t="n">
        <v>0.07</v>
      </c>
    </row>
    <row r="275" customFormat="false" ht="13.8" hidden="false" customHeight="false" outlineLevel="0" collapsed="false">
      <c r="B275" s="2" t="n">
        <v>273</v>
      </c>
      <c r="C275" s="2" t="n">
        <v>0.392215933333333</v>
      </c>
      <c r="D275" s="2" t="n">
        <v>0.4</v>
      </c>
      <c r="E275" s="2" t="n">
        <v>0.2</v>
      </c>
    </row>
    <row r="276" customFormat="false" ht="13.8" hidden="false" customHeight="false" outlineLevel="0" collapsed="false">
      <c r="B276" s="2" t="n">
        <v>274</v>
      </c>
      <c r="C276" s="2" t="n">
        <v>0.5263478</v>
      </c>
      <c r="D276" s="2" t="n">
        <v>0.4</v>
      </c>
      <c r="E276" s="2" t="n">
        <v>0.07</v>
      </c>
    </row>
    <row r="277" customFormat="false" ht="13.8" hidden="false" customHeight="false" outlineLevel="0" collapsed="false">
      <c r="B277" s="2" t="n">
        <v>275</v>
      </c>
      <c r="C277" s="2" t="n">
        <v>0.334548466666667</v>
      </c>
      <c r="D277" s="2" t="n">
        <v>0.4</v>
      </c>
      <c r="E277" s="2" t="n">
        <v>0.2</v>
      </c>
    </row>
    <row r="278" customFormat="false" ht="13.8" hidden="false" customHeight="false" outlineLevel="0" collapsed="false">
      <c r="B278" s="2" t="n">
        <v>276</v>
      </c>
      <c r="C278" s="2" t="n">
        <v>0.439280866666667</v>
      </c>
      <c r="D278" s="2" t="n">
        <v>0.4</v>
      </c>
      <c r="E278" s="2" t="n">
        <v>0.07</v>
      </c>
    </row>
    <row r="279" customFormat="false" ht="13.8" hidden="false" customHeight="false" outlineLevel="0" collapsed="false">
      <c r="B279" s="2" t="n">
        <v>277</v>
      </c>
      <c r="C279" s="2" t="n">
        <v>0.447682866666667</v>
      </c>
      <c r="D279" s="2" t="n">
        <v>0.4</v>
      </c>
      <c r="E279" s="2" t="n">
        <v>0.0556669333333333</v>
      </c>
    </row>
    <row r="280" customFormat="false" ht="13.8" hidden="false" customHeight="false" outlineLevel="0" collapsed="false">
      <c r="B280" s="2" t="n">
        <v>278</v>
      </c>
      <c r="C280" s="2" t="n">
        <v>0.493147</v>
      </c>
      <c r="D280" s="2" t="n">
        <v>0.4</v>
      </c>
      <c r="E280" s="2" t="n">
        <v>0.031</v>
      </c>
    </row>
    <row r="281" customFormat="false" ht="13.8" hidden="false" customHeight="false" outlineLevel="0" collapsed="false">
      <c r="B281" s="2" t="n">
        <v>279</v>
      </c>
      <c r="C281" s="2" t="n">
        <v>0.502412133333333</v>
      </c>
      <c r="D281" s="2" t="n">
        <v>0.4</v>
      </c>
      <c r="E281" s="2" t="n">
        <v>0.1070004</v>
      </c>
    </row>
    <row r="282" customFormat="false" ht="13.8" hidden="false" customHeight="false" outlineLevel="0" collapsed="false">
      <c r="B282" s="2" t="n">
        <v>280</v>
      </c>
      <c r="C282" s="2" t="n">
        <v>0.510012133333333</v>
      </c>
      <c r="D282" s="2" t="n">
        <v>0.4</v>
      </c>
      <c r="E282" s="2" t="n">
        <v>1E-006</v>
      </c>
    </row>
    <row r="283" customFormat="false" ht="13.8" hidden="false" customHeight="false" outlineLevel="0" collapsed="false">
      <c r="B283" s="2" t="n">
        <v>281</v>
      </c>
      <c r="C283" s="2" t="n">
        <v>0.400948133333333</v>
      </c>
      <c r="D283" s="2" t="n">
        <v>0.4</v>
      </c>
      <c r="E283" s="2" t="n">
        <v>0.00433346666666667</v>
      </c>
    </row>
    <row r="284" customFormat="false" ht="13.8" hidden="false" customHeight="false" outlineLevel="0" collapsed="false">
      <c r="B284" s="2" t="n">
        <v>282</v>
      </c>
      <c r="C284" s="2" t="n">
        <v>0.329883333333333</v>
      </c>
      <c r="D284" s="2" t="n">
        <v>0.4</v>
      </c>
      <c r="E284" s="2" t="n">
        <v>0.109</v>
      </c>
    </row>
    <row r="285" customFormat="false" ht="13.8" hidden="false" customHeight="false" outlineLevel="0" collapsed="false">
      <c r="B285" s="2" t="n">
        <v>283</v>
      </c>
      <c r="C285" s="2" t="n">
        <v>0.117017866666667</v>
      </c>
      <c r="D285" s="2" t="n">
        <v>0.4</v>
      </c>
      <c r="E285" s="2" t="n">
        <v>0.0306667333333333</v>
      </c>
    </row>
    <row r="286" customFormat="false" ht="13.8" hidden="false" customHeight="false" outlineLevel="0" collapsed="false">
      <c r="B286" s="2" t="n">
        <v>284</v>
      </c>
      <c r="C286" s="2" t="n">
        <v>0.165082333333333</v>
      </c>
      <c r="D286" s="2" t="n">
        <v>0.4</v>
      </c>
      <c r="E286" s="2" t="n">
        <v>0.096</v>
      </c>
    </row>
    <row r="287" customFormat="false" ht="13.8" hidden="false" customHeight="false" outlineLevel="0" collapsed="false">
      <c r="B287" s="2" t="n">
        <v>285</v>
      </c>
      <c r="C287" s="2" t="n">
        <v>0.2253482</v>
      </c>
      <c r="D287" s="2" t="n">
        <v>0.4</v>
      </c>
      <c r="E287" s="2" t="n">
        <v>0.044</v>
      </c>
    </row>
    <row r="288" customFormat="false" ht="13.8" hidden="false" customHeight="false" outlineLevel="0" collapsed="false">
      <c r="B288" s="2" t="n">
        <v>286</v>
      </c>
      <c r="C288" s="2" t="n">
        <v>0.205812666666667</v>
      </c>
      <c r="D288" s="2" t="n">
        <v>0.4</v>
      </c>
      <c r="E288" s="2" t="n">
        <v>0.096</v>
      </c>
    </row>
    <row r="289" customFormat="false" ht="13.8" hidden="false" customHeight="false" outlineLevel="0" collapsed="false">
      <c r="B289" s="2" t="n">
        <v>287</v>
      </c>
      <c r="C289" s="2" t="n">
        <v>0.189942266666667</v>
      </c>
      <c r="D289" s="2" t="n">
        <v>0.4</v>
      </c>
      <c r="E289" s="2" t="n">
        <v>0.044</v>
      </c>
    </row>
    <row r="290" customFormat="false" ht="13.8" hidden="false" customHeight="false" outlineLevel="0" collapsed="false">
      <c r="B290" s="2" t="n">
        <v>288</v>
      </c>
      <c r="C290" s="2" t="n">
        <v>0.337078733333333</v>
      </c>
      <c r="D290" s="2" t="n">
        <v>0.4</v>
      </c>
      <c r="E290" s="2" t="n">
        <v>0.00266713333333333</v>
      </c>
    </row>
    <row r="291" customFormat="false" ht="13.8" hidden="false" customHeight="false" outlineLevel="0" collapsed="false">
      <c r="B291" s="2" t="n">
        <v>289</v>
      </c>
      <c r="C291" s="2" t="n">
        <v>0.0575448</v>
      </c>
      <c r="D291" s="2" t="n">
        <v>0</v>
      </c>
      <c r="E291" s="2" t="n">
        <v>0.00333366666666667</v>
      </c>
    </row>
    <row r="292" customFormat="false" ht="13.8" hidden="false" customHeight="false" outlineLevel="0" collapsed="false">
      <c r="B292" s="2" t="n">
        <v>290</v>
      </c>
      <c r="C292" s="2" t="n">
        <v>0.106542</v>
      </c>
      <c r="D292" s="2" t="n">
        <v>0.133333333333333</v>
      </c>
      <c r="E292" s="2" t="n">
        <v>0.07</v>
      </c>
    </row>
    <row r="293" customFormat="false" ht="13.8" hidden="false" customHeight="false" outlineLevel="0" collapsed="false">
      <c r="B293" s="2" t="n">
        <v>291</v>
      </c>
      <c r="C293" s="2" t="n">
        <v>0.1984722</v>
      </c>
      <c r="D293" s="2" t="n">
        <v>0.4</v>
      </c>
      <c r="E293" s="2" t="n">
        <v>0.0686669333333334</v>
      </c>
    </row>
    <row r="294" customFormat="false" ht="13.8" hidden="false" customHeight="false" outlineLevel="0" collapsed="false">
      <c r="B294" s="2" t="n">
        <v>292</v>
      </c>
      <c r="C294" s="2" t="n">
        <v>0.1608686</v>
      </c>
      <c r="D294" s="2" t="n">
        <v>0.4</v>
      </c>
      <c r="E294" s="2" t="n">
        <v>0.018</v>
      </c>
    </row>
    <row r="295" customFormat="false" ht="13.8" hidden="false" customHeight="false" outlineLevel="0" collapsed="false">
      <c r="B295" s="2" t="n">
        <v>293</v>
      </c>
      <c r="C295" s="2" t="n">
        <v>0.167400666666667</v>
      </c>
      <c r="D295" s="2" t="n">
        <v>0.4</v>
      </c>
      <c r="E295" s="2" t="n">
        <v>0.122</v>
      </c>
    </row>
    <row r="296" customFormat="false" ht="13.8" hidden="false" customHeight="false" outlineLevel="0" collapsed="false">
      <c r="B296" s="2" t="n">
        <v>294</v>
      </c>
      <c r="C296" s="2" t="n">
        <v>0.176601</v>
      </c>
      <c r="D296" s="2" t="n">
        <v>0.4</v>
      </c>
      <c r="E296" s="2" t="n">
        <v>0.018</v>
      </c>
    </row>
    <row r="297" customFormat="false" ht="13.8" hidden="false" customHeight="false" outlineLevel="0" collapsed="false">
      <c r="B297" s="2" t="n">
        <v>295</v>
      </c>
      <c r="C297" s="2" t="n">
        <v>0.0984016666666667</v>
      </c>
      <c r="D297" s="2" t="n">
        <v>0.4</v>
      </c>
      <c r="E297" s="2" t="n">
        <v>0.122</v>
      </c>
    </row>
    <row r="298" customFormat="false" ht="13.8" hidden="false" customHeight="false" outlineLevel="0" collapsed="false">
      <c r="B298" s="2" t="n">
        <v>296</v>
      </c>
      <c r="C298" s="2" t="n">
        <v>0.1476014</v>
      </c>
      <c r="D298" s="2" t="n">
        <v>0.4</v>
      </c>
      <c r="E298" s="2" t="n">
        <v>0.018</v>
      </c>
    </row>
    <row r="299" customFormat="false" ht="13.8" hidden="false" customHeight="false" outlineLevel="0" collapsed="false">
      <c r="B299" s="2" t="n">
        <v>297</v>
      </c>
      <c r="C299" s="2" t="n">
        <v>0.0989336</v>
      </c>
      <c r="D299" s="2" t="n">
        <v>0.4</v>
      </c>
      <c r="E299" s="2" t="n">
        <v>0.122</v>
      </c>
    </row>
    <row r="300" customFormat="false" ht="13.8" hidden="false" customHeight="false" outlineLevel="0" collapsed="false">
      <c r="B300" s="2" t="n">
        <v>298</v>
      </c>
      <c r="C300" s="2" t="n">
        <v>0.193200666666667</v>
      </c>
      <c r="D300" s="2" t="n">
        <v>0.4</v>
      </c>
      <c r="E300" s="2" t="n">
        <v>0.018</v>
      </c>
    </row>
    <row r="301" customFormat="false" ht="13.8" hidden="false" customHeight="false" outlineLevel="0" collapsed="false">
      <c r="B301" s="2" t="n">
        <v>299</v>
      </c>
      <c r="C301" s="2" t="n">
        <v>0.0545344</v>
      </c>
      <c r="D301" s="2" t="n">
        <v>0.4</v>
      </c>
      <c r="E301" s="2" t="n">
        <v>0.122</v>
      </c>
    </row>
    <row r="302" customFormat="false" ht="13.8" hidden="false" customHeight="false" outlineLevel="0" collapsed="false">
      <c r="B302" s="2" t="n">
        <v>300</v>
      </c>
      <c r="C302" s="2" t="n">
        <v>0.166735</v>
      </c>
      <c r="D302" s="2" t="n">
        <v>0.4</v>
      </c>
      <c r="E302" s="2" t="n">
        <v>0.018</v>
      </c>
    </row>
    <row r="303" customFormat="false" ht="13.8" hidden="false" customHeight="false" outlineLevel="0" collapsed="false">
      <c r="B303" s="2" t="n">
        <v>301</v>
      </c>
      <c r="C303" s="2" t="n">
        <v>0.0486010666666667</v>
      </c>
      <c r="D303" s="2" t="n">
        <v>0.4</v>
      </c>
      <c r="E303" s="2" t="n">
        <v>0.122</v>
      </c>
    </row>
    <row r="304" customFormat="false" ht="13.8" hidden="false" customHeight="false" outlineLevel="0" collapsed="false">
      <c r="B304" s="2" t="n">
        <v>302</v>
      </c>
      <c r="C304" s="2" t="n">
        <v>0.111667</v>
      </c>
      <c r="D304" s="2" t="n">
        <v>0.4</v>
      </c>
      <c r="E304" s="2" t="n">
        <v>0.018</v>
      </c>
    </row>
    <row r="305" customFormat="false" ht="13.8" hidden="false" customHeight="false" outlineLevel="0" collapsed="false">
      <c r="B305" s="2" t="n">
        <v>303</v>
      </c>
      <c r="C305" s="2" t="n">
        <v>0.1904668</v>
      </c>
      <c r="D305" s="2" t="n">
        <v>0.4</v>
      </c>
      <c r="E305" s="2" t="n">
        <v>0.122</v>
      </c>
    </row>
    <row r="306" customFormat="false" ht="13.8" hidden="false" customHeight="false" outlineLevel="0" collapsed="false">
      <c r="B306" s="2" t="n">
        <v>304</v>
      </c>
      <c r="C306" s="2" t="n">
        <v>0.1529344</v>
      </c>
      <c r="D306" s="2" t="n">
        <v>0.4</v>
      </c>
      <c r="E306" s="2" t="n">
        <v>0.018</v>
      </c>
    </row>
    <row r="307" customFormat="false" ht="13.8" hidden="false" customHeight="false" outlineLevel="0" collapsed="false">
      <c r="B307" s="2" t="n">
        <v>305</v>
      </c>
      <c r="C307" s="2" t="n">
        <v>0.197467</v>
      </c>
      <c r="D307" s="2" t="n">
        <v>0.4</v>
      </c>
      <c r="E307" s="2" t="n">
        <v>0.122</v>
      </c>
    </row>
    <row r="308" customFormat="false" ht="13.8" hidden="false" customHeight="false" outlineLevel="0" collapsed="false">
      <c r="B308" s="2" t="n">
        <v>306</v>
      </c>
      <c r="C308" s="2" t="n">
        <v>0.1543342</v>
      </c>
      <c r="D308" s="2" t="n">
        <v>0.4</v>
      </c>
      <c r="E308" s="2" t="n">
        <v>0.018</v>
      </c>
    </row>
    <row r="309" customFormat="false" ht="13.8" hidden="false" customHeight="false" outlineLevel="0" collapsed="false">
      <c r="B309" s="2" t="n">
        <v>307</v>
      </c>
      <c r="C309" s="2" t="n">
        <v>0.177534133333333</v>
      </c>
      <c r="D309" s="2" t="n">
        <v>0.4</v>
      </c>
      <c r="E309" s="2" t="n">
        <v>0.122</v>
      </c>
    </row>
    <row r="310" customFormat="false" ht="13.8" hidden="false" customHeight="false" outlineLevel="0" collapsed="false">
      <c r="B310" s="2" t="n">
        <v>308</v>
      </c>
      <c r="C310" s="2" t="n">
        <v>0.152</v>
      </c>
      <c r="D310" s="2" t="n">
        <v>0.4</v>
      </c>
      <c r="E310" s="2" t="n">
        <v>0.018</v>
      </c>
    </row>
    <row r="311" customFormat="false" ht="13.8" hidden="false" customHeight="false" outlineLevel="0" collapsed="false">
      <c r="B311" s="2" t="n">
        <v>309</v>
      </c>
      <c r="C311" s="2" t="n">
        <v>0.184067066666667</v>
      </c>
      <c r="D311" s="2" t="n">
        <v>0.266666666666667</v>
      </c>
      <c r="E311" s="2" t="n">
        <v>0.122</v>
      </c>
    </row>
    <row r="312" customFormat="false" ht="13.8" hidden="false" customHeight="false" outlineLevel="0" collapsed="false">
      <c r="B312" s="2" t="n">
        <v>310</v>
      </c>
      <c r="C312" s="2" t="n">
        <v>0.0475351333333333</v>
      </c>
      <c r="D312" s="2" t="n">
        <v>0</v>
      </c>
      <c r="E312" s="2" t="n">
        <v>0.018</v>
      </c>
    </row>
    <row r="313" customFormat="false" ht="13.8" hidden="false" customHeight="false" outlineLevel="0" collapsed="false">
      <c r="B313" s="2" t="n">
        <v>311</v>
      </c>
      <c r="C313" s="2" t="n">
        <v>0.156067666666667</v>
      </c>
      <c r="D313" s="2" t="n">
        <v>0</v>
      </c>
      <c r="E313" s="2" t="n">
        <v>0.122</v>
      </c>
    </row>
    <row r="314" customFormat="false" ht="13.8" hidden="false" customHeight="false" outlineLevel="0" collapsed="false">
      <c r="B314" s="2" t="n">
        <v>312</v>
      </c>
      <c r="C314" s="2" t="n">
        <v>0.1729336</v>
      </c>
      <c r="D314" s="2" t="n">
        <v>0</v>
      </c>
      <c r="E314" s="2" t="n">
        <v>0.00366693333333333</v>
      </c>
    </row>
    <row r="315" customFormat="false" ht="13.8" hidden="false" customHeight="false" outlineLevel="0" collapsed="false">
      <c r="B315" s="2" t="n">
        <v>313</v>
      </c>
      <c r="C315" s="2" t="n">
        <v>0.280000733333333</v>
      </c>
      <c r="D315" s="2" t="n">
        <v>0</v>
      </c>
      <c r="E315" s="2" t="n">
        <v>0.005</v>
      </c>
    </row>
    <row r="316" customFormat="false" ht="13.8" hidden="false" customHeight="false" outlineLevel="0" collapsed="false">
      <c r="B316" s="2" t="n">
        <v>314</v>
      </c>
      <c r="C316" s="2" t="n">
        <v>0.224601333333333</v>
      </c>
      <c r="D316" s="2" t="n">
        <v>0</v>
      </c>
      <c r="E316" s="2" t="n">
        <v>0.135</v>
      </c>
    </row>
    <row r="317" customFormat="false" ht="13.8" hidden="false" customHeight="false" outlineLevel="0" collapsed="false">
      <c r="B317" s="2" t="n">
        <v>315</v>
      </c>
      <c r="C317" s="2" t="n">
        <v>0.292602733333333</v>
      </c>
      <c r="D317" s="2" t="n">
        <v>0</v>
      </c>
      <c r="E317" s="2" t="n">
        <v>0.00233386666666667</v>
      </c>
    </row>
    <row r="318" customFormat="false" ht="13.8" hidden="false" customHeight="false" outlineLevel="0" collapsed="false">
      <c r="B318" s="2" t="n">
        <v>316</v>
      </c>
      <c r="C318" s="2" t="n">
        <v>0.168335933333333</v>
      </c>
      <c r="D318" s="2" t="n">
        <v>0</v>
      </c>
      <c r="E318" s="2" t="n">
        <v>0.005</v>
      </c>
    </row>
    <row r="319" customFormat="false" ht="13.8" hidden="false" customHeight="false" outlineLevel="0" collapsed="false">
      <c r="B319" s="2" t="n">
        <v>317</v>
      </c>
      <c r="C319" s="2" t="n">
        <v>0.268671</v>
      </c>
      <c r="D319" s="2" t="n">
        <v>0</v>
      </c>
      <c r="E319" s="2" t="n">
        <v>0.135</v>
      </c>
    </row>
    <row r="320" customFormat="false" ht="13.8" hidden="false" customHeight="false" outlineLevel="0" collapsed="false">
      <c r="B320" s="2" t="n">
        <v>318</v>
      </c>
      <c r="C320" s="2" t="n">
        <v>0.257003466666667</v>
      </c>
      <c r="D320" s="2" t="n">
        <v>0</v>
      </c>
      <c r="E320" s="2" t="n">
        <v>0.005</v>
      </c>
    </row>
    <row r="321" customFormat="false" ht="13.8" hidden="false" customHeight="false" outlineLevel="0" collapsed="false">
      <c r="B321" s="2" t="n">
        <v>319</v>
      </c>
      <c r="C321" s="2" t="n">
        <v>0.151337066666667</v>
      </c>
      <c r="D321" s="2" t="n">
        <v>0</v>
      </c>
      <c r="E321" s="2" t="n">
        <v>0.0143340666666667</v>
      </c>
    </row>
    <row r="322" customFormat="false" ht="13.8" hidden="false" customHeight="false" outlineLevel="0" collapsed="false">
      <c r="B322" s="2" t="n">
        <v>320</v>
      </c>
      <c r="C322" s="2" t="n">
        <v>0.151204666666667</v>
      </c>
      <c r="D322" s="2" t="n">
        <v>0</v>
      </c>
      <c r="E322" s="2" t="n">
        <v>0.000667533333333333</v>
      </c>
    </row>
    <row r="323" customFormat="false" ht="13.8" hidden="false" customHeight="false" outlineLevel="0" collapsed="false">
      <c r="B323" s="2" t="n">
        <v>321</v>
      </c>
      <c r="C323" s="2" t="n">
        <v>0.263872333333333</v>
      </c>
      <c r="D323" s="2" t="n">
        <v>0</v>
      </c>
      <c r="E323" s="2" t="n">
        <v>0.005</v>
      </c>
    </row>
    <row r="324" customFormat="false" ht="13.8" hidden="false" customHeight="false" outlineLevel="0" collapsed="false">
      <c r="B324" s="2" t="n">
        <v>322</v>
      </c>
      <c r="C324" s="2" t="n">
        <v>0.2830078</v>
      </c>
      <c r="D324" s="2" t="n">
        <v>0</v>
      </c>
      <c r="E324" s="2" t="n">
        <v>0.135</v>
      </c>
    </row>
    <row r="325" customFormat="false" ht="13.8" hidden="false" customHeight="false" outlineLevel="0" collapsed="false">
      <c r="B325" s="2" t="n">
        <v>323</v>
      </c>
      <c r="C325" s="2" t="n">
        <v>0.257008</v>
      </c>
      <c r="D325" s="2" t="n">
        <v>0</v>
      </c>
      <c r="E325" s="2" t="n">
        <v>0.000667533333333333</v>
      </c>
    </row>
    <row r="326" customFormat="false" ht="13.8" hidden="false" customHeight="false" outlineLevel="0" collapsed="false">
      <c r="B326" s="2" t="n">
        <v>324</v>
      </c>
      <c r="C326" s="2" t="n">
        <v>0.241341866666667</v>
      </c>
      <c r="D326" s="2" t="n">
        <v>0</v>
      </c>
      <c r="E326" s="2" t="n">
        <v>0.2</v>
      </c>
    </row>
    <row r="327" customFormat="false" ht="13.8" hidden="false" customHeight="false" outlineLevel="0" collapsed="false">
      <c r="B327" s="2" t="n">
        <v>325</v>
      </c>
      <c r="C327" s="2" t="n">
        <v>0.140675733333333</v>
      </c>
      <c r="D327" s="2" t="n">
        <v>0</v>
      </c>
      <c r="E327" s="2" t="n">
        <v>0.07</v>
      </c>
    </row>
    <row r="328" customFormat="false" ht="13.8" hidden="false" customHeight="false" outlineLevel="0" collapsed="false">
      <c r="B328" s="2" t="n">
        <v>326</v>
      </c>
      <c r="C328" s="2" t="n">
        <v>0.357407733333333</v>
      </c>
      <c r="D328" s="2" t="n">
        <v>0</v>
      </c>
      <c r="E328" s="2" t="n">
        <v>0.2</v>
      </c>
    </row>
    <row r="329" customFormat="false" ht="13.8" hidden="false" customHeight="false" outlineLevel="0" collapsed="false">
      <c r="B329" s="2" t="n">
        <v>327</v>
      </c>
      <c r="C329" s="2" t="n">
        <v>0.197671933333333</v>
      </c>
      <c r="D329" s="2" t="n">
        <v>0</v>
      </c>
      <c r="E329" s="2" t="n">
        <v>0.07</v>
      </c>
    </row>
    <row r="330" customFormat="false" ht="13.8" hidden="false" customHeight="false" outlineLevel="0" collapsed="false">
      <c r="B330" s="2" t="n">
        <v>328</v>
      </c>
      <c r="C330" s="2" t="n">
        <v>0.340738333333333</v>
      </c>
      <c r="D330" s="2" t="n">
        <v>0</v>
      </c>
      <c r="E330" s="2" t="n">
        <v>0.2</v>
      </c>
    </row>
    <row r="331" customFormat="false" ht="13.8" hidden="false" customHeight="false" outlineLevel="0" collapsed="false">
      <c r="B331" s="2" t="n">
        <v>329</v>
      </c>
      <c r="C331" s="2" t="n">
        <v>0.228671066666667</v>
      </c>
      <c r="D331" s="2" t="n">
        <v>0</v>
      </c>
      <c r="E331" s="2" t="n">
        <v>0.07</v>
      </c>
    </row>
    <row r="332" customFormat="false" ht="13.8" hidden="false" customHeight="false" outlineLevel="0" collapsed="false">
      <c r="B332" s="2" t="n">
        <v>330</v>
      </c>
      <c r="C332" s="2" t="n">
        <v>0.3268044</v>
      </c>
      <c r="D332" s="2" t="n">
        <v>0</v>
      </c>
      <c r="E332" s="2" t="n">
        <v>0.2</v>
      </c>
    </row>
    <row r="333" customFormat="false" ht="13.8" hidden="false" customHeight="false" outlineLevel="0" collapsed="false">
      <c r="B333" s="2" t="n">
        <v>331</v>
      </c>
      <c r="C333" s="2" t="n">
        <v>0.218003</v>
      </c>
      <c r="D333" s="2" t="n">
        <v>0</v>
      </c>
      <c r="E333" s="2" t="n">
        <v>0.07</v>
      </c>
    </row>
    <row r="334" customFormat="false" ht="13.8" hidden="false" customHeight="false" outlineLevel="0" collapsed="false">
      <c r="B334" s="2" t="n">
        <v>332</v>
      </c>
      <c r="C334" s="2" t="n">
        <v>0.3220024</v>
      </c>
      <c r="D334" s="2" t="n">
        <v>0</v>
      </c>
      <c r="E334" s="2" t="n">
        <v>0.2</v>
      </c>
    </row>
    <row r="335" customFormat="false" ht="13.8" hidden="false" customHeight="false" outlineLevel="0" collapsed="false">
      <c r="B335" s="2" t="n">
        <v>333</v>
      </c>
      <c r="C335" s="2" t="n">
        <v>0.218001266666667</v>
      </c>
      <c r="D335" s="2" t="n">
        <v>0</v>
      </c>
      <c r="E335" s="2" t="n">
        <v>0.07</v>
      </c>
    </row>
    <row r="336" customFormat="false" ht="13.8" hidden="false" customHeight="false" outlineLevel="0" collapsed="false">
      <c r="B336" s="2" t="n">
        <v>334</v>
      </c>
      <c r="C336" s="2" t="n">
        <v>0.335335466666667</v>
      </c>
      <c r="D336" s="2" t="n">
        <v>0</v>
      </c>
      <c r="E336" s="2" t="n">
        <v>0.2</v>
      </c>
    </row>
    <row r="337" customFormat="false" ht="13.8" hidden="false" customHeight="false" outlineLevel="0" collapsed="false">
      <c r="B337" s="2" t="n">
        <v>335</v>
      </c>
      <c r="C337" s="2" t="n">
        <v>0.2453386</v>
      </c>
      <c r="D337" s="2" t="n">
        <v>0</v>
      </c>
      <c r="E337" s="2" t="n">
        <v>0.07</v>
      </c>
    </row>
    <row r="338" customFormat="false" ht="13.8" hidden="false" customHeight="false" outlineLevel="0" collapsed="false">
      <c r="B338" s="2" t="n">
        <v>336</v>
      </c>
      <c r="C338" s="2" t="n">
        <v>0.371337866666667</v>
      </c>
      <c r="D338" s="2" t="n">
        <v>0</v>
      </c>
      <c r="E338" s="2" t="n">
        <v>0.2</v>
      </c>
    </row>
    <row r="339" customFormat="false" ht="13.8" hidden="false" customHeight="false" outlineLevel="0" collapsed="false">
      <c r="B339" s="2" t="n">
        <v>337</v>
      </c>
      <c r="C339" s="2" t="n">
        <v>0.198005133333333</v>
      </c>
      <c r="D339" s="2" t="n">
        <v>0</v>
      </c>
      <c r="E339" s="2" t="n">
        <v>0.07</v>
      </c>
    </row>
    <row r="340" customFormat="false" ht="13.8" hidden="false" customHeight="false" outlineLevel="0" collapsed="false">
      <c r="B340" s="2" t="n">
        <v>338</v>
      </c>
      <c r="C340" s="2" t="n">
        <v>0.2946734</v>
      </c>
      <c r="D340" s="2" t="n">
        <v>0</v>
      </c>
      <c r="E340" s="2" t="n">
        <v>0.2</v>
      </c>
    </row>
    <row r="341" customFormat="false" ht="13.8" hidden="false" customHeight="false" outlineLevel="0" collapsed="false">
      <c r="B341" s="2" t="n">
        <v>339</v>
      </c>
      <c r="C341" s="2" t="n">
        <v>0.0700094666666667</v>
      </c>
      <c r="D341" s="2" t="n">
        <v>0</v>
      </c>
      <c r="E341" s="2" t="n">
        <v>0.07</v>
      </c>
    </row>
    <row r="342" customFormat="false" ht="13.8" hidden="false" customHeight="false" outlineLevel="0" collapsed="false">
      <c r="B342" s="2" t="n">
        <v>340</v>
      </c>
      <c r="C342" s="2" t="n">
        <v>0.2776084</v>
      </c>
      <c r="D342" s="2" t="n">
        <v>0</v>
      </c>
      <c r="E342" s="2" t="n">
        <v>0.2</v>
      </c>
    </row>
    <row r="343" customFormat="false" ht="13.8" hidden="false" customHeight="false" outlineLevel="0" collapsed="false">
      <c r="B343" s="2" t="n">
        <v>341</v>
      </c>
      <c r="C343" s="2" t="n">
        <v>0.295140066666667</v>
      </c>
      <c r="D343" s="2" t="n">
        <v>0</v>
      </c>
      <c r="E343" s="2" t="n">
        <v>0.07</v>
      </c>
    </row>
    <row r="344" customFormat="false" ht="13.8" hidden="false" customHeight="false" outlineLevel="0" collapsed="false">
      <c r="B344" s="2" t="n">
        <v>342</v>
      </c>
      <c r="C344" s="2" t="n">
        <v>0.293006266666667</v>
      </c>
      <c r="D344" s="2" t="n">
        <v>0</v>
      </c>
      <c r="E344" s="2" t="n">
        <v>0.2</v>
      </c>
    </row>
    <row r="345" customFormat="false" ht="13.8" hidden="false" customHeight="false" outlineLevel="0" collapsed="false">
      <c r="B345" s="2" t="n">
        <v>343</v>
      </c>
      <c r="C345" s="2" t="n">
        <v>0.288738533333333</v>
      </c>
      <c r="D345" s="2" t="n">
        <v>0</v>
      </c>
      <c r="E345" s="2" t="n">
        <v>0.07</v>
      </c>
    </row>
    <row r="346" customFormat="false" ht="13.8" hidden="false" customHeight="false" outlineLevel="0" collapsed="false">
      <c r="B346" s="2" t="n">
        <v>344</v>
      </c>
      <c r="C346" s="2" t="n">
        <v>0.270005133333333</v>
      </c>
      <c r="D346" s="2" t="n">
        <v>0</v>
      </c>
      <c r="E346" s="2" t="n">
        <v>0.2</v>
      </c>
    </row>
    <row r="347" customFormat="false" ht="13.8" hidden="false" customHeight="false" outlineLevel="0" collapsed="false">
      <c r="B347" s="2" t="n">
        <v>345</v>
      </c>
      <c r="C347" s="2" t="n">
        <v>0.2700048</v>
      </c>
      <c r="D347" s="2" t="n">
        <v>0</v>
      </c>
      <c r="E347" s="2" t="n">
        <v>0.07</v>
      </c>
    </row>
    <row r="348" customFormat="false" ht="13.8" hidden="false" customHeight="false" outlineLevel="0" collapsed="false">
      <c r="B348" s="2" t="n">
        <v>346</v>
      </c>
      <c r="C348" s="2" t="n">
        <v>0.271602533333333</v>
      </c>
      <c r="D348" s="2" t="n">
        <v>0</v>
      </c>
      <c r="E348" s="2" t="n">
        <v>0.2</v>
      </c>
    </row>
    <row r="349" customFormat="false" ht="13.8" hidden="false" customHeight="false" outlineLevel="0" collapsed="false">
      <c r="B349" s="2" t="n">
        <v>347</v>
      </c>
      <c r="C349" s="2" t="n">
        <v>0.2710674</v>
      </c>
      <c r="D349" s="2" t="n">
        <v>0</v>
      </c>
      <c r="E349" s="2" t="n">
        <v>0.07</v>
      </c>
    </row>
    <row r="350" customFormat="false" ht="13.8" hidden="false" customHeight="false" outlineLevel="0" collapsed="false">
      <c r="B350" s="2" t="n">
        <v>348</v>
      </c>
      <c r="C350" s="2" t="n">
        <v>0.27</v>
      </c>
      <c r="D350" s="2" t="n">
        <v>0</v>
      </c>
      <c r="E350" s="2" t="n">
        <v>0.2</v>
      </c>
    </row>
    <row r="351" customFormat="false" ht="13.8" hidden="false" customHeight="false" outlineLevel="0" collapsed="false">
      <c r="B351" s="2" t="n">
        <v>349</v>
      </c>
      <c r="C351" s="2" t="n">
        <v>0.27</v>
      </c>
      <c r="D351" s="2" t="n">
        <v>0</v>
      </c>
      <c r="E351" s="2" t="n">
        <v>0.07</v>
      </c>
    </row>
    <row r="352" customFormat="false" ht="13.8" hidden="false" customHeight="false" outlineLevel="0" collapsed="false">
      <c r="B352" s="2" t="n">
        <v>350</v>
      </c>
      <c r="C352" s="2" t="n">
        <v>0.2300002</v>
      </c>
      <c r="D352" s="2" t="n">
        <v>0</v>
      </c>
      <c r="E352" s="2" t="n">
        <v>0.2</v>
      </c>
    </row>
    <row r="353" customFormat="false" ht="13.8" hidden="false" customHeight="false" outlineLevel="0" collapsed="false">
      <c r="B353" s="2" t="n">
        <v>351</v>
      </c>
      <c r="C353" s="2" t="n">
        <v>0.27</v>
      </c>
      <c r="D353" s="2" t="n">
        <v>0</v>
      </c>
      <c r="E353" s="2" t="n">
        <v>0.07</v>
      </c>
    </row>
    <row r="354" customFormat="false" ht="13.8" hidden="false" customHeight="false" outlineLevel="0" collapsed="false">
      <c r="B354" s="2" t="n">
        <v>352</v>
      </c>
      <c r="C354" s="2" t="n">
        <v>0.27</v>
      </c>
      <c r="D354" s="2" t="n">
        <v>0</v>
      </c>
      <c r="E354" s="2" t="n">
        <v>0.2</v>
      </c>
    </row>
    <row r="355" customFormat="false" ht="13.8" hidden="false" customHeight="false" outlineLevel="0" collapsed="false">
      <c r="B355" s="2" t="n">
        <v>353</v>
      </c>
      <c r="C355" s="2" t="n">
        <v>0.270000133333333</v>
      </c>
      <c r="D355" s="2" t="n">
        <v>0</v>
      </c>
      <c r="E355" s="2" t="n">
        <v>0.07</v>
      </c>
    </row>
    <row r="356" customFormat="false" ht="13.8" hidden="false" customHeight="false" outlineLevel="0" collapsed="false">
      <c r="B356" s="2" t="n">
        <v>354</v>
      </c>
      <c r="C356" s="2" t="n">
        <v>0.276333866666667</v>
      </c>
      <c r="D356" s="2" t="n">
        <v>0</v>
      </c>
      <c r="E356" s="2" t="n">
        <v>0.2</v>
      </c>
    </row>
    <row r="357" customFormat="false" ht="13.8" hidden="false" customHeight="false" outlineLevel="0" collapsed="false">
      <c r="B357" s="2" t="n">
        <v>355</v>
      </c>
      <c r="C357" s="2" t="n">
        <v>0.218001</v>
      </c>
      <c r="D357" s="2" t="n">
        <v>0</v>
      </c>
      <c r="E357" s="2" t="n">
        <v>0.07</v>
      </c>
    </row>
    <row r="358" customFormat="false" ht="13.8" hidden="false" customHeight="false" outlineLevel="0" collapsed="false">
      <c r="B358" s="2" t="n">
        <v>356</v>
      </c>
      <c r="C358" s="2" t="n">
        <v>0.321334466666667</v>
      </c>
      <c r="D358" s="2" t="n">
        <v>0</v>
      </c>
      <c r="E358" s="2" t="n">
        <v>0.2</v>
      </c>
    </row>
    <row r="359" customFormat="false" ht="13.8" hidden="false" customHeight="false" outlineLevel="0" collapsed="false">
      <c r="B359" s="2" t="n">
        <v>357</v>
      </c>
      <c r="C359" s="2" t="n">
        <v>0.192801133333333</v>
      </c>
      <c r="D359" s="2" t="n">
        <v>0</v>
      </c>
      <c r="E359" s="2" t="n">
        <v>0.07</v>
      </c>
    </row>
    <row r="360" customFormat="false" ht="13.8" hidden="false" customHeight="false" outlineLevel="0" collapsed="false">
      <c r="B360" s="2" t="n">
        <v>358</v>
      </c>
      <c r="C360" s="2" t="n">
        <v>0.350668</v>
      </c>
      <c r="D360" s="2" t="n">
        <v>0</v>
      </c>
      <c r="E360" s="2" t="n">
        <v>0.224266666666667</v>
      </c>
    </row>
    <row r="361" customFormat="false" ht="13.8" hidden="false" customHeight="false" outlineLevel="0" collapsed="false">
      <c r="B361" s="2" t="n">
        <v>359</v>
      </c>
      <c r="C361" s="2" t="n">
        <v>0.218000866666667</v>
      </c>
      <c r="D361" s="2" t="n">
        <v>0</v>
      </c>
      <c r="E361" s="2" t="n">
        <v>0.122</v>
      </c>
    </row>
    <row r="362" customFormat="false" ht="13.8" hidden="false" customHeight="false" outlineLevel="0" collapsed="false">
      <c r="B362" s="2" t="n">
        <v>360</v>
      </c>
      <c r="C362" s="2" t="n">
        <v>0.373334333333333</v>
      </c>
      <c r="D362" s="2" t="n">
        <v>0</v>
      </c>
      <c r="E362" s="2" t="n">
        <v>0.224267066666667</v>
      </c>
    </row>
    <row r="363" customFormat="false" ht="13.8" hidden="false" customHeight="false" outlineLevel="0" collapsed="false">
      <c r="B363" s="2" t="n">
        <v>361</v>
      </c>
      <c r="C363" s="2" t="n">
        <v>0.2040028</v>
      </c>
      <c r="D363" s="2" t="n">
        <v>0</v>
      </c>
      <c r="E363" s="2" t="n">
        <v>0.07</v>
      </c>
    </row>
    <row r="364" customFormat="false" ht="13.8" hidden="false" customHeight="false" outlineLevel="0" collapsed="false">
      <c r="B364" s="2" t="n">
        <v>362</v>
      </c>
      <c r="C364" s="2" t="n">
        <v>0.3600048</v>
      </c>
      <c r="D364" s="2" t="n">
        <v>0</v>
      </c>
      <c r="E364" s="2" t="n">
        <v>0.2</v>
      </c>
    </row>
    <row r="365" customFormat="false" ht="13.8" hidden="false" customHeight="false" outlineLevel="0" collapsed="false">
      <c r="B365" s="2" t="n">
        <v>363</v>
      </c>
      <c r="C365" s="2" t="n">
        <v>0.2520726</v>
      </c>
      <c r="D365" s="2" t="n">
        <v>0</v>
      </c>
      <c r="E365" s="2" t="n">
        <v>0.07</v>
      </c>
    </row>
    <row r="366" customFormat="false" ht="13.8" hidden="false" customHeight="false" outlineLevel="0" collapsed="false">
      <c r="B366" s="2" t="n">
        <v>364</v>
      </c>
      <c r="C366" s="2" t="n">
        <v>0.468608266666667</v>
      </c>
      <c r="D366" s="2" t="n">
        <v>0</v>
      </c>
      <c r="E366" s="2" t="n">
        <v>0.2</v>
      </c>
    </row>
    <row r="367" customFormat="false" ht="13.8" hidden="false" customHeight="false" outlineLevel="0" collapsed="false">
      <c r="B367" s="2" t="n">
        <v>365</v>
      </c>
      <c r="C367" s="2" t="n">
        <v>0.3649454</v>
      </c>
      <c r="D367" s="2" t="n">
        <v>0.4</v>
      </c>
      <c r="E367" s="2" t="n">
        <v>0.0933338666666667</v>
      </c>
    </row>
    <row r="368" customFormat="false" ht="13.8" hidden="false" customHeight="false" outlineLevel="0" collapsed="false">
      <c r="B368" s="2" t="n">
        <v>366</v>
      </c>
      <c r="C368" s="2" t="n">
        <v>0.4950166</v>
      </c>
      <c r="D368" s="2" t="n">
        <v>0.4</v>
      </c>
      <c r="E368" s="2" t="n">
        <v>0.2</v>
      </c>
    </row>
    <row r="369" customFormat="false" ht="13.8" hidden="false" customHeight="false" outlineLevel="0" collapsed="false">
      <c r="B369" s="2" t="n">
        <v>367</v>
      </c>
      <c r="C369" s="2" t="n">
        <v>0.364082866666667</v>
      </c>
      <c r="D369" s="2" t="n">
        <v>0.4</v>
      </c>
      <c r="E369" s="2" t="n">
        <v>0.00333366666666667</v>
      </c>
    </row>
    <row r="370" customFormat="false" ht="13.8" hidden="false" customHeight="false" outlineLevel="0" collapsed="false">
      <c r="B370" s="2" t="n">
        <v>368</v>
      </c>
      <c r="C370" s="2" t="n">
        <v>0.530083533333333</v>
      </c>
      <c r="D370" s="2" t="n">
        <v>0.4</v>
      </c>
      <c r="E370" s="2" t="n">
        <v>0.0040002</v>
      </c>
    </row>
    <row r="371" customFormat="false" ht="13.8" hidden="false" customHeight="false" outlineLevel="0" collapsed="false">
      <c r="B371" s="2" t="n">
        <v>369</v>
      </c>
      <c r="C371" s="2" t="n">
        <v>0.428015466666667</v>
      </c>
      <c r="D371" s="2" t="n">
        <v>0.4</v>
      </c>
      <c r="E371" s="2" t="n">
        <v>0.096</v>
      </c>
    </row>
    <row r="372" customFormat="false" ht="13.8" hidden="false" customHeight="false" outlineLevel="0" collapsed="false">
      <c r="B372" s="2" t="n">
        <v>370</v>
      </c>
      <c r="C372" s="2" t="n">
        <v>0.600813133333333</v>
      </c>
      <c r="D372" s="2" t="n">
        <v>0.4</v>
      </c>
      <c r="E372" s="2" t="n">
        <v>0.044</v>
      </c>
    </row>
    <row r="373" customFormat="false" ht="13.8" hidden="false" customHeight="false" outlineLevel="0" collapsed="false">
      <c r="B373" s="2" t="n">
        <v>371</v>
      </c>
      <c r="C373" s="2" t="n">
        <v>0.442946533333333</v>
      </c>
      <c r="D373" s="2" t="n">
        <v>0.4</v>
      </c>
      <c r="E373" s="2" t="n">
        <v>0.005</v>
      </c>
    </row>
    <row r="374" customFormat="false" ht="13.8" hidden="false" customHeight="false" outlineLevel="0" collapsed="false">
      <c r="B374" s="2" t="n">
        <v>372</v>
      </c>
      <c r="C374" s="2" t="n">
        <v>0.582949133333333</v>
      </c>
      <c r="D374" s="2" t="n">
        <v>0.4</v>
      </c>
      <c r="E374" s="2" t="n">
        <v>0.109</v>
      </c>
    </row>
    <row r="375" customFormat="false" ht="13.8" hidden="false" customHeight="false" outlineLevel="0" collapsed="false">
      <c r="B375" s="2" t="n">
        <v>373</v>
      </c>
      <c r="C375" s="2" t="n">
        <v>0.357817666666667</v>
      </c>
      <c r="D375" s="2" t="n">
        <v>0.4</v>
      </c>
      <c r="E375" s="2" t="n">
        <v>0.031</v>
      </c>
    </row>
    <row r="376" customFormat="false" ht="13.8" hidden="false" customHeight="false" outlineLevel="0" collapsed="false">
      <c r="B376" s="2" t="n">
        <v>374</v>
      </c>
      <c r="C376" s="2" t="n">
        <v>0.316953066666667</v>
      </c>
      <c r="D376" s="2" t="n">
        <v>0.4</v>
      </c>
      <c r="E376" s="2" t="n">
        <v>0.109</v>
      </c>
    </row>
    <row r="377" customFormat="false" ht="13.8" hidden="false" customHeight="false" outlineLevel="0" collapsed="false">
      <c r="B377" s="2" t="n">
        <v>375</v>
      </c>
      <c r="C377" s="2" t="n">
        <v>0.333016733333333</v>
      </c>
      <c r="D377" s="2" t="n">
        <v>0.4</v>
      </c>
      <c r="E377" s="2" t="n">
        <v>0.031</v>
      </c>
    </row>
    <row r="378" customFormat="false" ht="13.8" hidden="false" customHeight="false" outlineLevel="0" collapsed="false">
      <c r="B378" s="2" t="n">
        <v>376</v>
      </c>
      <c r="C378" s="2" t="n">
        <v>0.270283133333333</v>
      </c>
      <c r="D378" s="2" t="n">
        <v>0.4</v>
      </c>
      <c r="E378" s="2" t="n">
        <v>0.0423336666666667</v>
      </c>
    </row>
    <row r="379" customFormat="false" ht="13.8" hidden="false" customHeight="false" outlineLevel="0" collapsed="false">
      <c r="B379" s="2" t="n">
        <v>377</v>
      </c>
      <c r="C379" s="2" t="n">
        <v>0.186284666666667</v>
      </c>
      <c r="D379" s="2" t="n">
        <v>0.4</v>
      </c>
      <c r="E379" s="2" t="n">
        <v>0.00166733333333333</v>
      </c>
    </row>
    <row r="380" customFormat="false" ht="13.8" hidden="false" customHeight="false" outlineLevel="0" collapsed="false">
      <c r="B380" s="2" t="n">
        <v>378</v>
      </c>
      <c r="C380" s="2" t="n">
        <v>0.175416333333333</v>
      </c>
      <c r="D380" s="2" t="n">
        <v>0.4</v>
      </c>
      <c r="E380" s="2" t="n">
        <v>0.005</v>
      </c>
    </row>
    <row r="381" customFormat="false" ht="13.8" hidden="false" customHeight="false" outlineLevel="0" collapsed="false">
      <c r="B381" s="2" t="n">
        <v>379</v>
      </c>
      <c r="C381" s="2" t="n">
        <v>0.318348133333333</v>
      </c>
      <c r="D381" s="2" t="n">
        <v>0.4</v>
      </c>
      <c r="E381" s="2" t="n">
        <v>0.135</v>
      </c>
    </row>
    <row r="382" customFormat="false" ht="13.8" hidden="false" customHeight="false" outlineLevel="0" collapsed="false">
      <c r="B382" s="2" t="n">
        <v>380</v>
      </c>
      <c r="C382" s="2" t="n">
        <v>0.2867452</v>
      </c>
      <c r="D382" s="2" t="n">
        <v>0.4</v>
      </c>
      <c r="E382" s="2" t="n">
        <v>0.005</v>
      </c>
    </row>
    <row r="383" customFormat="false" ht="13.8" hidden="false" customHeight="false" outlineLevel="0" collapsed="false">
      <c r="B383" s="2" t="n">
        <v>381</v>
      </c>
      <c r="C383" s="2" t="n">
        <v>0.311012866666667</v>
      </c>
      <c r="D383" s="2" t="n">
        <v>0.4</v>
      </c>
      <c r="E383" s="2" t="n">
        <v>0.109</v>
      </c>
    </row>
    <row r="384" customFormat="false" ht="13.8" hidden="false" customHeight="false" outlineLevel="0" collapsed="false">
      <c r="B384" s="2" t="n">
        <v>382</v>
      </c>
      <c r="C384" s="2" t="n">
        <v>0.238349</v>
      </c>
      <c r="D384" s="2" t="n">
        <v>0.0533333333333333</v>
      </c>
      <c r="E384" s="2" t="n">
        <v>0.0306667333333333</v>
      </c>
    </row>
    <row r="385" customFormat="false" ht="13.8" hidden="false" customHeight="false" outlineLevel="0" collapsed="false">
      <c r="B385" s="2" t="n">
        <v>383</v>
      </c>
      <c r="C385" s="2" t="n">
        <v>0.114677066666667</v>
      </c>
      <c r="D385" s="2" t="n">
        <v>0</v>
      </c>
      <c r="E385" s="2" t="n">
        <v>0.083</v>
      </c>
    </row>
    <row r="386" customFormat="false" ht="13.8" hidden="false" customHeight="false" outlineLevel="0" collapsed="false">
      <c r="B386" s="2" t="n">
        <v>384</v>
      </c>
      <c r="C386" s="2" t="n">
        <v>0.305544866666667</v>
      </c>
      <c r="D386" s="2" t="n">
        <v>0</v>
      </c>
      <c r="E386" s="2" t="n">
        <v>0.0566667333333333</v>
      </c>
    </row>
    <row r="387" customFormat="false" ht="13.8" hidden="false" customHeight="false" outlineLevel="0" collapsed="false">
      <c r="B387" s="2" t="n">
        <v>385</v>
      </c>
      <c r="C387" s="2" t="n">
        <v>0.300745466666667</v>
      </c>
      <c r="D387" s="2" t="n">
        <v>0</v>
      </c>
      <c r="E387" s="2" t="n">
        <v>1E-006</v>
      </c>
    </row>
    <row r="388" customFormat="false" ht="13.8" hidden="false" customHeight="false" outlineLevel="0" collapsed="false">
      <c r="B388" s="2" t="n">
        <v>386</v>
      </c>
      <c r="C388" s="2" t="n">
        <v>0.0537436666666667</v>
      </c>
      <c r="D388" s="2" t="n">
        <v>0.266666666666667</v>
      </c>
      <c r="E388" s="2" t="n">
        <v>0.1340002</v>
      </c>
    </row>
    <row r="389" customFormat="false" ht="13.8" hidden="false" customHeight="false" outlineLevel="0" collapsed="false">
      <c r="B389" s="2" t="n">
        <v>387</v>
      </c>
      <c r="C389" s="2" t="n">
        <v>0.3622722</v>
      </c>
      <c r="D389" s="2" t="n">
        <v>0.4</v>
      </c>
      <c r="E389" s="2" t="n">
        <v>0.005</v>
      </c>
    </row>
    <row r="390" customFormat="false" ht="13.8" hidden="false" customHeight="false" outlineLevel="0" collapsed="false">
      <c r="B390" s="2" t="n">
        <v>388</v>
      </c>
      <c r="C390" s="2" t="n">
        <v>0.0966038</v>
      </c>
      <c r="D390" s="2" t="n">
        <v>0.4</v>
      </c>
      <c r="E390" s="2" t="n">
        <v>0.135</v>
      </c>
    </row>
    <row r="391" customFormat="false" ht="13.8" hidden="false" customHeight="false" outlineLevel="0" collapsed="false">
      <c r="B391" s="2" t="n">
        <v>389</v>
      </c>
      <c r="C391" s="2" t="n">
        <v>0.282867933333333</v>
      </c>
      <c r="D391" s="2" t="n">
        <v>0.4</v>
      </c>
      <c r="E391" s="2" t="n">
        <v>0.134333466666667</v>
      </c>
    </row>
    <row r="392" customFormat="false" ht="13.8" hidden="false" customHeight="false" outlineLevel="0" collapsed="false">
      <c r="B392" s="2" t="n">
        <v>390</v>
      </c>
      <c r="C392" s="2" t="n">
        <v>0.0920005333333333</v>
      </c>
      <c r="D392" s="2" t="n">
        <v>0.4</v>
      </c>
      <c r="E392" s="2" t="n">
        <v>0.005</v>
      </c>
    </row>
    <row r="393" customFormat="false" ht="13.8" hidden="false" customHeight="false" outlineLevel="0" collapsed="false">
      <c r="B393" s="2" t="n">
        <v>391</v>
      </c>
      <c r="C393" s="2" t="n">
        <v>0.1740008</v>
      </c>
      <c r="D393" s="2" t="n">
        <v>0.4</v>
      </c>
      <c r="E393" s="2" t="n">
        <v>0.0950002</v>
      </c>
    </row>
    <row r="394" customFormat="false" ht="13.8" hidden="false" customHeight="false" outlineLevel="0" collapsed="false">
      <c r="B394" s="2" t="n">
        <v>392</v>
      </c>
      <c r="C394" s="2" t="n">
        <v>0.218067866666667</v>
      </c>
      <c r="D394" s="2" t="n">
        <v>0.4</v>
      </c>
      <c r="E394" s="2" t="n">
        <v>0.0666673333333333</v>
      </c>
    </row>
    <row r="395" customFormat="false" ht="13.8" hidden="false" customHeight="false" outlineLevel="0" collapsed="false">
      <c r="B395" s="2" t="n">
        <v>393</v>
      </c>
      <c r="C395" s="2" t="n">
        <v>0.1353338</v>
      </c>
      <c r="D395" s="2" t="n">
        <v>0.4</v>
      </c>
      <c r="E395" s="2" t="n">
        <v>0.07</v>
      </c>
    </row>
    <row r="396" customFormat="false" ht="13.8" hidden="false" customHeight="false" outlineLevel="0" collapsed="false">
      <c r="B396" s="2" t="n">
        <v>394</v>
      </c>
      <c r="C396" s="2" t="n">
        <v>0.207601</v>
      </c>
      <c r="D396" s="2" t="n">
        <v>0.4</v>
      </c>
      <c r="E396" s="2" t="n">
        <v>0.07</v>
      </c>
    </row>
    <row r="397" customFormat="false" ht="13.8" hidden="false" customHeight="false" outlineLevel="0" collapsed="false">
      <c r="B397" s="2" t="n">
        <v>395</v>
      </c>
      <c r="C397" s="2" t="n">
        <v>0.133734066666667</v>
      </c>
      <c r="D397" s="2" t="n">
        <v>0.4</v>
      </c>
      <c r="E397" s="2" t="n">
        <v>0.07</v>
      </c>
    </row>
    <row r="398" customFormat="false" ht="13.8" hidden="false" customHeight="false" outlineLevel="0" collapsed="false">
      <c r="B398" s="2" t="n">
        <v>396</v>
      </c>
      <c r="C398" s="2" t="n">
        <v>0.0904036</v>
      </c>
      <c r="D398" s="2" t="n">
        <v>0.4</v>
      </c>
      <c r="E398" s="2" t="n">
        <v>0.07</v>
      </c>
    </row>
    <row r="399" customFormat="false" ht="13.8" hidden="false" customHeight="false" outlineLevel="0" collapsed="false">
      <c r="B399" s="2" t="n">
        <v>397</v>
      </c>
      <c r="C399" s="2" t="n">
        <v>0.2734682</v>
      </c>
      <c r="D399" s="2" t="n">
        <v>0.4</v>
      </c>
      <c r="E399" s="2" t="n">
        <v>0.07</v>
      </c>
    </row>
    <row r="400" customFormat="false" ht="13.8" hidden="false" customHeight="false" outlineLevel="0" collapsed="false">
      <c r="B400" s="2" t="n">
        <v>398</v>
      </c>
      <c r="C400" s="2" t="n">
        <v>0.0682672</v>
      </c>
      <c r="D400" s="2" t="n">
        <v>0.4</v>
      </c>
      <c r="E400" s="2" t="n">
        <v>0.07</v>
      </c>
    </row>
    <row r="401" customFormat="false" ht="13.8" hidden="false" customHeight="false" outlineLevel="0" collapsed="false">
      <c r="B401" s="2" t="n">
        <v>399</v>
      </c>
      <c r="C401" s="2" t="n">
        <v>0.264467733333333</v>
      </c>
      <c r="D401" s="2" t="n">
        <v>0.4</v>
      </c>
      <c r="E401" s="2" t="n">
        <v>0.07</v>
      </c>
    </row>
    <row r="402" customFormat="false" ht="13.8" hidden="false" customHeight="false" outlineLevel="0" collapsed="false">
      <c r="B402" s="2" t="n">
        <v>400</v>
      </c>
      <c r="C402" s="2" t="n">
        <v>0.020669</v>
      </c>
      <c r="D402" s="2" t="n">
        <v>0.4</v>
      </c>
      <c r="E402" s="2" t="n">
        <v>0.07</v>
      </c>
    </row>
    <row r="403" customFormat="false" ht="13.8" hidden="false" customHeight="false" outlineLevel="0" collapsed="false">
      <c r="B403" s="2" t="n">
        <v>401</v>
      </c>
      <c r="C403" s="2" t="n">
        <v>0.247867733333333</v>
      </c>
      <c r="D403" s="2" t="n">
        <v>0.4</v>
      </c>
      <c r="E403" s="2" t="n">
        <v>0.07</v>
      </c>
    </row>
    <row r="404" customFormat="false" ht="13.8" hidden="false" customHeight="false" outlineLevel="0" collapsed="false">
      <c r="B404" s="2" t="n">
        <v>402</v>
      </c>
      <c r="C404" s="2" t="n">
        <v>0.0879336666666667</v>
      </c>
      <c r="D404" s="2" t="n">
        <v>0.4</v>
      </c>
      <c r="E404" s="2" t="n">
        <v>0.07</v>
      </c>
    </row>
    <row r="405" customFormat="false" ht="13.8" hidden="false" customHeight="false" outlineLevel="0" collapsed="false">
      <c r="B405" s="2" t="n">
        <v>403</v>
      </c>
      <c r="C405" s="2" t="n">
        <v>0.2364016</v>
      </c>
      <c r="D405" s="2" t="n">
        <v>0.4</v>
      </c>
      <c r="E405" s="2" t="n">
        <v>0.07</v>
      </c>
    </row>
    <row r="406" customFormat="false" ht="13.8" hidden="false" customHeight="false" outlineLevel="0" collapsed="false">
      <c r="B406" s="2" t="n">
        <v>404</v>
      </c>
      <c r="C406" s="2" t="n">
        <v>0.0844677333333333</v>
      </c>
      <c r="D406" s="2" t="n">
        <v>0.4</v>
      </c>
      <c r="E406" s="2" t="n">
        <v>0.07</v>
      </c>
    </row>
    <row r="407" customFormat="false" ht="13.8" hidden="false" customHeight="false" outlineLevel="0" collapsed="false">
      <c r="B407" s="2" t="n">
        <v>405</v>
      </c>
      <c r="C407" s="2" t="n">
        <v>0.193667266666667</v>
      </c>
      <c r="D407" s="2" t="n">
        <v>0.08</v>
      </c>
      <c r="E407" s="2" t="n">
        <v>0.07</v>
      </c>
    </row>
    <row r="408" customFormat="false" ht="13.8" hidden="false" customHeight="false" outlineLevel="0" collapsed="false">
      <c r="B408" s="2" t="n">
        <v>406</v>
      </c>
      <c r="C408" s="2" t="n">
        <v>0.183468733333333</v>
      </c>
      <c r="D408" s="2" t="n">
        <v>0</v>
      </c>
      <c r="E408" s="2" t="n">
        <v>0.07</v>
      </c>
    </row>
    <row r="409" customFormat="false" ht="13.8" hidden="false" customHeight="false" outlineLevel="0" collapsed="false">
      <c r="B409" s="2" t="n">
        <v>407</v>
      </c>
      <c r="C409" s="2" t="n">
        <v>0.280266933333333</v>
      </c>
      <c r="D409" s="2" t="n">
        <v>0</v>
      </c>
      <c r="E409" s="2" t="n">
        <v>0.07</v>
      </c>
    </row>
    <row r="410" customFormat="false" ht="13.8" hidden="false" customHeight="false" outlineLevel="0" collapsed="false">
      <c r="B410" s="2" t="n">
        <v>408</v>
      </c>
      <c r="C410" s="2" t="n">
        <v>0.2021338</v>
      </c>
      <c r="D410" s="2" t="n">
        <v>0</v>
      </c>
      <c r="E410" s="2" t="n">
        <v>0.07</v>
      </c>
    </row>
    <row r="411" customFormat="false" ht="13.8" hidden="false" customHeight="false" outlineLevel="0" collapsed="false">
      <c r="B411" s="2" t="n">
        <v>409</v>
      </c>
      <c r="C411" s="2" t="n">
        <v>0.233268466666667</v>
      </c>
      <c r="D411" s="2" t="n">
        <v>0</v>
      </c>
      <c r="E411" s="2" t="n">
        <v>0.07</v>
      </c>
    </row>
    <row r="412" customFormat="false" ht="13.8" hidden="false" customHeight="false" outlineLevel="0" collapsed="false">
      <c r="B412" s="2" t="n">
        <v>410</v>
      </c>
      <c r="C412" s="2" t="n">
        <v>0.178271066666667</v>
      </c>
      <c r="D412" s="2" t="n">
        <v>0</v>
      </c>
      <c r="E412" s="2" t="n">
        <v>0.07</v>
      </c>
    </row>
    <row r="413" customFormat="false" ht="13.8" hidden="false" customHeight="false" outlineLevel="0" collapsed="false">
      <c r="B413" s="2" t="n">
        <v>411</v>
      </c>
      <c r="C413" s="2" t="n">
        <v>0.2714038</v>
      </c>
      <c r="D413" s="2" t="n">
        <v>0</v>
      </c>
      <c r="E413" s="2" t="n">
        <v>0.07</v>
      </c>
    </row>
    <row r="414" customFormat="false" ht="13.8" hidden="false" customHeight="false" outlineLevel="0" collapsed="false">
      <c r="B414" s="2" t="n">
        <v>412</v>
      </c>
      <c r="C414" s="2" t="n">
        <v>0.163939066666667</v>
      </c>
      <c r="D414" s="2" t="n">
        <v>0</v>
      </c>
      <c r="E414" s="2" t="n">
        <v>0.07</v>
      </c>
    </row>
    <row r="415" customFormat="false" ht="13.8" hidden="false" customHeight="false" outlineLevel="0" collapsed="false">
      <c r="B415" s="2" t="n">
        <v>413</v>
      </c>
      <c r="C415" s="2" t="n">
        <v>0.3156074</v>
      </c>
      <c r="D415" s="2" t="n">
        <v>0</v>
      </c>
      <c r="E415" s="2" t="n">
        <v>0.07</v>
      </c>
    </row>
    <row r="416" customFormat="false" ht="13.8" hidden="false" customHeight="false" outlineLevel="0" collapsed="false">
      <c r="B416" s="2" t="n">
        <v>414</v>
      </c>
      <c r="C416" s="2" t="n">
        <v>0.1314082</v>
      </c>
      <c r="D416" s="2" t="n">
        <v>0</v>
      </c>
      <c r="E416" s="2" t="n">
        <v>0.07</v>
      </c>
    </row>
    <row r="417" customFormat="false" ht="13.8" hidden="false" customHeight="false" outlineLevel="0" collapsed="false">
      <c r="B417" s="2" t="n">
        <v>415</v>
      </c>
      <c r="C417" s="2" t="n">
        <v>0.3553376</v>
      </c>
      <c r="D417" s="2" t="n">
        <v>0</v>
      </c>
      <c r="E417" s="2" t="n">
        <v>0.07</v>
      </c>
    </row>
    <row r="418" customFormat="false" ht="13.8" hidden="false" customHeight="false" outlineLevel="0" collapsed="false">
      <c r="B418" s="2" t="n">
        <v>416</v>
      </c>
      <c r="C418" s="2" t="n">
        <v>0.113672133333333</v>
      </c>
      <c r="D418" s="2" t="n">
        <v>0</v>
      </c>
      <c r="E418" s="2" t="n">
        <v>0.07</v>
      </c>
    </row>
    <row r="419" customFormat="false" ht="13.8" hidden="false" customHeight="false" outlineLevel="0" collapsed="false">
      <c r="B419" s="2" t="n">
        <v>417</v>
      </c>
      <c r="C419" s="2" t="n">
        <v>0.325340466666667</v>
      </c>
      <c r="D419" s="2" t="n">
        <v>0</v>
      </c>
      <c r="E419" s="2" t="n">
        <v>0.07</v>
      </c>
    </row>
    <row r="420" customFormat="false" ht="13.8" hidden="false" customHeight="false" outlineLevel="0" collapsed="false">
      <c r="B420" s="2" t="n">
        <v>418</v>
      </c>
      <c r="C420" s="2" t="n">
        <v>0.1970078</v>
      </c>
      <c r="D420" s="2" t="n">
        <v>0</v>
      </c>
      <c r="E420" s="2" t="n">
        <v>0.07</v>
      </c>
    </row>
    <row r="421" customFormat="false" ht="13.8" hidden="false" customHeight="false" outlineLevel="0" collapsed="false">
      <c r="B421" s="2" t="n">
        <v>419</v>
      </c>
      <c r="C421" s="2" t="n">
        <v>0.205475733333333</v>
      </c>
      <c r="D421" s="2" t="n">
        <v>0</v>
      </c>
      <c r="E421" s="2" t="n">
        <v>0.07</v>
      </c>
    </row>
    <row r="422" customFormat="false" ht="13.8" hidden="false" customHeight="false" outlineLevel="0" collapsed="false">
      <c r="B422" s="2" t="n">
        <v>420</v>
      </c>
      <c r="C422" s="2" t="n">
        <v>0.381474733333333</v>
      </c>
      <c r="D422" s="2" t="n">
        <v>0</v>
      </c>
      <c r="E422" s="2" t="n">
        <v>0.07</v>
      </c>
    </row>
    <row r="423" customFormat="false" ht="13.8" hidden="false" customHeight="false" outlineLevel="0" collapsed="false">
      <c r="B423" s="2" t="n">
        <v>421</v>
      </c>
      <c r="C423" s="2" t="n">
        <v>0.0803418666666667</v>
      </c>
      <c r="D423" s="2" t="n">
        <v>0</v>
      </c>
      <c r="E423" s="2" t="n">
        <v>0.07</v>
      </c>
    </row>
    <row r="424" customFormat="false" ht="13.8" hidden="false" customHeight="false" outlineLevel="0" collapsed="false">
      <c r="B424" s="2" t="n">
        <v>422</v>
      </c>
      <c r="C424" s="2" t="n">
        <v>0.317541266666667</v>
      </c>
      <c r="D424" s="2" t="n">
        <v>0</v>
      </c>
      <c r="E424" s="2" t="n">
        <v>0.07</v>
      </c>
    </row>
    <row r="425" customFormat="false" ht="13.8" hidden="false" customHeight="false" outlineLevel="0" collapsed="false">
      <c r="B425" s="2" t="n">
        <v>423</v>
      </c>
      <c r="C425" s="2" t="n">
        <v>0.252206933333333</v>
      </c>
      <c r="D425" s="2" t="n">
        <v>0</v>
      </c>
      <c r="E425" s="2" t="n">
        <v>0.07</v>
      </c>
    </row>
    <row r="426" customFormat="false" ht="13.8" hidden="false" customHeight="false" outlineLevel="0" collapsed="false">
      <c r="B426" s="2" t="n">
        <v>424</v>
      </c>
      <c r="C426" s="2" t="n">
        <v>0.329007666666667</v>
      </c>
      <c r="D426" s="2" t="n">
        <v>0</v>
      </c>
      <c r="E426" s="2" t="n">
        <v>0.07</v>
      </c>
    </row>
    <row r="427" customFormat="false" ht="13.8" hidden="false" customHeight="false" outlineLevel="0" collapsed="false">
      <c r="B427" s="2" t="n">
        <v>425</v>
      </c>
      <c r="C427" s="2" t="n">
        <v>0.235008266666667</v>
      </c>
      <c r="D427" s="2" t="n">
        <v>0</v>
      </c>
      <c r="E427" s="2" t="n">
        <v>0.07</v>
      </c>
    </row>
    <row r="428" customFormat="false" ht="13.8" hidden="false" customHeight="false" outlineLevel="0" collapsed="false">
      <c r="B428" s="2" t="n">
        <v>426</v>
      </c>
      <c r="C428" s="2" t="n">
        <v>0.109009</v>
      </c>
      <c r="D428" s="2" t="n">
        <v>0</v>
      </c>
      <c r="E428" s="2" t="n">
        <v>0.0040002</v>
      </c>
    </row>
    <row r="429" customFormat="false" ht="13.8" hidden="false" customHeight="false" outlineLevel="0" collapsed="false">
      <c r="B429" s="2" t="n">
        <v>427</v>
      </c>
      <c r="C429" s="2" t="n">
        <v>0.347674333333333</v>
      </c>
      <c r="D429" s="2" t="n">
        <v>0</v>
      </c>
      <c r="E429" s="2" t="n">
        <v>0.135</v>
      </c>
    </row>
    <row r="430" customFormat="false" ht="13.8" hidden="false" customHeight="false" outlineLevel="0" collapsed="false">
      <c r="B430" s="2" t="n">
        <v>428</v>
      </c>
      <c r="C430" s="2" t="n">
        <v>0.192005666666667</v>
      </c>
      <c r="D430" s="2" t="n">
        <v>0</v>
      </c>
      <c r="E430" s="2" t="n">
        <v>0.135</v>
      </c>
    </row>
    <row r="431" customFormat="false" ht="13.8" hidden="false" customHeight="false" outlineLevel="0" collapsed="false">
      <c r="B431" s="2" t="n">
        <v>429</v>
      </c>
      <c r="C431" s="2" t="n">
        <v>0.353870933333333</v>
      </c>
      <c r="D431" s="2" t="n">
        <v>0</v>
      </c>
      <c r="E431" s="2" t="n">
        <v>0.135</v>
      </c>
    </row>
    <row r="432" customFormat="false" ht="13.8" hidden="false" customHeight="false" outlineLevel="0" collapsed="false">
      <c r="B432" s="2" t="n">
        <v>430</v>
      </c>
      <c r="C432" s="2" t="n">
        <v>0.199471133333333</v>
      </c>
      <c r="D432" s="2" t="n">
        <v>0</v>
      </c>
      <c r="E432" s="2" t="n">
        <v>0.135</v>
      </c>
    </row>
    <row r="433" customFormat="false" ht="13.8" hidden="false" customHeight="false" outlineLevel="0" collapsed="false">
      <c r="B433" s="2" t="n">
        <v>431</v>
      </c>
      <c r="C433" s="2" t="n">
        <v>0.3480038</v>
      </c>
      <c r="D433" s="2" t="n">
        <v>0</v>
      </c>
      <c r="E433" s="2" t="n">
        <v>0.000667533333333333</v>
      </c>
    </row>
    <row r="434" customFormat="false" ht="13.8" hidden="false" customHeight="false" outlineLevel="0" collapsed="false">
      <c r="B434" s="2" t="n">
        <v>432</v>
      </c>
      <c r="C434" s="2" t="n">
        <v>0.193004</v>
      </c>
      <c r="D434" s="2" t="n">
        <v>0</v>
      </c>
      <c r="E434" s="2" t="n">
        <v>0.0010008</v>
      </c>
    </row>
    <row r="435" customFormat="false" ht="13.8" hidden="false" customHeight="false" outlineLevel="0" collapsed="false">
      <c r="B435" s="2" t="n">
        <v>433</v>
      </c>
      <c r="C435" s="2" t="n">
        <v>0.250472466666667</v>
      </c>
      <c r="D435" s="2" t="n">
        <v>0</v>
      </c>
      <c r="E435" s="2" t="n">
        <v>0.109</v>
      </c>
    </row>
    <row r="436" customFormat="false" ht="13.8" hidden="false" customHeight="false" outlineLevel="0" collapsed="false">
      <c r="B436" s="2" t="n">
        <v>434</v>
      </c>
      <c r="C436" s="2" t="n">
        <v>0.281006666666667</v>
      </c>
      <c r="D436" s="2" t="n">
        <v>0</v>
      </c>
      <c r="E436" s="2" t="n">
        <v>0.161</v>
      </c>
    </row>
    <row r="437" customFormat="false" ht="13.8" hidden="false" customHeight="false" outlineLevel="0" collapsed="false">
      <c r="B437" s="2" t="n">
        <v>435</v>
      </c>
      <c r="C437" s="2" t="n">
        <v>0.300808333333333</v>
      </c>
      <c r="D437" s="2" t="n">
        <v>0</v>
      </c>
      <c r="E437" s="2" t="n">
        <v>0.109</v>
      </c>
    </row>
    <row r="438" customFormat="false" ht="13.8" hidden="false" customHeight="false" outlineLevel="0" collapsed="false">
      <c r="B438" s="2" t="n">
        <v>436</v>
      </c>
      <c r="C438" s="2" t="n">
        <v>0.244009</v>
      </c>
      <c r="D438" s="2" t="n">
        <v>0</v>
      </c>
      <c r="E438" s="2" t="n">
        <v>0.161</v>
      </c>
    </row>
    <row r="439" customFormat="false" ht="13.8" hidden="false" customHeight="false" outlineLevel="0" collapsed="false">
      <c r="B439" s="2" t="n">
        <v>437</v>
      </c>
      <c r="C439" s="2" t="n">
        <v>0.296009</v>
      </c>
      <c r="D439" s="2" t="n">
        <v>0</v>
      </c>
      <c r="E439" s="2" t="n">
        <v>0.109</v>
      </c>
    </row>
    <row r="440" customFormat="false" ht="13.8" hidden="false" customHeight="false" outlineLevel="0" collapsed="false">
      <c r="B440" s="2" t="n">
        <v>438</v>
      </c>
      <c r="C440" s="2" t="n">
        <v>0.2466752</v>
      </c>
      <c r="D440" s="2" t="n">
        <v>0</v>
      </c>
      <c r="E440" s="2" t="n">
        <v>0.0140008</v>
      </c>
    </row>
    <row r="441" customFormat="false" ht="13.8" hidden="false" customHeight="false" outlineLevel="0" collapsed="false">
      <c r="B441" s="2" t="n">
        <v>439</v>
      </c>
      <c r="C441" s="2" t="n">
        <v>0.302404466666667</v>
      </c>
      <c r="D441" s="2" t="n">
        <v>0</v>
      </c>
      <c r="E441" s="2" t="n">
        <v>0.096</v>
      </c>
    </row>
    <row r="442" customFormat="false" ht="13.8" hidden="false" customHeight="false" outlineLevel="0" collapsed="false">
      <c r="B442" s="2" t="n">
        <v>440</v>
      </c>
      <c r="C442" s="2" t="n">
        <v>0.2440048</v>
      </c>
      <c r="D442" s="2" t="n">
        <v>0</v>
      </c>
      <c r="E442" s="2" t="n">
        <v>0.173666733333333</v>
      </c>
    </row>
    <row r="443" customFormat="false" ht="13.8" hidden="false" customHeight="false" outlineLevel="0" collapsed="false">
      <c r="B443" s="2" t="n">
        <v>441</v>
      </c>
      <c r="C443" s="2" t="n">
        <v>0.303003533333333</v>
      </c>
      <c r="D443" s="2" t="n">
        <v>0</v>
      </c>
      <c r="E443" s="2" t="n">
        <v>0.07</v>
      </c>
    </row>
    <row r="444" customFormat="false" ht="13.8" hidden="false" customHeight="false" outlineLevel="0" collapsed="false">
      <c r="B444" s="2" t="n">
        <v>442</v>
      </c>
      <c r="C444" s="2" t="n">
        <v>0.251070133333333</v>
      </c>
      <c r="D444" s="2" t="n">
        <v>0</v>
      </c>
      <c r="E444" s="2" t="n">
        <v>0.2</v>
      </c>
    </row>
    <row r="445" customFormat="false" ht="13.8" hidden="false" customHeight="false" outlineLevel="0" collapsed="false">
      <c r="B445" s="2" t="n">
        <v>443</v>
      </c>
      <c r="C445" s="2" t="n">
        <v>0.269269866666667</v>
      </c>
      <c r="D445" s="2" t="n">
        <v>0</v>
      </c>
      <c r="E445" s="2" t="n">
        <v>0.00233386666666667</v>
      </c>
    </row>
    <row r="446" customFormat="false" ht="13.8" hidden="false" customHeight="false" outlineLevel="0" collapsed="false">
      <c r="B446" s="2" t="n">
        <v>444</v>
      </c>
      <c r="C446" s="2" t="n">
        <v>0.162335866666667</v>
      </c>
      <c r="D446" s="2" t="n">
        <v>0</v>
      </c>
      <c r="E446" s="2" t="n">
        <v>0.0433334666666667</v>
      </c>
    </row>
    <row r="447" customFormat="false" ht="13.8" hidden="false" customHeight="false" outlineLevel="0" collapsed="false">
      <c r="B447" s="2" t="n">
        <v>445</v>
      </c>
      <c r="C447" s="2" t="n">
        <v>0.362667333333333</v>
      </c>
      <c r="D447" s="2" t="n">
        <v>0</v>
      </c>
      <c r="E447" s="2" t="n">
        <v>0.2</v>
      </c>
    </row>
    <row r="448" customFormat="false" ht="13.8" hidden="false" customHeight="false" outlineLevel="0" collapsed="false">
      <c r="B448" s="2" t="n">
        <v>446</v>
      </c>
      <c r="C448" s="2" t="n">
        <v>0.179001</v>
      </c>
      <c r="D448" s="2" t="n">
        <v>0</v>
      </c>
      <c r="E448" s="2" t="n">
        <v>0.07</v>
      </c>
    </row>
    <row r="449" customFormat="false" ht="13.8" hidden="false" customHeight="false" outlineLevel="0" collapsed="false">
      <c r="B449" s="2" t="n">
        <v>447</v>
      </c>
      <c r="C449" s="2" t="n">
        <v>0.364333666666667</v>
      </c>
      <c r="D449" s="2" t="n">
        <v>0</v>
      </c>
      <c r="E449" s="2" t="n">
        <v>0.2</v>
      </c>
    </row>
    <row r="450" customFormat="false" ht="13.8" hidden="false" customHeight="false" outlineLevel="0" collapsed="false">
      <c r="B450" s="2" t="n">
        <v>448</v>
      </c>
      <c r="C450" s="2" t="n">
        <v>0.128334066666667</v>
      </c>
      <c r="D450" s="2" t="n">
        <v>0</v>
      </c>
      <c r="E450" s="2" t="n">
        <v>0.07</v>
      </c>
    </row>
    <row r="451" customFormat="false" ht="13.8" hidden="false" customHeight="false" outlineLevel="0" collapsed="false">
      <c r="B451" s="2" t="n">
        <v>449</v>
      </c>
      <c r="C451" s="2" t="n">
        <v>0.3650002</v>
      </c>
      <c r="D451" s="2" t="n">
        <v>0</v>
      </c>
      <c r="E451" s="2" t="n">
        <v>0.2</v>
      </c>
    </row>
    <row r="452" customFormat="false" ht="13.8" hidden="false" customHeight="false" outlineLevel="0" collapsed="false">
      <c r="B452" s="2" t="n">
        <v>450</v>
      </c>
      <c r="C452" s="2" t="n">
        <v>0.209001266666667</v>
      </c>
      <c r="D452" s="2" t="n">
        <v>0</v>
      </c>
      <c r="E452" s="2" t="n">
        <v>0.07</v>
      </c>
    </row>
    <row r="453" customFormat="false" ht="13.8" hidden="false" customHeight="false" outlineLevel="0" collapsed="false">
      <c r="B453" s="2" t="n">
        <v>451</v>
      </c>
      <c r="C453" s="2" t="n">
        <v>0.4010012</v>
      </c>
      <c r="D453" s="2" t="n">
        <v>0</v>
      </c>
      <c r="E453" s="2" t="n">
        <v>0.2</v>
      </c>
    </row>
    <row r="454" customFormat="false" ht="13.8" hidden="false" customHeight="false" outlineLevel="0" collapsed="false">
      <c r="B454" s="2" t="n">
        <v>452</v>
      </c>
      <c r="C454" s="2" t="n">
        <v>0.179002</v>
      </c>
      <c r="D454" s="2" t="n">
        <v>0</v>
      </c>
      <c r="E454" s="2" t="n">
        <v>0.07</v>
      </c>
    </row>
    <row r="455" customFormat="false" ht="13.8" hidden="false" customHeight="false" outlineLevel="0" collapsed="false">
      <c r="B455" s="2" t="n">
        <v>453</v>
      </c>
      <c r="C455" s="2" t="n">
        <v>0.361002</v>
      </c>
      <c r="D455" s="2" t="n">
        <v>0</v>
      </c>
      <c r="E455" s="2" t="n">
        <v>0.200000266666667</v>
      </c>
    </row>
    <row r="456" customFormat="false" ht="13.8" hidden="false" customHeight="false" outlineLevel="0" collapsed="false">
      <c r="B456" s="2" t="n">
        <v>454</v>
      </c>
      <c r="C456" s="2" t="n">
        <v>0.188334866666667</v>
      </c>
      <c r="D456" s="2" t="n">
        <v>0</v>
      </c>
      <c r="E456" s="2" t="n">
        <v>0.0908002</v>
      </c>
    </row>
    <row r="457" customFormat="false" ht="13.8" hidden="false" customHeight="false" outlineLevel="0" collapsed="false">
      <c r="B457" s="2" t="n">
        <v>455</v>
      </c>
      <c r="C457" s="2" t="n">
        <v>0.354335</v>
      </c>
      <c r="D457" s="2" t="n">
        <v>0</v>
      </c>
      <c r="E457" s="2" t="n">
        <v>0.2520002</v>
      </c>
    </row>
    <row r="458" customFormat="false" ht="13.8" hidden="false" customHeight="false" outlineLevel="0" collapsed="false">
      <c r="B458" s="2" t="n">
        <v>456</v>
      </c>
      <c r="C458" s="2" t="n">
        <v>0.193803133333333</v>
      </c>
      <c r="D458" s="2" t="n">
        <v>0</v>
      </c>
      <c r="E458" s="2" t="n">
        <v>0.0700004666666667</v>
      </c>
    </row>
    <row r="459" customFormat="false" ht="13.8" hidden="false" customHeight="false" outlineLevel="0" collapsed="false">
      <c r="B459" s="2" t="n">
        <v>457</v>
      </c>
      <c r="C459" s="2" t="n">
        <v>0.235006066666667</v>
      </c>
      <c r="D459" s="2" t="n">
        <v>0.32</v>
      </c>
      <c r="E459" s="2" t="n">
        <v>0.2</v>
      </c>
    </row>
    <row r="460" customFormat="false" ht="13.8" hidden="false" customHeight="false" outlineLevel="0" collapsed="false">
      <c r="B460" s="2" t="n">
        <v>458</v>
      </c>
      <c r="C460" s="2" t="n">
        <v>0.197942</v>
      </c>
      <c r="D460" s="2" t="n">
        <v>0.4</v>
      </c>
      <c r="E460" s="2" t="n">
        <v>0.07</v>
      </c>
    </row>
    <row r="461" customFormat="false" ht="13.8" hidden="false" customHeight="false" outlineLevel="0" collapsed="false">
      <c r="B461" s="2" t="n">
        <v>459</v>
      </c>
      <c r="C461" s="2" t="n">
        <v>0.316074733333333</v>
      </c>
      <c r="D461" s="2" t="n">
        <v>0.4</v>
      </c>
      <c r="E461" s="2" t="n">
        <v>0.2</v>
      </c>
    </row>
    <row r="462" customFormat="false" ht="13.8" hidden="false" customHeight="false" outlineLevel="0" collapsed="false">
      <c r="B462" s="2" t="n">
        <v>460</v>
      </c>
      <c r="C462" s="2" t="n">
        <v>0.2840106</v>
      </c>
      <c r="D462" s="2" t="n">
        <v>0.4</v>
      </c>
      <c r="E462" s="2" t="n">
        <v>0.07</v>
      </c>
    </row>
    <row r="463" customFormat="false" ht="13.8" hidden="false" customHeight="false" outlineLevel="0" collapsed="false">
      <c r="B463" s="2" t="n">
        <v>461</v>
      </c>
      <c r="C463" s="2" t="n">
        <v>0.344210133333333</v>
      </c>
      <c r="D463" s="2" t="n">
        <v>0.4</v>
      </c>
      <c r="E463" s="2" t="n">
        <v>0.2</v>
      </c>
    </row>
    <row r="464" customFormat="false" ht="13.8" hidden="false" customHeight="false" outlineLevel="0" collapsed="false">
      <c r="B464" s="2" t="n">
        <v>462</v>
      </c>
      <c r="C464" s="2" t="n">
        <v>0.284479533333333</v>
      </c>
      <c r="D464" s="2" t="n">
        <v>0.4</v>
      </c>
      <c r="E464" s="2" t="n">
        <v>0.07</v>
      </c>
    </row>
    <row r="465" customFormat="false" ht="13.8" hidden="false" customHeight="false" outlineLevel="0" collapsed="false">
      <c r="B465" s="2" t="n">
        <v>463</v>
      </c>
      <c r="C465" s="2" t="n">
        <v>0.4180786</v>
      </c>
      <c r="D465" s="2" t="n">
        <v>0.4</v>
      </c>
      <c r="E465" s="2" t="n">
        <v>0.2</v>
      </c>
    </row>
    <row r="466" customFormat="false" ht="13.8" hidden="false" customHeight="false" outlineLevel="0" collapsed="false">
      <c r="B466" s="2" t="n">
        <v>464</v>
      </c>
      <c r="C466" s="2" t="n">
        <v>0.410611533333333</v>
      </c>
      <c r="D466" s="2" t="n">
        <v>0.4</v>
      </c>
      <c r="E466" s="2" t="n">
        <v>0.07</v>
      </c>
    </row>
    <row r="467" customFormat="false" ht="13.8" hidden="false" customHeight="false" outlineLevel="0" collapsed="false">
      <c r="B467" s="2" t="n">
        <v>465</v>
      </c>
      <c r="C467" s="2" t="n">
        <v>0.4696804</v>
      </c>
      <c r="D467" s="2" t="n">
        <v>0.4</v>
      </c>
      <c r="E467" s="2" t="n">
        <v>0.2</v>
      </c>
    </row>
    <row r="468" customFormat="false" ht="13.8" hidden="false" customHeight="false" outlineLevel="0" collapsed="false">
      <c r="B468" s="2" t="n">
        <v>466</v>
      </c>
      <c r="C468" s="2" t="n">
        <v>0.309616733333333</v>
      </c>
      <c r="D468" s="2" t="n">
        <v>0.4</v>
      </c>
      <c r="E468" s="2" t="n">
        <v>0.0276673333333333</v>
      </c>
    </row>
    <row r="469" customFormat="false" ht="13.8" hidden="false" customHeight="false" outlineLevel="0" collapsed="false">
      <c r="B469" s="2" t="n">
        <v>467</v>
      </c>
      <c r="C469" s="2" t="n">
        <v>0.4038838</v>
      </c>
      <c r="D469" s="2" t="n">
        <v>0.4</v>
      </c>
      <c r="E469" s="2" t="n">
        <v>0.0266675333333333</v>
      </c>
    </row>
    <row r="470" customFormat="false" ht="13.8" hidden="false" customHeight="false" outlineLevel="0" collapsed="false">
      <c r="B470" s="2" t="n">
        <v>468</v>
      </c>
      <c r="C470" s="2" t="n">
        <v>0.3110816</v>
      </c>
      <c r="D470" s="2" t="n">
        <v>0.4</v>
      </c>
      <c r="E470" s="2" t="n">
        <v>0.109</v>
      </c>
    </row>
    <row r="471" customFormat="false" ht="13.8" hidden="false" customHeight="false" outlineLevel="0" collapsed="false">
      <c r="B471" s="2" t="n">
        <v>469</v>
      </c>
      <c r="C471" s="2" t="n">
        <v>0.3575508</v>
      </c>
      <c r="D471" s="2" t="n">
        <v>0.4</v>
      </c>
      <c r="E471" s="2" t="n">
        <v>0.031</v>
      </c>
    </row>
    <row r="472" customFormat="false" ht="13.8" hidden="false" customHeight="false" outlineLevel="0" collapsed="false">
      <c r="B472" s="2" t="n">
        <v>470</v>
      </c>
      <c r="C472" s="2" t="n">
        <v>0.3988148</v>
      </c>
      <c r="D472" s="2" t="n">
        <v>0.4</v>
      </c>
      <c r="E472" s="2" t="n">
        <v>0.109</v>
      </c>
    </row>
    <row r="473" customFormat="false" ht="13.8" hidden="false" customHeight="false" outlineLevel="0" collapsed="false">
      <c r="B473" s="2" t="n">
        <v>471</v>
      </c>
      <c r="C473" s="2" t="n">
        <v>0.251016533333333</v>
      </c>
      <c r="D473" s="2" t="n">
        <v>0.4</v>
      </c>
      <c r="E473" s="2" t="n">
        <v>0.031</v>
      </c>
    </row>
    <row r="474" customFormat="false" ht="13.8" hidden="false" customHeight="false" outlineLevel="0" collapsed="false">
      <c r="B474" s="2" t="n">
        <v>472</v>
      </c>
      <c r="C474" s="2" t="n">
        <v>0.3660162</v>
      </c>
      <c r="D474" s="2" t="n">
        <v>0.4</v>
      </c>
      <c r="E474" s="2" t="n">
        <v>0.109</v>
      </c>
    </row>
    <row r="475" customFormat="false" ht="13.8" hidden="false" customHeight="false" outlineLevel="0" collapsed="false">
      <c r="B475" s="2" t="n">
        <v>473</v>
      </c>
      <c r="C475" s="2" t="n">
        <v>0.264415266666667</v>
      </c>
      <c r="D475" s="2" t="n">
        <v>0.4</v>
      </c>
      <c r="E475" s="2" t="n">
        <v>0.031</v>
      </c>
    </row>
    <row r="476" customFormat="false" ht="13.8" hidden="false" customHeight="false" outlineLevel="0" collapsed="false">
      <c r="B476" s="2" t="n">
        <v>474</v>
      </c>
      <c r="C476" s="2" t="n">
        <v>0.368682066666667</v>
      </c>
      <c r="D476" s="2" t="n">
        <v>0.4</v>
      </c>
      <c r="E476" s="2" t="n">
        <v>0.109</v>
      </c>
    </row>
    <row r="477" customFormat="false" ht="13.8" hidden="false" customHeight="false" outlineLevel="0" collapsed="false">
      <c r="B477" s="2" t="n">
        <v>475</v>
      </c>
      <c r="C477" s="2" t="n">
        <v>0.217681466666667</v>
      </c>
      <c r="D477" s="2" t="n">
        <v>0.4</v>
      </c>
      <c r="E477" s="2" t="n">
        <v>0.0176667333333333</v>
      </c>
    </row>
    <row r="478" customFormat="false" ht="13.8" hidden="false" customHeight="false" outlineLevel="0" collapsed="false">
      <c r="B478" s="2" t="n">
        <v>476</v>
      </c>
      <c r="C478" s="2" t="n">
        <v>0.222816733333333</v>
      </c>
      <c r="D478" s="2" t="n">
        <v>0.4</v>
      </c>
      <c r="E478" s="2" t="n">
        <v>1E-006</v>
      </c>
    </row>
    <row r="479" customFormat="false" ht="13.8" hidden="false" customHeight="false" outlineLevel="0" collapsed="false">
      <c r="B479" s="2" t="n">
        <v>477</v>
      </c>
      <c r="C479" s="2" t="n">
        <v>0.1213446</v>
      </c>
      <c r="D479" s="2" t="n">
        <v>0.4</v>
      </c>
      <c r="E479" s="2" t="n">
        <v>0.133666933333333</v>
      </c>
    </row>
    <row r="480" customFormat="false" ht="13.8" hidden="false" customHeight="false" outlineLevel="0" collapsed="false">
      <c r="B480" s="2" t="n">
        <v>478</v>
      </c>
      <c r="C480" s="2" t="n">
        <v>0.212876466666667</v>
      </c>
      <c r="D480" s="2" t="n">
        <v>0.4</v>
      </c>
      <c r="E480" s="2" t="n">
        <v>0.005</v>
      </c>
    </row>
    <row r="481" customFormat="false" ht="13.8" hidden="false" customHeight="false" outlineLevel="0" collapsed="false">
      <c r="B481" s="2" t="n">
        <v>479</v>
      </c>
      <c r="C481" s="2" t="n">
        <v>0.181276066666667</v>
      </c>
      <c r="D481" s="2" t="n">
        <v>0.4</v>
      </c>
      <c r="E481" s="2" t="n">
        <v>0.135</v>
      </c>
    </row>
    <row r="482" customFormat="false" ht="13.8" hidden="false" customHeight="false" outlineLevel="0" collapsed="false">
      <c r="B482" s="2" t="n">
        <v>480</v>
      </c>
      <c r="C482" s="2" t="n">
        <v>0.06048</v>
      </c>
      <c r="D482" s="2" t="n">
        <v>0.4</v>
      </c>
      <c r="E482" s="2" t="n">
        <v>0.0040002</v>
      </c>
    </row>
    <row r="483" customFormat="false" ht="13.8" hidden="false" customHeight="false" outlineLevel="0" collapsed="false">
      <c r="B483" s="2" t="n">
        <v>481</v>
      </c>
      <c r="C483" s="2" t="n">
        <v>0.0340778</v>
      </c>
      <c r="D483" s="2" t="n">
        <v>0.266666666666667</v>
      </c>
      <c r="E483" s="2" t="n">
        <v>1E-006</v>
      </c>
    </row>
    <row r="484" customFormat="false" ht="13.8" hidden="false" customHeight="false" outlineLevel="0" collapsed="false">
      <c r="B484" s="2" t="n">
        <v>482</v>
      </c>
      <c r="C484" s="2" t="n">
        <v>0.153077266666667</v>
      </c>
      <c r="D484" s="2" t="n">
        <v>0.4</v>
      </c>
      <c r="E484" s="2" t="n">
        <v>0.00333366666666667</v>
      </c>
    </row>
    <row r="485" customFormat="false" ht="13.8" hidden="false" customHeight="false" outlineLevel="0" collapsed="false">
      <c r="B485" s="2" t="n">
        <v>483</v>
      </c>
      <c r="C485" s="2" t="n">
        <v>0.2802726</v>
      </c>
      <c r="D485" s="2" t="n">
        <v>0.4</v>
      </c>
      <c r="E485" s="2" t="n">
        <v>0.07</v>
      </c>
    </row>
    <row r="486" customFormat="false" ht="13.8" hidden="false" customHeight="false" outlineLevel="0" collapsed="false">
      <c r="B486" s="2" t="n">
        <v>484</v>
      </c>
      <c r="C486" s="2" t="n">
        <v>0.1638712</v>
      </c>
      <c r="D486" s="2" t="n">
        <v>0.4</v>
      </c>
      <c r="E486" s="2" t="n">
        <v>0.0696667333333333</v>
      </c>
    </row>
    <row r="487" customFormat="false" ht="13.8" hidden="false" customHeight="false" outlineLevel="0" collapsed="false">
      <c r="B487" s="2" t="n">
        <v>485</v>
      </c>
      <c r="C487" s="2" t="n">
        <v>0.2079348</v>
      </c>
      <c r="D487" s="2" t="n">
        <v>0.4</v>
      </c>
      <c r="E487" s="2" t="n">
        <v>0.057</v>
      </c>
    </row>
    <row r="488" customFormat="false" ht="13.8" hidden="false" customHeight="false" outlineLevel="0" collapsed="false">
      <c r="B488" s="2" t="n">
        <v>486</v>
      </c>
      <c r="C488" s="2" t="n">
        <v>0.0634012</v>
      </c>
      <c r="D488" s="2" t="n">
        <v>0.4</v>
      </c>
      <c r="E488" s="2" t="n">
        <v>0.083</v>
      </c>
    </row>
    <row r="489" customFormat="false" ht="13.8" hidden="false" customHeight="false" outlineLevel="0" collapsed="false">
      <c r="B489" s="2" t="n">
        <v>487</v>
      </c>
      <c r="C489" s="2" t="n">
        <v>0.0840020666666667</v>
      </c>
      <c r="D489" s="2" t="n">
        <v>0.4</v>
      </c>
      <c r="E489" s="2" t="n">
        <v>0.057</v>
      </c>
    </row>
    <row r="490" customFormat="false" ht="13.8" hidden="false" customHeight="false" outlineLevel="0" collapsed="false">
      <c r="B490" s="2" t="n">
        <v>488</v>
      </c>
      <c r="C490" s="2" t="n">
        <v>0.0494002</v>
      </c>
      <c r="D490" s="2" t="n">
        <v>0.4</v>
      </c>
      <c r="E490" s="2" t="n">
        <v>0.083</v>
      </c>
    </row>
    <row r="491" customFormat="false" ht="13.8" hidden="false" customHeight="false" outlineLevel="0" collapsed="false">
      <c r="B491" s="2" t="n">
        <v>489</v>
      </c>
      <c r="C491" s="2" t="n">
        <v>0.3761334</v>
      </c>
      <c r="D491" s="2" t="n">
        <v>0.4</v>
      </c>
      <c r="E491" s="2" t="n">
        <v>0.057</v>
      </c>
    </row>
    <row r="492" customFormat="false" ht="13.8" hidden="false" customHeight="false" outlineLevel="0" collapsed="false">
      <c r="B492" s="2" t="n">
        <v>490</v>
      </c>
      <c r="C492" s="2" t="n">
        <v>0.0479334666666667</v>
      </c>
      <c r="D492" s="2" t="n">
        <v>0.4</v>
      </c>
      <c r="E492" s="2" t="n">
        <v>0.083</v>
      </c>
    </row>
    <row r="493" customFormat="false" ht="13.8" hidden="false" customHeight="false" outlineLevel="0" collapsed="false">
      <c r="B493" s="2" t="n">
        <v>491</v>
      </c>
      <c r="C493" s="2" t="n">
        <v>0.3594668</v>
      </c>
      <c r="D493" s="2" t="n">
        <v>0.4</v>
      </c>
      <c r="E493" s="2" t="n">
        <v>0.057</v>
      </c>
    </row>
    <row r="494" customFormat="false" ht="13.8" hidden="false" customHeight="false" outlineLevel="0" collapsed="false">
      <c r="B494" s="2" t="n">
        <v>492</v>
      </c>
      <c r="C494" s="2" t="n">
        <v>0.0564006666666667</v>
      </c>
      <c r="D494" s="2" t="n">
        <v>0.4</v>
      </c>
      <c r="E494" s="2" t="n">
        <v>0.083</v>
      </c>
    </row>
    <row r="495" customFormat="false" ht="13.8" hidden="false" customHeight="false" outlineLevel="0" collapsed="false">
      <c r="B495" s="2" t="n">
        <v>493</v>
      </c>
      <c r="C495" s="2" t="n">
        <v>0.403467333333333</v>
      </c>
      <c r="D495" s="2" t="n">
        <v>0.4</v>
      </c>
      <c r="E495" s="2" t="n">
        <v>0.057</v>
      </c>
    </row>
    <row r="496" customFormat="false" ht="13.8" hidden="false" customHeight="false" outlineLevel="0" collapsed="false">
      <c r="B496" s="2" t="n">
        <v>494</v>
      </c>
      <c r="C496" s="2" t="n">
        <v>0.172733933333333</v>
      </c>
      <c r="D496" s="2" t="n">
        <v>0.4</v>
      </c>
      <c r="E496" s="2" t="n">
        <v>0.083</v>
      </c>
    </row>
    <row r="497" customFormat="false" ht="13.8" hidden="false" customHeight="false" outlineLevel="0" collapsed="false">
      <c r="B497" s="2" t="n">
        <v>495</v>
      </c>
      <c r="C497" s="2" t="n">
        <v>0.414000333333333</v>
      </c>
      <c r="D497" s="2" t="n">
        <v>0.4</v>
      </c>
      <c r="E497" s="2" t="n">
        <v>0.057</v>
      </c>
    </row>
    <row r="498" customFormat="false" ht="13.8" hidden="false" customHeight="false" outlineLevel="0" collapsed="false">
      <c r="B498" s="2" t="n">
        <v>496</v>
      </c>
      <c r="C498" s="2" t="n">
        <v>0.152000933333333</v>
      </c>
      <c r="D498" s="2" t="n">
        <v>0.4</v>
      </c>
      <c r="E498" s="2" t="n">
        <v>0.083</v>
      </c>
    </row>
    <row r="499" customFormat="false" ht="13.8" hidden="false" customHeight="false" outlineLevel="0" collapsed="false">
      <c r="B499" s="2" t="n">
        <v>497</v>
      </c>
      <c r="C499" s="2" t="n">
        <v>0.395267133333333</v>
      </c>
      <c r="D499" s="2" t="n">
        <v>0.4</v>
      </c>
      <c r="E499" s="2" t="n">
        <v>0.057</v>
      </c>
    </row>
    <row r="500" customFormat="false" ht="13.8" hidden="false" customHeight="false" outlineLevel="0" collapsed="false">
      <c r="B500" s="2" t="n">
        <v>498</v>
      </c>
      <c r="C500" s="2" t="n">
        <v>0.127334066666667</v>
      </c>
      <c r="D500" s="2" t="n">
        <v>0.4</v>
      </c>
      <c r="E500" s="2" t="n">
        <v>0.083</v>
      </c>
    </row>
    <row r="501" customFormat="false" ht="13.8" hidden="false" customHeight="false" outlineLevel="0" collapsed="false">
      <c r="B501" s="2" t="n">
        <v>499</v>
      </c>
      <c r="C501" s="2" t="n">
        <v>0.3684668</v>
      </c>
      <c r="D501" s="2" t="n">
        <v>0.4</v>
      </c>
      <c r="E501" s="2" t="n">
        <v>0.057</v>
      </c>
    </row>
    <row r="502" customFormat="false" ht="13.8" hidden="false" customHeight="false" outlineLevel="0" collapsed="false">
      <c r="B502" s="2" t="n">
        <v>500</v>
      </c>
      <c r="C502" s="2" t="n">
        <v>0.122</v>
      </c>
      <c r="D502" s="2" t="n">
        <v>0.4</v>
      </c>
      <c r="E502" s="2" t="n">
        <v>0.083</v>
      </c>
    </row>
    <row r="503" customFormat="false" ht="13.8" hidden="false" customHeight="false" outlineLevel="0" collapsed="false">
      <c r="B503" s="2" t="n">
        <v>501</v>
      </c>
      <c r="C503" s="2" t="n">
        <v>0.368200533333333</v>
      </c>
      <c r="D503" s="2" t="n">
        <v>0.4</v>
      </c>
      <c r="E503" s="2" t="n">
        <v>0.057</v>
      </c>
    </row>
    <row r="504" customFormat="false" ht="13.8" hidden="false" customHeight="false" outlineLevel="0" collapsed="false">
      <c r="B504" s="2" t="n">
        <v>502</v>
      </c>
      <c r="C504" s="2" t="n">
        <v>0.1252002</v>
      </c>
      <c r="D504" s="2" t="n">
        <v>0.4</v>
      </c>
      <c r="E504" s="2" t="n">
        <v>0.083</v>
      </c>
    </row>
    <row r="505" customFormat="false" ht="13.8" hidden="false" customHeight="false" outlineLevel="0" collapsed="false">
      <c r="B505" s="2" t="n">
        <v>503</v>
      </c>
      <c r="C505" s="2" t="n">
        <v>0.3684674</v>
      </c>
      <c r="D505" s="2" t="n">
        <v>0.346666666666667</v>
      </c>
      <c r="E505" s="2" t="n">
        <v>0.00266713333333333</v>
      </c>
    </row>
    <row r="506" customFormat="false" ht="13.8" hidden="false" customHeight="false" outlineLevel="0" collapsed="false">
      <c r="B506" s="2" t="n">
        <v>504</v>
      </c>
      <c r="C506" s="2" t="n">
        <v>0.120400066666667</v>
      </c>
      <c r="D506" s="2" t="n">
        <v>0</v>
      </c>
      <c r="E506" s="2" t="n">
        <v>0.00133406666666667</v>
      </c>
    </row>
    <row r="507" customFormat="false" ht="13.8" hidden="false" customHeight="false" outlineLevel="0" collapsed="false">
      <c r="B507" s="2" t="n">
        <v>505</v>
      </c>
      <c r="C507" s="2" t="n">
        <v>0.365</v>
      </c>
      <c r="D507" s="2" t="n">
        <v>0</v>
      </c>
      <c r="E507" s="2" t="n">
        <v>0.005</v>
      </c>
    </row>
    <row r="508" customFormat="false" ht="13.8" hidden="false" customHeight="false" outlineLevel="0" collapsed="false">
      <c r="B508" s="2" t="n">
        <v>506</v>
      </c>
      <c r="C508" s="2" t="n">
        <v>0.116134</v>
      </c>
      <c r="D508" s="2" t="n">
        <v>0</v>
      </c>
      <c r="E508" s="2" t="n">
        <v>0.135</v>
      </c>
    </row>
    <row r="509" customFormat="false" ht="13.8" hidden="false" customHeight="false" outlineLevel="0" collapsed="false">
      <c r="B509" s="2" t="n">
        <v>507</v>
      </c>
      <c r="C509" s="2" t="n">
        <v>0.367935133333333</v>
      </c>
      <c r="D509" s="2" t="n">
        <v>0</v>
      </c>
      <c r="E509" s="2" t="n">
        <v>0.005</v>
      </c>
    </row>
    <row r="510" customFormat="false" ht="13.8" hidden="false" customHeight="false" outlineLevel="0" collapsed="false">
      <c r="B510" s="2" t="n">
        <v>508</v>
      </c>
      <c r="C510" s="2" t="n">
        <v>0.1220024</v>
      </c>
      <c r="D510" s="2" t="n">
        <v>0</v>
      </c>
      <c r="E510" s="2" t="n">
        <v>0.134666733333333</v>
      </c>
    </row>
    <row r="511" customFormat="false" ht="13.8" hidden="false" customHeight="false" outlineLevel="0" collapsed="false">
      <c r="B511" s="2" t="n">
        <v>509</v>
      </c>
      <c r="C511" s="2" t="n">
        <v>0.395403133333333</v>
      </c>
      <c r="D511" s="2" t="n">
        <v>0</v>
      </c>
      <c r="E511" s="2" t="n">
        <v>0.044</v>
      </c>
    </row>
    <row r="512" customFormat="false" ht="13.8" hidden="false" customHeight="false" outlineLevel="0" collapsed="false">
      <c r="B512" s="2" t="n">
        <v>510</v>
      </c>
      <c r="C512" s="2" t="n">
        <v>0.1678706</v>
      </c>
      <c r="D512" s="2" t="n">
        <v>0</v>
      </c>
      <c r="E512" s="2" t="n">
        <v>0.161</v>
      </c>
    </row>
    <row r="513" customFormat="false" ht="13.8" hidden="false" customHeight="false" outlineLevel="0" collapsed="false">
      <c r="B513" s="2" t="n">
        <v>511</v>
      </c>
      <c r="C513" s="2" t="n">
        <v>0.4014026</v>
      </c>
      <c r="D513" s="2" t="n">
        <v>0</v>
      </c>
      <c r="E513" s="2" t="n">
        <v>0.044</v>
      </c>
    </row>
    <row r="514" customFormat="false" ht="13.8" hidden="false" customHeight="false" outlineLevel="0" collapsed="false">
      <c r="B514" s="2" t="n">
        <v>512</v>
      </c>
      <c r="C514" s="2" t="n">
        <v>0.137534466666667</v>
      </c>
      <c r="D514" s="2" t="n">
        <v>0</v>
      </c>
      <c r="E514" s="2" t="n">
        <v>0.161001866666667</v>
      </c>
    </row>
    <row r="515" customFormat="false" ht="13.8" hidden="false" customHeight="false" outlineLevel="0" collapsed="false">
      <c r="B515" s="2" t="n">
        <v>513</v>
      </c>
      <c r="C515" s="2" t="n">
        <v>0.378669333333333</v>
      </c>
      <c r="D515" s="2" t="n">
        <v>0</v>
      </c>
      <c r="E515" s="2" t="n">
        <v>0.0452014</v>
      </c>
    </row>
    <row r="516" customFormat="false" ht="13.8" hidden="false" customHeight="false" outlineLevel="0" collapsed="false">
      <c r="B516" s="2" t="n">
        <v>514</v>
      </c>
      <c r="C516" s="2" t="n">
        <v>0.129003733333333</v>
      </c>
      <c r="D516" s="2" t="n">
        <v>0</v>
      </c>
      <c r="E516" s="2" t="n">
        <v>0.163001</v>
      </c>
    </row>
    <row r="517" customFormat="false" ht="13.8" hidden="false" customHeight="false" outlineLevel="0" collapsed="false">
      <c r="B517" s="2" t="n">
        <v>515</v>
      </c>
      <c r="C517" s="2" t="n">
        <v>0.369006333333333</v>
      </c>
      <c r="D517" s="2" t="n">
        <v>0</v>
      </c>
      <c r="E517" s="2" t="n">
        <v>0.046001</v>
      </c>
    </row>
    <row r="518" customFormat="false" ht="13.8" hidden="false" customHeight="false" outlineLevel="0" collapsed="false">
      <c r="B518" s="2" t="n">
        <v>516</v>
      </c>
      <c r="C518" s="2" t="n">
        <v>0.114008466666667</v>
      </c>
      <c r="D518" s="2" t="n">
        <v>0</v>
      </c>
      <c r="E518" s="2" t="n">
        <v>0.163001</v>
      </c>
    </row>
    <row r="519" customFormat="false" ht="13.8" hidden="false" customHeight="false" outlineLevel="0" collapsed="false">
      <c r="B519" s="2" t="n">
        <v>517</v>
      </c>
      <c r="C519" s="2" t="n">
        <v>0.179274133333333</v>
      </c>
      <c r="D519" s="2" t="n">
        <v>0</v>
      </c>
      <c r="E519" s="2" t="n">
        <v>0.046001</v>
      </c>
    </row>
    <row r="520" customFormat="false" ht="13.8" hidden="false" customHeight="false" outlineLevel="0" collapsed="false">
      <c r="B520" s="2" t="n">
        <v>518</v>
      </c>
      <c r="C520" s="2" t="n">
        <v>0.3186078</v>
      </c>
      <c r="D520" s="2" t="n">
        <v>0</v>
      </c>
      <c r="E520" s="2" t="n">
        <v>0.163001</v>
      </c>
    </row>
    <row r="521" customFormat="false" ht="13.8" hidden="false" customHeight="false" outlineLevel="0" collapsed="false">
      <c r="B521" s="2" t="n">
        <v>519</v>
      </c>
      <c r="C521" s="2" t="n">
        <v>0.235141866666667</v>
      </c>
      <c r="D521" s="2" t="n">
        <v>0</v>
      </c>
      <c r="E521" s="2" t="n">
        <v>0.046001</v>
      </c>
    </row>
    <row r="522" customFormat="false" ht="13.8" hidden="false" customHeight="false" outlineLevel="0" collapsed="false">
      <c r="B522" s="2" t="n">
        <v>520</v>
      </c>
      <c r="C522" s="2" t="n">
        <v>0.283009</v>
      </c>
      <c r="D522" s="2" t="n">
        <v>0</v>
      </c>
      <c r="E522" s="2" t="n">
        <v>0.163001</v>
      </c>
    </row>
    <row r="523" customFormat="false" ht="13.8" hidden="false" customHeight="false" outlineLevel="0" collapsed="false">
      <c r="B523" s="2" t="n">
        <v>521</v>
      </c>
      <c r="C523" s="2" t="n">
        <v>0.257008133333333</v>
      </c>
      <c r="D523" s="2" t="n">
        <v>0</v>
      </c>
      <c r="E523" s="2" t="n">
        <v>0.0652011333333333</v>
      </c>
    </row>
    <row r="524" customFormat="false" ht="13.8" hidden="false" customHeight="false" outlineLevel="0" collapsed="false">
      <c r="B524" s="2" t="n">
        <v>522</v>
      </c>
      <c r="C524" s="2" t="n">
        <v>0.283008</v>
      </c>
      <c r="D524" s="2" t="n">
        <v>0</v>
      </c>
      <c r="E524" s="2" t="n">
        <v>0.500001</v>
      </c>
    </row>
    <row r="525" customFormat="false" ht="13.8" hidden="false" customHeight="false" outlineLevel="0" collapsed="false">
      <c r="B525" s="2" t="n">
        <v>523</v>
      </c>
      <c r="C525" s="2" t="n">
        <v>0.2570072</v>
      </c>
      <c r="D525" s="2" t="n">
        <v>0</v>
      </c>
      <c r="E525" s="2" t="n">
        <v>0.0766686666666667</v>
      </c>
    </row>
    <row r="526" customFormat="false" ht="13.8" hidden="false" customHeight="false" outlineLevel="0" collapsed="false">
      <c r="B526" s="2" t="n">
        <v>524</v>
      </c>
      <c r="C526" s="2" t="n">
        <v>0.2920062</v>
      </c>
      <c r="D526" s="2" t="n">
        <v>0</v>
      </c>
      <c r="E526" s="2" t="n">
        <v>0.186668733333333</v>
      </c>
    </row>
    <row r="527" customFormat="false" ht="13.8" hidden="false" customHeight="false" outlineLevel="0" collapsed="false">
      <c r="B527" s="2" t="n">
        <v>525</v>
      </c>
      <c r="C527" s="2" t="n">
        <v>0.2720044</v>
      </c>
      <c r="D527" s="2" t="n">
        <v>0</v>
      </c>
      <c r="E527" s="2" t="n">
        <v>0.413001266666667</v>
      </c>
    </row>
    <row r="528" customFormat="false" ht="13.8" hidden="false" customHeight="false" outlineLevel="0" collapsed="false">
      <c r="B528" s="2" t="n">
        <v>526</v>
      </c>
      <c r="C528" s="2" t="n">
        <v>0.296004933333333</v>
      </c>
      <c r="D528" s="2" t="n">
        <v>0</v>
      </c>
      <c r="E528" s="2" t="n">
        <v>0.5470012</v>
      </c>
    </row>
    <row r="529" customFormat="false" ht="13.8" hidden="false" customHeight="false" outlineLevel="0" collapsed="false">
      <c r="B529" s="2" t="n">
        <v>527</v>
      </c>
      <c r="C529" s="2" t="n">
        <v>0.272005866666667</v>
      </c>
      <c r="D529" s="2" t="n">
        <v>0</v>
      </c>
      <c r="E529" s="2" t="n">
        <v>0.0820022</v>
      </c>
    </row>
    <row r="530" customFormat="false" ht="13.8" hidden="false" customHeight="false" outlineLevel="0" collapsed="false">
      <c r="B530" s="2" t="n">
        <v>528</v>
      </c>
      <c r="C530" s="2" t="n">
        <v>0.3180076</v>
      </c>
      <c r="D530" s="2" t="n">
        <v>0</v>
      </c>
      <c r="E530" s="2" t="n">
        <v>0.00106913333333333</v>
      </c>
    </row>
    <row r="531" customFormat="false" ht="13.8" hidden="false" customHeight="false" outlineLevel="0" collapsed="false">
      <c r="B531" s="2" t="n">
        <v>529</v>
      </c>
      <c r="C531" s="2" t="n">
        <v>0.271342666666667</v>
      </c>
      <c r="D531" s="2" t="n">
        <v>0</v>
      </c>
      <c r="E531" s="2" t="n">
        <v>0.107868333333333</v>
      </c>
    </row>
    <row r="532" customFormat="false" ht="13.8" hidden="false" customHeight="false" outlineLevel="0" collapsed="false">
      <c r="B532" s="2" t="n">
        <v>530</v>
      </c>
      <c r="C532" s="2" t="n">
        <v>0.141276133333333</v>
      </c>
      <c r="D532" s="2" t="n">
        <v>0</v>
      </c>
      <c r="E532" s="2" t="n">
        <v>0.2476668</v>
      </c>
    </row>
    <row r="533" customFormat="false" ht="13.8" hidden="false" customHeight="false" outlineLevel="0" collapsed="false">
      <c r="B533" s="2" t="n">
        <v>531</v>
      </c>
      <c r="C533" s="2" t="n">
        <v>0.3786082</v>
      </c>
      <c r="D533" s="2" t="n">
        <v>0</v>
      </c>
      <c r="E533" s="2" t="n">
        <v>0.315667133333333</v>
      </c>
    </row>
    <row r="534" customFormat="false" ht="13.8" hidden="false" customHeight="false" outlineLevel="0" collapsed="false">
      <c r="B534" s="2" t="n">
        <v>532</v>
      </c>
      <c r="C534" s="2" t="n">
        <v>0.1780088</v>
      </c>
      <c r="D534" s="2" t="n">
        <v>0</v>
      </c>
      <c r="E534" s="2" t="n">
        <v>0.400001</v>
      </c>
    </row>
    <row r="535" customFormat="false" ht="13.8" hidden="false" customHeight="false" outlineLevel="0" collapsed="false">
      <c r="B535" s="2" t="n">
        <v>533</v>
      </c>
      <c r="C535" s="2" t="n">
        <v>0.2820092</v>
      </c>
      <c r="D535" s="2" t="n">
        <v>0</v>
      </c>
      <c r="E535" s="2" t="n">
        <v>0.546666933333333</v>
      </c>
    </row>
    <row r="536" customFormat="false" ht="13.8" hidden="false" customHeight="false" outlineLevel="0" collapsed="false">
      <c r="B536" s="2" t="n">
        <v>534</v>
      </c>
      <c r="C536" s="2" t="n">
        <v>0.311008</v>
      </c>
      <c r="D536" s="2" t="n">
        <v>0</v>
      </c>
      <c r="E536" s="2" t="n">
        <v>0.522</v>
      </c>
    </row>
    <row r="537" customFormat="false" ht="13.8" hidden="false" customHeight="false" outlineLevel="0" collapsed="false">
      <c r="B537" s="2" t="n">
        <v>535</v>
      </c>
      <c r="C537" s="2" t="n">
        <v>0.0780078666666667</v>
      </c>
      <c r="D537" s="2" t="n">
        <v>0</v>
      </c>
      <c r="E537" s="2" t="n">
        <v>0.548</v>
      </c>
    </row>
    <row r="538" customFormat="false" ht="13.8" hidden="false" customHeight="false" outlineLevel="0" collapsed="false">
      <c r="B538" s="2" t="n">
        <v>536</v>
      </c>
      <c r="C538" s="2" t="n">
        <v>0.283005266666667</v>
      </c>
      <c r="D538" s="2" t="n">
        <v>0</v>
      </c>
      <c r="E538" s="2" t="n">
        <v>0.2020004</v>
      </c>
    </row>
    <row r="539" customFormat="false" ht="13.8" hidden="false" customHeight="false" outlineLevel="0" collapsed="false">
      <c r="B539" s="2" t="n">
        <v>537</v>
      </c>
      <c r="C539" s="2" t="n">
        <v>0.257538266666667</v>
      </c>
      <c r="D539" s="2" t="n">
        <v>0</v>
      </c>
      <c r="E539" s="2" t="n">
        <v>0.148000466666667</v>
      </c>
    </row>
    <row r="540" customFormat="false" ht="13.8" hidden="false" customHeight="false" outlineLevel="0" collapsed="false">
      <c r="B540" s="2" t="n">
        <v>538</v>
      </c>
      <c r="C540" s="2" t="n">
        <v>0.286737133333333</v>
      </c>
      <c r="D540" s="2" t="n">
        <v>0</v>
      </c>
      <c r="E540" s="2" t="n">
        <v>0.127866933333333</v>
      </c>
    </row>
    <row r="541" customFormat="false" ht="13.8" hidden="false" customHeight="false" outlineLevel="0" collapsed="false">
      <c r="B541" s="2" t="n">
        <v>539</v>
      </c>
      <c r="C541" s="2" t="n">
        <v>0.2570024</v>
      </c>
      <c r="D541" s="2" t="n">
        <v>0</v>
      </c>
      <c r="E541" s="2" t="n">
        <v>0.156</v>
      </c>
    </row>
    <row r="542" customFormat="false" ht="13.8" hidden="false" customHeight="false" outlineLevel="0" collapsed="false">
      <c r="B542" s="2" t="n">
        <v>540</v>
      </c>
      <c r="C542" s="2" t="n">
        <v>0.176334133333333</v>
      </c>
      <c r="D542" s="2" t="n">
        <v>0</v>
      </c>
      <c r="E542" s="2" t="n">
        <v>0.130000133333333</v>
      </c>
    </row>
    <row r="543" customFormat="false" ht="13.8" hidden="false" customHeight="false" outlineLevel="0" collapsed="false">
      <c r="B543" s="2" t="n">
        <v>541</v>
      </c>
      <c r="C543" s="2" t="n">
        <v>0.1230008</v>
      </c>
      <c r="D543" s="2" t="n">
        <v>0</v>
      </c>
      <c r="E543" s="2" t="n">
        <v>0.153867933333333</v>
      </c>
    </row>
    <row r="544" customFormat="false" ht="13.8" hidden="false" customHeight="false" outlineLevel="0" collapsed="false">
      <c r="B544" s="2" t="n">
        <v>542</v>
      </c>
      <c r="C544" s="2" t="n">
        <v>0.2570004</v>
      </c>
      <c r="D544" s="2" t="n">
        <v>0</v>
      </c>
      <c r="E544" s="2" t="n">
        <v>0.173335466666667</v>
      </c>
    </row>
    <row r="545" customFormat="false" ht="13.8" hidden="false" customHeight="false" outlineLevel="0" collapsed="false">
      <c r="B545" s="2" t="n">
        <v>543</v>
      </c>
      <c r="C545" s="2" t="n">
        <v>0.282334466666667</v>
      </c>
      <c r="D545" s="2" t="n">
        <v>0</v>
      </c>
      <c r="E545" s="2" t="n">
        <v>0.101201133333333</v>
      </c>
    </row>
    <row r="546" customFormat="false" ht="13.8" hidden="false" customHeight="false" outlineLevel="0" collapsed="false">
      <c r="B546" s="2" t="n">
        <v>544</v>
      </c>
      <c r="C546" s="2" t="n">
        <v>0.149668333333333</v>
      </c>
      <c r="D546" s="2" t="n">
        <v>0</v>
      </c>
      <c r="E546" s="2" t="n">
        <v>0.267334866666667</v>
      </c>
    </row>
    <row r="547" customFormat="false" ht="13.8" hidden="false" customHeight="false" outlineLevel="0" collapsed="false">
      <c r="B547" s="2" t="n">
        <v>545</v>
      </c>
      <c r="C547" s="2" t="n">
        <v>0.259667133333333</v>
      </c>
      <c r="D547" s="2" t="n">
        <v>0</v>
      </c>
      <c r="E547" s="2" t="n">
        <v>0.296001</v>
      </c>
    </row>
    <row r="548" customFormat="false" ht="13.8" hidden="false" customHeight="false" outlineLevel="0" collapsed="false">
      <c r="B548" s="2" t="n">
        <v>546</v>
      </c>
      <c r="C548" s="2" t="n">
        <v>0.288</v>
      </c>
      <c r="D548" s="2" t="n">
        <v>0</v>
      </c>
      <c r="E548" s="2" t="n">
        <v>0.374001</v>
      </c>
    </row>
    <row r="549" customFormat="false" ht="13.8" hidden="false" customHeight="false" outlineLevel="0" collapsed="false">
      <c r="B549" s="2" t="n">
        <v>547</v>
      </c>
      <c r="C549" s="2" t="n">
        <v>0.257334266666667</v>
      </c>
      <c r="D549" s="2" t="n">
        <v>0</v>
      </c>
      <c r="E549" s="2" t="n">
        <v>0.250002</v>
      </c>
    </row>
    <row r="550" customFormat="false" ht="13.8" hidden="false" customHeight="false" outlineLevel="0" collapsed="false">
      <c r="B550" s="2" t="n">
        <v>548</v>
      </c>
      <c r="C550" s="2" t="n">
        <v>0.287666733333333</v>
      </c>
      <c r="D550" s="2" t="n">
        <v>0</v>
      </c>
      <c r="E550" s="2" t="n">
        <v>0.6500012</v>
      </c>
    </row>
    <row r="551" customFormat="false" ht="13.8" hidden="false" customHeight="false" outlineLevel="0" collapsed="false">
      <c r="B551" s="2" t="n">
        <v>549</v>
      </c>
      <c r="C551" s="2" t="n">
        <v>0.2620002</v>
      </c>
      <c r="D551" s="2" t="n">
        <v>0</v>
      </c>
      <c r="E551" s="2" t="n">
        <v>0.5723344</v>
      </c>
    </row>
    <row r="552" customFormat="false" ht="13.8" hidden="false" customHeight="false" outlineLevel="0" collapsed="false">
      <c r="B552" s="2" t="n">
        <v>550</v>
      </c>
      <c r="C552" s="2" t="n">
        <v>0.2992002</v>
      </c>
      <c r="D552" s="2" t="n">
        <v>0</v>
      </c>
      <c r="E552" s="2" t="n">
        <v>0.323002733333333</v>
      </c>
    </row>
    <row r="553" customFormat="false" ht="13.8" hidden="false" customHeight="false" outlineLevel="0" collapsed="false">
      <c r="B553" s="2" t="n">
        <v>551</v>
      </c>
      <c r="C553" s="2" t="n">
        <v>0.269401066666667</v>
      </c>
      <c r="D553" s="2" t="n">
        <v>0</v>
      </c>
      <c r="E553" s="2" t="n">
        <v>0.261402266666667</v>
      </c>
    </row>
    <row r="554" customFormat="false" ht="13.8" hidden="false" customHeight="false" outlineLevel="0" collapsed="false">
      <c r="B554" s="2" t="n">
        <v>552</v>
      </c>
      <c r="C554" s="2" t="n">
        <v>0.301334466666667</v>
      </c>
      <c r="D554" s="2" t="n">
        <v>0.0533333333333333</v>
      </c>
      <c r="E554" s="2" t="n">
        <v>0.169401533333333</v>
      </c>
    </row>
    <row r="555" customFormat="false" ht="13.8" hidden="false" customHeight="false" outlineLevel="0" collapsed="false">
      <c r="B555" s="2" t="n">
        <v>553</v>
      </c>
      <c r="C555" s="2" t="n">
        <v>0.2738034</v>
      </c>
      <c r="D555" s="2" t="n">
        <v>0.4</v>
      </c>
      <c r="E555" s="2" t="n">
        <v>0.187001133333333</v>
      </c>
    </row>
    <row r="556" customFormat="false" ht="13.8" hidden="false" customHeight="false" outlineLevel="0" collapsed="false">
      <c r="B556" s="2" t="n">
        <v>554</v>
      </c>
      <c r="C556" s="2" t="n">
        <v>0.389602866666667</v>
      </c>
      <c r="D556" s="2" t="n">
        <v>0.4</v>
      </c>
      <c r="E556" s="2" t="n">
        <v>0.083001</v>
      </c>
    </row>
    <row r="557" customFormat="false" ht="13.8" hidden="false" customHeight="false" outlineLevel="0" collapsed="false">
      <c r="B557" s="2" t="n">
        <v>555</v>
      </c>
      <c r="C557" s="2" t="n">
        <v>0.381805266666667</v>
      </c>
      <c r="D557" s="2" t="n">
        <v>0.4</v>
      </c>
      <c r="E557" s="2" t="n">
        <v>0.187001</v>
      </c>
    </row>
    <row r="558" customFormat="false" ht="13.8" hidden="false" customHeight="false" outlineLevel="0" collapsed="false">
      <c r="B558" s="2" t="n">
        <v>556</v>
      </c>
      <c r="C558" s="2" t="n">
        <v>0.440475533333333</v>
      </c>
      <c r="D558" s="2" t="n">
        <v>0.4</v>
      </c>
      <c r="E558" s="2" t="n">
        <v>0.083001</v>
      </c>
    </row>
    <row r="559" customFormat="false" ht="13.8" hidden="false" customHeight="false" outlineLevel="0" collapsed="false">
      <c r="B559" s="2" t="n">
        <v>557</v>
      </c>
      <c r="C559" s="2" t="n">
        <v>0.459276733333333</v>
      </c>
      <c r="D559" s="2" t="n">
        <v>0.4</v>
      </c>
      <c r="E559" s="2" t="n">
        <v>0.187001</v>
      </c>
    </row>
    <row r="560" customFormat="false" ht="13.8" hidden="false" customHeight="false" outlineLevel="0" collapsed="false">
      <c r="B560" s="2" t="n">
        <v>558</v>
      </c>
      <c r="C560" s="2" t="n">
        <v>0.435545866666667</v>
      </c>
      <c r="D560" s="2" t="n">
        <v>0.4</v>
      </c>
      <c r="E560" s="2" t="n">
        <v>0.0830002666666667</v>
      </c>
    </row>
    <row r="561" customFormat="false" ht="13.8" hidden="false" customHeight="false" outlineLevel="0" collapsed="false">
      <c r="B561" s="2" t="n">
        <v>559</v>
      </c>
      <c r="C561" s="2" t="n">
        <v>0.224882533333333</v>
      </c>
      <c r="D561" s="2" t="n">
        <v>0.4</v>
      </c>
      <c r="E561" s="2" t="n">
        <v>0.120333666666667</v>
      </c>
    </row>
    <row r="562" customFormat="false" ht="13.8" hidden="false" customHeight="false" outlineLevel="0" collapsed="false">
      <c r="B562" s="2" t="n">
        <v>560</v>
      </c>
      <c r="C562" s="2" t="n">
        <v>0.3197488</v>
      </c>
      <c r="D562" s="2" t="n">
        <v>0.4</v>
      </c>
      <c r="E562" s="2" t="n">
        <v>0.2</v>
      </c>
    </row>
    <row r="563" customFormat="false" ht="13.8" hidden="false" customHeight="false" outlineLevel="0" collapsed="false">
      <c r="B563" s="2" t="n">
        <v>561</v>
      </c>
      <c r="C563" s="2" t="n">
        <v>0.403482666666667</v>
      </c>
      <c r="D563" s="2" t="n">
        <v>0.4</v>
      </c>
      <c r="E563" s="2" t="n">
        <v>0.0566667333333333</v>
      </c>
    </row>
    <row r="564" customFormat="false" ht="13.8" hidden="false" customHeight="false" outlineLevel="0" collapsed="false">
      <c r="B564" s="2" t="n">
        <v>562</v>
      </c>
      <c r="C564" s="2" t="n">
        <v>0.279552866666667</v>
      </c>
      <c r="D564" s="2" t="n">
        <v>0.4</v>
      </c>
      <c r="E564" s="2" t="n">
        <v>0.00433346666666667</v>
      </c>
    </row>
    <row r="565" customFormat="false" ht="13.8" hidden="false" customHeight="false" outlineLevel="0" collapsed="false">
      <c r="B565" s="2" t="n">
        <v>563</v>
      </c>
      <c r="C565" s="2" t="n">
        <v>0.298816533333333</v>
      </c>
      <c r="D565" s="2" t="n">
        <v>0.4</v>
      </c>
      <c r="E565" s="2" t="n">
        <v>0.109</v>
      </c>
    </row>
    <row r="566" customFormat="false" ht="13.8" hidden="false" customHeight="false" outlineLevel="0" collapsed="false">
      <c r="B566" s="2" t="n">
        <v>564</v>
      </c>
      <c r="C566" s="2" t="n">
        <v>0.439747133333333</v>
      </c>
      <c r="D566" s="2" t="n">
        <v>0.4</v>
      </c>
      <c r="E566" s="2" t="n">
        <v>0.031</v>
      </c>
    </row>
    <row r="567" customFormat="false" ht="13.8" hidden="false" customHeight="false" outlineLevel="0" collapsed="false">
      <c r="B567" s="2" t="n">
        <v>565</v>
      </c>
      <c r="C567" s="2" t="n">
        <v>0.479147733333333</v>
      </c>
      <c r="D567" s="2" t="n">
        <v>0.4</v>
      </c>
      <c r="E567" s="2" t="n">
        <v>0.0956667333333333</v>
      </c>
    </row>
    <row r="568" customFormat="false" ht="13.8" hidden="false" customHeight="false" outlineLevel="0" collapsed="false">
      <c r="B568" s="2" t="n">
        <v>566</v>
      </c>
      <c r="C568" s="2" t="n">
        <v>0.372281866666667</v>
      </c>
      <c r="D568" s="2" t="n">
        <v>0.4</v>
      </c>
      <c r="E568" s="2" t="n">
        <v>0.0030004</v>
      </c>
    </row>
    <row r="569" customFormat="false" ht="13.8" hidden="false" customHeight="false" outlineLevel="0" collapsed="false">
      <c r="B569" s="2" t="n">
        <v>567</v>
      </c>
      <c r="C569" s="2" t="n">
        <v>0.3308806</v>
      </c>
      <c r="D569" s="2" t="n">
        <v>0.4</v>
      </c>
      <c r="E569" s="2" t="n">
        <v>0.057</v>
      </c>
    </row>
    <row r="570" customFormat="false" ht="13.8" hidden="false" customHeight="false" outlineLevel="0" collapsed="false">
      <c r="B570" s="2" t="n">
        <v>568</v>
      </c>
      <c r="C570" s="2" t="n">
        <v>0.364351066666667</v>
      </c>
      <c r="D570" s="2" t="n">
        <v>0.4</v>
      </c>
      <c r="E570" s="2" t="n">
        <v>0.083</v>
      </c>
    </row>
    <row r="571" customFormat="false" ht="13.8" hidden="false" customHeight="false" outlineLevel="0" collapsed="false">
      <c r="B571" s="2" t="n">
        <v>569</v>
      </c>
      <c r="C571" s="2" t="n">
        <v>0.251151533333333</v>
      </c>
      <c r="D571" s="2" t="n">
        <v>0.4</v>
      </c>
      <c r="E571" s="2" t="n">
        <v>0.057</v>
      </c>
    </row>
    <row r="572" customFormat="false" ht="13.8" hidden="false" customHeight="false" outlineLevel="0" collapsed="false">
      <c r="B572" s="2" t="n">
        <v>570</v>
      </c>
      <c r="C572" s="2" t="n">
        <v>0.344151466666667</v>
      </c>
      <c r="D572" s="2" t="n">
        <v>0.4</v>
      </c>
      <c r="E572" s="2" t="n">
        <v>0.083</v>
      </c>
    </row>
    <row r="573" customFormat="false" ht="13.8" hidden="false" customHeight="false" outlineLevel="0" collapsed="false">
      <c r="B573" s="2" t="n">
        <v>571</v>
      </c>
      <c r="C573" s="2" t="n">
        <v>0.382083933333333</v>
      </c>
      <c r="D573" s="2" t="n">
        <v>0.4</v>
      </c>
      <c r="E573" s="2" t="n">
        <v>0.00266713333333333</v>
      </c>
    </row>
    <row r="574" customFormat="false" ht="13.8" hidden="false" customHeight="false" outlineLevel="0" collapsed="false">
      <c r="B574" s="2" t="n">
        <v>572</v>
      </c>
      <c r="C574" s="2" t="n">
        <v>0.292548333333333</v>
      </c>
      <c r="D574" s="2" t="n">
        <v>0.4</v>
      </c>
      <c r="E574" s="2" t="n">
        <v>0.00366693333333333</v>
      </c>
    </row>
    <row r="575" customFormat="false" ht="13.8" hidden="false" customHeight="false" outlineLevel="0" collapsed="false">
      <c r="B575" s="2" t="n">
        <v>573</v>
      </c>
      <c r="C575" s="2" t="n">
        <v>0.237416666666667</v>
      </c>
      <c r="D575" s="2" t="n">
        <v>0.4</v>
      </c>
      <c r="E575" s="2" t="n">
        <v>0.083</v>
      </c>
    </row>
    <row r="576" customFormat="false" ht="13.8" hidden="false" customHeight="false" outlineLevel="0" collapsed="false">
      <c r="B576" s="2" t="n">
        <v>574</v>
      </c>
      <c r="C576" s="2" t="n">
        <v>0.2004808</v>
      </c>
      <c r="D576" s="2" t="n">
        <v>0.4</v>
      </c>
      <c r="E576" s="2" t="n">
        <v>0.057</v>
      </c>
    </row>
    <row r="577" customFormat="false" ht="13.8" hidden="false" customHeight="false" outlineLevel="0" collapsed="false">
      <c r="B577" s="2" t="n">
        <v>575</v>
      </c>
      <c r="C577" s="2" t="n">
        <v>0.1816118</v>
      </c>
      <c r="D577" s="2" t="n">
        <v>0.4</v>
      </c>
      <c r="E577" s="2" t="n">
        <v>0.0563334666666667</v>
      </c>
    </row>
    <row r="578" customFormat="false" ht="13.8" hidden="false" customHeight="false" outlineLevel="0" collapsed="false">
      <c r="B578" s="2" t="n">
        <v>576</v>
      </c>
      <c r="C578" s="2" t="n">
        <v>0.208013733333333</v>
      </c>
      <c r="D578" s="2" t="n">
        <v>0.4</v>
      </c>
      <c r="E578" s="2" t="n">
        <v>1E-006</v>
      </c>
    </row>
    <row r="579" customFormat="false" ht="13.8" hidden="false" customHeight="false" outlineLevel="0" collapsed="false">
      <c r="B579" s="2" t="n">
        <v>577</v>
      </c>
      <c r="C579" s="2" t="n">
        <v>0.1819426</v>
      </c>
      <c r="D579" s="2" t="n">
        <v>0</v>
      </c>
      <c r="E579" s="2" t="n">
        <v>1E-006</v>
      </c>
    </row>
    <row r="580" customFormat="false" ht="13.8" hidden="false" customHeight="false" outlineLevel="0" collapsed="false">
      <c r="B580" s="2" t="n">
        <v>578</v>
      </c>
      <c r="C580" s="2" t="n">
        <v>0.1132758</v>
      </c>
      <c r="D580" s="2" t="n">
        <v>0</v>
      </c>
      <c r="E580" s="2" t="n">
        <v>0.00166733333333333</v>
      </c>
    </row>
    <row r="581" customFormat="false" ht="13.8" hidden="false" customHeight="false" outlineLevel="0" collapsed="false">
      <c r="B581" s="2" t="n">
        <v>579</v>
      </c>
      <c r="C581" s="2" t="n">
        <v>0.337672266666667</v>
      </c>
      <c r="D581" s="2" t="n">
        <v>0</v>
      </c>
      <c r="E581" s="2" t="n">
        <v>0.005</v>
      </c>
    </row>
    <row r="582" customFormat="false" ht="13.8" hidden="false" customHeight="false" outlineLevel="0" collapsed="false">
      <c r="B582" s="2" t="n">
        <v>580</v>
      </c>
      <c r="C582" s="2" t="n">
        <v>0.0563373333333333</v>
      </c>
      <c r="D582" s="2" t="n">
        <v>0.0533333333333333</v>
      </c>
      <c r="E582" s="2" t="n">
        <v>0.135</v>
      </c>
    </row>
    <row r="583" customFormat="false" ht="13.8" hidden="false" customHeight="false" outlineLevel="0" collapsed="false">
      <c r="B583" s="2" t="n">
        <v>581</v>
      </c>
      <c r="C583" s="2" t="n">
        <v>0.307868266666667</v>
      </c>
      <c r="D583" s="2" t="n">
        <v>0.4</v>
      </c>
      <c r="E583" s="2" t="n">
        <v>0.00466673333333333</v>
      </c>
    </row>
    <row r="584" customFormat="false" ht="13.8" hidden="false" customHeight="false" outlineLevel="0" collapsed="false">
      <c r="B584" s="2" t="n">
        <v>582</v>
      </c>
      <c r="C584" s="2" t="n">
        <v>0.107667266666667</v>
      </c>
      <c r="D584" s="2" t="n">
        <v>0.4</v>
      </c>
      <c r="E584" s="2" t="n">
        <v>0.057</v>
      </c>
    </row>
    <row r="585" customFormat="false" ht="13.8" hidden="false" customHeight="false" outlineLevel="0" collapsed="false">
      <c r="B585" s="2" t="n">
        <v>583</v>
      </c>
      <c r="C585" s="2" t="n">
        <v>0.166800533333333</v>
      </c>
      <c r="D585" s="2" t="n">
        <v>0.4</v>
      </c>
      <c r="E585" s="2" t="n">
        <v>0.083</v>
      </c>
    </row>
    <row r="586" customFormat="false" ht="13.8" hidden="false" customHeight="false" outlineLevel="0" collapsed="false">
      <c r="B586" s="2" t="n">
        <v>584</v>
      </c>
      <c r="C586" s="2" t="n">
        <v>0.2666012</v>
      </c>
      <c r="D586" s="2" t="n">
        <v>0.4</v>
      </c>
      <c r="E586" s="2" t="n">
        <v>0.057</v>
      </c>
    </row>
    <row r="587" customFormat="false" ht="13.8" hidden="false" customHeight="false" outlineLevel="0" collapsed="false">
      <c r="B587" s="2" t="n">
        <v>585</v>
      </c>
      <c r="C587" s="2" t="n">
        <v>0.1110676</v>
      </c>
      <c r="D587" s="2" t="n">
        <v>0.4</v>
      </c>
      <c r="E587" s="2" t="n">
        <v>0.0170002</v>
      </c>
    </row>
    <row r="588" customFormat="false" ht="13.8" hidden="false" customHeight="false" outlineLevel="0" collapsed="false">
      <c r="B588" s="2" t="n">
        <v>586</v>
      </c>
      <c r="C588" s="2" t="n">
        <v>0.125934</v>
      </c>
      <c r="D588" s="2" t="n">
        <v>0.4</v>
      </c>
      <c r="E588" s="2" t="n">
        <v>0.083</v>
      </c>
    </row>
    <row r="589" customFormat="false" ht="13.8" hidden="false" customHeight="false" outlineLevel="0" collapsed="false">
      <c r="B589" s="2" t="n">
        <v>587</v>
      </c>
      <c r="C589" s="2" t="n">
        <v>0.284800266666667</v>
      </c>
      <c r="D589" s="2" t="n">
        <v>0.4</v>
      </c>
      <c r="E589" s="2" t="n">
        <v>0.0563334666666667</v>
      </c>
    </row>
    <row r="590" customFormat="false" ht="13.8" hidden="false" customHeight="false" outlineLevel="0" collapsed="false">
      <c r="B590" s="2" t="n">
        <v>588</v>
      </c>
      <c r="C590" s="2" t="n">
        <v>0.0774001333333333</v>
      </c>
      <c r="D590" s="2" t="n">
        <v>0.4</v>
      </c>
      <c r="E590" s="2" t="n">
        <v>0.044</v>
      </c>
    </row>
    <row r="591" customFormat="false" ht="13.8" hidden="false" customHeight="false" outlineLevel="0" collapsed="false">
      <c r="B591" s="2" t="n">
        <v>589</v>
      </c>
      <c r="C591" s="2" t="n">
        <v>0.205333866666667</v>
      </c>
      <c r="D591" s="2" t="n">
        <v>0.4</v>
      </c>
      <c r="E591" s="2" t="n">
        <v>0.0943336666666667</v>
      </c>
    </row>
    <row r="592" customFormat="false" ht="13.8" hidden="false" customHeight="false" outlineLevel="0" collapsed="false">
      <c r="B592" s="2" t="n">
        <v>590</v>
      </c>
      <c r="C592" s="2" t="n">
        <v>0.169</v>
      </c>
      <c r="D592" s="2" t="n">
        <v>0.4</v>
      </c>
      <c r="E592" s="2" t="n">
        <v>0.0030004</v>
      </c>
    </row>
    <row r="593" customFormat="false" ht="13.8" hidden="false" customHeight="false" outlineLevel="0" collapsed="false">
      <c r="B593" s="2" t="n">
        <v>591</v>
      </c>
      <c r="C593" s="2" t="n">
        <v>0.1939336</v>
      </c>
      <c r="D593" s="2" t="n">
        <v>0.4</v>
      </c>
      <c r="E593" s="2" t="n">
        <v>0.057</v>
      </c>
    </row>
    <row r="594" customFormat="false" ht="13.8" hidden="false" customHeight="false" outlineLevel="0" collapsed="false">
      <c r="B594" s="2" t="n">
        <v>592</v>
      </c>
      <c r="C594" s="2" t="n">
        <v>0.1672668</v>
      </c>
      <c r="D594" s="2" t="n">
        <v>0.4</v>
      </c>
      <c r="E594" s="2" t="n">
        <v>0.0820002</v>
      </c>
    </row>
    <row r="595" customFormat="false" ht="13.8" hidden="false" customHeight="false" outlineLevel="0" collapsed="false">
      <c r="B595" s="2" t="n">
        <v>593</v>
      </c>
      <c r="C595" s="2" t="n">
        <v>0.0994009333333333</v>
      </c>
      <c r="D595" s="2" t="n">
        <v>0.4</v>
      </c>
      <c r="E595" s="2" t="n">
        <v>0.00266713333333333</v>
      </c>
    </row>
    <row r="596" customFormat="false" ht="13.8" hidden="false" customHeight="false" outlineLevel="0" collapsed="false">
      <c r="B596" s="2" t="n">
        <v>594</v>
      </c>
      <c r="C596" s="2" t="n">
        <v>0.186733733333333</v>
      </c>
      <c r="D596" s="2" t="n">
        <v>0.4</v>
      </c>
      <c r="E596" s="2" t="n">
        <v>0.044</v>
      </c>
    </row>
    <row r="597" customFormat="false" ht="13.8" hidden="false" customHeight="false" outlineLevel="0" collapsed="false">
      <c r="B597" s="2" t="n">
        <v>595</v>
      </c>
      <c r="C597" s="2" t="n">
        <v>0.154867333333333</v>
      </c>
      <c r="D597" s="2" t="n">
        <v>0.4</v>
      </c>
      <c r="E597" s="2" t="n">
        <v>0.096</v>
      </c>
    </row>
    <row r="598" customFormat="false" ht="13.8" hidden="false" customHeight="false" outlineLevel="0" collapsed="false">
      <c r="B598" s="2" t="n">
        <v>596</v>
      </c>
      <c r="C598" s="2" t="n">
        <v>0.0986678666666667</v>
      </c>
      <c r="D598" s="2" t="n">
        <v>0.4</v>
      </c>
      <c r="E598" s="2" t="n">
        <v>0.044</v>
      </c>
    </row>
    <row r="599" customFormat="false" ht="13.8" hidden="false" customHeight="false" outlineLevel="0" collapsed="false">
      <c r="B599" s="2" t="n">
        <v>597</v>
      </c>
      <c r="C599" s="2" t="n">
        <v>0.204067333333333</v>
      </c>
      <c r="D599" s="2" t="n">
        <v>0.4</v>
      </c>
      <c r="E599" s="2" t="n">
        <v>0.096</v>
      </c>
    </row>
    <row r="600" customFormat="false" ht="13.8" hidden="false" customHeight="false" outlineLevel="0" collapsed="false">
      <c r="B600" s="2" t="n">
        <v>598</v>
      </c>
      <c r="C600" s="2" t="n">
        <v>0.102135333333333</v>
      </c>
      <c r="D600" s="2" t="n">
        <v>0.346666666666667</v>
      </c>
      <c r="E600" s="2" t="n">
        <v>0.044</v>
      </c>
    </row>
    <row r="601" customFormat="false" ht="13.8" hidden="false" customHeight="false" outlineLevel="0" collapsed="false">
      <c r="B601" s="2" t="n">
        <v>599</v>
      </c>
      <c r="C601" s="2" t="n">
        <v>0.248</v>
      </c>
      <c r="D601" s="2" t="n">
        <v>0</v>
      </c>
      <c r="E601" s="2" t="n">
        <v>0.096</v>
      </c>
    </row>
    <row r="602" customFormat="false" ht="13.8" hidden="false" customHeight="false" outlineLevel="0" collapsed="false">
      <c r="B602" s="2" t="n">
        <v>600</v>
      </c>
      <c r="C602" s="2" t="n">
        <v>0.261000133333333</v>
      </c>
      <c r="D602" s="2" t="n">
        <v>0</v>
      </c>
      <c r="E602" s="2" t="n">
        <v>0.044</v>
      </c>
    </row>
    <row r="603" customFormat="false" ht="13.8" hidden="false" customHeight="false" outlineLevel="0" collapsed="false">
      <c r="B603" s="2" t="n">
        <v>601</v>
      </c>
      <c r="C603" s="2" t="n">
        <v>0.163068733333333</v>
      </c>
      <c r="D603" s="2" t="n">
        <v>0</v>
      </c>
      <c r="E603" s="2" t="n">
        <v>0.096</v>
      </c>
    </row>
    <row r="604" customFormat="false" ht="13.8" hidden="false" customHeight="false" outlineLevel="0" collapsed="false">
      <c r="B604" s="2" t="n">
        <v>602</v>
      </c>
      <c r="C604" s="2" t="n">
        <v>0.1920028</v>
      </c>
      <c r="D604" s="2" t="n">
        <v>0</v>
      </c>
      <c r="E604" s="2" t="n">
        <v>0.044</v>
      </c>
    </row>
    <row r="605" customFormat="false" ht="13.8" hidden="false" customHeight="false" outlineLevel="0" collapsed="false">
      <c r="B605" s="2" t="n">
        <v>603</v>
      </c>
      <c r="C605" s="2" t="n">
        <v>0.2851368</v>
      </c>
      <c r="D605" s="2" t="n">
        <v>0</v>
      </c>
      <c r="E605" s="2" t="n">
        <v>0.096</v>
      </c>
    </row>
    <row r="606" customFormat="false" ht="13.8" hidden="false" customHeight="false" outlineLevel="0" collapsed="false">
      <c r="B606" s="2" t="n">
        <v>604</v>
      </c>
      <c r="C606" s="2" t="n">
        <v>0.234137466666667</v>
      </c>
      <c r="D606" s="2" t="n">
        <v>0</v>
      </c>
      <c r="E606" s="2" t="n">
        <v>0.044</v>
      </c>
    </row>
    <row r="607" customFormat="false" ht="13.8" hidden="false" customHeight="false" outlineLevel="0" collapsed="false">
      <c r="B607" s="2" t="n">
        <v>605</v>
      </c>
      <c r="C607" s="2" t="n">
        <v>0.292207866666667</v>
      </c>
      <c r="D607" s="2" t="n">
        <v>0</v>
      </c>
      <c r="E607" s="2" t="n">
        <v>0.005</v>
      </c>
    </row>
    <row r="608" customFormat="false" ht="13.8" hidden="false" customHeight="false" outlineLevel="0" collapsed="false">
      <c r="B608" s="2" t="n">
        <v>606</v>
      </c>
      <c r="C608" s="2" t="n">
        <v>0.269341533333333</v>
      </c>
      <c r="D608" s="2" t="n">
        <v>0</v>
      </c>
      <c r="E608" s="2" t="n">
        <v>0.1350014</v>
      </c>
    </row>
    <row r="609" customFormat="false" ht="13.8" hidden="false" customHeight="false" outlineLevel="0" collapsed="false">
      <c r="B609" s="2" t="n">
        <v>607</v>
      </c>
      <c r="C609" s="2" t="n">
        <v>0.2180078</v>
      </c>
      <c r="D609" s="2" t="n">
        <v>0</v>
      </c>
      <c r="E609" s="2" t="n">
        <v>0.0050022</v>
      </c>
    </row>
    <row r="610" customFormat="false" ht="13.8" hidden="false" customHeight="false" outlineLevel="0" collapsed="false">
      <c r="B610" s="2" t="n">
        <v>608</v>
      </c>
      <c r="C610" s="2" t="n">
        <v>0.2090072</v>
      </c>
      <c r="D610" s="2" t="n">
        <v>0</v>
      </c>
      <c r="E610" s="2" t="n">
        <v>0.200003</v>
      </c>
    </row>
    <row r="611" customFormat="false" ht="13.8" hidden="false" customHeight="false" outlineLevel="0" collapsed="false">
      <c r="B611" s="2" t="n">
        <v>609</v>
      </c>
      <c r="C611" s="2" t="n">
        <v>0.2120062</v>
      </c>
      <c r="D611" s="2" t="n">
        <v>0</v>
      </c>
      <c r="E611" s="2" t="n">
        <v>0.0082026</v>
      </c>
    </row>
    <row r="612" customFormat="false" ht="13.8" hidden="false" customHeight="false" outlineLevel="0" collapsed="false">
      <c r="B612" s="2" t="n">
        <v>610</v>
      </c>
      <c r="C612" s="2" t="n">
        <v>0.371006</v>
      </c>
      <c r="D612" s="2" t="n">
        <v>0</v>
      </c>
      <c r="E612" s="2" t="n">
        <v>0.200536733333333</v>
      </c>
    </row>
    <row r="613" customFormat="false" ht="13.8" hidden="false" customHeight="false" outlineLevel="0" collapsed="false">
      <c r="B613" s="2" t="n">
        <v>611</v>
      </c>
      <c r="C613" s="2" t="n">
        <v>0.211273333333333</v>
      </c>
      <c r="D613" s="2" t="n">
        <v>0</v>
      </c>
      <c r="E613" s="2" t="n">
        <v>0.114335866666667</v>
      </c>
    </row>
    <row r="614" customFormat="false" ht="13.8" hidden="false" customHeight="false" outlineLevel="0" collapsed="false">
      <c r="B614" s="2" t="n">
        <v>612</v>
      </c>
      <c r="C614" s="2" t="n">
        <v>0.173007866666667</v>
      </c>
      <c r="D614" s="2" t="n">
        <v>0</v>
      </c>
      <c r="E614" s="2" t="n">
        <v>0.2560028</v>
      </c>
    </row>
    <row r="615" customFormat="false" ht="13.8" hidden="false" customHeight="false" outlineLevel="0" collapsed="false">
      <c r="B615" s="2" t="n">
        <v>613</v>
      </c>
      <c r="C615" s="2" t="n">
        <v>0.174273</v>
      </c>
      <c r="D615" s="2" t="n">
        <v>0</v>
      </c>
      <c r="E615" s="2" t="n">
        <v>0.0183372666666667</v>
      </c>
    </row>
    <row r="616" customFormat="false" ht="13.8" hidden="false" customHeight="false" outlineLevel="0" collapsed="false">
      <c r="B616" s="2" t="n">
        <v>614</v>
      </c>
      <c r="C616" s="2" t="n">
        <v>0.374007266666667</v>
      </c>
      <c r="D616" s="2" t="n">
        <v>0</v>
      </c>
      <c r="E616" s="2" t="n">
        <v>0.550535066666667</v>
      </c>
    </row>
    <row r="617" customFormat="false" ht="13.8" hidden="false" customHeight="false" outlineLevel="0" collapsed="false">
      <c r="B617" s="2" t="n">
        <v>615</v>
      </c>
      <c r="C617" s="2" t="n">
        <v>0.226006266666667</v>
      </c>
      <c r="D617" s="2" t="n">
        <v>0</v>
      </c>
      <c r="E617" s="2" t="n">
        <v>0.357001</v>
      </c>
    </row>
    <row r="618" customFormat="false" ht="13.8" hidden="false" customHeight="false" outlineLevel="0" collapsed="false">
      <c r="B618" s="2" t="n">
        <v>616</v>
      </c>
      <c r="C618" s="2" t="n">
        <v>0.382271933333333</v>
      </c>
      <c r="D618" s="2" t="n">
        <v>0</v>
      </c>
      <c r="E618" s="2" t="n">
        <v>0.552001666666667</v>
      </c>
    </row>
    <row r="619" customFormat="false" ht="13.8" hidden="false" customHeight="false" outlineLevel="0" collapsed="false">
      <c r="B619" s="2" t="n">
        <v>617</v>
      </c>
      <c r="C619" s="2" t="n">
        <v>0.2069386</v>
      </c>
      <c r="D619" s="2" t="n">
        <v>0</v>
      </c>
      <c r="E619" s="2" t="n">
        <v>0.356535466666667</v>
      </c>
    </row>
    <row r="620" customFormat="false" ht="13.8" hidden="false" customHeight="false" outlineLevel="0" collapsed="false">
      <c r="B620" s="2" t="n">
        <v>618</v>
      </c>
      <c r="C620" s="2" t="n">
        <v>0.348540266666667</v>
      </c>
      <c r="D620" s="2" t="n">
        <v>0</v>
      </c>
      <c r="E620" s="2" t="n">
        <v>0.323337466666667</v>
      </c>
    </row>
    <row r="621" customFormat="false" ht="13.8" hidden="false" customHeight="false" outlineLevel="0" collapsed="false">
      <c r="B621" s="2" t="n">
        <v>619</v>
      </c>
      <c r="C621" s="2" t="n">
        <v>0.192007</v>
      </c>
      <c r="D621" s="2" t="n">
        <v>0</v>
      </c>
      <c r="E621" s="2" t="n">
        <v>0.1906042</v>
      </c>
    </row>
    <row r="622" customFormat="false" ht="13.8" hidden="false" customHeight="false" outlineLevel="0" collapsed="false">
      <c r="B622" s="2" t="n">
        <v>620</v>
      </c>
      <c r="C622" s="2" t="n">
        <v>0.3333408</v>
      </c>
      <c r="D622" s="2" t="n">
        <v>0</v>
      </c>
      <c r="E622" s="2" t="n">
        <v>0.193670466666667</v>
      </c>
    </row>
    <row r="623" customFormat="false" ht="13.8" hidden="false" customHeight="false" outlineLevel="0" collapsed="false">
      <c r="B623" s="2" t="n">
        <v>621</v>
      </c>
      <c r="C623" s="2" t="n">
        <v>0.1206744</v>
      </c>
      <c r="D623" s="2" t="n">
        <v>0</v>
      </c>
      <c r="E623" s="2" t="n">
        <v>0.128004</v>
      </c>
    </row>
    <row r="624" customFormat="false" ht="13.8" hidden="false" customHeight="false" outlineLevel="0" collapsed="false">
      <c r="B624" s="2" t="n">
        <v>622</v>
      </c>
      <c r="C624" s="2" t="n">
        <v>0.492672866666667</v>
      </c>
      <c r="D624" s="2" t="n">
        <v>0</v>
      </c>
      <c r="E624" s="2" t="n">
        <v>0.180669933333333</v>
      </c>
    </row>
    <row r="625" customFormat="false" ht="13.8" hidden="false" customHeight="false" outlineLevel="0" collapsed="false">
      <c r="B625" s="2" t="n">
        <v>623</v>
      </c>
      <c r="C625" s="2" t="n">
        <v>0.146540866666667</v>
      </c>
      <c r="D625" s="2" t="n">
        <v>0</v>
      </c>
      <c r="E625" s="2" t="n">
        <v>0.5244026</v>
      </c>
    </row>
    <row r="626" customFormat="false" ht="13.8" hidden="false" customHeight="false" outlineLevel="0" collapsed="false">
      <c r="B626" s="2" t="n">
        <v>624</v>
      </c>
      <c r="C626" s="2" t="n">
        <v>0.444673266666667</v>
      </c>
      <c r="D626" s="2" t="n">
        <v>0</v>
      </c>
      <c r="E626" s="2" t="n">
        <v>0.548003</v>
      </c>
    </row>
    <row r="627" customFormat="false" ht="13.8" hidden="false" customHeight="false" outlineLevel="0" collapsed="false">
      <c r="B627" s="2" t="n">
        <v>625</v>
      </c>
      <c r="C627" s="2" t="n">
        <v>0.1437406</v>
      </c>
      <c r="D627" s="2" t="n">
        <v>0</v>
      </c>
      <c r="E627" s="2" t="n">
        <v>0.522003</v>
      </c>
    </row>
    <row r="628" customFormat="false" ht="13.8" hidden="false" customHeight="false" outlineLevel="0" collapsed="false">
      <c r="B628" s="2" t="n">
        <v>626</v>
      </c>
      <c r="C628" s="2" t="n">
        <v>0.400540466666667</v>
      </c>
      <c r="D628" s="2" t="n">
        <v>0</v>
      </c>
      <c r="E628" s="2" t="n">
        <v>0.255070333333333</v>
      </c>
    </row>
    <row r="629" customFormat="false" ht="13.8" hidden="false" customHeight="false" outlineLevel="0" collapsed="false">
      <c r="B629" s="2" t="n">
        <v>627</v>
      </c>
      <c r="C629" s="2" t="n">
        <v>0.151008666666667</v>
      </c>
      <c r="D629" s="2" t="n">
        <v>0</v>
      </c>
      <c r="E629" s="2" t="n">
        <v>0.1244694</v>
      </c>
    </row>
    <row r="630" customFormat="false" ht="13.8" hidden="false" customHeight="false" outlineLevel="0" collapsed="false">
      <c r="B630" s="2" t="n">
        <v>628</v>
      </c>
      <c r="C630" s="2" t="n">
        <v>0.4076084</v>
      </c>
      <c r="D630" s="2" t="n">
        <v>0</v>
      </c>
      <c r="E630" s="2" t="n">
        <v>0.0400043333333333</v>
      </c>
    </row>
    <row r="631" customFormat="false" ht="13.8" hidden="false" customHeight="false" outlineLevel="0" collapsed="false">
      <c r="B631" s="2" t="n">
        <v>629</v>
      </c>
      <c r="C631" s="2" t="n">
        <v>0.1400084</v>
      </c>
      <c r="D631" s="2" t="n">
        <v>0</v>
      </c>
      <c r="E631" s="2" t="n">
        <v>0.260002666666667</v>
      </c>
    </row>
    <row r="632" customFormat="false" ht="13.8" hidden="false" customHeight="false" outlineLevel="0" collapsed="false">
      <c r="B632" s="2" t="n">
        <v>630</v>
      </c>
      <c r="C632" s="2" t="n">
        <v>0.4032076</v>
      </c>
      <c r="D632" s="2" t="n">
        <v>0</v>
      </c>
      <c r="E632" s="2" t="n">
        <v>0.130002</v>
      </c>
    </row>
    <row r="633" customFormat="false" ht="13.8" hidden="false" customHeight="false" outlineLevel="0" collapsed="false">
      <c r="B633" s="2" t="n">
        <v>631</v>
      </c>
      <c r="C633" s="2" t="n">
        <v>0.101074</v>
      </c>
      <c r="D633" s="2" t="n">
        <v>0</v>
      </c>
      <c r="E633" s="2" t="n">
        <v>0.260002</v>
      </c>
    </row>
    <row r="634" customFormat="false" ht="13.8" hidden="false" customHeight="false" outlineLevel="0" collapsed="false">
      <c r="B634" s="2" t="n">
        <v>632</v>
      </c>
      <c r="C634" s="2" t="n">
        <v>0.204271133333333</v>
      </c>
      <c r="D634" s="2" t="n">
        <v>0</v>
      </c>
      <c r="E634" s="2" t="n">
        <v>0.135335466666667</v>
      </c>
    </row>
    <row r="635" customFormat="false" ht="13.8" hidden="false" customHeight="false" outlineLevel="0" collapsed="false">
      <c r="B635" s="2" t="n">
        <v>633</v>
      </c>
      <c r="C635" s="2" t="n">
        <v>0.126670466666667</v>
      </c>
      <c r="D635" s="2" t="n">
        <v>0</v>
      </c>
      <c r="E635" s="2" t="n">
        <v>0.214670333333333</v>
      </c>
    </row>
    <row r="636" customFormat="false" ht="13.8" hidden="false" customHeight="false" outlineLevel="0" collapsed="false">
      <c r="B636" s="2" t="n">
        <v>634</v>
      </c>
      <c r="C636" s="2" t="n">
        <v>0.400002133333333</v>
      </c>
      <c r="D636" s="2" t="n">
        <v>0</v>
      </c>
      <c r="E636" s="2" t="n">
        <v>0.0737368666666667</v>
      </c>
    </row>
    <row r="637" customFormat="false" ht="13.8" hidden="false" customHeight="false" outlineLevel="0" collapsed="false">
      <c r="B637" s="2" t="n">
        <v>635</v>
      </c>
      <c r="C637" s="2" t="n">
        <v>0.1400016</v>
      </c>
      <c r="D637" s="2" t="n">
        <v>0</v>
      </c>
      <c r="E637" s="2" t="n">
        <v>0.206936466666667</v>
      </c>
    </row>
    <row r="638" customFormat="false" ht="13.8" hidden="false" customHeight="false" outlineLevel="0" collapsed="false">
      <c r="B638" s="2" t="n">
        <v>636</v>
      </c>
      <c r="C638" s="2" t="n">
        <v>0.400000066666667</v>
      </c>
      <c r="D638" s="2" t="n">
        <v>0</v>
      </c>
      <c r="E638" s="2" t="n">
        <v>0.1900046</v>
      </c>
    </row>
    <row r="639" customFormat="false" ht="13.8" hidden="false" customHeight="false" outlineLevel="0" collapsed="false">
      <c r="B639" s="2" t="n">
        <v>637</v>
      </c>
      <c r="C639" s="2" t="n">
        <v>0.14</v>
      </c>
      <c r="D639" s="2" t="n">
        <v>0</v>
      </c>
      <c r="E639" s="2" t="n">
        <v>0.500004333333333</v>
      </c>
    </row>
    <row r="640" customFormat="false" ht="13.8" hidden="false" customHeight="false" outlineLevel="0" collapsed="false">
      <c r="B640" s="2" t="n">
        <v>638</v>
      </c>
      <c r="C640" s="2" t="n">
        <v>0.318000066666667</v>
      </c>
      <c r="D640" s="2" t="n">
        <v>0</v>
      </c>
      <c r="E640" s="2" t="n">
        <v>0.0740049333333333</v>
      </c>
    </row>
    <row r="641" customFormat="false" ht="13.8" hidden="false" customHeight="false" outlineLevel="0" collapsed="false">
      <c r="B641" s="2" t="n">
        <v>639</v>
      </c>
      <c r="C641" s="2" t="n">
        <v>0.238</v>
      </c>
      <c r="D641" s="2" t="n">
        <v>0</v>
      </c>
      <c r="E641" s="2" t="n">
        <v>0.720670333333333</v>
      </c>
    </row>
    <row r="642" customFormat="false" ht="13.8" hidden="false" customHeight="false" outlineLevel="0" collapsed="false">
      <c r="B642" s="2" t="n">
        <v>640</v>
      </c>
      <c r="C642" s="2" t="n">
        <v>0.342</v>
      </c>
      <c r="D642" s="2" t="n">
        <v>0</v>
      </c>
      <c r="E642" s="2" t="n">
        <v>0.580003933333333</v>
      </c>
    </row>
    <row r="643" customFormat="false" ht="13.8" hidden="false" customHeight="false" outlineLevel="0" collapsed="false">
      <c r="B643" s="2" t="n">
        <v>641</v>
      </c>
      <c r="C643" s="2" t="n">
        <v>0.238</v>
      </c>
      <c r="D643" s="2" t="n">
        <v>0</v>
      </c>
      <c r="E643" s="2" t="n">
        <v>0.701869733333333</v>
      </c>
    </row>
    <row r="644" customFormat="false" ht="13.8" hidden="false" customHeight="false" outlineLevel="0" collapsed="false">
      <c r="B644" s="2" t="n">
        <v>642</v>
      </c>
      <c r="C644" s="2" t="n">
        <v>0.144667133333333</v>
      </c>
      <c r="D644" s="2" t="n">
        <v>0</v>
      </c>
      <c r="E644" s="2" t="n">
        <v>0.529004133333333</v>
      </c>
    </row>
    <row r="645" customFormat="false" ht="13.8" hidden="false" customHeight="false" outlineLevel="0" collapsed="false">
      <c r="B645" s="2" t="n">
        <v>643</v>
      </c>
      <c r="C645" s="2" t="n">
        <v>0.342</v>
      </c>
      <c r="D645" s="2" t="n">
        <v>0</v>
      </c>
      <c r="E645" s="2" t="n">
        <v>0.107471933333333</v>
      </c>
    </row>
    <row r="646" customFormat="false" ht="13.8" hidden="false" customHeight="false" outlineLevel="0" collapsed="false">
      <c r="B646" s="2" t="n">
        <v>644</v>
      </c>
      <c r="C646" s="2" t="n">
        <v>0.2380006</v>
      </c>
      <c r="D646" s="2" t="n">
        <v>0</v>
      </c>
      <c r="E646" s="2" t="n">
        <v>0.180404866666667</v>
      </c>
    </row>
    <row r="647" customFormat="false" ht="13.8" hidden="false" customHeight="false" outlineLevel="0" collapsed="false">
      <c r="B647" s="2" t="n">
        <v>645</v>
      </c>
      <c r="C647" s="2" t="n">
        <v>0.360666733333333</v>
      </c>
      <c r="D647" s="2" t="n">
        <v>0</v>
      </c>
      <c r="E647" s="2" t="n">
        <v>0.2076054</v>
      </c>
    </row>
    <row r="648" customFormat="false" ht="13.8" hidden="false" customHeight="false" outlineLevel="0" collapsed="false">
      <c r="B648" s="2" t="n">
        <v>646</v>
      </c>
      <c r="C648" s="2" t="n">
        <v>0.258</v>
      </c>
      <c r="D648" s="2" t="n">
        <v>0</v>
      </c>
      <c r="E648" s="2" t="n">
        <v>0.0964060666666667</v>
      </c>
    </row>
    <row r="649" customFormat="false" ht="13.8" hidden="false" customHeight="false" outlineLevel="0" collapsed="false">
      <c r="B649" s="2" t="n">
        <v>647</v>
      </c>
      <c r="C649" s="2" t="n">
        <v>0.3513354</v>
      </c>
      <c r="D649" s="2" t="n">
        <v>0</v>
      </c>
      <c r="E649" s="2" t="n">
        <v>0.200937866666667</v>
      </c>
    </row>
    <row r="650" customFormat="false" ht="13.8" hidden="false" customHeight="false" outlineLevel="0" collapsed="false">
      <c r="B650" s="2" t="n">
        <v>648</v>
      </c>
      <c r="C650" s="2" t="n">
        <v>0.280335133333333</v>
      </c>
      <c r="D650" s="2" t="n">
        <v>0</v>
      </c>
      <c r="E650" s="2" t="n">
        <v>0.182003733333333</v>
      </c>
    </row>
    <row r="651" customFormat="false" ht="13.8" hidden="false" customHeight="false" outlineLevel="0" collapsed="false">
      <c r="B651" s="2" t="n">
        <v>649</v>
      </c>
      <c r="C651" s="2" t="n">
        <v>0.3798706</v>
      </c>
      <c r="D651" s="2" t="n">
        <v>0</v>
      </c>
      <c r="E651" s="2" t="n">
        <v>0.096004</v>
      </c>
    </row>
    <row r="652" customFormat="false" ht="13.8" hidden="false" customHeight="false" outlineLevel="0" collapsed="false">
      <c r="B652" s="2" t="n">
        <v>650</v>
      </c>
      <c r="C652" s="2" t="n">
        <v>0.297871866666667</v>
      </c>
      <c r="D652" s="2" t="n">
        <v>0</v>
      </c>
      <c r="E652" s="2" t="n">
        <v>0.206002933333333</v>
      </c>
    </row>
    <row r="653" customFormat="false" ht="13.8" hidden="false" customHeight="false" outlineLevel="0" collapsed="false">
      <c r="B653" s="2" t="n">
        <v>651</v>
      </c>
      <c r="C653" s="2" t="n">
        <v>0.430605266666667</v>
      </c>
      <c r="D653" s="2" t="n">
        <v>0.373333333333333</v>
      </c>
      <c r="E653" s="2" t="n">
        <v>0.156001866666667</v>
      </c>
    </row>
    <row r="654" customFormat="false" ht="13.8" hidden="false" customHeight="false" outlineLevel="0" collapsed="false">
      <c r="B654" s="2" t="n">
        <v>652</v>
      </c>
      <c r="C654" s="2" t="n">
        <v>0.311676266666667</v>
      </c>
      <c r="D654" s="2" t="n">
        <v>0.4</v>
      </c>
      <c r="E654" s="2" t="n">
        <v>0.234001</v>
      </c>
    </row>
    <row r="655" customFormat="false" ht="13.8" hidden="false" customHeight="false" outlineLevel="0" collapsed="false">
      <c r="B655" s="2" t="n">
        <v>653</v>
      </c>
      <c r="C655" s="2" t="n">
        <v>0.330612733333333</v>
      </c>
      <c r="D655" s="2" t="n">
        <v>0.4</v>
      </c>
      <c r="E655" s="2" t="n">
        <v>0.0586678666666667</v>
      </c>
    </row>
    <row r="656" customFormat="false" ht="13.8" hidden="false" customHeight="false" outlineLevel="0" collapsed="false">
      <c r="B656" s="2" t="n">
        <v>654</v>
      </c>
      <c r="C656" s="2" t="n">
        <v>0.447745066666667</v>
      </c>
      <c r="D656" s="2" t="n">
        <v>0.4</v>
      </c>
      <c r="E656" s="2" t="n">
        <v>0.0133342666666667</v>
      </c>
    </row>
    <row r="657" customFormat="false" ht="13.8" hidden="false" customHeight="false" outlineLevel="0" collapsed="false">
      <c r="B657" s="2" t="n">
        <v>655</v>
      </c>
      <c r="C657" s="2" t="n">
        <v>0.470410066666667</v>
      </c>
      <c r="D657" s="2" t="n">
        <v>0.4</v>
      </c>
      <c r="E657" s="2" t="n">
        <v>0.2</v>
      </c>
    </row>
    <row r="658" customFormat="false" ht="13.8" hidden="false" customHeight="false" outlineLevel="0" collapsed="false">
      <c r="B658" s="2" t="n">
        <v>656</v>
      </c>
      <c r="C658" s="2" t="n">
        <v>0.493013</v>
      </c>
      <c r="D658" s="2" t="n">
        <v>0.4</v>
      </c>
      <c r="E658" s="2" t="n">
        <v>0.057</v>
      </c>
    </row>
    <row r="659" customFormat="false" ht="13.8" hidden="false" customHeight="false" outlineLevel="0" collapsed="false">
      <c r="B659" s="2" t="n">
        <v>657</v>
      </c>
      <c r="C659" s="2" t="n">
        <v>0.377214533333333</v>
      </c>
      <c r="D659" s="2" t="n">
        <v>0.4</v>
      </c>
      <c r="E659" s="2" t="n">
        <v>0.005</v>
      </c>
    </row>
    <row r="660" customFormat="false" ht="13.8" hidden="false" customHeight="false" outlineLevel="0" collapsed="false">
      <c r="B660" s="2" t="n">
        <v>658</v>
      </c>
      <c r="C660" s="2" t="n">
        <v>0.469613933333333</v>
      </c>
      <c r="D660" s="2" t="n">
        <v>0.4</v>
      </c>
      <c r="E660" s="2" t="n">
        <v>0.135</v>
      </c>
    </row>
    <row r="661" customFormat="false" ht="13.8" hidden="false" customHeight="false" outlineLevel="0" collapsed="false">
      <c r="B661" s="2" t="n">
        <v>659</v>
      </c>
      <c r="C661" s="2" t="n">
        <v>0.357280933333333</v>
      </c>
      <c r="D661" s="2" t="n">
        <v>0.4</v>
      </c>
      <c r="E661" s="2" t="n">
        <v>0.005</v>
      </c>
    </row>
    <row r="662" customFormat="false" ht="13.8" hidden="false" customHeight="false" outlineLevel="0" collapsed="false">
      <c r="B662" s="2" t="n">
        <v>660</v>
      </c>
      <c r="C662" s="2" t="n">
        <v>0.4450808</v>
      </c>
      <c r="D662" s="2" t="n">
        <v>0.4</v>
      </c>
      <c r="E662" s="2" t="n">
        <v>0.135</v>
      </c>
    </row>
    <row r="663" customFormat="false" ht="13.8" hidden="false" customHeight="false" outlineLevel="0" collapsed="false">
      <c r="B663" s="2" t="n">
        <v>661</v>
      </c>
      <c r="C663" s="2" t="n">
        <v>0.4316812</v>
      </c>
      <c r="D663" s="2" t="n">
        <v>0.4</v>
      </c>
      <c r="E663" s="2" t="n">
        <v>1E-006</v>
      </c>
    </row>
    <row r="664" customFormat="false" ht="13.8" hidden="false" customHeight="false" outlineLevel="0" collapsed="false">
      <c r="B664" s="2" t="n">
        <v>662</v>
      </c>
      <c r="C664" s="2" t="n">
        <v>0.506548533333333</v>
      </c>
      <c r="D664" s="2" t="n">
        <v>0.4</v>
      </c>
      <c r="E664" s="2" t="n">
        <v>0.00433346666666667</v>
      </c>
    </row>
    <row r="665" customFormat="false" ht="13.8" hidden="false" customHeight="false" outlineLevel="0" collapsed="false">
      <c r="B665" s="2" t="n">
        <v>663</v>
      </c>
      <c r="C665" s="2" t="n">
        <v>0.305884933333333</v>
      </c>
      <c r="D665" s="2" t="n">
        <v>0.4</v>
      </c>
      <c r="E665" s="2" t="n">
        <v>0.109</v>
      </c>
    </row>
    <row r="666" customFormat="false" ht="13.8" hidden="false" customHeight="false" outlineLevel="0" collapsed="false">
      <c r="B666" s="2" t="n">
        <v>664</v>
      </c>
      <c r="C666" s="2" t="n">
        <v>0.410817533333333</v>
      </c>
      <c r="D666" s="2" t="n">
        <v>0.4</v>
      </c>
      <c r="E666" s="2" t="n">
        <v>0.031</v>
      </c>
    </row>
    <row r="667" customFormat="false" ht="13.8" hidden="false" customHeight="false" outlineLevel="0" collapsed="false">
      <c r="B667" s="2" t="n">
        <v>665</v>
      </c>
      <c r="C667" s="2" t="n">
        <v>0.268885</v>
      </c>
      <c r="D667" s="2" t="n">
        <v>0.4</v>
      </c>
      <c r="E667" s="2" t="n">
        <v>0.109</v>
      </c>
    </row>
    <row r="668" customFormat="false" ht="13.8" hidden="false" customHeight="false" outlineLevel="0" collapsed="false">
      <c r="B668" s="2" t="n">
        <v>666</v>
      </c>
      <c r="C668" s="2" t="n">
        <v>0.381418466666667</v>
      </c>
      <c r="D668" s="2" t="n">
        <v>0.4</v>
      </c>
      <c r="E668" s="2" t="n">
        <v>0.0286671333333333</v>
      </c>
    </row>
    <row r="669" customFormat="false" ht="13.8" hidden="false" customHeight="false" outlineLevel="0" collapsed="false">
      <c r="B669" s="2" t="n">
        <v>667</v>
      </c>
      <c r="C669" s="2" t="n">
        <v>0.313282533333333</v>
      </c>
      <c r="D669" s="2" t="n">
        <v>0.4</v>
      </c>
      <c r="E669" s="2" t="n">
        <v>0.0040002</v>
      </c>
    </row>
    <row r="670" customFormat="false" ht="13.8" hidden="false" customHeight="false" outlineLevel="0" collapsed="false">
      <c r="B670" s="2" t="n">
        <v>668</v>
      </c>
      <c r="C670" s="2" t="n">
        <v>0.422281466666667</v>
      </c>
      <c r="D670" s="2" t="n">
        <v>0.4</v>
      </c>
      <c r="E670" s="2" t="n">
        <v>0.096</v>
      </c>
    </row>
    <row r="671" customFormat="false" ht="13.8" hidden="false" customHeight="false" outlineLevel="0" collapsed="false">
      <c r="B671" s="2" t="n">
        <v>669</v>
      </c>
      <c r="C671" s="2" t="n">
        <v>0.260016533333333</v>
      </c>
      <c r="D671" s="2" t="n">
        <v>0.4</v>
      </c>
      <c r="E671" s="2" t="n">
        <v>0.0436667333333333</v>
      </c>
    </row>
    <row r="672" customFormat="false" ht="13.8" hidden="false" customHeight="false" outlineLevel="0" collapsed="false">
      <c r="B672" s="2" t="n">
        <v>670</v>
      </c>
      <c r="C672" s="2" t="n">
        <v>0.344015533333333</v>
      </c>
      <c r="D672" s="2" t="n">
        <v>0.4</v>
      </c>
      <c r="E672" s="2" t="n">
        <v>0.083</v>
      </c>
    </row>
    <row r="673" customFormat="false" ht="13.8" hidden="false" customHeight="false" outlineLevel="0" collapsed="false">
      <c r="B673" s="2" t="n">
        <v>671</v>
      </c>
      <c r="C673" s="2" t="n">
        <v>0.302281666666667</v>
      </c>
      <c r="D673" s="2" t="n">
        <v>0.4</v>
      </c>
      <c r="E673" s="2" t="n">
        <v>0.0566667333333333</v>
      </c>
    </row>
    <row r="674" customFormat="false" ht="13.8" hidden="false" customHeight="false" outlineLevel="0" collapsed="false">
      <c r="B674" s="2" t="n">
        <v>672</v>
      </c>
      <c r="C674" s="2" t="n">
        <v>0.215016666666667</v>
      </c>
      <c r="D674" s="2" t="n">
        <v>0.373333333333333</v>
      </c>
      <c r="E674" s="2" t="n">
        <v>1E-006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5429687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3" t="s">
        <v>0</v>
      </c>
      <c r="C2" s="2" t="n">
        <v>0.635348561286228</v>
      </c>
      <c r="E2" s="2" t="n">
        <v>0.184607930982778</v>
      </c>
    </row>
    <row r="3" customFormat="false" ht="13.8" hidden="false" customHeight="false" outlineLevel="0" collapsed="false">
      <c r="B3" s="3" t="s">
        <v>1</v>
      </c>
      <c r="C3" s="2" t="n">
        <v>0.614823595884382</v>
      </c>
      <c r="E3" s="2" t="n">
        <v>2.29562858671748</v>
      </c>
    </row>
    <row r="4" customFormat="false" ht="13.8" hidden="false" customHeight="false" outlineLevel="0" collapsed="false">
      <c r="B4" s="3" t="s">
        <v>2</v>
      </c>
      <c r="C4" s="2" t="n">
        <v>4.52792284191943</v>
      </c>
      <c r="E4" s="2" t="n">
        <v>7.92429399551672</v>
      </c>
    </row>
    <row r="5" customFormat="false" ht="13.8" hidden="false" customHeight="false" outlineLevel="0" collapsed="false"/>
    <row r="6" customFormat="false" ht="13.8" hidden="false" customHeight="false" outlineLevel="0" collapsed="false">
      <c r="C6" s="0" t="n">
        <f aca="false">profit!F2-0.518*SUM(C2:C4)-0.384*SUM(E2:E4)</f>
        <v>0.0731885248888098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4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E4" activeCellId="0" sqref="E4"/>
    </sheetView>
  </sheetViews>
  <sheetFormatPr defaultColWidth="8.5429687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2" t="n">
        <v>-85.7596188734421</v>
      </c>
      <c r="D2" s="3" t="s">
        <v>0</v>
      </c>
      <c r="E2" s="2" t="n">
        <v>-40.9284961749528</v>
      </c>
      <c r="F2" s="2" t="n">
        <v>7.06158145149277</v>
      </c>
      <c r="H2" s="3" t="s">
        <v>0</v>
      </c>
      <c r="I2" s="2" t="n">
        <v>0.404150151606391</v>
      </c>
    </row>
    <row r="3" customFormat="false" ht="13.8" hidden="false" customHeight="false" outlineLevel="0" collapsed="false">
      <c r="D3" s="3" t="s">
        <v>1</v>
      </c>
      <c r="E3" s="2" t="n">
        <v>-26.9267833067538</v>
      </c>
      <c r="H3" s="3" t="s">
        <v>1</v>
      </c>
      <c r="I3" s="2" t="n">
        <v>1.21788223896196</v>
      </c>
    </row>
    <row r="4" customFormat="false" ht="13.8" hidden="false" customHeight="false" outlineLevel="0" collapsed="false">
      <c r="D4" s="3" t="s">
        <v>2</v>
      </c>
      <c r="E4" s="2" t="n">
        <v>-17.9043393917349</v>
      </c>
      <c r="H4" s="3" t="s">
        <v>2</v>
      </c>
      <c r="I4" s="2" t="n">
        <v>5.43954906092442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674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0" sqref="C3"/>
    </sheetView>
  </sheetViews>
  <sheetFormatPr defaultColWidth="8.5429687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B3" s="2" t="n">
        <v>1</v>
      </c>
      <c r="C3" s="2" t="n">
        <v>0</v>
      </c>
      <c r="D3" s="2" t="n">
        <v>0</v>
      </c>
      <c r="E3" s="2" t="n">
        <v>0</v>
      </c>
    </row>
    <row r="4" customFormat="false" ht="13.8" hidden="false" customHeight="false" outlineLevel="0" collapsed="false">
      <c r="B4" s="2" t="n">
        <v>2</v>
      </c>
      <c r="C4" s="2" t="n">
        <v>0</v>
      </c>
      <c r="D4" s="2" t="n">
        <v>0</v>
      </c>
      <c r="E4" s="2" t="n">
        <v>0</v>
      </c>
    </row>
    <row r="5" customFormat="false" ht="13.8" hidden="false" customHeight="false" outlineLevel="0" collapsed="false">
      <c r="B5" s="2" t="n">
        <v>3</v>
      </c>
      <c r="C5" s="2" t="n">
        <v>0</v>
      </c>
      <c r="D5" s="2" t="n">
        <v>0</v>
      </c>
      <c r="E5" s="2" t="n">
        <v>0</v>
      </c>
    </row>
    <row r="6" customFormat="false" ht="13.8" hidden="false" customHeight="false" outlineLevel="0" collapsed="false">
      <c r="B6" s="2" t="n">
        <v>4</v>
      </c>
      <c r="C6" s="2" t="n">
        <v>0</v>
      </c>
      <c r="D6" s="2" t="n">
        <v>0</v>
      </c>
      <c r="E6" s="2" t="n">
        <v>0</v>
      </c>
    </row>
    <row r="7" customFormat="false" ht="13.8" hidden="false" customHeight="false" outlineLevel="0" collapsed="false">
      <c r="B7" s="2" t="n">
        <v>5</v>
      </c>
      <c r="C7" s="2" t="n">
        <v>0</v>
      </c>
      <c r="D7" s="2" t="n">
        <v>0</v>
      </c>
      <c r="E7" s="2" t="n">
        <v>0</v>
      </c>
    </row>
    <row r="8" customFormat="false" ht="13.8" hidden="false" customHeight="false" outlineLevel="0" collapsed="false">
      <c r="B8" s="2" t="n">
        <v>6</v>
      </c>
      <c r="C8" s="2" t="n">
        <v>0</v>
      </c>
      <c r="D8" s="2" t="n">
        <v>0</v>
      </c>
      <c r="E8" s="2" t="n">
        <v>0</v>
      </c>
    </row>
    <row r="9" customFormat="false" ht="13.8" hidden="false" customHeight="false" outlineLevel="0" collapsed="false">
      <c r="B9" s="2" t="n">
        <v>7</v>
      </c>
      <c r="C9" s="2" t="n">
        <v>0</v>
      </c>
      <c r="D9" s="2" t="n">
        <v>0</v>
      </c>
      <c r="E9" s="2" t="n">
        <v>0</v>
      </c>
    </row>
    <row r="10" customFormat="false" ht="13.8" hidden="false" customHeight="false" outlineLevel="0" collapsed="false">
      <c r="B10" s="2" t="n">
        <v>8</v>
      </c>
      <c r="C10" s="2" t="n">
        <v>0</v>
      </c>
      <c r="D10" s="2" t="n">
        <v>0</v>
      </c>
      <c r="E10" s="2" t="n">
        <v>0</v>
      </c>
    </row>
    <row r="11" customFormat="false" ht="13.8" hidden="false" customHeight="false" outlineLevel="0" collapsed="false">
      <c r="B11" s="2" t="n">
        <v>9</v>
      </c>
      <c r="C11" s="2" t="n">
        <v>0</v>
      </c>
      <c r="D11" s="2" t="n">
        <v>0</v>
      </c>
      <c r="E11" s="2" t="n">
        <v>0</v>
      </c>
    </row>
    <row r="12" customFormat="false" ht="13.8" hidden="false" customHeight="false" outlineLevel="0" collapsed="false">
      <c r="B12" s="2" t="n">
        <v>10</v>
      </c>
      <c r="C12" s="2" t="n">
        <v>0</v>
      </c>
      <c r="D12" s="2" t="n">
        <v>0</v>
      </c>
      <c r="E12" s="2" t="n">
        <v>0</v>
      </c>
    </row>
    <row r="13" customFormat="false" ht="13.8" hidden="false" customHeight="false" outlineLevel="0" collapsed="false">
      <c r="B13" s="2" t="n">
        <v>11</v>
      </c>
      <c r="C13" s="2" t="n">
        <v>0</v>
      </c>
      <c r="D13" s="2" t="n">
        <v>0</v>
      </c>
      <c r="E13" s="2" t="n">
        <v>0</v>
      </c>
    </row>
    <row r="14" customFormat="false" ht="13.8" hidden="false" customHeight="false" outlineLevel="0" collapsed="false">
      <c r="B14" s="2" t="n">
        <v>12</v>
      </c>
      <c r="C14" s="2" t="n">
        <v>0</v>
      </c>
      <c r="D14" s="2" t="n">
        <v>0</v>
      </c>
      <c r="E14" s="2" t="n">
        <v>0</v>
      </c>
    </row>
    <row r="15" customFormat="false" ht="13.8" hidden="false" customHeight="false" outlineLevel="0" collapsed="false">
      <c r="B15" s="2" t="n">
        <v>13</v>
      </c>
      <c r="C15" s="2" t="n">
        <v>0</v>
      </c>
      <c r="D15" s="2" t="n">
        <v>0</v>
      </c>
      <c r="E15" s="2" t="n">
        <v>0</v>
      </c>
    </row>
    <row r="16" customFormat="false" ht="13.8" hidden="false" customHeight="false" outlineLevel="0" collapsed="false">
      <c r="B16" s="2" t="n">
        <v>14</v>
      </c>
      <c r="C16" s="2" t="n">
        <v>0</v>
      </c>
      <c r="D16" s="2" t="n">
        <v>0</v>
      </c>
      <c r="E16" s="2" t="n">
        <v>0</v>
      </c>
    </row>
    <row r="17" customFormat="false" ht="13.8" hidden="false" customHeight="false" outlineLevel="0" collapsed="false">
      <c r="B17" s="2" t="n">
        <v>15</v>
      </c>
      <c r="C17" s="2" t="n">
        <v>0</v>
      </c>
      <c r="D17" s="2" t="n">
        <v>0</v>
      </c>
      <c r="E17" s="2" t="n">
        <v>0</v>
      </c>
    </row>
    <row r="18" customFormat="false" ht="13.8" hidden="false" customHeight="false" outlineLevel="0" collapsed="false">
      <c r="B18" s="2" t="n">
        <v>16</v>
      </c>
      <c r="C18" s="2" t="n">
        <v>0</v>
      </c>
      <c r="D18" s="2" t="n">
        <v>0</v>
      </c>
      <c r="E18" s="2" t="n">
        <v>0</v>
      </c>
    </row>
    <row r="19" customFormat="false" ht="13.8" hidden="false" customHeight="false" outlineLevel="0" collapsed="false">
      <c r="B19" s="2" t="n">
        <v>17</v>
      </c>
      <c r="C19" s="2" t="n">
        <v>0</v>
      </c>
      <c r="D19" s="2" t="n">
        <v>0</v>
      </c>
      <c r="E19" s="2" t="n">
        <v>0</v>
      </c>
    </row>
    <row r="20" customFormat="false" ht="13.8" hidden="false" customHeight="false" outlineLevel="0" collapsed="false">
      <c r="B20" s="2" t="n">
        <v>18</v>
      </c>
      <c r="C20" s="2" t="n">
        <v>0</v>
      </c>
      <c r="D20" s="2" t="n">
        <v>0</v>
      </c>
      <c r="E20" s="2" t="n">
        <v>0</v>
      </c>
    </row>
    <row r="21" customFormat="false" ht="13.8" hidden="false" customHeight="false" outlineLevel="0" collapsed="false">
      <c r="B21" s="2" t="n">
        <v>19</v>
      </c>
      <c r="C21" s="2" t="n">
        <v>0</v>
      </c>
      <c r="D21" s="2" t="n">
        <v>0</v>
      </c>
      <c r="E21" s="2" t="n">
        <v>0</v>
      </c>
    </row>
    <row r="22" customFormat="false" ht="13.8" hidden="false" customHeight="false" outlineLevel="0" collapsed="false">
      <c r="B22" s="2" t="n">
        <v>20</v>
      </c>
      <c r="C22" s="2" t="n">
        <v>0</v>
      </c>
      <c r="D22" s="2" t="n">
        <v>0</v>
      </c>
      <c r="E22" s="2" t="n">
        <v>0</v>
      </c>
    </row>
    <row r="23" customFormat="false" ht="13.8" hidden="false" customHeight="false" outlineLevel="0" collapsed="false">
      <c r="B23" s="2" t="n">
        <v>21</v>
      </c>
      <c r="C23" s="2" t="n">
        <v>0</v>
      </c>
      <c r="D23" s="2" t="n">
        <v>0</v>
      </c>
      <c r="E23" s="2" t="n">
        <v>0</v>
      </c>
    </row>
    <row r="24" customFormat="false" ht="13.8" hidden="false" customHeight="false" outlineLevel="0" collapsed="false">
      <c r="B24" s="2" t="n">
        <v>22</v>
      </c>
      <c r="C24" s="2" t="n">
        <v>4.56655061353301E-005</v>
      </c>
      <c r="D24" s="2" t="n">
        <v>4.41904611078883E-005</v>
      </c>
      <c r="E24" s="2" t="n">
        <v>0.000325444469052977</v>
      </c>
    </row>
    <row r="25" customFormat="false" ht="13.8" hidden="false" customHeight="false" outlineLevel="0" collapsed="false">
      <c r="B25" s="2" t="n">
        <v>23</v>
      </c>
      <c r="C25" s="2" t="n">
        <v>9.13312301500544E-005</v>
      </c>
      <c r="D25" s="2" t="n">
        <v>8.83809065822949E-005</v>
      </c>
      <c r="E25" s="2" t="n">
        <v>0.000650888922845039</v>
      </c>
    </row>
    <row r="26" customFormat="false" ht="13.8" hidden="false" customHeight="false" outlineLevel="0" collapsed="false">
      <c r="B26" s="2" t="n">
        <v>24</v>
      </c>
      <c r="C26" s="2" t="n">
        <v>0.000136996954165214</v>
      </c>
      <c r="D26" s="2" t="n">
        <v>0.000132571352055637</v>
      </c>
      <c r="E26" s="2" t="n">
        <v>0.000976333376637394</v>
      </c>
    </row>
    <row r="27" customFormat="false" ht="13.8" hidden="false" customHeight="false" outlineLevel="0" collapsed="false">
      <c r="B27" s="2" t="n">
        <v>25</v>
      </c>
      <c r="C27" s="2" t="n">
        <v>0.000182662678180886</v>
      </c>
      <c r="D27" s="2" t="n">
        <v>0.00017676179752898</v>
      </c>
      <c r="E27" s="2" t="n">
        <v>0.00130177783042942</v>
      </c>
    </row>
    <row r="28" customFormat="false" ht="13.8" hidden="false" customHeight="false" outlineLevel="0" collapsed="false">
      <c r="B28" s="2" t="n">
        <v>26</v>
      </c>
      <c r="C28" s="2" t="n">
        <v>0.00165587720078342</v>
      </c>
      <c r="D28" s="2" t="n">
        <v>0.00160238400997029</v>
      </c>
      <c r="E28" s="2" t="n">
        <v>0.0118008989196392</v>
      </c>
    </row>
    <row r="29" customFormat="false" ht="13.8" hidden="false" customHeight="false" outlineLevel="0" collapsed="false">
      <c r="B29" s="2" t="n">
        <v>27</v>
      </c>
      <c r="C29" s="2" t="n">
        <v>0.00312909167715983</v>
      </c>
      <c r="D29" s="2" t="n">
        <v>0.00302800622271016</v>
      </c>
      <c r="E29" s="2" t="n">
        <v>0.0223000200556364</v>
      </c>
    </row>
    <row r="30" customFormat="false" ht="13.8" hidden="false" customHeight="false" outlineLevel="0" collapsed="false">
      <c r="B30" s="2" t="n">
        <v>28</v>
      </c>
      <c r="C30" s="2" t="n">
        <v>0.00460230615373512</v>
      </c>
      <c r="D30" s="2" t="n">
        <v>0.00445362843584632</v>
      </c>
      <c r="E30" s="2" t="n">
        <v>0.0327991410056366</v>
      </c>
    </row>
    <row r="31" customFormat="false" ht="13.8" hidden="false" customHeight="false" outlineLevel="0" collapsed="false">
      <c r="B31" s="2" t="n">
        <v>29</v>
      </c>
      <c r="C31" s="2" t="n">
        <v>0.00607552063022103</v>
      </c>
      <c r="D31" s="2" t="n">
        <v>0.00587925064880751</v>
      </c>
      <c r="E31" s="2" t="n">
        <v>0.0432982620486265</v>
      </c>
    </row>
    <row r="32" customFormat="false" ht="13.8" hidden="false" customHeight="false" outlineLevel="0" collapsed="false">
      <c r="B32" s="2" t="n">
        <v>30</v>
      </c>
      <c r="C32" s="2" t="n">
        <v>0.0124830108457422</v>
      </c>
      <c r="D32" s="2" t="n">
        <v>0.0120797465880944</v>
      </c>
      <c r="E32" s="2" t="n">
        <v>0.0889623640242679</v>
      </c>
    </row>
    <row r="33" customFormat="false" ht="13.8" hidden="false" customHeight="false" outlineLevel="0" collapsed="false">
      <c r="B33" s="2" t="n">
        <v>31</v>
      </c>
      <c r="C33" s="2" t="n">
        <v>0.0188905010984836</v>
      </c>
      <c r="D33" s="2" t="n">
        <v>0.0182802425530433</v>
      </c>
      <c r="E33" s="2" t="n">
        <v>0.0436107822347142</v>
      </c>
    </row>
    <row r="34" customFormat="false" ht="13.8" hidden="false" customHeight="false" outlineLevel="0" collapsed="false">
      <c r="B34" s="2" t="n">
        <v>32</v>
      </c>
      <c r="C34" s="2" t="n">
        <v>0.0252979913390692</v>
      </c>
      <c r="D34" s="2" t="n">
        <v>0.0244807385179175</v>
      </c>
      <c r="E34" s="2" t="n">
        <v>0.0531205253274663</v>
      </c>
    </row>
    <row r="35" customFormat="false" ht="13.8" hidden="false" customHeight="false" outlineLevel="0" collapsed="false">
      <c r="B35" s="2" t="n">
        <v>33</v>
      </c>
      <c r="C35" s="2" t="n">
        <v>0.0317054815796547</v>
      </c>
      <c r="D35" s="2" t="n">
        <v>0.0306812344827915</v>
      </c>
      <c r="E35" s="2" t="n">
        <v>0.0275466184202183</v>
      </c>
    </row>
    <row r="36" customFormat="false" ht="13.8" hidden="false" customHeight="false" outlineLevel="0" collapsed="false">
      <c r="B36" s="2" t="n">
        <v>34</v>
      </c>
      <c r="C36" s="2" t="n">
        <v>0.0336734737482431</v>
      </c>
      <c r="D36" s="2" t="n">
        <v>0.0325856505714103</v>
      </c>
      <c r="E36" s="2" t="n">
        <v>0.066328526251635</v>
      </c>
    </row>
    <row r="37" customFormat="false" ht="13.8" hidden="false" customHeight="false" outlineLevel="0" collapsed="false">
      <c r="B37" s="2" t="n">
        <v>35</v>
      </c>
      <c r="C37" s="2" t="n">
        <v>0.0356414659168315</v>
      </c>
      <c r="D37" s="2" t="n">
        <v>0.0344900666600289</v>
      </c>
      <c r="E37" s="2" t="n">
        <v>0.0371606840830518</v>
      </c>
    </row>
    <row r="38" customFormat="false" ht="13.8" hidden="false" customHeight="false" outlineLevel="0" collapsed="false">
      <c r="B38" s="2" t="n">
        <v>36</v>
      </c>
      <c r="C38" s="2" t="n">
        <v>0.0376094580854199</v>
      </c>
      <c r="D38" s="2" t="n">
        <v>0.0363944827486472</v>
      </c>
      <c r="E38" s="2" t="n">
        <v>0.0428928752478019</v>
      </c>
    </row>
    <row r="39" customFormat="false" ht="13.8" hidden="false" customHeight="false" outlineLevel="0" collapsed="false">
      <c r="B39" s="2" t="n">
        <v>37</v>
      </c>
      <c r="C39" s="2" t="n">
        <v>0.0395774502540083</v>
      </c>
      <c r="D39" s="2" t="n">
        <v>0.0382988988372653</v>
      </c>
      <c r="E39" s="2" t="n">
        <v>0.0621747997458854</v>
      </c>
    </row>
    <row r="40" customFormat="false" ht="13.8" hidden="false" customHeight="false" outlineLevel="0" collapsed="false">
      <c r="B40" s="2" t="n">
        <v>38</v>
      </c>
      <c r="C40" s="2" t="n">
        <v>0.0531139484450916</v>
      </c>
      <c r="D40" s="2" t="n">
        <v>0.0513980998127287</v>
      </c>
      <c r="E40" s="2" t="n">
        <v>0.0153050848881383</v>
      </c>
    </row>
    <row r="41" customFormat="false" ht="13.8" hidden="false" customHeight="false" outlineLevel="0" collapsed="false">
      <c r="B41" s="2" t="n">
        <v>39</v>
      </c>
      <c r="C41" s="2" t="n">
        <v>0.066650446636175</v>
      </c>
      <c r="D41" s="2" t="n">
        <v>0.0644973007881917</v>
      </c>
      <c r="E41" s="2" t="n">
        <v>0.0227684366970578</v>
      </c>
    </row>
    <row r="42" customFormat="false" ht="13.8" hidden="false" customHeight="false" outlineLevel="0" collapsed="false">
      <c r="B42" s="2" t="n">
        <v>40</v>
      </c>
      <c r="C42" s="2" t="n">
        <v>0.0662520000000032</v>
      </c>
      <c r="D42" s="2" t="n">
        <v>0.0775965017636542</v>
      </c>
      <c r="E42" s="2" t="n">
        <v>0.050133799999918</v>
      </c>
    </row>
    <row r="43" customFormat="false" ht="13.8" hidden="false" customHeight="false" outlineLevel="0" collapsed="false">
      <c r="B43" s="2" t="n">
        <v>41</v>
      </c>
      <c r="C43" s="2" t="n">
        <v>0.0807846110516868</v>
      </c>
      <c r="D43" s="2" t="n">
        <v>0.0906957027391162</v>
      </c>
      <c r="E43" s="2" t="n">
        <v>0.0185002499999235</v>
      </c>
    </row>
    <row r="44" customFormat="false" ht="13.8" hidden="false" customHeight="false" outlineLevel="0" collapsed="false">
      <c r="B44" s="2" t="n">
        <v>42</v>
      </c>
      <c r="C44" s="2" t="n">
        <v>0.0414521001171981</v>
      </c>
      <c r="D44" s="2" t="n">
        <v>0.0925786000018757</v>
      </c>
      <c r="E44" s="2" t="n">
        <v>0.050866949999929</v>
      </c>
    </row>
    <row r="45" customFormat="false" ht="13.8" hidden="false" customHeight="false" outlineLevel="0" collapsed="false">
      <c r="B45" s="2" t="n">
        <v>43</v>
      </c>
      <c r="C45" s="2" t="n">
        <v>0.0777852335677871</v>
      </c>
      <c r="D45" s="2" t="n">
        <v>0.0944614972646346</v>
      </c>
      <c r="E45" s="2" t="n">
        <v>0.0375003999999345</v>
      </c>
    </row>
    <row r="46" customFormat="false" ht="13.8" hidden="false" customHeight="false" outlineLevel="0" collapsed="false">
      <c r="B46" s="2" t="n">
        <v>44</v>
      </c>
      <c r="C46" s="2" t="n">
        <v>0.0995607079251792</v>
      </c>
      <c r="D46" s="2" t="n">
        <v>0.0963443945273928</v>
      </c>
      <c r="E46" s="2" t="n">
        <v>0.10000024999994</v>
      </c>
    </row>
    <row r="47" customFormat="false" ht="13.8" hidden="false" customHeight="false" outlineLevel="0" collapsed="false">
      <c r="B47" s="2" t="n">
        <v>45</v>
      </c>
      <c r="C47" s="2" t="n">
        <v>0.101506462894129</v>
      </c>
      <c r="D47" s="2" t="n">
        <v>0.0982272917894961</v>
      </c>
      <c r="E47" s="2" t="n">
        <v>0.0410003666666121</v>
      </c>
    </row>
    <row r="48" customFormat="false" ht="13.8" hidden="false" customHeight="false" outlineLevel="0" collapsed="false">
      <c r="B48" s="2" t="n">
        <v>46</v>
      </c>
      <c r="C48" s="2" t="n">
        <v>0.101880127266743</v>
      </c>
      <c r="D48" s="2" t="n">
        <v>0.0985888849178359</v>
      </c>
      <c r="E48" s="2" t="n">
        <v>0.052500249999951</v>
      </c>
    </row>
    <row r="49" customFormat="false" ht="13.8" hidden="false" customHeight="false" outlineLevel="0" collapsed="false">
      <c r="B49" s="2" t="n">
        <v>47</v>
      </c>
      <c r="C49" s="2" t="n">
        <v>0.102253791639356</v>
      </c>
      <c r="D49" s="2" t="n">
        <v>0.0989504780455208</v>
      </c>
      <c r="E49" s="2" t="n">
        <v>0.0200002499999565</v>
      </c>
    </row>
    <row r="50" customFormat="false" ht="13.8" hidden="false" customHeight="false" outlineLevel="0" collapsed="false">
      <c r="B50" s="2" t="n">
        <v>48</v>
      </c>
      <c r="C50" s="2" t="n">
        <v>0.0415517008206098</v>
      </c>
      <c r="D50" s="2" t="n">
        <v>0.099312071173205</v>
      </c>
      <c r="E50" s="2" t="n">
        <v>0.051000399999962</v>
      </c>
    </row>
    <row r="51" customFormat="false" ht="13.8" hidden="false" customHeight="false" outlineLevel="0" collapsed="false">
      <c r="B51" s="2" t="n">
        <v>49</v>
      </c>
      <c r="C51" s="2" t="n">
        <v>0.103001120382816</v>
      </c>
      <c r="D51" s="2" t="n">
        <v>0.0996736642990424</v>
      </c>
      <c r="E51" s="2" t="n">
        <v>0.0175002676028521</v>
      </c>
    </row>
    <row r="52" customFormat="false" ht="13.8" hidden="false" customHeight="false" outlineLevel="0" collapsed="false">
      <c r="B52" s="2" t="n">
        <v>50</v>
      </c>
      <c r="C52" s="2" t="n">
        <v>0.0642538511994128</v>
      </c>
      <c r="D52" s="2" t="n">
        <v>0.100408378497846</v>
      </c>
      <c r="E52" s="2" t="n">
        <v>0.050000249999973</v>
      </c>
    </row>
    <row r="53" customFormat="false" ht="13.8" hidden="false" customHeight="false" outlineLevel="0" collapsed="false">
      <c r="B53" s="2" t="n">
        <v>51</v>
      </c>
      <c r="C53" s="2" t="n">
        <v>0.0739206345325946</v>
      </c>
      <c r="D53" s="2" t="n">
        <v>0.101143092695316</v>
      </c>
      <c r="E53" s="2" t="n">
        <v>0.0175002499999785</v>
      </c>
    </row>
    <row r="54" customFormat="false" ht="13.8" hidden="false" customHeight="false" outlineLevel="0" collapsed="false">
      <c r="B54" s="2" t="n">
        <v>52</v>
      </c>
      <c r="C54" s="2" t="n">
        <v>0.0732202178658913</v>
      </c>
      <c r="D54" s="2" t="n">
        <v>0.101877806892785</v>
      </c>
      <c r="E54" s="2" t="n">
        <v>0.050000249999984</v>
      </c>
    </row>
    <row r="55" customFormat="false" ht="13.8" hidden="false" customHeight="false" outlineLevel="0" collapsed="false">
      <c r="B55" s="2" t="n">
        <v>53</v>
      </c>
      <c r="C55" s="2" t="n">
        <v>0.0776704678658913</v>
      </c>
      <c r="D55" s="2" t="n">
        <v>0.102612521090253</v>
      </c>
      <c r="E55" s="2" t="n">
        <v>0.0175002499999895</v>
      </c>
    </row>
    <row r="56" customFormat="false" ht="13.8" hidden="false" customHeight="false" outlineLevel="0" collapsed="false">
      <c r="B56" s="2" t="n">
        <v>54</v>
      </c>
      <c r="C56" s="2" t="n">
        <v>0.0642541178658913</v>
      </c>
      <c r="D56" s="2" t="n">
        <v>0.0992102410169016</v>
      </c>
      <c r="E56" s="2" t="n">
        <v>0.260188885933325</v>
      </c>
    </row>
    <row r="57" customFormat="false" ht="13.8" hidden="false" customHeight="false" outlineLevel="0" collapsed="false">
      <c r="B57" s="2" t="n">
        <v>55</v>
      </c>
      <c r="C57" s="2" t="n">
        <v>0.070753734532558</v>
      </c>
      <c r="D57" s="2" t="n">
        <v>0.0958079609435489</v>
      </c>
      <c r="E57" s="2" t="n">
        <v>0.597192415294802</v>
      </c>
    </row>
    <row r="58" customFormat="false" ht="13.8" hidden="false" customHeight="false" outlineLevel="0" collapsed="false">
      <c r="B58" s="2" t="n">
        <v>56</v>
      </c>
      <c r="C58" s="2" t="n">
        <v>0.064253284532558</v>
      </c>
      <c r="D58" s="2" t="n">
        <v>0.0924056808701955</v>
      </c>
      <c r="E58" s="2" t="n">
        <v>0.680529823429698</v>
      </c>
    </row>
    <row r="59" customFormat="false" ht="13.8" hidden="false" customHeight="false" outlineLevel="0" collapsed="false">
      <c r="B59" s="2" t="n">
        <v>57</v>
      </c>
      <c r="C59" s="2" t="n">
        <v>0.0505864678658559</v>
      </c>
      <c r="D59" s="2" t="n">
        <v>0.0890034007968413</v>
      </c>
      <c r="E59" s="2" t="n">
        <v>0.655473430403012</v>
      </c>
    </row>
    <row r="60" customFormat="false" ht="13.8" hidden="false" customHeight="false" outlineLevel="0" collapsed="false">
      <c r="B60" s="2" t="n">
        <v>58</v>
      </c>
      <c r="C60" s="2" t="n">
        <v>0.0740007333333336</v>
      </c>
      <c r="D60" s="2" t="n">
        <v>0.0796192714003075</v>
      </c>
      <c r="E60" s="2" t="n">
        <v>0.586363178076248</v>
      </c>
    </row>
    <row r="61" customFormat="false" ht="13.8" hidden="false" customHeight="false" outlineLevel="0" collapsed="false">
      <c r="B61" s="2" t="n">
        <v>59</v>
      </c>
      <c r="C61" s="2" t="n">
        <v>0.0610044190386528</v>
      </c>
      <c r="D61" s="2" t="n">
        <v>0.070235142003727</v>
      </c>
      <c r="E61" s="2" t="n">
        <v>0.517252925749487</v>
      </c>
    </row>
    <row r="62" customFormat="false" ht="13.8" hidden="false" customHeight="false" outlineLevel="0" collapsed="false">
      <c r="B62" s="2" t="n">
        <v>60</v>
      </c>
      <c r="C62" s="2" t="n">
        <v>0.0628824325740151</v>
      </c>
      <c r="D62" s="2" t="n">
        <v>0.0608510126071777</v>
      </c>
      <c r="E62" s="2" t="n">
        <v>0.448142673422713</v>
      </c>
    </row>
    <row r="63" customFormat="false" ht="13.8" hidden="false" customHeight="false" outlineLevel="0" collapsed="false">
      <c r="B63" s="2" t="n">
        <v>61</v>
      </c>
      <c r="C63" s="2" t="n">
        <v>0.0531850280643371</v>
      </c>
      <c r="D63" s="2" t="n">
        <v>0.0514668832104205</v>
      </c>
      <c r="E63" s="2" t="n">
        <v>0.379032421095968</v>
      </c>
    </row>
    <row r="64" customFormat="false" ht="13.8" hidden="false" customHeight="false" outlineLevel="0" collapsed="false">
      <c r="B64" s="2" t="n">
        <v>62</v>
      </c>
      <c r="C64" s="2" t="n">
        <v>0.0482348685859943</v>
      </c>
      <c r="D64" s="2" t="n">
        <v>0.0466766388691366</v>
      </c>
      <c r="E64" s="2" t="n">
        <v>0.343754242253673</v>
      </c>
    </row>
    <row r="65" customFormat="false" ht="13.8" hidden="false" customHeight="false" outlineLevel="0" collapsed="false">
      <c r="B65" s="2" t="n">
        <v>63</v>
      </c>
      <c r="C65" s="2" t="n">
        <v>0.0432847091077258</v>
      </c>
      <c r="D65" s="2" t="n">
        <v>0.0418863945278209</v>
      </c>
      <c r="E65" s="2" t="n">
        <v>0.308476063411428</v>
      </c>
    </row>
    <row r="66" customFormat="false" ht="13.8" hidden="false" customHeight="false" outlineLevel="0" collapsed="false">
      <c r="B66" s="2" t="n">
        <v>64</v>
      </c>
      <c r="C66" s="2" t="n">
        <v>0.0383345496294272</v>
      </c>
      <c r="D66" s="2" t="n">
        <v>0.0370961501864726</v>
      </c>
      <c r="E66" s="2" t="n">
        <v>0.273197884569174</v>
      </c>
    </row>
    <row r="67" customFormat="false" ht="13.8" hidden="false" customHeight="false" outlineLevel="0" collapsed="false">
      <c r="B67" s="2" t="n">
        <v>65</v>
      </c>
      <c r="C67" s="2" t="n">
        <v>0.0333843901512018</v>
      </c>
      <c r="D67" s="2" t="n">
        <v>0.0323059058450943</v>
      </c>
      <c r="E67" s="2" t="n">
        <v>0.237919705726973</v>
      </c>
    </row>
    <row r="68" customFormat="false" ht="13.8" hidden="false" customHeight="false" outlineLevel="0" collapsed="false">
      <c r="B68" s="2" t="n">
        <v>66</v>
      </c>
      <c r="C68" s="2" t="n">
        <v>0.0283425022244574</v>
      </c>
      <c r="D68" s="2" t="n">
        <v>0.0274268963470398</v>
      </c>
      <c r="E68" s="2" t="n">
        <v>0.201987808024489</v>
      </c>
    </row>
    <row r="69" customFormat="false" ht="13.8" hidden="false" customHeight="false" outlineLevel="0" collapsed="false">
      <c r="B69" s="2" t="n">
        <v>67</v>
      </c>
      <c r="C69" s="2" t="n">
        <v>0.0233006142977381</v>
      </c>
      <c r="D69" s="2" t="n">
        <v>0.0225478868489624</v>
      </c>
      <c r="E69" s="2" t="n">
        <v>0.166055910322029</v>
      </c>
    </row>
    <row r="70" customFormat="false" ht="13.8" hidden="false" customHeight="false" outlineLevel="0" collapsed="false">
      <c r="B70" s="2" t="n">
        <v>68</v>
      </c>
      <c r="C70" s="2" t="n">
        <v>0.0182587263722517</v>
      </c>
      <c r="D70" s="2" t="n">
        <v>0.0176688773508676</v>
      </c>
      <c r="E70" s="2" t="n">
        <v>0.130124012620801</v>
      </c>
    </row>
    <row r="71" customFormat="false" ht="13.8" hidden="false" customHeight="false" outlineLevel="0" collapsed="false">
      <c r="B71" s="2" t="n">
        <v>69</v>
      </c>
      <c r="C71" s="2" t="n">
        <v>0.0132168367358808</v>
      </c>
      <c r="D71" s="2" t="n">
        <v>0.012789867851134</v>
      </c>
      <c r="E71" s="2" t="n">
        <v>0.0941921149167773</v>
      </c>
    </row>
    <row r="72" customFormat="false" ht="13.8" hidden="false" customHeight="false" outlineLevel="0" collapsed="false">
      <c r="B72" s="2" t="n">
        <v>70</v>
      </c>
      <c r="C72" s="2" t="n">
        <v>0.00991262717088503</v>
      </c>
      <c r="D72" s="2" t="n">
        <v>0.00959240088773449</v>
      </c>
      <c r="E72" s="2" t="n">
        <v>0.0706440861869794</v>
      </c>
    </row>
    <row r="73" customFormat="false" ht="13.8" hidden="false" customHeight="false" outlineLevel="0" collapsed="false">
      <c r="B73" s="2" t="n">
        <v>71</v>
      </c>
      <c r="C73" s="2" t="n">
        <v>0.0066084176058901</v>
      </c>
      <c r="D73" s="2" t="n">
        <v>0.00639493392433485</v>
      </c>
      <c r="E73" s="2" t="n">
        <v>0.0470960574571811</v>
      </c>
    </row>
    <row r="74" customFormat="false" ht="13.8" hidden="false" customHeight="false" outlineLevel="0" collapsed="false">
      <c r="B74" s="2" t="n">
        <v>72</v>
      </c>
      <c r="C74" s="2" t="n">
        <v>0.00330420804089322</v>
      </c>
      <c r="D74" s="2" t="n">
        <v>0.00319746696093522</v>
      </c>
      <c r="E74" s="2" t="n">
        <v>0.0235480287273829</v>
      </c>
    </row>
    <row r="75" customFormat="false" ht="13.8" hidden="false" customHeight="false" outlineLevel="0" collapsed="false">
      <c r="B75" s="2" t="n">
        <v>73</v>
      </c>
      <c r="C75" s="2" t="n">
        <v>0</v>
      </c>
      <c r="D75" s="2" t="n">
        <v>0</v>
      </c>
      <c r="E75" s="2" t="n">
        <v>0</v>
      </c>
    </row>
    <row r="76" customFormat="false" ht="13.8" hidden="false" customHeight="false" outlineLevel="0" collapsed="false">
      <c r="B76" s="2" t="n">
        <v>74</v>
      </c>
      <c r="C76" s="2" t="n">
        <v>0</v>
      </c>
      <c r="D76" s="2" t="n">
        <v>0</v>
      </c>
      <c r="E76" s="2" t="n">
        <v>0</v>
      </c>
    </row>
    <row r="77" customFormat="false" ht="13.8" hidden="false" customHeight="false" outlineLevel="0" collapsed="false">
      <c r="B77" s="2" t="n">
        <v>75</v>
      </c>
      <c r="C77" s="2" t="n">
        <v>0</v>
      </c>
      <c r="D77" s="2" t="n">
        <v>0</v>
      </c>
      <c r="E77" s="2" t="n">
        <v>0</v>
      </c>
    </row>
    <row r="78" customFormat="false" ht="13.8" hidden="false" customHeight="false" outlineLevel="0" collapsed="false">
      <c r="B78" s="2" t="n">
        <v>76</v>
      </c>
      <c r="C78" s="2" t="n">
        <v>0</v>
      </c>
      <c r="D78" s="2" t="n">
        <v>0</v>
      </c>
      <c r="E78" s="2" t="n">
        <v>0</v>
      </c>
    </row>
    <row r="79" customFormat="false" ht="13.8" hidden="false" customHeight="false" outlineLevel="0" collapsed="false">
      <c r="B79" s="2" t="n">
        <v>77</v>
      </c>
      <c r="C79" s="2" t="n">
        <v>0</v>
      </c>
      <c r="D79" s="2" t="n">
        <v>0</v>
      </c>
      <c r="E79" s="2" t="n">
        <v>0</v>
      </c>
    </row>
    <row r="80" customFormat="false" ht="13.8" hidden="false" customHeight="false" outlineLevel="0" collapsed="false">
      <c r="B80" s="2" t="n">
        <v>78</v>
      </c>
      <c r="C80" s="2" t="n">
        <v>0</v>
      </c>
      <c r="D80" s="2" t="n">
        <v>0</v>
      </c>
      <c r="E80" s="2" t="n">
        <v>0</v>
      </c>
    </row>
    <row r="81" customFormat="false" ht="13.8" hidden="false" customHeight="false" outlineLevel="0" collapsed="false">
      <c r="B81" s="2" t="n">
        <v>79</v>
      </c>
      <c r="C81" s="2" t="n">
        <v>0</v>
      </c>
      <c r="D81" s="2" t="n">
        <v>0</v>
      </c>
      <c r="E81" s="2" t="n">
        <v>0</v>
      </c>
    </row>
    <row r="82" customFormat="false" ht="13.8" hidden="false" customHeight="false" outlineLevel="0" collapsed="false">
      <c r="B82" s="2" t="n">
        <v>80</v>
      </c>
      <c r="C82" s="2" t="n">
        <v>0</v>
      </c>
      <c r="D82" s="2" t="n">
        <v>0</v>
      </c>
      <c r="E82" s="2" t="n">
        <v>0</v>
      </c>
    </row>
    <row r="83" customFormat="false" ht="13.8" hidden="false" customHeight="false" outlineLevel="0" collapsed="false">
      <c r="B83" s="2" t="n">
        <v>81</v>
      </c>
      <c r="C83" s="2" t="n">
        <v>0</v>
      </c>
      <c r="D83" s="2" t="n">
        <v>0</v>
      </c>
      <c r="E83" s="2" t="n">
        <v>0</v>
      </c>
    </row>
    <row r="84" customFormat="false" ht="13.8" hidden="false" customHeight="false" outlineLevel="0" collapsed="false">
      <c r="B84" s="2" t="n">
        <v>82</v>
      </c>
      <c r="C84" s="2" t="n">
        <v>0</v>
      </c>
      <c r="D84" s="2" t="n">
        <v>0</v>
      </c>
      <c r="E84" s="2" t="n">
        <v>0</v>
      </c>
    </row>
    <row r="85" customFormat="false" ht="13.8" hidden="false" customHeight="false" outlineLevel="0" collapsed="false">
      <c r="B85" s="2" t="n">
        <v>83</v>
      </c>
      <c r="C85" s="2" t="n">
        <v>0</v>
      </c>
      <c r="D85" s="2" t="n">
        <v>0</v>
      </c>
      <c r="E85" s="2" t="n">
        <v>0</v>
      </c>
    </row>
    <row r="86" customFormat="false" ht="13.8" hidden="false" customHeight="false" outlineLevel="0" collapsed="false">
      <c r="B86" s="2" t="n">
        <v>84</v>
      </c>
      <c r="C86" s="2" t="n">
        <v>0</v>
      </c>
      <c r="D86" s="2" t="n">
        <v>0</v>
      </c>
      <c r="E86" s="2" t="n">
        <v>0</v>
      </c>
    </row>
    <row r="87" customFormat="false" ht="13.8" hidden="false" customHeight="false" outlineLevel="0" collapsed="false">
      <c r="B87" s="2" t="n">
        <v>85</v>
      </c>
      <c r="C87" s="2" t="n">
        <v>0</v>
      </c>
      <c r="D87" s="2" t="n">
        <v>0</v>
      </c>
      <c r="E87" s="2" t="n">
        <v>0</v>
      </c>
    </row>
    <row r="88" customFormat="false" ht="13.8" hidden="false" customHeight="false" outlineLevel="0" collapsed="false">
      <c r="B88" s="2" t="n">
        <v>86</v>
      </c>
      <c r="C88" s="2" t="n">
        <v>0</v>
      </c>
      <c r="D88" s="2" t="n">
        <v>0</v>
      </c>
      <c r="E88" s="2" t="n">
        <v>0</v>
      </c>
    </row>
    <row r="89" customFormat="false" ht="13.8" hidden="false" customHeight="false" outlineLevel="0" collapsed="false">
      <c r="B89" s="2" t="n">
        <v>87</v>
      </c>
      <c r="C89" s="2" t="n">
        <v>0</v>
      </c>
      <c r="D89" s="2" t="n">
        <v>0</v>
      </c>
      <c r="E89" s="2" t="n">
        <v>0</v>
      </c>
    </row>
    <row r="90" customFormat="false" ht="13.8" hidden="false" customHeight="false" outlineLevel="0" collapsed="false">
      <c r="B90" s="2" t="n">
        <v>88</v>
      </c>
      <c r="C90" s="2" t="n">
        <v>0</v>
      </c>
      <c r="D90" s="2" t="n">
        <v>0</v>
      </c>
      <c r="E90" s="2" t="n">
        <v>0</v>
      </c>
    </row>
    <row r="91" customFormat="false" ht="13.8" hidden="false" customHeight="false" outlineLevel="0" collapsed="false">
      <c r="B91" s="2" t="n">
        <v>89</v>
      </c>
      <c r="C91" s="2" t="n">
        <v>0</v>
      </c>
      <c r="D91" s="2" t="n">
        <v>0</v>
      </c>
      <c r="E91" s="2" t="n">
        <v>0</v>
      </c>
    </row>
    <row r="92" customFormat="false" ht="13.8" hidden="false" customHeight="false" outlineLevel="0" collapsed="false">
      <c r="B92" s="2" t="n">
        <v>90</v>
      </c>
      <c r="C92" s="2" t="n">
        <v>0</v>
      </c>
      <c r="D92" s="2" t="n">
        <v>0</v>
      </c>
      <c r="E92" s="2" t="n">
        <v>0</v>
      </c>
    </row>
    <row r="93" customFormat="false" ht="13.8" hidden="false" customHeight="false" outlineLevel="0" collapsed="false">
      <c r="B93" s="2" t="n">
        <v>91</v>
      </c>
      <c r="C93" s="2" t="n">
        <v>0</v>
      </c>
      <c r="D93" s="2" t="n">
        <v>0</v>
      </c>
      <c r="E93" s="2" t="n">
        <v>0</v>
      </c>
    </row>
    <row r="94" customFormat="false" ht="13.8" hidden="false" customHeight="false" outlineLevel="0" collapsed="false">
      <c r="B94" s="2" t="n">
        <v>92</v>
      </c>
      <c r="C94" s="2" t="n">
        <v>0</v>
      </c>
      <c r="D94" s="2" t="n">
        <v>0</v>
      </c>
      <c r="E94" s="2" t="n">
        <v>0</v>
      </c>
    </row>
    <row r="95" customFormat="false" ht="13.8" hidden="false" customHeight="false" outlineLevel="0" collapsed="false">
      <c r="B95" s="2" t="n">
        <v>93</v>
      </c>
      <c r="C95" s="2" t="n">
        <v>0</v>
      </c>
      <c r="D95" s="2" t="n">
        <v>0</v>
      </c>
      <c r="E95" s="2" t="n">
        <v>0</v>
      </c>
    </row>
    <row r="96" customFormat="false" ht="13.8" hidden="false" customHeight="false" outlineLevel="0" collapsed="false">
      <c r="B96" s="2" t="n">
        <v>94</v>
      </c>
      <c r="C96" s="2" t="n">
        <v>0</v>
      </c>
      <c r="D96" s="2" t="n">
        <v>0</v>
      </c>
      <c r="E96" s="2" t="n">
        <v>0</v>
      </c>
    </row>
    <row r="97" customFormat="false" ht="13.8" hidden="false" customHeight="false" outlineLevel="0" collapsed="false">
      <c r="B97" s="2" t="n">
        <v>95</v>
      </c>
      <c r="C97" s="2" t="n">
        <v>0</v>
      </c>
      <c r="D97" s="2" t="n">
        <v>0</v>
      </c>
      <c r="E97" s="2" t="n">
        <v>0</v>
      </c>
    </row>
    <row r="98" customFormat="false" ht="13.8" hidden="false" customHeight="false" outlineLevel="0" collapsed="false">
      <c r="B98" s="2" t="n">
        <v>96</v>
      </c>
      <c r="C98" s="2" t="n">
        <v>0</v>
      </c>
      <c r="D98" s="2" t="n">
        <v>0</v>
      </c>
      <c r="E98" s="2" t="n">
        <v>0</v>
      </c>
    </row>
    <row r="99" customFormat="false" ht="13.8" hidden="false" customHeight="false" outlineLevel="0" collapsed="false">
      <c r="B99" s="2" t="n">
        <v>97</v>
      </c>
      <c r="C99" s="2" t="n">
        <v>0</v>
      </c>
      <c r="D99" s="2" t="n">
        <v>0</v>
      </c>
      <c r="E99" s="2" t="n">
        <v>0</v>
      </c>
    </row>
    <row r="100" customFormat="false" ht="13.8" hidden="false" customHeight="false" outlineLevel="0" collapsed="false">
      <c r="B100" s="2" t="n">
        <v>98</v>
      </c>
      <c r="C100" s="2" t="n">
        <v>0</v>
      </c>
      <c r="D100" s="2" t="n">
        <v>0</v>
      </c>
      <c r="E100" s="2" t="n">
        <v>0</v>
      </c>
    </row>
    <row r="101" customFormat="false" ht="13.8" hidden="false" customHeight="false" outlineLevel="0" collapsed="false">
      <c r="B101" s="2" t="n">
        <v>99</v>
      </c>
      <c r="C101" s="2" t="n">
        <v>0</v>
      </c>
      <c r="D101" s="2" t="n">
        <v>0</v>
      </c>
      <c r="E101" s="2" t="n">
        <v>0</v>
      </c>
    </row>
    <row r="102" customFormat="false" ht="13.8" hidden="false" customHeight="false" outlineLevel="0" collapsed="false">
      <c r="B102" s="2" t="n">
        <v>100</v>
      </c>
      <c r="C102" s="2" t="n">
        <v>0</v>
      </c>
      <c r="D102" s="2" t="n">
        <v>0</v>
      </c>
      <c r="E102" s="2" t="n">
        <v>0</v>
      </c>
    </row>
    <row r="103" customFormat="false" ht="13.8" hidden="false" customHeight="false" outlineLevel="0" collapsed="false">
      <c r="B103" s="2" t="n">
        <v>101</v>
      </c>
      <c r="C103" s="2" t="n">
        <v>0</v>
      </c>
      <c r="D103" s="2" t="n">
        <v>0</v>
      </c>
      <c r="E103" s="2" t="n">
        <v>0</v>
      </c>
    </row>
    <row r="104" customFormat="false" ht="13.8" hidden="false" customHeight="false" outlineLevel="0" collapsed="false">
      <c r="B104" s="2" t="n">
        <v>102</v>
      </c>
      <c r="C104" s="2" t="n">
        <v>0</v>
      </c>
      <c r="D104" s="2" t="n">
        <v>0</v>
      </c>
      <c r="E104" s="2" t="n">
        <v>0</v>
      </c>
    </row>
    <row r="105" customFormat="false" ht="13.8" hidden="false" customHeight="false" outlineLevel="0" collapsed="false">
      <c r="B105" s="2" t="n">
        <v>103</v>
      </c>
      <c r="C105" s="2" t="n">
        <v>0</v>
      </c>
      <c r="D105" s="2" t="n">
        <v>0</v>
      </c>
      <c r="E105" s="2" t="n">
        <v>0</v>
      </c>
    </row>
    <row r="106" customFormat="false" ht="13.8" hidden="false" customHeight="false" outlineLevel="0" collapsed="false">
      <c r="B106" s="2" t="n">
        <v>104</v>
      </c>
      <c r="C106" s="2" t="n">
        <v>0</v>
      </c>
      <c r="D106" s="2" t="n">
        <v>0</v>
      </c>
      <c r="E106" s="2" t="n">
        <v>0</v>
      </c>
    </row>
    <row r="107" customFormat="false" ht="13.8" hidden="false" customHeight="false" outlineLevel="0" collapsed="false">
      <c r="B107" s="2" t="n">
        <v>105</v>
      </c>
      <c r="C107" s="2" t="n">
        <v>0</v>
      </c>
      <c r="D107" s="2" t="n">
        <v>0</v>
      </c>
      <c r="E107" s="2" t="n">
        <v>0</v>
      </c>
    </row>
    <row r="108" customFormat="false" ht="13.8" hidden="false" customHeight="false" outlineLevel="0" collapsed="false">
      <c r="B108" s="2" t="n">
        <v>106</v>
      </c>
      <c r="C108" s="2" t="n">
        <v>0</v>
      </c>
      <c r="D108" s="2" t="n">
        <v>0</v>
      </c>
      <c r="E108" s="2" t="n">
        <v>0</v>
      </c>
    </row>
    <row r="109" customFormat="false" ht="13.8" hidden="false" customHeight="false" outlineLevel="0" collapsed="false">
      <c r="B109" s="2" t="n">
        <v>107</v>
      </c>
      <c r="C109" s="2" t="n">
        <v>0</v>
      </c>
      <c r="D109" s="2" t="n">
        <v>0</v>
      </c>
      <c r="E109" s="2" t="n">
        <v>0</v>
      </c>
    </row>
    <row r="110" customFormat="false" ht="13.8" hidden="false" customHeight="false" outlineLevel="0" collapsed="false">
      <c r="B110" s="2" t="n">
        <v>108</v>
      </c>
      <c r="C110" s="2" t="n">
        <v>0</v>
      </c>
      <c r="D110" s="2" t="n">
        <v>0</v>
      </c>
      <c r="E110" s="2" t="n">
        <v>0</v>
      </c>
    </row>
    <row r="111" customFormat="false" ht="13.8" hidden="false" customHeight="false" outlineLevel="0" collapsed="false">
      <c r="B111" s="2" t="n">
        <v>109</v>
      </c>
      <c r="C111" s="2" t="n">
        <v>0</v>
      </c>
      <c r="D111" s="2" t="n">
        <v>0</v>
      </c>
      <c r="E111" s="2" t="n">
        <v>0</v>
      </c>
    </row>
    <row r="112" customFormat="false" ht="13.8" hidden="false" customHeight="false" outlineLevel="0" collapsed="false">
      <c r="B112" s="2" t="n">
        <v>110</v>
      </c>
      <c r="C112" s="2" t="n">
        <v>0</v>
      </c>
      <c r="D112" s="2" t="n">
        <v>0</v>
      </c>
      <c r="E112" s="2" t="n">
        <v>0</v>
      </c>
    </row>
    <row r="113" customFormat="false" ht="13.8" hidden="false" customHeight="false" outlineLevel="0" collapsed="false">
      <c r="B113" s="2" t="n">
        <v>111</v>
      </c>
      <c r="C113" s="2" t="n">
        <v>0</v>
      </c>
      <c r="D113" s="2" t="n">
        <v>0</v>
      </c>
      <c r="E113" s="2" t="n">
        <v>0</v>
      </c>
    </row>
    <row r="114" customFormat="false" ht="13.8" hidden="false" customHeight="false" outlineLevel="0" collapsed="false">
      <c r="B114" s="2" t="n">
        <v>112</v>
      </c>
      <c r="C114" s="2" t="n">
        <v>0</v>
      </c>
      <c r="D114" s="2" t="n">
        <v>0</v>
      </c>
      <c r="E114" s="2" t="n">
        <v>0</v>
      </c>
    </row>
    <row r="115" customFormat="false" ht="13.8" hidden="false" customHeight="false" outlineLevel="0" collapsed="false">
      <c r="B115" s="2" t="n">
        <v>113</v>
      </c>
      <c r="C115" s="2" t="n">
        <v>0</v>
      </c>
      <c r="D115" s="2" t="n">
        <v>0</v>
      </c>
      <c r="E115" s="2" t="n">
        <v>0</v>
      </c>
    </row>
    <row r="116" customFormat="false" ht="13.8" hidden="false" customHeight="false" outlineLevel="0" collapsed="false">
      <c r="B116" s="2" t="n">
        <v>114</v>
      </c>
      <c r="C116" s="2" t="n">
        <v>0</v>
      </c>
      <c r="D116" s="2" t="n">
        <v>0</v>
      </c>
      <c r="E116" s="2" t="n">
        <v>0</v>
      </c>
    </row>
    <row r="117" customFormat="false" ht="13.8" hidden="false" customHeight="false" outlineLevel="0" collapsed="false">
      <c r="B117" s="2" t="n">
        <v>115</v>
      </c>
      <c r="C117" s="2" t="n">
        <v>0</v>
      </c>
      <c r="D117" s="2" t="n">
        <v>0</v>
      </c>
      <c r="E117" s="2" t="n">
        <v>0</v>
      </c>
    </row>
    <row r="118" customFormat="false" ht="13.8" hidden="false" customHeight="false" outlineLevel="0" collapsed="false">
      <c r="B118" s="2" t="n">
        <v>116</v>
      </c>
      <c r="C118" s="2" t="n">
        <v>0</v>
      </c>
      <c r="D118" s="2" t="n">
        <v>0</v>
      </c>
      <c r="E118" s="2" t="n">
        <v>0</v>
      </c>
    </row>
    <row r="119" customFormat="false" ht="13.8" hidden="false" customHeight="false" outlineLevel="0" collapsed="false">
      <c r="B119" s="2" t="n">
        <v>117</v>
      </c>
      <c r="C119" s="2" t="n">
        <v>0</v>
      </c>
      <c r="D119" s="2" t="n">
        <v>0</v>
      </c>
      <c r="E119" s="2" t="n">
        <v>0</v>
      </c>
    </row>
    <row r="120" customFormat="false" ht="13.8" hidden="false" customHeight="false" outlineLevel="0" collapsed="false">
      <c r="B120" s="2" t="n">
        <v>118</v>
      </c>
      <c r="C120" s="2" t="n">
        <v>0.00115434891360025</v>
      </c>
      <c r="D120" s="2" t="n">
        <v>0.00111705761710145</v>
      </c>
      <c r="E120" s="2" t="n">
        <v>0.0082266698097148</v>
      </c>
    </row>
    <row r="121" customFormat="false" ht="13.8" hidden="false" customHeight="false" outlineLevel="0" collapsed="false">
      <c r="B121" s="2" t="n">
        <v>119</v>
      </c>
      <c r="C121" s="2" t="n">
        <v>0.00230869779865614</v>
      </c>
      <c r="D121" s="2" t="n">
        <v>0.00223411523800561</v>
      </c>
      <c r="E121" s="2" t="n">
        <v>0.0164533396231933</v>
      </c>
    </row>
    <row r="122" customFormat="false" ht="13.8" hidden="false" customHeight="false" outlineLevel="0" collapsed="false">
      <c r="B122" s="2" t="n">
        <v>120</v>
      </c>
      <c r="C122" s="2" t="n">
        <v>0.00346304669262999</v>
      </c>
      <c r="D122" s="2" t="n">
        <v>0.00335117285887047</v>
      </c>
      <c r="E122" s="2" t="n">
        <v>0.0246800094372354</v>
      </c>
    </row>
    <row r="123" customFormat="false" ht="13.8" hidden="false" customHeight="false" outlineLevel="0" collapsed="false">
      <c r="B123" s="2" t="n">
        <v>121</v>
      </c>
      <c r="C123" s="2" t="n">
        <v>0.00461739566609299</v>
      </c>
      <c r="D123" s="2" t="n">
        <v>0.00446823048003868</v>
      </c>
      <c r="E123" s="2" t="n">
        <v>0.03290667924998</v>
      </c>
    </row>
    <row r="124" customFormat="false" ht="13.8" hidden="false" customHeight="false" outlineLevel="0" collapsed="false">
      <c r="B124" s="2" t="n">
        <v>122</v>
      </c>
      <c r="C124" s="2" t="n">
        <v>0.00915060765024451</v>
      </c>
      <c r="D124" s="2" t="n">
        <v>0.00885499683602864</v>
      </c>
      <c r="E124" s="2" t="n">
        <v>0.065213408727018</v>
      </c>
    </row>
    <row r="125" customFormat="false" ht="13.8" hidden="false" customHeight="false" outlineLevel="0" collapsed="false">
      <c r="B125" s="2" t="n">
        <v>123</v>
      </c>
      <c r="C125" s="2" t="n">
        <v>0.00541768333333084</v>
      </c>
      <c r="D125" s="2" t="n">
        <v>0.0132417631963991</v>
      </c>
      <c r="E125" s="2" t="n">
        <v>0.00125000000000021</v>
      </c>
    </row>
    <row r="126" customFormat="false" ht="13.8" hidden="false" customHeight="false" outlineLevel="0" collapsed="false">
      <c r="B126" s="2" t="n">
        <v>124</v>
      </c>
      <c r="C126" s="2" t="n">
        <v>0.0182170316235192</v>
      </c>
      <c r="D126" s="2" t="n">
        <v>0.0176285295530472</v>
      </c>
      <c r="E126" s="2" t="n">
        <v>0.105534001709811</v>
      </c>
    </row>
    <row r="127" customFormat="false" ht="13.8" hidden="false" customHeight="false" outlineLevel="0" collapsed="false">
      <c r="B127" s="2" t="n">
        <v>125</v>
      </c>
      <c r="C127" s="2" t="n">
        <v>0.0227502436083063</v>
      </c>
      <c r="D127" s="2" t="n">
        <v>0.0220152959096952</v>
      </c>
      <c r="E127" s="2" t="n">
        <v>0.00700100639168974</v>
      </c>
    </row>
    <row r="128" customFormat="false" ht="13.8" hidden="false" customHeight="false" outlineLevel="0" collapsed="false">
      <c r="B128" s="2" t="n">
        <v>126</v>
      </c>
      <c r="C128" s="2" t="n">
        <v>0.0314052793844467</v>
      </c>
      <c r="D128" s="2" t="n">
        <v>0.0303907303446551</v>
      </c>
      <c r="E128" s="2" t="n">
        <v>0.0781462872822143</v>
      </c>
    </row>
    <row r="129" customFormat="false" ht="13.8" hidden="false" customHeight="false" outlineLevel="0" collapsed="false">
      <c r="B129" s="2" t="n">
        <v>127</v>
      </c>
      <c r="C129" s="2" t="n">
        <v>0.0314182166666668</v>
      </c>
      <c r="D129" s="2" t="n">
        <v>0.0387661647796148</v>
      </c>
      <c r="E129" s="2" t="n">
        <v>0.0335007000000002</v>
      </c>
    </row>
    <row r="130" customFormat="false" ht="13.8" hidden="false" customHeight="false" outlineLevel="0" collapsed="false">
      <c r="B130" s="2" t="n">
        <v>128</v>
      </c>
      <c r="C130" s="2" t="n">
        <v>0.0487153509367298</v>
      </c>
      <c r="D130" s="2" t="n">
        <v>0.0418869094928067</v>
      </c>
      <c r="E130" s="2" t="n">
        <v>0.00333736572992283</v>
      </c>
    </row>
    <row r="131" customFormat="false" ht="13.8" hidden="false" customHeight="false" outlineLevel="0" collapsed="false">
      <c r="B131" s="2" t="n">
        <v>129</v>
      </c>
      <c r="C131" s="2" t="n">
        <v>0.0573703867128681</v>
      </c>
      <c r="D131" s="2" t="n">
        <v>0.0494168506297053</v>
      </c>
      <c r="E131" s="2" t="n">
        <v>0.0515822132871212</v>
      </c>
    </row>
    <row r="132" customFormat="false" ht="13.8" hidden="false" customHeight="false" outlineLevel="0" collapsed="false">
      <c r="B132" s="2" t="n">
        <v>130</v>
      </c>
      <c r="C132" s="2" t="n">
        <v>0.0640022344141422</v>
      </c>
      <c r="D132" s="2" t="n">
        <v>0.053400508483277</v>
      </c>
      <c r="E132" s="2" t="n">
        <v>0.0765841500000001</v>
      </c>
    </row>
    <row r="133" customFormat="false" ht="13.8" hidden="false" customHeight="false" outlineLevel="0" collapsed="false">
      <c r="B133" s="2" t="n">
        <v>131</v>
      </c>
      <c r="C133" s="2" t="n">
        <v>0.0469919195295586</v>
      </c>
      <c r="D133" s="2" t="n">
        <v>0.0607945450194391</v>
      </c>
      <c r="E133" s="2" t="n">
        <v>0.0885007999998404</v>
      </c>
    </row>
    <row r="134" customFormat="false" ht="13.8" hidden="false" customHeight="false" outlineLevel="0" collapsed="false">
      <c r="B134" s="2" t="n">
        <v>132</v>
      </c>
      <c r="C134" s="2" t="n">
        <v>0.0772659298167387</v>
      </c>
      <c r="D134" s="2" t="n">
        <v>0.0665377806796815</v>
      </c>
      <c r="E134" s="2" t="n">
        <v>0.146120136849913</v>
      </c>
    </row>
    <row r="135" customFormat="false" ht="13.8" hidden="false" customHeight="false" outlineLevel="0" collapsed="false">
      <c r="B135" s="2" t="n">
        <v>133</v>
      </c>
      <c r="C135" s="2" t="n">
        <v>0.0613446517273737</v>
      </c>
      <c r="D135" s="2" t="n">
        <v>0.0722488157105243</v>
      </c>
      <c r="E135" s="2" t="n">
        <v>0.100167383333267</v>
      </c>
    </row>
    <row r="136" customFormat="false" ht="13.8" hidden="false" customHeight="false" outlineLevel="0" collapsed="false">
      <c r="B136" s="2" t="n">
        <v>134</v>
      </c>
      <c r="C136" s="2" t="n">
        <v>0.0885112022586782</v>
      </c>
      <c r="D136" s="2" t="n">
        <v>0.0762185813103131</v>
      </c>
      <c r="E136" s="2" t="n">
        <v>0.0972417977413059</v>
      </c>
    </row>
    <row r="137" customFormat="false" ht="13.8" hidden="false" customHeight="false" outlineLevel="0" collapsed="false">
      <c r="B137" s="2" t="n">
        <v>135</v>
      </c>
      <c r="C137" s="2" t="n">
        <v>0.0687971749388337</v>
      </c>
      <c r="D137" s="2" t="n">
        <v>0.0803323990030789</v>
      </c>
      <c r="E137" s="2" t="n">
        <v>0.0584174333333074</v>
      </c>
    </row>
    <row r="138" customFormat="false" ht="13.8" hidden="false" customHeight="false" outlineLevel="0" collapsed="false">
      <c r="B138" s="2" t="n">
        <v>136</v>
      </c>
      <c r="C138" s="2" t="n">
        <v>0.0977380517248461</v>
      </c>
      <c r="D138" s="2" t="n">
        <v>0.0843120911627938</v>
      </c>
      <c r="E138" s="2" t="n">
        <v>0.0473508500000912</v>
      </c>
    </row>
    <row r="139" customFormat="false" ht="13.8" hidden="false" customHeight="false" outlineLevel="0" collapsed="false">
      <c r="B139" s="2" t="n">
        <v>137</v>
      </c>
      <c r="C139" s="2" t="n">
        <v>0.0744000376454306</v>
      </c>
      <c r="D139" s="2" t="n">
        <v>0.0882917830466868</v>
      </c>
      <c r="E139" s="2" t="n">
        <v>0.0217507500289525</v>
      </c>
    </row>
    <row r="140" customFormat="false" ht="13.8" hidden="false" customHeight="false" outlineLevel="0" collapsed="false">
      <c r="B140" s="2" t="n">
        <v>138</v>
      </c>
      <c r="C140" s="2" t="n">
        <v>0.104395710452879</v>
      </c>
      <c r="D140" s="2" t="n">
        <v>0.0898991982276324</v>
      </c>
      <c r="E140" s="2" t="n">
        <v>0.117750550000091</v>
      </c>
    </row>
    <row r="141" customFormat="false" ht="13.8" hidden="false" customHeight="false" outlineLevel="0" collapsed="false">
      <c r="B141" s="2" t="n">
        <v>139</v>
      </c>
      <c r="C141" s="2" t="n">
        <v>0.0763801025887038</v>
      </c>
      <c r="D141" s="2" t="n">
        <v>0.0918186269832374</v>
      </c>
      <c r="E141" s="2" t="n">
        <v>0.102583866670189</v>
      </c>
    </row>
    <row r="142" customFormat="false" ht="13.8" hidden="false" customHeight="false" outlineLevel="0" collapsed="false">
      <c r="B142" s="2" t="n">
        <v>140</v>
      </c>
      <c r="C142" s="2" t="n">
        <v>0.10848417843709</v>
      </c>
      <c r="D142" s="2" t="n">
        <v>0.0935820485038283</v>
      </c>
      <c r="E142" s="2" t="n">
        <v>0.0922753671398367</v>
      </c>
    </row>
    <row r="143" customFormat="false" ht="13.8" hidden="false" customHeight="false" outlineLevel="0" collapsed="false">
      <c r="B143" s="2" t="n">
        <v>141</v>
      </c>
      <c r="C143" s="2" t="n">
        <v>0.0779784122960415</v>
      </c>
      <c r="D143" s="2" t="n">
        <v>0.0951680753415576</v>
      </c>
      <c r="E143" s="2" t="n">
        <v>0.0394301758059525</v>
      </c>
    </row>
    <row r="144" customFormat="false" ht="13.8" hidden="false" customHeight="false" outlineLevel="0" collapsed="false">
      <c r="B144" s="2" t="n">
        <v>142</v>
      </c>
      <c r="C144" s="2" t="n">
        <v>0.0916680833814252</v>
      </c>
      <c r="D144" s="2" t="n">
        <v>0.096390810445331</v>
      </c>
      <c r="E144" s="2" t="n">
        <v>0.0555706406686497</v>
      </c>
    </row>
    <row r="145" customFormat="false" ht="13.8" hidden="false" customHeight="false" outlineLevel="0" collapsed="false">
      <c r="B145" s="2" t="n">
        <v>143</v>
      </c>
      <c r="C145" s="2" t="n">
        <v>0.0930012500690814</v>
      </c>
      <c r="D145" s="2" t="n">
        <v>0.0978220666595858</v>
      </c>
      <c r="E145" s="2" t="n">
        <v>0.0441017518533766</v>
      </c>
    </row>
    <row r="146" customFormat="false" ht="13.8" hidden="false" customHeight="false" outlineLevel="0" collapsed="false">
      <c r="B146" s="2" t="n">
        <v>144</v>
      </c>
      <c r="C146" s="2" t="n">
        <v>0.0710020534462581</v>
      </c>
      <c r="D146" s="2" t="n">
        <v>0.09906036465224</v>
      </c>
      <c r="E146" s="2" t="n">
        <v>0.064697848207594</v>
      </c>
    </row>
    <row r="147" customFormat="false" ht="13.8" hidden="false" customHeight="false" outlineLevel="0" collapsed="false">
      <c r="B147" s="2" t="n">
        <v>145</v>
      </c>
      <c r="C147" s="2" t="n">
        <v>0.0608756260632655</v>
      </c>
      <c r="D147" s="2" t="n">
        <v>0.0998472385864826</v>
      </c>
      <c r="E147" s="2" t="n">
        <v>0.0850262740509543</v>
      </c>
    </row>
    <row r="148" customFormat="false" ht="13.8" hidden="false" customHeight="false" outlineLevel="0" collapsed="false">
      <c r="B148" s="2" t="n">
        <v>146</v>
      </c>
      <c r="C148" s="2" t="n">
        <v>0.0411043011992233</v>
      </c>
      <c r="D148" s="2" t="n">
        <v>0.0979278269464431</v>
      </c>
      <c r="E148" s="2" t="n">
        <v>0.15606482562549</v>
      </c>
    </row>
    <row r="149" customFormat="false" ht="13.8" hidden="false" customHeight="false" outlineLevel="0" collapsed="false">
      <c r="B149" s="2" t="n">
        <v>147</v>
      </c>
      <c r="C149" s="2" t="n">
        <v>0.0441544511992442</v>
      </c>
      <c r="D149" s="2" t="n">
        <v>0.0959479387539977</v>
      </c>
      <c r="E149" s="2" t="n">
        <v>0.276367862364517</v>
      </c>
    </row>
    <row r="150" customFormat="false" ht="13.8" hidden="false" customHeight="false" outlineLevel="0" collapsed="false">
      <c r="B150" s="2" t="n">
        <v>148</v>
      </c>
      <c r="C150" s="2" t="n">
        <v>0.0967203345325581</v>
      </c>
      <c r="D150" s="2" t="n">
        <v>0.0953557154972144</v>
      </c>
      <c r="E150" s="2" t="n">
        <v>0.406594410451422</v>
      </c>
    </row>
    <row r="151" customFormat="false" ht="13.8" hidden="false" customHeight="false" outlineLevel="0" collapsed="false">
      <c r="B151" s="2" t="n">
        <v>149</v>
      </c>
      <c r="C151" s="2" t="n">
        <v>0.0509037511991894</v>
      </c>
      <c r="D151" s="2" t="n">
        <v>0.105121001365633</v>
      </c>
      <c r="E151" s="2" t="n">
        <v>0.612429818505911</v>
      </c>
    </row>
    <row r="152" customFormat="false" ht="13.8" hidden="false" customHeight="false" outlineLevel="0" collapsed="false">
      <c r="B152" s="2" t="n">
        <v>150</v>
      </c>
      <c r="C152" s="2" t="n">
        <v>0.0962683833334617</v>
      </c>
      <c r="D152" s="2" t="n">
        <v>0.101273742714375</v>
      </c>
      <c r="E152" s="2" t="n">
        <v>0.6104680382792</v>
      </c>
    </row>
    <row r="153" customFormat="false" ht="13.8" hidden="false" customHeight="false" outlineLevel="0" collapsed="false">
      <c r="B153" s="2" t="n">
        <v>151</v>
      </c>
      <c r="C153" s="2" t="n">
        <v>0.0471391523779022</v>
      </c>
      <c r="D153" s="2" t="n">
        <v>0.0974264840631175</v>
      </c>
      <c r="E153" s="2" t="n">
        <v>0.717505973337474</v>
      </c>
    </row>
    <row r="154" customFormat="false" ht="13.8" hidden="false" customHeight="false" outlineLevel="0" collapsed="false">
      <c r="B154" s="2" t="n">
        <v>152</v>
      </c>
      <c r="C154" s="2" t="n">
        <v>0.0967032277707891</v>
      </c>
      <c r="D154" s="2" t="n">
        <v>0.0935792254118596</v>
      </c>
      <c r="E154" s="2" t="n">
        <v>0.689172496154104</v>
      </c>
    </row>
    <row r="155" customFormat="false" ht="13.8" hidden="false" customHeight="false" outlineLevel="0" collapsed="false">
      <c r="B155" s="2" t="n">
        <v>153</v>
      </c>
      <c r="C155" s="2" t="n">
        <v>0.0318383190492003</v>
      </c>
      <c r="D155" s="2" t="n">
        <v>0.0897319667605928</v>
      </c>
      <c r="E155" s="2" t="n">
        <v>0.660839018970725</v>
      </c>
    </row>
    <row r="156" customFormat="false" ht="13.8" hidden="false" customHeight="false" outlineLevel="0" collapsed="false">
      <c r="B156" s="2" t="n">
        <v>154</v>
      </c>
      <c r="C156" s="2" t="n">
        <v>0.0646693011991893</v>
      </c>
      <c r="D156" s="2" t="n">
        <v>0.0826345968755902</v>
      </c>
      <c r="E156" s="2" t="n">
        <v>0.608569809664248</v>
      </c>
    </row>
    <row r="157" customFormat="false" ht="13.8" hidden="false" customHeight="false" outlineLevel="0" collapsed="false">
      <c r="B157" s="2" t="n">
        <v>155</v>
      </c>
      <c r="C157" s="2" t="n">
        <v>0.0745002500000004</v>
      </c>
      <c r="D157" s="2" t="n">
        <v>0.075537226990579</v>
      </c>
      <c r="E157" s="2" t="n">
        <v>0.556300600357787</v>
      </c>
    </row>
    <row r="158" customFormat="false" ht="13.8" hidden="false" customHeight="false" outlineLevel="0" collapsed="false">
      <c r="B158" s="2" t="n">
        <v>156</v>
      </c>
      <c r="C158" s="2" t="n">
        <v>0.0650043023778667</v>
      </c>
      <c r="D158" s="2" t="n">
        <v>0.0684398571055677</v>
      </c>
      <c r="E158" s="2" t="n">
        <v>0.50403139105133</v>
      </c>
    </row>
    <row r="159" customFormat="false" ht="13.8" hidden="false" customHeight="false" outlineLevel="0" collapsed="false">
      <c r="B159" s="2" t="n">
        <v>157</v>
      </c>
      <c r="C159" s="2" t="n">
        <v>0.0633903143310665</v>
      </c>
      <c r="D159" s="2" t="n">
        <v>0.0613424872205562</v>
      </c>
      <c r="E159" s="2" t="n">
        <v>0.451762181744921</v>
      </c>
    </row>
    <row r="160" customFormat="false" ht="13.8" hidden="false" customHeight="false" outlineLevel="0" collapsed="false">
      <c r="B160" s="2" t="n">
        <v>158</v>
      </c>
      <c r="C160" s="2" t="n">
        <v>0.0582618601629229</v>
      </c>
      <c r="D160" s="2" t="n">
        <v>0.0563797080075123</v>
      </c>
      <c r="E160" s="2" t="n">
        <v>0.415213354555262</v>
      </c>
    </row>
    <row r="161" customFormat="false" ht="13.8" hidden="false" customHeight="false" outlineLevel="0" collapsed="false">
      <c r="B161" s="2" t="n">
        <v>159</v>
      </c>
      <c r="C161" s="2" t="n">
        <v>0.0508395702027344</v>
      </c>
      <c r="D161" s="2" t="n">
        <v>0.0514169287944695</v>
      </c>
      <c r="E161" s="2" t="n">
        <v>0.37866452736555</v>
      </c>
    </row>
    <row r="162" customFormat="false" ht="13.8" hidden="false" customHeight="false" outlineLevel="0" collapsed="false">
      <c r="B162" s="2" t="n">
        <v>160</v>
      </c>
      <c r="C162" s="2" t="n">
        <v>0.0480049518266464</v>
      </c>
      <c r="D162" s="2" t="n">
        <v>0.0464541495814264</v>
      </c>
      <c r="E162" s="2" t="n">
        <v>0.342115700175949</v>
      </c>
    </row>
    <row r="163" customFormat="false" ht="13.8" hidden="false" customHeight="false" outlineLevel="0" collapsed="false">
      <c r="B163" s="2" t="n">
        <v>161</v>
      </c>
      <c r="C163" s="2" t="n">
        <v>0.0380874690401858</v>
      </c>
      <c r="D163" s="2" t="n">
        <v>0.0414913703683805</v>
      </c>
      <c r="E163" s="2" t="n">
        <v>0.305566872986233</v>
      </c>
    </row>
    <row r="164" customFormat="false" ht="13.8" hidden="false" customHeight="false" outlineLevel="0" collapsed="false">
      <c r="B164" s="2" t="n">
        <v>162</v>
      </c>
      <c r="C164" s="2" t="n">
        <v>0.0365162614671956</v>
      </c>
      <c r="D164" s="2" t="n">
        <v>0.0353366019088121</v>
      </c>
      <c r="E164" s="2" t="n">
        <v>0.260239535386872</v>
      </c>
    </row>
    <row r="165" customFormat="false" ht="13.8" hidden="false" customHeight="false" outlineLevel="0" collapsed="false">
      <c r="B165" s="2" t="n">
        <v>163</v>
      </c>
      <c r="C165" s="2" t="n">
        <v>0.0301560252751575</v>
      </c>
      <c r="D165" s="2" t="n">
        <v>0.0291818334485514</v>
      </c>
      <c r="E165" s="2" t="n">
        <v>0.214912197787448</v>
      </c>
    </row>
    <row r="166" customFormat="false" ht="13.8" hidden="false" customHeight="false" outlineLevel="0" collapsed="false">
      <c r="B166" s="2" t="n">
        <v>164</v>
      </c>
      <c r="C166" s="2" t="n">
        <v>0.0237957872720554</v>
      </c>
      <c r="D166" s="2" t="n">
        <v>0.0230270649887752</v>
      </c>
      <c r="E166" s="2" t="n">
        <v>0.169584860187874</v>
      </c>
    </row>
    <row r="167" customFormat="false" ht="13.8" hidden="false" customHeight="false" outlineLevel="0" collapsed="false">
      <c r="B167" s="2" t="n">
        <v>165</v>
      </c>
      <c r="C167" s="2" t="n">
        <v>0.0174355528924073</v>
      </c>
      <c r="D167" s="2" t="n">
        <v>0.0168722965293442</v>
      </c>
      <c r="E167" s="2" t="n">
        <v>0.124257522588603</v>
      </c>
    </row>
    <row r="168" customFormat="false" ht="13.8" hidden="false" customHeight="false" outlineLevel="0" collapsed="false">
      <c r="B168" s="2" t="n">
        <v>166</v>
      </c>
      <c r="C168" s="2" t="n">
        <v>0.0130778542290888</v>
      </c>
      <c r="D168" s="2" t="n">
        <v>0.0126553751908468</v>
      </c>
      <c r="E168" s="2" t="n">
        <v>0.0932016317963891</v>
      </c>
    </row>
    <row r="169" customFormat="false" ht="13.8" hidden="false" customHeight="false" outlineLevel="0" collapsed="false">
      <c r="B169" s="2" t="n">
        <v>167</v>
      </c>
      <c r="C169" s="2" t="n">
        <v>0.00872015733090884</v>
      </c>
      <c r="D169" s="2" t="n">
        <v>0.00843845385251839</v>
      </c>
      <c r="E169" s="2" t="n">
        <v>0.0621457410043337</v>
      </c>
    </row>
    <row r="170" customFormat="false" ht="13.8" hidden="false" customHeight="false" outlineLevel="0" collapsed="false">
      <c r="B170" s="2" t="n">
        <v>168</v>
      </c>
      <c r="C170" s="2" t="n">
        <v>0.00436246043272724</v>
      </c>
      <c r="D170" s="2" t="n">
        <v>0.00422153251418989</v>
      </c>
      <c r="E170" s="2" t="n">
        <v>0.0310898502122784</v>
      </c>
    </row>
    <row r="171" customFormat="false" ht="13.8" hidden="false" customHeight="false" outlineLevel="0" collapsed="false">
      <c r="B171" s="2" t="n">
        <v>169</v>
      </c>
      <c r="C171" s="2" t="n">
        <v>4.76353440562773E-006</v>
      </c>
      <c r="D171" s="2" t="n">
        <v>4.6111758613889E-006</v>
      </c>
      <c r="E171" s="2" t="n">
        <v>3.3959420223099E-005</v>
      </c>
    </row>
    <row r="172" customFormat="false" ht="13.8" hidden="false" customHeight="false" outlineLevel="0" collapsed="false">
      <c r="B172" s="2" t="n">
        <v>170</v>
      </c>
      <c r="C172" s="2" t="n">
        <v>3.57230231273291E-006</v>
      </c>
      <c r="D172" s="2" t="n">
        <v>3.45838157537242E-006</v>
      </c>
      <c r="E172" s="2" t="n">
        <v>2.54695648524293E-005</v>
      </c>
    </row>
    <row r="173" customFormat="false" ht="13.8" hidden="false" customHeight="false" outlineLevel="0" collapsed="false">
      <c r="B173" s="2" t="n">
        <v>171</v>
      </c>
      <c r="C173" s="2" t="n">
        <v>2.38107009844393E-006</v>
      </c>
      <c r="D173" s="2" t="n">
        <v>2.30558728936055E-006</v>
      </c>
      <c r="E173" s="2" t="n">
        <v>1.69797094817467E-005</v>
      </c>
    </row>
    <row r="174" customFormat="false" ht="13.8" hidden="false" customHeight="false" outlineLevel="0" collapsed="false">
      <c r="B174" s="2" t="n">
        <v>172</v>
      </c>
      <c r="C174" s="2" t="n">
        <v>1.18983691225569E-006</v>
      </c>
      <c r="D174" s="2" t="n">
        <v>1.15279300334091E-006</v>
      </c>
      <c r="E174" s="2" t="n">
        <v>8.4898541107254E-006</v>
      </c>
    </row>
    <row r="175" customFormat="false" ht="13.8" hidden="false" customHeight="false" outlineLevel="0" collapsed="false">
      <c r="B175" s="2" t="n">
        <v>173</v>
      </c>
      <c r="C175" s="2" t="n">
        <v>0</v>
      </c>
      <c r="D175" s="2" t="n">
        <v>0</v>
      </c>
      <c r="E175" s="2" t="n">
        <v>0</v>
      </c>
    </row>
    <row r="176" customFormat="false" ht="13.8" hidden="false" customHeight="false" outlineLevel="0" collapsed="false">
      <c r="B176" s="2" t="n">
        <v>174</v>
      </c>
      <c r="C176" s="2" t="n">
        <v>0</v>
      </c>
      <c r="D176" s="2" t="n">
        <v>0</v>
      </c>
      <c r="E176" s="2" t="n">
        <v>0</v>
      </c>
    </row>
    <row r="177" customFormat="false" ht="13.8" hidden="false" customHeight="false" outlineLevel="0" collapsed="false">
      <c r="B177" s="2" t="n">
        <v>175</v>
      </c>
      <c r="C177" s="2" t="n">
        <v>0</v>
      </c>
      <c r="D177" s="2" t="n">
        <v>0</v>
      </c>
      <c r="E177" s="2" t="n">
        <v>0</v>
      </c>
    </row>
    <row r="178" customFormat="false" ht="13.8" hidden="false" customHeight="false" outlineLevel="0" collapsed="false">
      <c r="B178" s="2" t="n">
        <v>176</v>
      </c>
      <c r="C178" s="2" t="n">
        <v>0</v>
      </c>
      <c r="D178" s="2" t="n">
        <v>0</v>
      </c>
      <c r="E178" s="2" t="n">
        <v>0</v>
      </c>
    </row>
    <row r="179" customFormat="false" ht="13.8" hidden="false" customHeight="false" outlineLevel="0" collapsed="false">
      <c r="B179" s="2" t="n">
        <v>177</v>
      </c>
      <c r="C179" s="2" t="n">
        <v>0</v>
      </c>
      <c r="D179" s="2" t="n">
        <v>0</v>
      </c>
      <c r="E179" s="2" t="n">
        <v>0</v>
      </c>
    </row>
    <row r="180" customFormat="false" ht="13.8" hidden="false" customHeight="false" outlineLevel="0" collapsed="false">
      <c r="B180" s="2" t="n">
        <v>178</v>
      </c>
      <c r="C180" s="2" t="n">
        <v>0</v>
      </c>
      <c r="D180" s="2" t="n">
        <v>0</v>
      </c>
      <c r="E180" s="2" t="n">
        <v>0</v>
      </c>
    </row>
    <row r="181" customFormat="false" ht="13.8" hidden="false" customHeight="false" outlineLevel="0" collapsed="false">
      <c r="B181" s="2" t="n">
        <v>179</v>
      </c>
      <c r="C181" s="2" t="n">
        <v>0</v>
      </c>
      <c r="D181" s="2" t="n">
        <v>0</v>
      </c>
      <c r="E181" s="2" t="n">
        <v>0</v>
      </c>
    </row>
    <row r="182" customFormat="false" ht="13.8" hidden="false" customHeight="false" outlineLevel="0" collapsed="false">
      <c r="B182" s="2" t="n">
        <v>180</v>
      </c>
      <c r="C182" s="2" t="n">
        <v>0</v>
      </c>
      <c r="D182" s="2" t="n">
        <v>0</v>
      </c>
      <c r="E182" s="2" t="n">
        <v>0</v>
      </c>
    </row>
    <row r="183" customFormat="false" ht="13.8" hidden="false" customHeight="false" outlineLevel="0" collapsed="false">
      <c r="B183" s="2" t="n">
        <v>181</v>
      </c>
      <c r="C183" s="2" t="n">
        <v>0</v>
      </c>
      <c r="D183" s="2" t="n">
        <v>0</v>
      </c>
      <c r="E183" s="2" t="n">
        <v>0</v>
      </c>
    </row>
    <row r="184" customFormat="false" ht="13.8" hidden="false" customHeight="false" outlineLevel="0" collapsed="false">
      <c r="B184" s="2" t="n">
        <v>182</v>
      </c>
      <c r="C184" s="2" t="n">
        <v>0</v>
      </c>
      <c r="D184" s="2" t="n">
        <v>0</v>
      </c>
      <c r="E184" s="2" t="n">
        <v>0</v>
      </c>
    </row>
    <row r="185" customFormat="false" ht="13.8" hidden="false" customHeight="false" outlineLevel="0" collapsed="false">
      <c r="B185" s="2" t="n">
        <v>183</v>
      </c>
      <c r="C185" s="2" t="n">
        <v>0</v>
      </c>
      <c r="D185" s="2" t="n">
        <v>0</v>
      </c>
      <c r="E185" s="2" t="n">
        <v>0</v>
      </c>
    </row>
    <row r="186" customFormat="false" ht="13.8" hidden="false" customHeight="false" outlineLevel="0" collapsed="false">
      <c r="B186" s="2" t="n">
        <v>184</v>
      </c>
      <c r="C186" s="2" t="n">
        <v>0</v>
      </c>
      <c r="D186" s="2" t="n">
        <v>0</v>
      </c>
      <c r="E186" s="2" t="n">
        <v>0</v>
      </c>
    </row>
    <row r="187" customFormat="false" ht="13.8" hidden="false" customHeight="false" outlineLevel="0" collapsed="false">
      <c r="B187" s="2" t="n">
        <v>185</v>
      </c>
      <c r="C187" s="2" t="n">
        <v>0</v>
      </c>
      <c r="D187" s="2" t="n">
        <v>0</v>
      </c>
      <c r="E187" s="2" t="n">
        <v>0</v>
      </c>
    </row>
    <row r="188" customFormat="false" ht="13.8" hidden="false" customHeight="false" outlineLevel="0" collapsed="false">
      <c r="B188" s="2" t="n">
        <v>186</v>
      </c>
      <c r="C188" s="2" t="n">
        <v>0</v>
      </c>
      <c r="D188" s="2" t="n">
        <v>0</v>
      </c>
      <c r="E188" s="2" t="n">
        <v>0</v>
      </c>
    </row>
    <row r="189" customFormat="false" ht="13.8" hidden="false" customHeight="false" outlineLevel="0" collapsed="false">
      <c r="B189" s="2" t="n">
        <v>187</v>
      </c>
      <c r="C189" s="2" t="n">
        <v>0</v>
      </c>
      <c r="D189" s="2" t="n">
        <v>0</v>
      </c>
      <c r="E189" s="2" t="n">
        <v>0</v>
      </c>
    </row>
    <row r="190" customFormat="false" ht="13.8" hidden="false" customHeight="false" outlineLevel="0" collapsed="false">
      <c r="B190" s="2" t="n">
        <v>188</v>
      </c>
      <c r="C190" s="2" t="n">
        <v>0</v>
      </c>
      <c r="D190" s="2" t="n">
        <v>0</v>
      </c>
      <c r="E190" s="2" t="n">
        <v>0</v>
      </c>
    </row>
    <row r="191" customFormat="false" ht="13.8" hidden="false" customHeight="false" outlineLevel="0" collapsed="false">
      <c r="B191" s="2" t="n">
        <v>189</v>
      </c>
      <c r="C191" s="2" t="n">
        <v>0</v>
      </c>
      <c r="D191" s="2" t="n">
        <v>0</v>
      </c>
      <c r="E191" s="2" t="n">
        <v>0</v>
      </c>
    </row>
    <row r="192" customFormat="false" ht="13.8" hidden="false" customHeight="false" outlineLevel="0" collapsed="false">
      <c r="B192" s="2" t="n">
        <v>190</v>
      </c>
      <c r="C192" s="2" t="n">
        <v>0</v>
      </c>
      <c r="D192" s="2" t="n">
        <v>0</v>
      </c>
      <c r="E192" s="2" t="n">
        <v>0</v>
      </c>
    </row>
    <row r="193" customFormat="false" ht="13.8" hidden="false" customHeight="false" outlineLevel="0" collapsed="false">
      <c r="B193" s="2" t="n">
        <v>191</v>
      </c>
      <c r="C193" s="2" t="n">
        <v>0</v>
      </c>
      <c r="D193" s="2" t="n">
        <v>0</v>
      </c>
      <c r="E193" s="2" t="n">
        <v>0</v>
      </c>
    </row>
    <row r="194" customFormat="false" ht="13.8" hidden="false" customHeight="false" outlineLevel="0" collapsed="false">
      <c r="B194" s="2" t="n">
        <v>192</v>
      </c>
      <c r="C194" s="2" t="n">
        <v>0</v>
      </c>
      <c r="D194" s="2" t="n">
        <v>0</v>
      </c>
      <c r="E194" s="2" t="n">
        <v>0</v>
      </c>
    </row>
    <row r="195" customFormat="false" ht="13.8" hidden="false" customHeight="false" outlineLevel="0" collapsed="false">
      <c r="B195" s="2" t="n">
        <v>193</v>
      </c>
      <c r="C195" s="2" t="n">
        <v>0</v>
      </c>
      <c r="D195" s="2" t="n">
        <v>0</v>
      </c>
      <c r="E195" s="2" t="n">
        <v>0</v>
      </c>
    </row>
    <row r="196" customFormat="false" ht="13.8" hidden="false" customHeight="false" outlineLevel="0" collapsed="false">
      <c r="B196" s="2" t="n">
        <v>194</v>
      </c>
      <c r="C196" s="2" t="n">
        <v>0</v>
      </c>
      <c r="D196" s="2" t="n">
        <v>0</v>
      </c>
      <c r="E196" s="2" t="n">
        <v>0</v>
      </c>
    </row>
    <row r="197" customFormat="false" ht="13.8" hidden="false" customHeight="false" outlineLevel="0" collapsed="false">
      <c r="B197" s="2" t="n">
        <v>195</v>
      </c>
      <c r="C197" s="2" t="n">
        <v>0</v>
      </c>
      <c r="D197" s="2" t="n">
        <v>0</v>
      </c>
      <c r="E197" s="2" t="n">
        <v>0</v>
      </c>
    </row>
    <row r="198" customFormat="false" ht="13.8" hidden="false" customHeight="false" outlineLevel="0" collapsed="false">
      <c r="B198" s="2" t="n">
        <v>196</v>
      </c>
      <c r="C198" s="2" t="n">
        <v>0</v>
      </c>
      <c r="D198" s="2" t="n">
        <v>0</v>
      </c>
      <c r="E198" s="2" t="n">
        <v>0</v>
      </c>
    </row>
    <row r="199" customFormat="false" ht="13.8" hidden="false" customHeight="false" outlineLevel="0" collapsed="false">
      <c r="B199" s="2" t="n">
        <v>197</v>
      </c>
      <c r="C199" s="2" t="n">
        <v>0</v>
      </c>
      <c r="D199" s="2" t="n">
        <v>0</v>
      </c>
      <c r="E199" s="2" t="n">
        <v>0</v>
      </c>
    </row>
    <row r="200" customFormat="false" ht="13.8" hidden="false" customHeight="false" outlineLevel="0" collapsed="false">
      <c r="B200" s="2" t="n">
        <v>198</v>
      </c>
      <c r="C200" s="2" t="n">
        <v>0</v>
      </c>
      <c r="D200" s="2" t="n">
        <v>0</v>
      </c>
      <c r="E200" s="2" t="n">
        <v>0</v>
      </c>
    </row>
    <row r="201" customFormat="false" ht="13.8" hidden="false" customHeight="false" outlineLevel="0" collapsed="false">
      <c r="B201" s="2" t="n">
        <v>199</v>
      </c>
      <c r="C201" s="2" t="n">
        <v>0</v>
      </c>
      <c r="D201" s="2" t="n">
        <v>0</v>
      </c>
      <c r="E201" s="2" t="n">
        <v>0</v>
      </c>
    </row>
    <row r="202" customFormat="false" ht="13.8" hidden="false" customHeight="false" outlineLevel="0" collapsed="false">
      <c r="B202" s="2" t="n">
        <v>200</v>
      </c>
      <c r="C202" s="2" t="n">
        <v>0</v>
      </c>
      <c r="D202" s="2" t="n">
        <v>0</v>
      </c>
      <c r="E202" s="2" t="n">
        <v>0</v>
      </c>
    </row>
    <row r="203" customFormat="false" ht="13.8" hidden="false" customHeight="false" outlineLevel="0" collapsed="false">
      <c r="B203" s="2" t="n">
        <v>201</v>
      </c>
      <c r="C203" s="2" t="n">
        <v>0</v>
      </c>
      <c r="D203" s="2" t="n">
        <v>0</v>
      </c>
      <c r="E203" s="2" t="n">
        <v>0</v>
      </c>
    </row>
    <row r="204" customFormat="false" ht="13.8" hidden="false" customHeight="false" outlineLevel="0" collapsed="false">
      <c r="B204" s="2" t="n">
        <v>202</v>
      </c>
      <c r="C204" s="2" t="n">
        <v>0</v>
      </c>
      <c r="D204" s="2" t="n">
        <v>0</v>
      </c>
      <c r="E204" s="2" t="n">
        <v>0</v>
      </c>
    </row>
    <row r="205" customFormat="false" ht="13.8" hidden="false" customHeight="false" outlineLevel="0" collapsed="false">
      <c r="B205" s="2" t="n">
        <v>203</v>
      </c>
      <c r="C205" s="2" t="n">
        <v>0</v>
      </c>
      <c r="D205" s="2" t="n">
        <v>0</v>
      </c>
      <c r="E205" s="2" t="n">
        <v>0</v>
      </c>
    </row>
    <row r="206" customFormat="false" ht="13.8" hidden="false" customHeight="false" outlineLevel="0" collapsed="false">
      <c r="B206" s="2" t="n">
        <v>204</v>
      </c>
      <c r="C206" s="2" t="n">
        <v>0</v>
      </c>
      <c r="D206" s="2" t="n">
        <v>0</v>
      </c>
      <c r="E206" s="2" t="n">
        <v>0</v>
      </c>
    </row>
    <row r="207" customFormat="false" ht="13.8" hidden="false" customHeight="false" outlineLevel="0" collapsed="false">
      <c r="B207" s="2" t="n">
        <v>205</v>
      </c>
      <c r="C207" s="2" t="n">
        <v>0</v>
      </c>
      <c r="D207" s="2" t="n">
        <v>0</v>
      </c>
      <c r="E207" s="2" t="n">
        <v>0</v>
      </c>
    </row>
    <row r="208" customFormat="false" ht="13.8" hidden="false" customHeight="false" outlineLevel="0" collapsed="false">
      <c r="B208" s="2" t="n">
        <v>206</v>
      </c>
      <c r="C208" s="2" t="n">
        <v>0</v>
      </c>
      <c r="D208" s="2" t="n">
        <v>0</v>
      </c>
      <c r="E208" s="2" t="n">
        <v>0</v>
      </c>
    </row>
    <row r="209" customFormat="false" ht="13.8" hidden="false" customHeight="false" outlineLevel="0" collapsed="false">
      <c r="B209" s="2" t="n">
        <v>207</v>
      </c>
      <c r="C209" s="2" t="n">
        <v>0</v>
      </c>
      <c r="D209" s="2" t="n">
        <v>0</v>
      </c>
      <c r="E209" s="2" t="n">
        <v>0</v>
      </c>
    </row>
    <row r="210" customFormat="false" ht="13.8" hidden="false" customHeight="false" outlineLevel="0" collapsed="false">
      <c r="B210" s="2" t="n">
        <v>208</v>
      </c>
      <c r="C210" s="2" t="n">
        <v>0</v>
      </c>
      <c r="D210" s="2" t="n">
        <v>0</v>
      </c>
      <c r="E210" s="2" t="n">
        <v>0</v>
      </c>
    </row>
    <row r="211" customFormat="false" ht="13.8" hidden="false" customHeight="false" outlineLevel="0" collapsed="false">
      <c r="B211" s="2" t="n">
        <v>209</v>
      </c>
      <c r="C211" s="2" t="n">
        <v>0</v>
      </c>
      <c r="D211" s="2" t="n">
        <v>0</v>
      </c>
      <c r="E211" s="2" t="n">
        <v>0</v>
      </c>
    </row>
    <row r="212" customFormat="false" ht="13.8" hidden="false" customHeight="false" outlineLevel="0" collapsed="false">
      <c r="B212" s="2" t="n">
        <v>210</v>
      </c>
      <c r="C212" s="2" t="n">
        <v>0</v>
      </c>
      <c r="D212" s="2" t="n">
        <v>0</v>
      </c>
      <c r="E212" s="2" t="n">
        <v>0</v>
      </c>
    </row>
    <row r="213" customFormat="false" ht="13.8" hidden="false" customHeight="false" outlineLevel="0" collapsed="false">
      <c r="B213" s="2" t="n">
        <v>211</v>
      </c>
      <c r="C213" s="2" t="n">
        <v>0</v>
      </c>
      <c r="D213" s="2" t="n">
        <v>0</v>
      </c>
      <c r="E213" s="2" t="n">
        <v>0</v>
      </c>
    </row>
    <row r="214" customFormat="false" ht="13.8" hidden="false" customHeight="false" outlineLevel="0" collapsed="false">
      <c r="B214" s="2" t="n">
        <v>212</v>
      </c>
      <c r="C214" s="2" t="n">
        <v>0</v>
      </c>
      <c r="D214" s="2" t="n">
        <v>0</v>
      </c>
      <c r="E214" s="2" t="n">
        <v>0</v>
      </c>
    </row>
    <row r="215" customFormat="false" ht="13.8" hidden="false" customHeight="false" outlineLevel="0" collapsed="false">
      <c r="B215" s="2" t="n">
        <v>213</v>
      </c>
      <c r="C215" s="2" t="n">
        <v>0</v>
      </c>
      <c r="D215" s="2" t="n">
        <v>0</v>
      </c>
      <c r="E215" s="2" t="n">
        <v>0</v>
      </c>
    </row>
    <row r="216" customFormat="false" ht="13.8" hidden="false" customHeight="false" outlineLevel="0" collapsed="false">
      <c r="B216" s="2" t="n">
        <v>214</v>
      </c>
      <c r="C216" s="2" t="n">
        <v>0.000952625704498277</v>
      </c>
      <c r="D216" s="2" t="n">
        <v>0.000921851126718379</v>
      </c>
      <c r="E216" s="2" t="n">
        <v>0.00678905430872435</v>
      </c>
    </row>
    <row r="217" customFormat="false" ht="13.8" hidden="false" customHeight="false" outlineLevel="0" collapsed="false">
      <c r="B217" s="2" t="n">
        <v>215</v>
      </c>
      <c r="C217" s="2" t="n">
        <v>0.00190525149576594</v>
      </c>
      <c r="D217" s="2" t="n">
        <v>0.00184370225578466</v>
      </c>
      <c r="E217" s="2" t="n">
        <v>0.0135781086198113</v>
      </c>
    </row>
    <row r="218" customFormat="false" ht="13.8" hidden="false" customHeight="false" outlineLevel="0" collapsed="false">
      <c r="B218" s="2" t="n">
        <v>216</v>
      </c>
      <c r="C218" s="2" t="n">
        <v>0.00285787724485221</v>
      </c>
      <c r="D218" s="2" t="n">
        <v>0.00276555338486379</v>
      </c>
      <c r="E218" s="2" t="n">
        <v>0.0203671629309109</v>
      </c>
    </row>
    <row r="219" customFormat="false" ht="13.8" hidden="false" customHeight="false" outlineLevel="0" collapsed="false">
      <c r="B219" s="2" t="n">
        <v>217</v>
      </c>
      <c r="C219" s="2" t="n">
        <v>0.0038105029939354</v>
      </c>
      <c r="D219" s="2" t="n">
        <v>0.00368740451394431</v>
      </c>
      <c r="E219" s="2" t="n">
        <v>0.0271562172420121</v>
      </c>
    </row>
    <row r="220" customFormat="false" ht="13.8" hidden="false" customHeight="false" outlineLevel="0" collapsed="false">
      <c r="B220" s="2" t="n">
        <v>218</v>
      </c>
      <c r="C220" s="2" t="n">
        <v>0.008622871252839</v>
      </c>
      <c r="D220" s="2" t="n">
        <v>0.00834430898803437</v>
      </c>
      <c r="E220" s="2" t="n">
        <v>0.0614524028177729</v>
      </c>
    </row>
    <row r="221" customFormat="false" ht="13.8" hidden="false" customHeight="false" outlineLevel="0" collapsed="false">
      <c r="B221" s="2" t="n">
        <v>219</v>
      </c>
      <c r="C221" s="2" t="n">
        <v>0.0134352395117419</v>
      </c>
      <c r="D221" s="2" t="n">
        <v>0.0130012134621247</v>
      </c>
      <c r="E221" s="2" t="n">
        <v>0.0957485883935341</v>
      </c>
    </row>
    <row r="222" customFormat="false" ht="13.8" hidden="false" customHeight="false" outlineLevel="0" collapsed="false">
      <c r="B222" s="2" t="n">
        <v>220</v>
      </c>
      <c r="C222" s="2" t="n">
        <v>0.018247607773031</v>
      </c>
      <c r="D222" s="2" t="n">
        <v>0.00839242735550617</v>
      </c>
      <c r="E222" s="2" t="n">
        <v>0.072886675560299</v>
      </c>
    </row>
    <row r="223" customFormat="false" ht="13.8" hidden="false" customHeight="false" outlineLevel="0" collapsed="false">
      <c r="B223" s="2" t="n">
        <v>221</v>
      </c>
      <c r="C223" s="2" t="n">
        <v>0.0230599760319338</v>
      </c>
      <c r="D223" s="2" t="n">
        <v>0.0160342009390429</v>
      </c>
      <c r="E223" s="2" t="n">
        <v>0.0862415739680619</v>
      </c>
    </row>
    <row r="224" customFormat="false" ht="13.8" hidden="false" customHeight="false" outlineLevel="0" collapsed="false">
      <c r="B224" s="2" t="n">
        <v>222</v>
      </c>
      <c r="C224" s="2" t="n">
        <v>0.0309740365484726</v>
      </c>
      <c r="D224" s="2" t="n">
        <v>0.0247755164850333</v>
      </c>
      <c r="E224" s="2" t="n">
        <v>0.0582773134515216</v>
      </c>
    </row>
    <row r="225" customFormat="false" ht="13.8" hidden="false" customHeight="false" outlineLevel="0" collapsed="false">
      <c r="B225" s="2" t="n">
        <v>223</v>
      </c>
      <c r="C225" s="2" t="n">
        <v>0.0388880970650114</v>
      </c>
      <c r="D225" s="2" t="n">
        <v>0.0376318152452048</v>
      </c>
      <c r="E225" s="2" t="n">
        <v>0.068113219601648</v>
      </c>
    </row>
    <row r="226" customFormat="false" ht="13.8" hidden="false" customHeight="false" outlineLevel="0" collapsed="false">
      <c r="B226" s="2" t="n">
        <v>224</v>
      </c>
      <c r="C226" s="2" t="n">
        <v>0.0468021575815502</v>
      </c>
      <c r="D226" s="2" t="n">
        <v>0.0452902116614623</v>
      </c>
      <c r="E226" s="2" t="n">
        <v>0.0369493257517743</v>
      </c>
    </row>
    <row r="227" customFormat="false" ht="13.8" hidden="false" customHeight="false" outlineLevel="0" collapsed="false">
      <c r="B227" s="2" t="n">
        <v>225</v>
      </c>
      <c r="C227" s="2" t="n">
        <v>0.054716218098089</v>
      </c>
      <c r="D227" s="2" t="n">
        <v>0.0471190310407096</v>
      </c>
      <c r="E227" s="2" t="n">
        <v>0.0540689152352341</v>
      </c>
    </row>
    <row r="228" customFormat="false" ht="13.8" hidden="false" customHeight="false" outlineLevel="0" collapsed="false">
      <c r="B228" s="2" t="n">
        <v>226</v>
      </c>
      <c r="C228" s="2" t="n">
        <v>0.0618507853484803</v>
      </c>
      <c r="D228" s="2" t="n">
        <v>0.0598526927947745</v>
      </c>
      <c r="E228" s="2" t="n">
        <v>0.0837500833333335</v>
      </c>
    </row>
    <row r="229" customFormat="false" ht="13.8" hidden="false" customHeight="false" outlineLevel="0" collapsed="false">
      <c r="B229" s="2" t="n">
        <v>227</v>
      </c>
      <c r="C229" s="2" t="n">
        <v>0.0689853525989089</v>
      </c>
      <c r="D229" s="2" t="n">
        <v>0.059406937936311</v>
      </c>
      <c r="E229" s="2" t="n">
        <v>0.086016947401074</v>
      </c>
    </row>
    <row r="230" customFormat="false" ht="13.8" hidden="false" customHeight="false" outlineLevel="0" collapsed="false">
      <c r="B230" s="2" t="n">
        <v>228</v>
      </c>
      <c r="C230" s="2" t="n">
        <v>0.0476087936725814</v>
      </c>
      <c r="D230" s="2" t="n">
        <v>0.0656634751623615</v>
      </c>
      <c r="E230" s="2" t="n">
        <v>0.0370835499998714</v>
      </c>
    </row>
    <row r="231" customFormat="false" ht="13.8" hidden="false" customHeight="false" outlineLevel="0" collapsed="false">
      <c r="B231" s="2" t="n">
        <v>229</v>
      </c>
      <c r="C231" s="2" t="n">
        <v>0.0582563048049317</v>
      </c>
      <c r="D231" s="2" t="n">
        <v>0.0718179892321072</v>
      </c>
      <c r="E231" s="2" t="n">
        <v>0.0587499999999317</v>
      </c>
    </row>
    <row r="232" customFormat="false" ht="13.8" hidden="false" customHeight="false" outlineLevel="0" collapsed="false">
      <c r="B232" s="2" t="n">
        <v>230</v>
      </c>
      <c r="C232" s="2" t="n">
        <v>0.0718721274417683</v>
      </c>
      <c r="D232" s="2" t="n">
        <v>0.0759138045241498</v>
      </c>
      <c r="E232" s="2" t="n">
        <v>0.0587503166666303</v>
      </c>
    </row>
    <row r="233" customFormat="false" ht="13.8" hidden="false" customHeight="false" outlineLevel="0" collapsed="false">
      <c r="B233" s="2" t="n">
        <v>231</v>
      </c>
      <c r="C233" s="2" t="n">
        <v>0.0701639475934974</v>
      </c>
      <c r="D233" s="2" t="n">
        <v>0.0800096195678446</v>
      </c>
      <c r="E233" s="2" t="n">
        <v>0.0587504999999807</v>
      </c>
    </row>
    <row r="234" customFormat="false" ht="13.8" hidden="false" customHeight="false" outlineLevel="0" collapsed="false">
      <c r="B234" s="2" t="n">
        <v>232</v>
      </c>
      <c r="C234" s="2" t="n">
        <v>0.0750995707980733</v>
      </c>
      <c r="D234" s="2" t="n">
        <v>0.0841054343497922</v>
      </c>
      <c r="E234" s="2" t="n">
        <v>0.0587504999999998</v>
      </c>
    </row>
    <row r="235" customFormat="false" ht="13.8" hidden="false" customHeight="false" outlineLevel="0" collapsed="false">
      <c r="B235" s="2" t="n">
        <v>233</v>
      </c>
      <c r="C235" s="2" t="n">
        <v>0.0794125988450744</v>
      </c>
      <c r="D235" s="2" t="n">
        <v>0.0880372698484257</v>
      </c>
      <c r="E235" s="2" t="n">
        <v>0.0604836166666677</v>
      </c>
    </row>
    <row r="236" customFormat="false" ht="13.8" hidden="false" customHeight="false" outlineLevel="0" collapsed="false">
      <c r="B236" s="2" t="n">
        <v>234</v>
      </c>
      <c r="C236" s="2" t="n">
        <v>0.0817448952112264</v>
      </c>
      <c r="D236" s="2" t="n">
        <v>0.0905483682228089</v>
      </c>
      <c r="E236" s="2" t="n">
        <v>0.0618379738584963</v>
      </c>
    </row>
    <row r="237" customFormat="false" ht="13.8" hidden="false" customHeight="false" outlineLevel="0" collapsed="false">
      <c r="B237" s="2" t="n">
        <v>235</v>
      </c>
      <c r="C237" s="2" t="n">
        <v>0.0837682791400859</v>
      </c>
      <c r="D237" s="2" t="n">
        <v>0.0928954872928004</v>
      </c>
      <c r="E237" s="2" t="n">
        <v>0.0635414259152572</v>
      </c>
    </row>
    <row r="238" customFormat="false" ht="13.8" hidden="false" customHeight="false" outlineLevel="0" collapsed="false">
      <c r="B238" s="2" t="n">
        <v>236</v>
      </c>
      <c r="C238" s="2" t="n">
        <v>0.0854360480152223</v>
      </c>
      <c r="D238" s="2" t="n">
        <v>0.0949435270689368</v>
      </c>
      <c r="E238" s="2" t="n">
        <v>0.0675909930601205</v>
      </c>
    </row>
    <row r="239" customFormat="false" ht="13.8" hidden="false" customHeight="false" outlineLevel="0" collapsed="false">
      <c r="B239" s="2" t="n">
        <v>237</v>
      </c>
      <c r="C239" s="2" t="n">
        <v>0.086557473666327</v>
      </c>
      <c r="D239" s="2" t="n">
        <v>0.0975897245133974</v>
      </c>
      <c r="E239" s="2" t="n">
        <v>0.0698190884479645</v>
      </c>
    </row>
    <row r="240" customFormat="false" ht="13.8" hidden="false" customHeight="false" outlineLevel="0" collapsed="false">
      <c r="B240" s="2" t="n">
        <v>238</v>
      </c>
      <c r="C240" s="2" t="n">
        <v>0.0849707697365583</v>
      </c>
      <c r="D240" s="2" t="n">
        <v>0.0980165324937906</v>
      </c>
      <c r="E240" s="2" t="n">
        <v>0.0763605219252762</v>
      </c>
    </row>
    <row r="241" customFormat="false" ht="13.8" hidden="false" customHeight="false" outlineLevel="0" collapsed="false">
      <c r="B241" s="2" t="n">
        <v>239</v>
      </c>
      <c r="C241" s="2" t="n">
        <v>0.0816255911899897</v>
      </c>
      <c r="D241" s="2" t="n">
        <v>0.0984433401535279</v>
      </c>
      <c r="E241" s="2" t="n">
        <v>0.0936235619115438</v>
      </c>
    </row>
    <row r="242" customFormat="false" ht="13.8" hidden="false" customHeight="false" outlineLevel="0" collapsed="false">
      <c r="B242" s="2" t="n">
        <v>240</v>
      </c>
      <c r="C242" s="2" t="n">
        <v>0.0750096166772749</v>
      </c>
      <c r="D242" s="2" t="n">
        <v>0.0951769468336197</v>
      </c>
      <c r="E242" s="2" t="n">
        <v>0.104426496920209</v>
      </c>
    </row>
    <row r="243" customFormat="false" ht="13.8" hidden="false" customHeight="false" outlineLevel="0" collapsed="false">
      <c r="B243" s="2" t="n">
        <v>241</v>
      </c>
      <c r="C243" s="2" t="n">
        <v>0.0949685834439761</v>
      </c>
      <c r="D243" s="2" t="n">
        <v>0.111390664984683</v>
      </c>
      <c r="E243" s="2" t="n">
        <v>0.163008156621622</v>
      </c>
    </row>
    <row r="244" customFormat="false" ht="13.8" hidden="false" customHeight="false" outlineLevel="0" collapsed="false">
      <c r="B244" s="2" t="n">
        <v>242</v>
      </c>
      <c r="C244" s="2" t="n">
        <v>0.0480417526765734</v>
      </c>
      <c r="D244" s="2" t="n">
        <v>0.0923788217644582</v>
      </c>
      <c r="E244" s="2" t="n">
        <v>0.273293571539771</v>
      </c>
    </row>
    <row r="245" customFormat="false" ht="13.8" hidden="false" customHeight="false" outlineLevel="0" collapsed="false">
      <c r="B245" s="2" t="n">
        <v>243</v>
      </c>
      <c r="C245" s="2" t="n">
        <v>0.112230352422951</v>
      </c>
      <c r="D245" s="2" t="n">
        <v>0.108604745565824</v>
      </c>
      <c r="E245" s="2" t="n">
        <v>0.480454941489007</v>
      </c>
    </row>
    <row r="246" customFormat="false" ht="13.8" hidden="false" customHeight="false" outlineLevel="0" collapsed="false">
      <c r="B246" s="2" t="n">
        <v>244</v>
      </c>
      <c r="C246" s="2" t="n">
        <v>0.0315876678659504</v>
      </c>
      <c r="D246" s="2" t="n">
        <v>0.0956870234868563</v>
      </c>
      <c r="E246" s="2" t="n">
        <v>0.661738474452508</v>
      </c>
    </row>
    <row r="247" customFormat="false" ht="13.8" hidden="false" customHeight="false" outlineLevel="0" collapsed="false">
      <c r="B247" s="2" t="n">
        <v>245</v>
      </c>
      <c r="C247" s="2" t="n">
        <v>0.0982185833333782</v>
      </c>
      <c r="D247" s="2" t="n">
        <v>0.0926301905354843</v>
      </c>
      <c r="E247" s="2" t="n">
        <v>0.779312120129662</v>
      </c>
    </row>
    <row r="248" customFormat="false" ht="13.8" hidden="false" customHeight="false" outlineLevel="0" collapsed="false">
      <c r="B248" s="2" t="n">
        <v>246</v>
      </c>
      <c r="C248" s="2" t="n">
        <v>0.039055885711271</v>
      </c>
      <c r="D248" s="2" t="n">
        <v>0.102674387718754</v>
      </c>
      <c r="E248" s="2" t="n">
        <v>0.756154624744956</v>
      </c>
    </row>
    <row r="249" customFormat="false" ht="13.8" hidden="false" customHeight="false" outlineLevel="0" collapsed="false">
      <c r="B249" s="2" t="n">
        <v>247</v>
      </c>
      <c r="C249" s="2" t="n">
        <v>0.0900864845325581</v>
      </c>
      <c r="D249" s="2" t="n">
        <v>0.0995299492905432</v>
      </c>
      <c r="E249" s="2" t="n">
        <v>0.732997129360227</v>
      </c>
    </row>
    <row r="250" customFormat="false" ht="13.8" hidden="false" customHeight="false" outlineLevel="0" collapsed="false">
      <c r="B250" s="2" t="n">
        <v>248</v>
      </c>
      <c r="C250" s="2" t="n">
        <v>0.054502667866849</v>
      </c>
      <c r="D250" s="2" t="n">
        <v>0.0963855108623309</v>
      </c>
      <c r="E250" s="2" t="n">
        <v>0.709839633975554</v>
      </c>
    </row>
    <row r="251" customFormat="false" ht="13.8" hidden="false" customHeight="false" outlineLevel="0" collapsed="false">
      <c r="B251" s="2" t="n">
        <v>249</v>
      </c>
      <c r="C251" s="2" t="n">
        <v>0.0758354345325581</v>
      </c>
      <c r="D251" s="2" t="n">
        <v>0.0932410724341222</v>
      </c>
      <c r="E251" s="2" t="n">
        <v>0.686682138590864</v>
      </c>
    </row>
    <row r="252" customFormat="false" ht="13.8" hidden="false" customHeight="false" outlineLevel="0" collapsed="false">
      <c r="B252" s="2" t="n">
        <v>250</v>
      </c>
      <c r="C252" s="2" t="n">
        <v>0.0711522511992248</v>
      </c>
      <c r="D252" s="2" t="n">
        <v>0.087682298597816</v>
      </c>
      <c r="E252" s="2" t="n">
        <v>0.645744056196312</v>
      </c>
    </row>
    <row r="253" customFormat="false" ht="13.8" hidden="false" customHeight="false" outlineLevel="0" collapsed="false">
      <c r="B253" s="2" t="n">
        <v>251</v>
      </c>
      <c r="C253" s="2" t="n">
        <v>0.0609188011992248</v>
      </c>
      <c r="D253" s="2" t="n">
        <v>0.0721622859018883</v>
      </c>
      <c r="E253" s="2" t="n">
        <v>0.604805973801763</v>
      </c>
    </row>
    <row r="254" customFormat="false" ht="13.8" hidden="false" customHeight="false" outlineLevel="0" collapsed="false">
      <c r="B254" s="2" t="n">
        <v>252</v>
      </c>
      <c r="C254" s="2" t="n">
        <v>0.0707520511992248</v>
      </c>
      <c r="D254" s="2" t="n">
        <v>0.0765647509252038</v>
      </c>
      <c r="E254" s="2" t="n">
        <v>0.563867891407165</v>
      </c>
    </row>
    <row r="255" customFormat="false" ht="13.8" hidden="false" customHeight="false" outlineLevel="0" collapsed="false">
      <c r="B255" s="2" t="n">
        <v>253</v>
      </c>
      <c r="C255" s="2" t="n">
        <v>0.0575021011992248</v>
      </c>
      <c r="D255" s="2" t="n">
        <v>0.0710059770888976</v>
      </c>
      <c r="E255" s="2" t="n">
        <v>0.522929809012675</v>
      </c>
    </row>
    <row r="256" customFormat="false" ht="13.8" hidden="false" customHeight="false" outlineLevel="0" collapsed="false">
      <c r="B256" s="2" t="n">
        <v>254</v>
      </c>
      <c r="C256" s="2" t="n">
        <v>0.0505022011948613</v>
      </c>
      <c r="D256" s="2" t="n">
        <v>0.0555512332120556</v>
      </c>
      <c r="E256" s="2" t="n">
        <v>0.40911197852561</v>
      </c>
    </row>
    <row r="257" customFormat="false" ht="13.8" hidden="false" customHeight="false" outlineLevel="0" collapsed="false">
      <c r="B257" s="2" t="n">
        <v>255</v>
      </c>
      <c r="C257" s="2" t="n">
        <v>0.0414350506101134</v>
      </c>
      <c r="D257" s="2" t="n">
        <v>0.0400964893352136</v>
      </c>
      <c r="E257" s="2" t="n">
        <v>0.295294148038668</v>
      </c>
    </row>
    <row r="258" customFormat="false" ht="13.8" hidden="false" customHeight="false" outlineLevel="0" collapsed="false">
      <c r="B258" s="2" t="n">
        <v>256</v>
      </c>
      <c r="C258" s="2" t="n">
        <v>0.025464373242912</v>
      </c>
      <c r="D258" s="2" t="n">
        <v>0.024641745457692</v>
      </c>
      <c r="E258" s="2" t="n">
        <v>0.181476317551664</v>
      </c>
    </row>
    <row r="259" customFormat="false" ht="13.8" hidden="false" customHeight="false" outlineLevel="0" collapsed="false">
      <c r="B259" s="2" t="n">
        <v>257</v>
      </c>
      <c r="C259" s="2" t="n">
        <v>0.00949369413043037</v>
      </c>
      <c r="D259" s="2" t="n">
        <v>0.00918700158065672</v>
      </c>
      <c r="E259" s="2" t="n">
        <v>0.0676584870645126</v>
      </c>
    </row>
    <row r="260" customFormat="false" ht="13.8" hidden="false" customHeight="false" outlineLevel="0" collapsed="false">
      <c r="B260" s="2" t="n">
        <v>258</v>
      </c>
      <c r="C260" s="2" t="n">
        <v>0.0081030750134622</v>
      </c>
      <c r="D260" s="2" t="n">
        <v>0.00784130643511703</v>
      </c>
      <c r="E260" s="2" t="n">
        <v>0.0577479959442199</v>
      </c>
    </row>
    <row r="261" customFormat="false" ht="13.8" hidden="false" customHeight="false" outlineLevel="0" collapsed="false">
      <c r="B261" s="2" t="n">
        <v>259</v>
      </c>
      <c r="C261" s="2" t="n">
        <v>0.00671245589649656</v>
      </c>
      <c r="D261" s="2" t="n">
        <v>0.00649561128957728</v>
      </c>
      <c r="E261" s="2" t="n">
        <v>0.0478375048239271</v>
      </c>
    </row>
    <row r="262" customFormat="false" ht="13.8" hidden="false" customHeight="false" outlineLevel="0" collapsed="false">
      <c r="B262" s="2" t="n">
        <v>260</v>
      </c>
      <c r="C262" s="2" t="n">
        <v>0.00532183677952782</v>
      </c>
      <c r="D262" s="2" t="n">
        <v>0.00514991614403753</v>
      </c>
      <c r="E262" s="2" t="n">
        <v>0.0379270137036343</v>
      </c>
    </row>
    <row r="263" customFormat="false" ht="13.8" hidden="false" customHeight="false" outlineLevel="0" collapsed="false">
      <c r="B263" s="2" t="n">
        <v>261</v>
      </c>
      <c r="C263" s="2" t="n">
        <v>0.00393121766256107</v>
      </c>
      <c r="D263" s="2" t="n">
        <v>0.00380422099849778</v>
      </c>
      <c r="E263" s="2" t="n">
        <v>0.0280165225833416</v>
      </c>
    </row>
    <row r="264" customFormat="false" ht="13.8" hidden="false" customHeight="false" outlineLevel="0" collapsed="false">
      <c r="B264" s="2" t="n">
        <v>262</v>
      </c>
      <c r="C264" s="2" t="n">
        <v>0.00294841290336759</v>
      </c>
      <c r="D264" s="2" t="n">
        <v>0.00285316574856753</v>
      </c>
      <c r="E264" s="2" t="n">
        <v>0.0210123919372057</v>
      </c>
    </row>
    <row r="265" customFormat="false" ht="13.8" hidden="false" customHeight="false" outlineLevel="0" collapsed="false">
      <c r="B265" s="2" t="n">
        <v>263</v>
      </c>
      <c r="C265" s="2" t="n">
        <v>0.00196560814422146</v>
      </c>
      <c r="D265" s="2" t="n">
        <v>0.00190211049863726</v>
      </c>
      <c r="E265" s="2" t="n">
        <v>0.0140082612910696</v>
      </c>
    </row>
    <row r="266" customFormat="false" ht="13.8" hidden="false" customHeight="false" outlineLevel="0" collapsed="false">
      <c r="B266" s="2" t="n">
        <v>264</v>
      </c>
      <c r="C266" s="2" t="n">
        <v>0.000982803385073529</v>
      </c>
      <c r="D266" s="2" t="n">
        <v>0.000951054415722875</v>
      </c>
      <c r="E266" s="2" t="n">
        <v>0.00700413064493397</v>
      </c>
    </row>
    <row r="267" customFormat="false" ht="13.8" hidden="false" customHeight="false" outlineLevel="0" collapsed="false">
      <c r="B267" s="2" t="n">
        <v>265</v>
      </c>
      <c r="C267" s="2" t="n">
        <v>0</v>
      </c>
      <c r="D267" s="2" t="n">
        <v>0</v>
      </c>
      <c r="E267" s="2" t="n">
        <v>0</v>
      </c>
    </row>
    <row r="268" customFormat="false" ht="13.8" hidden="false" customHeight="false" outlineLevel="0" collapsed="false">
      <c r="B268" s="2" t="n">
        <v>266</v>
      </c>
      <c r="C268" s="2" t="n">
        <v>0</v>
      </c>
      <c r="D268" s="2" t="n">
        <v>0</v>
      </c>
      <c r="E268" s="2" t="n">
        <v>0</v>
      </c>
    </row>
    <row r="269" customFormat="false" ht="13.8" hidden="false" customHeight="false" outlineLevel="0" collapsed="false">
      <c r="B269" s="2" t="n">
        <v>267</v>
      </c>
      <c r="C269" s="2" t="n">
        <v>0</v>
      </c>
      <c r="D269" s="2" t="n">
        <v>0</v>
      </c>
      <c r="E269" s="2" t="n">
        <v>0</v>
      </c>
    </row>
    <row r="270" customFormat="false" ht="13.8" hidden="false" customHeight="false" outlineLevel="0" collapsed="false">
      <c r="B270" s="2" t="n">
        <v>268</v>
      </c>
      <c r="C270" s="2" t="n">
        <v>0</v>
      </c>
      <c r="D270" s="2" t="n">
        <v>0</v>
      </c>
      <c r="E270" s="2" t="n">
        <v>0</v>
      </c>
    </row>
    <row r="271" customFormat="false" ht="13.8" hidden="false" customHeight="false" outlineLevel="0" collapsed="false">
      <c r="B271" s="2" t="n">
        <v>269</v>
      </c>
      <c r="C271" s="2" t="n">
        <v>0</v>
      </c>
      <c r="D271" s="2" t="n">
        <v>0</v>
      </c>
      <c r="E271" s="2" t="n">
        <v>0</v>
      </c>
    </row>
    <row r="272" customFormat="false" ht="13.8" hidden="false" customHeight="false" outlineLevel="0" collapsed="false">
      <c r="B272" s="2" t="n">
        <v>270</v>
      </c>
      <c r="C272" s="2" t="n">
        <v>0</v>
      </c>
      <c r="D272" s="2" t="n">
        <v>0</v>
      </c>
      <c r="E272" s="2" t="n">
        <v>0</v>
      </c>
    </row>
    <row r="273" customFormat="false" ht="13.8" hidden="false" customHeight="false" outlineLevel="0" collapsed="false">
      <c r="B273" s="2" t="n">
        <v>271</v>
      </c>
      <c r="C273" s="2" t="n">
        <v>0</v>
      </c>
      <c r="D273" s="2" t="n">
        <v>0</v>
      </c>
      <c r="E273" s="2" t="n">
        <v>0</v>
      </c>
    </row>
    <row r="274" customFormat="false" ht="13.8" hidden="false" customHeight="false" outlineLevel="0" collapsed="false">
      <c r="B274" s="2" t="n">
        <v>272</v>
      </c>
      <c r="C274" s="2" t="n">
        <v>0</v>
      </c>
      <c r="D274" s="2" t="n">
        <v>0</v>
      </c>
      <c r="E274" s="2" t="n">
        <v>0</v>
      </c>
    </row>
    <row r="275" customFormat="false" ht="13.8" hidden="false" customHeight="false" outlineLevel="0" collapsed="false">
      <c r="B275" s="2" t="n">
        <v>273</v>
      </c>
      <c r="C275" s="2" t="n">
        <v>0</v>
      </c>
      <c r="D275" s="2" t="n">
        <v>0</v>
      </c>
      <c r="E275" s="2" t="n">
        <v>0</v>
      </c>
    </row>
    <row r="276" customFormat="false" ht="13.8" hidden="false" customHeight="false" outlineLevel="0" collapsed="false">
      <c r="B276" s="2" t="n">
        <v>274</v>
      </c>
      <c r="C276" s="2" t="n">
        <v>0</v>
      </c>
      <c r="D276" s="2" t="n">
        <v>0</v>
      </c>
      <c r="E276" s="2" t="n">
        <v>0</v>
      </c>
    </row>
    <row r="277" customFormat="false" ht="13.8" hidden="false" customHeight="false" outlineLevel="0" collapsed="false">
      <c r="B277" s="2" t="n">
        <v>275</v>
      </c>
      <c r="C277" s="2" t="n">
        <v>0</v>
      </c>
      <c r="D277" s="2" t="n">
        <v>0</v>
      </c>
      <c r="E277" s="2" t="n">
        <v>0</v>
      </c>
    </row>
    <row r="278" customFormat="false" ht="13.8" hidden="false" customHeight="false" outlineLevel="0" collapsed="false">
      <c r="B278" s="2" t="n">
        <v>276</v>
      </c>
      <c r="C278" s="2" t="n">
        <v>0</v>
      </c>
      <c r="D278" s="2" t="n">
        <v>0</v>
      </c>
      <c r="E278" s="2" t="n">
        <v>0</v>
      </c>
    </row>
    <row r="279" customFormat="false" ht="13.8" hidden="false" customHeight="false" outlineLevel="0" collapsed="false">
      <c r="B279" s="2" t="n">
        <v>277</v>
      </c>
      <c r="C279" s="2" t="n">
        <v>0</v>
      </c>
      <c r="D279" s="2" t="n">
        <v>0</v>
      </c>
      <c r="E279" s="2" t="n">
        <v>0</v>
      </c>
    </row>
    <row r="280" customFormat="false" ht="13.8" hidden="false" customHeight="false" outlineLevel="0" collapsed="false">
      <c r="B280" s="2" t="n">
        <v>278</v>
      </c>
      <c r="C280" s="2" t="n">
        <v>0</v>
      </c>
      <c r="D280" s="2" t="n">
        <v>0</v>
      </c>
      <c r="E280" s="2" t="n">
        <v>0</v>
      </c>
    </row>
    <row r="281" customFormat="false" ht="13.8" hidden="false" customHeight="false" outlineLevel="0" collapsed="false">
      <c r="B281" s="2" t="n">
        <v>279</v>
      </c>
      <c r="C281" s="2" t="n">
        <v>0</v>
      </c>
      <c r="D281" s="2" t="n">
        <v>0</v>
      </c>
      <c r="E281" s="2" t="n">
        <v>0</v>
      </c>
    </row>
    <row r="282" customFormat="false" ht="13.8" hidden="false" customHeight="false" outlineLevel="0" collapsed="false">
      <c r="B282" s="2" t="n">
        <v>280</v>
      </c>
      <c r="C282" s="2" t="n">
        <v>0</v>
      </c>
      <c r="D282" s="2" t="n">
        <v>0</v>
      </c>
      <c r="E282" s="2" t="n">
        <v>0</v>
      </c>
    </row>
    <row r="283" customFormat="false" ht="13.8" hidden="false" customHeight="false" outlineLevel="0" collapsed="false">
      <c r="B283" s="2" t="n">
        <v>281</v>
      </c>
      <c r="C283" s="2" t="n">
        <v>0</v>
      </c>
      <c r="D283" s="2" t="n">
        <v>0</v>
      </c>
      <c r="E283" s="2" t="n">
        <v>0</v>
      </c>
    </row>
    <row r="284" customFormat="false" ht="13.8" hidden="false" customHeight="false" outlineLevel="0" collapsed="false">
      <c r="B284" s="2" t="n">
        <v>282</v>
      </c>
      <c r="C284" s="2" t="n">
        <v>0</v>
      </c>
      <c r="D284" s="2" t="n">
        <v>0</v>
      </c>
      <c r="E284" s="2" t="n">
        <v>0</v>
      </c>
    </row>
    <row r="285" customFormat="false" ht="13.8" hidden="false" customHeight="false" outlineLevel="0" collapsed="false">
      <c r="B285" s="2" t="n">
        <v>283</v>
      </c>
      <c r="C285" s="2" t="n">
        <v>0</v>
      </c>
      <c r="D285" s="2" t="n">
        <v>0</v>
      </c>
      <c r="E285" s="2" t="n">
        <v>0</v>
      </c>
    </row>
    <row r="286" customFormat="false" ht="13.8" hidden="false" customHeight="false" outlineLevel="0" collapsed="false">
      <c r="B286" s="2" t="n">
        <v>284</v>
      </c>
      <c r="C286" s="2" t="n">
        <v>0</v>
      </c>
      <c r="D286" s="2" t="n">
        <v>0</v>
      </c>
      <c r="E286" s="2" t="n">
        <v>0</v>
      </c>
    </row>
    <row r="287" customFormat="false" ht="13.8" hidden="false" customHeight="false" outlineLevel="0" collapsed="false">
      <c r="B287" s="2" t="n">
        <v>285</v>
      </c>
      <c r="C287" s="2" t="n">
        <v>0</v>
      </c>
      <c r="D287" s="2" t="n">
        <v>0</v>
      </c>
      <c r="E287" s="2" t="n">
        <v>0</v>
      </c>
    </row>
    <row r="288" customFormat="false" ht="13.8" hidden="false" customHeight="false" outlineLevel="0" collapsed="false">
      <c r="B288" s="2" t="n">
        <v>286</v>
      </c>
      <c r="C288" s="2" t="n">
        <v>0</v>
      </c>
      <c r="D288" s="2" t="n">
        <v>0</v>
      </c>
      <c r="E288" s="2" t="n">
        <v>0</v>
      </c>
    </row>
    <row r="289" customFormat="false" ht="13.8" hidden="false" customHeight="false" outlineLevel="0" collapsed="false">
      <c r="B289" s="2" t="n">
        <v>287</v>
      </c>
      <c r="C289" s="2" t="n">
        <v>0</v>
      </c>
      <c r="D289" s="2" t="n">
        <v>0</v>
      </c>
      <c r="E289" s="2" t="n">
        <v>0</v>
      </c>
    </row>
    <row r="290" customFormat="false" ht="13.8" hidden="false" customHeight="false" outlineLevel="0" collapsed="false">
      <c r="B290" s="2" t="n">
        <v>288</v>
      </c>
      <c r="C290" s="2" t="n">
        <v>0</v>
      </c>
      <c r="D290" s="2" t="n">
        <v>0</v>
      </c>
      <c r="E290" s="2" t="n">
        <v>0</v>
      </c>
    </row>
    <row r="291" customFormat="false" ht="13.8" hidden="false" customHeight="false" outlineLevel="0" collapsed="false">
      <c r="B291" s="2" t="n">
        <v>289</v>
      </c>
      <c r="C291" s="2" t="n">
        <v>0</v>
      </c>
      <c r="D291" s="2" t="n">
        <v>0</v>
      </c>
      <c r="E291" s="2" t="n">
        <v>0</v>
      </c>
    </row>
    <row r="292" customFormat="false" ht="13.8" hidden="false" customHeight="false" outlineLevel="0" collapsed="false">
      <c r="B292" s="2" t="n">
        <v>290</v>
      </c>
      <c r="C292" s="2" t="n">
        <v>0</v>
      </c>
      <c r="D292" s="2" t="n">
        <v>0</v>
      </c>
      <c r="E292" s="2" t="n">
        <v>0</v>
      </c>
    </row>
    <row r="293" customFormat="false" ht="13.8" hidden="false" customHeight="false" outlineLevel="0" collapsed="false">
      <c r="B293" s="2" t="n">
        <v>291</v>
      </c>
      <c r="C293" s="2" t="n">
        <v>0</v>
      </c>
      <c r="D293" s="2" t="n">
        <v>0</v>
      </c>
      <c r="E293" s="2" t="n">
        <v>0</v>
      </c>
    </row>
    <row r="294" customFormat="false" ht="13.8" hidden="false" customHeight="false" outlineLevel="0" collapsed="false">
      <c r="B294" s="2" t="n">
        <v>292</v>
      </c>
      <c r="C294" s="2" t="n">
        <v>0</v>
      </c>
      <c r="D294" s="2" t="n">
        <v>0</v>
      </c>
      <c r="E294" s="2" t="n">
        <v>0</v>
      </c>
    </row>
    <row r="295" customFormat="false" ht="13.8" hidden="false" customHeight="false" outlineLevel="0" collapsed="false">
      <c r="B295" s="2" t="n">
        <v>293</v>
      </c>
      <c r="C295" s="2" t="n">
        <v>0</v>
      </c>
      <c r="D295" s="2" t="n">
        <v>0</v>
      </c>
      <c r="E295" s="2" t="n">
        <v>0</v>
      </c>
    </row>
    <row r="296" customFormat="false" ht="13.8" hidden="false" customHeight="false" outlineLevel="0" collapsed="false">
      <c r="B296" s="2" t="n">
        <v>294</v>
      </c>
      <c r="C296" s="2" t="n">
        <v>0</v>
      </c>
      <c r="D296" s="2" t="n">
        <v>0</v>
      </c>
      <c r="E296" s="2" t="n">
        <v>0</v>
      </c>
    </row>
    <row r="297" customFormat="false" ht="13.8" hidden="false" customHeight="false" outlineLevel="0" collapsed="false">
      <c r="B297" s="2" t="n">
        <v>295</v>
      </c>
      <c r="C297" s="2" t="n">
        <v>0</v>
      </c>
      <c r="D297" s="2" t="n">
        <v>0</v>
      </c>
      <c r="E297" s="2" t="n">
        <v>0</v>
      </c>
    </row>
    <row r="298" customFormat="false" ht="13.8" hidden="false" customHeight="false" outlineLevel="0" collapsed="false">
      <c r="B298" s="2" t="n">
        <v>296</v>
      </c>
      <c r="C298" s="2" t="n">
        <v>0</v>
      </c>
      <c r="D298" s="2" t="n">
        <v>0</v>
      </c>
      <c r="E298" s="2" t="n">
        <v>0</v>
      </c>
    </row>
    <row r="299" customFormat="false" ht="13.8" hidden="false" customHeight="false" outlineLevel="0" collapsed="false">
      <c r="B299" s="2" t="n">
        <v>297</v>
      </c>
      <c r="C299" s="2" t="n">
        <v>0</v>
      </c>
      <c r="D299" s="2" t="n">
        <v>0</v>
      </c>
      <c r="E299" s="2" t="n">
        <v>0</v>
      </c>
    </row>
    <row r="300" customFormat="false" ht="13.8" hidden="false" customHeight="false" outlineLevel="0" collapsed="false">
      <c r="B300" s="2" t="n">
        <v>298</v>
      </c>
      <c r="C300" s="2" t="n">
        <v>0</v>
      </c>
      <c r="D300" s="2" t="n">
        <v>0</v>
      </c>
      <c r="E300" s="2" t="n">
        <v>0</v>
      </c>
    </row>
    <row r="301" customFormat="false" ht="13.8" hidden="false" customHeight="false" outlineLevel="0" collapsed="false">
      <c r="B301" s="2" t="n">
        <v>299</v>
      </c>
      <c r="C301" s="2" t="n">
        <v>0</v>
      </c>
      <c r="D301" s="2" t="n">
        <v>0</v>
      </c>
      <c r="E301" s="2" t="n">
        <v>0</v>
      </c>
    </row>
    <row r="302" customFormat="false" ht="13.8" hidden="false" customHeight="false" outlineLevel="0" collapsed="false">
      <c r="B302" s="2" t="n">
        <v>300</v>
      </c>
      <c r="C302" s="2" t="n">
        <v>0</v>
      </c>
      <c r="D302" s="2" t="n">
        <v>0</v>
      </c>
      <c r="E302" s="2" t="n">
        <v>0</v>
      </c>
    </row>
    <row r="303" customFormat="false" ht="13.8" hidden="false" customHeight="false" outlineLevel="0" collapsed="false">
      <c r="B303" s="2" t="n">
        <v>301</v>
      </c>
      <c r="C303" s="2" t="n">
        <v>0</v>
      </c>
      <c r="D303" s="2" t="n">
        <v>0</v>
      </c>
      <c r="E303" s="2" t="n">
        <v>0</v>
      </c>
    </row>
    <row r="304" customFormat="false" ht="13.8" hidden="false" customHeight="false" outlineLevel="0" collapsed="false">
      <c r="B304" s="2" t="n">
        <v>302</v>
      </c>
      <c r="C304" s="2" t="n">
        <v>0</v>
      </c>
      <c r="D304" s="2" t="n">
        <v>0</v>
      </c>
      <c r="E304" s="2" t="n">
        <v>0</v>
      </c>
    </row>
    <row r="305" customFormat="false" ht="13.8" hidden="false" customHeight="false" outlineLevel="0" collapsed="false">
      <c r="B305" s="2" t="n">
        <v>303</v>
      </c>
      <c r="C305" s="2" t="n">
        <v>0</v>
      </c>
      <c r="D305" s="2" t="n">
        <v>0</v>
      </c>
      <c r="E305" s="2" t="n">
        <v>0</v>
      </c>
    </row>
    <row r="306" customFormat="false" ht="13.8" hidden="false" customHeight="false" outlineLevel="0" collapsed="false">
      <c r="B306" s="2" t="n">
        <v>304</v>
      </c>
      <c r="C306" s="2" t="n">
        <v>0</v>
      </c>
      <c r="D306" s="2" t="n">
        <v>0</v>
      </c>
      <c r="E306" s="2" t="n">
        <v>0</v>
      </c>
    </row>
    <row r="307" customFormat="false" ht="13.8" hidden="false" customHeight="false" outlineLevel="0" collapsed="false">
      <c r="B307" s="2" t="n">
        <v>305</v>
      </c>
      <c r="C307" s="2" t="n">
        <v>0</v>
      </c>
      <c r="D307" s="2" t="n">
        <v>0</v>
      </c>
      <c r="E307" s="2" t="n">
        <v>0</v>
      </c>
    </row>
    <row r="308" customFormat="false" ht="13.8" hidden="false" customHeight="false" outlineLevel="0" collapsed="false">
      <c r="B308" s="2" t="n">
        <v>306</v>
      </c>
      <c r="C308" s="2" t="n">
        <v>0</v>
      </c>
      <c r="D308" s="2" t="n">
        <v>0</v>
      </c>
      <c r="E308" s="2" t="n">
        <v>0</v>
      </c>
    </row>
    <row r="309" customFormat="false" ht="13.8" hidden="false" customHeight="false" outlineLevel="0" collapsed="false">
      <c r="B309" s="2" t="n">
        <v>307</v>
      </c>
      <c r="C309" s="2" t="n">
        <v>0</v>
      </c>
      <c r="D309" s="2" t="n">
        <v>0</v>
      </c>
      <c r="E309" s="2" t="n">
        <v>0</v>
      </c>
    </row>
    <row r="310" customFormat="false" ht="13.8" hidden="false" customHeight="false" outlineLevel="0" collapsed="false">
      <c r="B310" s="2" t="n">
        <v>308</v>
      </c>
      <c r="C310" s="2" t="n">
        <v>0</v>
      </c>
      <c r="D310" s="2" t="n">
        <v>0</v>
      </c>
      <c r="E310" s="2" t="n">
        <v>0</v>
      </c>
    </row>
    <row r="311" customFormat="false" ht="13.8" hidden="false" customHeight="false" outlineLevel="0" collapsed="false">
      <c r="B311" s="2" t="n">
        <v>309</v>
      </c>
      <c r="C311" s="2" t="n">
        <v>0</v>
      </c>
      <c r="D311" s="2" t="n">
        <v>0</v>
      </c>
      <c r="E311" s="2" t="n">
        <v>0</v>
      </c>
    </row>
    <row r="312" customFormat="false" ht="13.8" hidden="false" customHeight="false" outlineLevel="0" collapsed="false">
      <c r="B312" s="2" t="n">
        <v>310</v>
      </c>
      <c r="C312" s="2" t="n">
        <v>0.00124210643493808</v>
      </c>
      <c r="D312" s="2" t="n">
        <v>0.00120198012816655</v>
      </c>
      <c r="E312" s="2" t="n">
        <v>0.00885208915361638</v>
      </c>
    </row>
    <row r="313" customFormat="false" ht="13.8" hidden="false" customHeight="false" outlineLevel="0" collapsed="false">
      <c r="B313" s="2" t="n">
        <v>311</v>
      </c>
      <c r="C313" s="2" t="n">
        <v>0.00248421287192974</v>
      </c>
      <c r="D313" s="2" t="n">
        <v>0.00240396025551735</v>
      </c>
      <c r="E313" s="2" t="n">
        <v>0.0177041784705645</v>
      </c>
    </row>
    <row r="314" customFormat="false" ht="13.8" hidden="false" customHeight="false" outlineLevel="0" collapsed="false">
      <c r="B314" s="2" t="n">
        <v>312</v>
      </c>
      <c r="C314" s="2" t="n">
        <v>0.00372631930956738</v>
      </c>
      <c r="D314" s="2" t="n">
        <v>0.00360594038741425</v>
      </c>
      <c r="E314" s="2" t="n">
        <v>0.026556267463453</v>
      </c>
    </row>
    <row r="315" customFormat="false" ht="13.8" hidden="false" customHeight="false" outlineLevel="0" collapsed="false">
      <c r="B315" s="2" t="n">
        <v>313</v>
      </c>
      <c r="C315" s="2" t="n">
        <v>0.00496842574688449</v>
      </c>
      <c r="D315" s="2" t="n">
        <v>0.00480792051737173</v>
      </c>
      <c r="E315" s="2" t="n">
        <v>0.0354083566215706</v>
      </c>
    </row>
    <row r="316" customFormat="false" ht="13.8" hidden="false" customHeight="false" outlineLevel="0" collapsed="false">
      <c r="B316" s="2" t="n">
        <v>314</v>
      </c>
      <c r="C316" s="2" t="n">
        <v>0.00904140711758841</v>
      </c>
      <c r="D316" s="2" t="n">
        <v>0.00874932403180905</v>
      </c>
      <c r="E316" s="2" t="n">
        <v>0.0644351719893882</v>
      </c>
    </row>
    <row r="317" customFormat="false" ht="13.8" hidden="false" customHeight="false" outlineLevel="0" collapsed="false">
      <c r="B317" s="2" t="n">
        <v>315</v>
      </c>
      <c r="C317" s="2" t="n">
        <v>0.0131143884906779</v>
      </c>
      <c r="D317" s="2" t="n">
        <v>0.0126907275485564</v>
      </c>
      <c r="E317" s="2" t="n">
        <v>0.0606197615093201</v>
      </c>
    </row>
    <row r="318" customFormat="false" ht="13.8" hidden="false" customHeight="false" outlineLevel="0" collapsed="false">
      <c r="B318" s="2" t="n">
        <v>316</v>
      </c>
      <c r="C318" s="2" t="n">
        <v>0.0171873698613823</v>
      </c>
      <c r="D318" s="2" t="n">
        <v>0.0166321310629375</v>
      </c>
      <c r="E318" s="2" t="n">
        <v>0.0261466134719478</v>
      </c>
    </row>
    <row r="319" customFormat="false" ht="13.8" hidden="false" customHeight="false" outlineLevel="0" collapsed="false">
      <c r="B319" s="2" t="n">
        <v>317</v>
      </c>
      <c r="C319" s="2" t="n">
        <v>0.0212603512320867</v>
      </c>
      <c r="D319" s="2" t="n">
        <v>0.0205735345773187</v>
      </c>
      <c r="E319" s="2" t="n">
        <v>0.0796573987679094</v>
      </c>
    </row>
    <row r="320" customFormat="false" ht="13.8" hidden="false" customHeight="false" outlineLevel="0" collapsed="false">
      <c r="B320" s="2" t="n">
        <v>318</v>
      </c>
      <c r="C320" s="2" t="n">
        <v>0.0296747487406395</v>
      </c>
      <c r="D320" s="2" t="n">
        <v>0.0287161045753397</v>
      </c>
      <c r="E320" s="2" t="n">
        <v>0.0358261179260216</v>
      </c>
    </row>
    <row r="321" customFormat="false" ht="13.8" hidden="false" customHeight="false" outlineLevel="0" collapsed="false">
      <c r="B321" s="2" t="n">
        <v>319</v>
      </c>
      <c r="C321" s="2" t="n">
        <v>0.0378342660358359</v>
      </c>
      <c r="D321" s="2" t="n">
        <v>0.0368586745733608</v>
      </c>
      <c r="E321" s="2" t="n">
        <v>0.00358351603584466</v>
      </c>
    </row>
    <row r="322" customFormat="false" ht="13.8" hidden="false" customHeight="false" outlineLevel="0" collapsed="false">
      <c r="B322" s="2" t="n">
        <v>320</v>
      </c>
      <c r="C322" s="2" t="n">
        <v>0.0378011661519276</v>
      </c>
      <c r="D322" s="2" t="n">
        <v>0.0450012445713819</v>
      </c>
      <c r="E322" s="2" t="n">
        <v>0.000166882818761253</v>
      </c>
    </row>
    <row r="323" customFormat="false" ht="13.8" hidden="false" customHeight="false" outlineLevel="0" collapsed="false">
      <c r="B323" s="2" t="n">
        <v>321</v>
      </c>
      <c r="C323" s="2" t="n">
        <v>0.0549179412662978</v>
      </c>
      <c r="D323" s="2" t="n">
        <v>0.0531438145694029</v>
      </c>
      <c r="E323" s="2" t="n">
        <v>0.012300142067025</v>
      </c>
    </row>
    <row r="324" customFormat="false" ht="13.8" hidden="false" customHeight="false" outlineLevel="0" collapsed="false">
      <c r="B324" s="2" t="n">
        <v>322</v>
      </c>
      <c r="C324" s="2" t="n">
        <v>0.0603859098218826</v>
      </c>
      <c r="D324" s="2" t="n">
        <v>0.0584351401415036</v>
      </c>
      <c r="E324" s="2" t="n">
        <v>0.0356759196349356</v>
      </c>
    </row>
    <row r="325" customFormat="false" ht="13.8" hidden="false" customHeight="false" outlineLevel="0" collapsed="false">
      <c r="B325" s="2" t="n">
        <v>323</v>
      </c>
      <c r="C325" s="2" t="n">
        <v>0.065853878377442</v>
      </c>
      <c r="D325" s="2" t="n">
        <v>0.063726465713599</v>
      </c>
      <c r="E325" s="2" t="n">
        <v>0.000166883333331154</v>
      </c>
    </row>
    <row r="326" customFormat="false" ht="13.8" hidden="false" customHeight="false" outlineLevel="0" collapsed="false">
      <c r="B326" s="2" t="n">
        <v>324</v>
      </c>
      <c r="C326" s="2" t="n">
        <v>0.0603354666666666</v>
      </c>
      <c r="D326" s="2" t="n">
        <v>0.0690177912856962</v>
      </c>
      <c r="E326" s="2" t="n">
        <v>0.0500000000000001</v>
      </c>
    </row>
    <row r="327" customFormat="false" ht="13.8" hidden="false" customHeight="false" outlineLevel="0" collapsed="false">
      <c r="B327" s="2" t="n">
        <v>325</v>
      </c>
      <c r="C327" s="2" t="n">
        <v>0.0555570896516452</v>
      </c>
      <c r="D327" s="2" t="n">
        <v>0.0743091168577935</v>
      </c>
      <c r="E327" s="2" t="n">
        <v>0.0174999999998411</v>
      </c>
    </row>
    <row r="328" customFormat="false" ht="13.8" hidden="false" customHeight="false" outlineLevel="0" collapsed="false">
      <c r="B328" s="2" t="n">
        <v>326</v>
      </c>
      <c r="C328" s="2" t="n">
        <v>0.0826584507306659</v>
      </c>
      <c r="D328" s="2" t="n">
        <v>0.0799881655600464</v>
      </c>
      <c r="E328" s="2" t="n">
        <v>0.056693482602655</v>
      </c>
    </row>
    <row r="329" customFormat="false" ht="13.8" hidden="false" customHeight="false" outlineLevel="0" collapsed="false">
      <c r="B329" s="2" t="n">
        <v>327</v>
      </c>
      <c r="C329" s="2" t="n">
        <v>0.0692905943826362</v>
      </c>
      <c r="D329" s="2" t="n">
        <v>0.085667214262299</v>
      </c>
      <c r="E329" s="2" t="n">
        <v>0.0179119510759699</v>
      </c>
    </row>
    <row r="330" customFormat="false" ht="13.8" hidden="false" customHeight="false" outlineLevel="0" collapsed="false">
      <c r="B330" s="2" t="n">
        <v>328</v>
      </c>
      <c r="C330" s="2" t="n">
        <v>0.0943957212147413</v>
      </c>
      <c r="D330" s="2" t="n">
        <v>0.0913462629645518</v>
      </c>
      <c r="E330" s="2" t="n">
        <v>0.0538364039540979</v>
      </c>
    </row>
    <row r="331" customFormat="false" ht="13.8" hidden="false" customHeight="false" outlineLevel="0" collapsed="false">
      <c r="B331" s="2" t="n">
        <v>329</v>
      </c>
      <c r="C331" s="2" t="n">
        <v>0.0816785188610876</v>
      </c>
      <c r="D331" s="2" t="n">
        <v>0.0970253116667956</v>
      </c>
      <c r="E331" s="2" t="n">
        <v>0.0231842000714331</v>
      </c>
    </row>
    <row r="332" customFormat="false" ht="13.8" hidden="false" customHeight="false" outlineLevel="0" collapsed="false">
      <c r="B332" s="2" t="n">
        <v>330</v>
      </c>
      <c r="C332" s="2" t="n">
        <v>0.0839990419615098</v>
      </c>
      <c r="D332" s="2" t="n">
        <v>0.0979871263296115</v>
      </c>
      <c r="E332" s="2" t="n">
        <v>0.057382018202296</v>
      </c>
    </row>
    <row r="333" customFormat="false" ht="13.8" hidden="false" customHeight="false" outlineLevel="0" collapsed="false">
      <c r="B333" s="2" t="n">
        <v>331</v>
      </c>
      <c r="C333" s="2" t="n">
        <v>0.0853376285954114</v>
      </c>
      <c r="D333" s="2" t="n">
        <v>0.0989489409924216</v>
      </c>
      <c r="E333" s="2" t="n">
        <v>0.02909228457342</v>
      </c>
    </row>
    <row r="334" customFormat="false" ht="13.8" hidden="false" customHeight="false" outlineLevel="0" collapsed="false">
      <c r="B334" s="2" t="n">
        <v>332</v>
      </c>
      <c r="C334" s="2" t="n">
        <v>0.085892841930299</v>
      </c>
      <c r="D334" s="2" t="n">
        <v>0.0999107556552302</v>
      </c>
      <c r="E334" s="2" t="n">
        <v>0.0691533248482135</v>
      </c>
    </row>
    <row r="335" customFormat="false" ht="13.8" hidden="false" customHeight="false" outlineLevel="0" collapsed="false">
      <c r="B335" s="2" t="n">
        <v>333</v>
      </c>
      <c r="C335" s="2" t="n">
        <v>0.0855459762695792</v>
      </c>
      <c r="D335" s="2" t="n">
        <v>0.100872570318035</v>
      </c>
      <c r="E335" s="2" t="n">
        <v>0.0714057430342067</v>
      </c>
    </row>
    <row r="336" customFormat="false" ht="13.8" hidden="false" customHeight="false" outlineLevel="0" collapsed="false">
      <c r="B336" s="2" t="n">
        <v>334</v>
      </c>
      <c r="C336" s="2" t="n">
        <v>0.0838338666845543</v>
      </c>
      <c r="D336" s="2" t="n">
        <v>0.101348290075351</v>
      </c>
      <c r="E336" s="2" t="n">
        <v>0.113709437253611</v>
      </c>
    </row>
    <row r="337" customFormat="false" ht="13.8" hidden="false" customHeight="false" outlineLevel="0" collapsed="false">
      <c r="B337" s="2" t="n">
        <v>335</v>
      </c>
      <c r="C337" s="2" t="n">
        <v>0.0789730479622</v>
      </c>
      <c r="D337" s="2" t="n">
        <v>0.101824009832648</v>
      </c>
      <c r="E337" s="2" t="n">
        <v>0.193736575172277</v>
      </c>
    </row>
    <row r="338" customFormat="false" ht="13.8" hidden="false" customHeight="false" outlineLevel="0" collapsed="false">
      <c r="B338" s="2" t="n">
        <v>336</v>
      </c>
      <c r="C338" s="2" t="n">
        <v>0.10571485292687</v>
      </c>
      <c r="D338" s="2" t="n">
        <v>0.102299729589904</v>
      </c>
      <c r="E338" s="2" t="n">
        <v>0.275104154286281</v>
      </c>
    </row>
    <row r="339" customFormat="false" ht="13.8" hidden="false" customHeight="false" outlineLevel="0" collapsed="false">
      <c r="B339" s="2" t="n">
        <v>337</v>
      </c>
      <c r="C339" s="2" t="n">
        <v>0.0665912026616696</v>
      </c>
      <c r="D339" s="2" t="n">
        <v>0.102775449347262</v>
      </c>
      <c r="E339" s="2" t="n">
        <v>0.575773410474045</v>
      </c>
    </row>
    <row r="340" customFormat="false" ht="13.8" hidden="false" customHeight="false" outlineLevel="0" collapsed="false">
      <c r="B340" s="2" t="n">
        <v>338</v>
      </c>
      <c r="C340" s="2" t="n">
        <v>0.0736683501188146</v>
      </c>
      <c r="D340" s="2" t="n">
        <v>0.101102360636964</v>
      </c>
      <c r="E340" s="2" t="n">
        <v>0.616580198065127</v>
      </c>
    </row>
    <row r="341" customFormat="false" ht="13.8" hidden="false" customHeight="false" outlineLevel="0" collapsed="false">
      <c r="B341" s="2" t="n">
        <v>339</v>
      </c>
      <c r="C341" s="2" t="n">
        <v>0.0298716344713558</v>
      </c>
      <c r="D341" s="2" t="n">
        <v>0.099429271926648</v>
      </c>
      <c r="E341" s="2" t="n">
        <v>0.705881306502135</v>
      </c>
    </row>
    <row r="342" customFormat="false" ht="13.8" hidden="false" customHeight="false" outlineLevel="0" collapsed="false">
      <c r="B342" s="2" t="n">
        <v>340</v>
      </c>
      <c r="C342" s="2" t="n">
        <v>0.0694041511992772</v>
      </c>
      <c r="D342" s="2" t="n">
        <v>0.0977561832163317</v>
      </c>
      <c r="E342" s="2" t="n">
        <v>0.71993407196153</v>
      </c>
    </row>
    <row r="343" customFormat="false" ht="13.8" hidden="false" customHeight="false" outlineLevel="0" collapsed="false">
      <c r="B343" s="2" t="n">
        <v>341</v>
      </c>
      <c r="C343" s="2" t="n">
        <v>0.0737870678658201</v>
      </c>
      <c r="D343" s="2" t="n">
        <v>0.0960830945060054</v>
      </c>
      <c r="E343" s="2" t="n">
        <v>0.707612461927932</v>
      </c>
    </row>
    <row r="344" customFormat="false" ht="13.8" hidden="false" customHeight="false" outlineLevel="0" collapsed="false">
      <c r="B344" s="2" t="n">
        <v>342</v>
      </c>
      <c r="C344" s="2" t="n">
        <v>0.0732515666666674</v>
      </c>
      <c r="D344" s="2" t="n">
        <v>0.0865656252416835</v>
      </c>
      <c r="E344" s="2" t="n">
        <v>0.637520216335002</v>
      </c>
    </row>
    <row r="345" customFormat="false" ht="13.8" hidden="false" customHeight="false" outlineLevel="0" collapsed="false">
      <c r="B345" s="2" t="n">
        <v>343</v>
      </c>
      <c r="C345" s="2" t="n">
        <v>0.0721846333339255</v>
      </c>
      <c r="D345" s="2" t="n">
        <v>0.0770481557158073</v>
      </c>
      <c r="E345" s="2" t="n">
        <v>0.567427970742653</v>
      </c>
    </row>
    <row r="346" customFormat="false" ht="13.8" hidden="false" customHeight="false" outlineLevel="0" collapsed="false">
      <c r="B346" s="2" t="n">
        <v>344</v>
      </c>
      <c r="C346" s="2" t="n">
        <v>0.0675074368653367</v>
      </c>
      <c r="D346" s="2" t="n">
        <v>0.0675306867130195</v>
      </c>
      <c r="E346" s="2" t="n">
        <v>0.497335725149151</v>
      </c>
    </row>
    <row r="347" customFormat="false" ht="13.8" hidden="false" customHeight="false" outlineLevel="0" collapsed="false">
      <c r="B347" s="2" t="n">
        <v>345</v>
      </c>
      <c r="C347" s="2" t="n">
        <v>0.059949901871577</v>
      </c>
      <c r="D347" s="2" t="n">
        <v>0.0580132174486833</v>
      </c>
      <c r="E347" s="2" t="n">
        <v>0.427243479556232</v>
      </c>
    </row>
    <row r="348" customFormat="false" ht="13.8" hidden="false" customHeight="false" outlineLevel="0" collapsed="false">
      <c r="B348" s="2" t="n">
        <v>346</v>
      </c>
      <c r="C348" s="2" t="n">
        <v>0.055299150402938</v>
      </c>
      <c r="D348" s="2" t="n">
        <v>0.0535127087267827</v>
      </c>
      <c r="E348" s="2" t="n">
        <v>0.39409908435337</v>
      </c>
    </row>
    <row r="349" customFormat="false" ht="13.8" hidden="false" customHeight="false" outlineLevel="0" collapsed="false">
      <c r="B349" s="2" t="n">
        <v>347</v>
      </c>
      <c r="C349" s="2" t="n">
        <v>0.0506483989342888</v>
      </c>
      <c r="D349" s="2" t="n">
        <v>0.0490122000048881</v>
      </c>
      <c r="E349" s="2" t="n">
        <v>0.3609546891505</v>
      </c>
    </row>
    <row r="350" customFormat="false" ht="13.8" hidden="false" customHeight="false" outlineLevel="0" collapsed="false">
      <c r="B350" s="2" t="n">
        <v>348</v>
      </c>
      <c r="C350" s="2" t="n">
        <v>0.0459976474656464</v>
      </c>
      <c r="D350" s="2" t="n">
        <v>0.04451169128299</v>
      </c>
      <c r="E350" s="2" t="n">
        <v>0.327810293947636</v>
      </c>
    </row>
    <row r="351" customFormat="false" ht="13.8" hidden="false" customHeight="false" outlineLevel="0" collapsed="false">
      <c r="B351" s="2" t="n">
        <v>349</v>
      </c>
      <c r="C351" s="2" t="n">
        <v>0.0413468959970198</v>
      </c>
      <c r="D351" s="2" t="n">
        <v>0.040011182561084</v>
      </c>
      <c r="E351" s="2" t="n">
        <v>0.294665898744778</v>
      </c>
    </row>
    <row r="352" customFormat="false" ht="13.8" hidden="false" customHeight="false" outlineLevel="0" collapsed="false">
      <c r="B352" s="2" t="n">
        <v>350</v>
      </c>
      <c r="C352" s="2" t="n">
        <v>0.0334030535166327</v>
      </c>
      <c r="D352" s="2" t="n">
        <v>0.0323239662887712</v>
      </c>
      <c r="E352" s="2" t="n">
        <v>0.238052713461877</v>
      </c>
    </row>
    <row r="353" customFormat="false" ht="13.8" hidden="false" customHeight="false" outlineLevel="0" collapsed="false">
      <c r="B353" s="2" t="n">
        <v>351</v>
      </c>
      <c r="C353" s="2" t="n">
        <v>0.0254592110362936</v>
      </c>
      <c r="D353" s="2" t="n">
        <v>0.0246367500164347</v>
      </c>
      <c r="E353" s="2" t="n">
        <v>0.181439528179001</v>
      </c>
    </row>
    <row r="354" customFormat="false" ht="13.8" hidden="false" customHeight="false" outlineLevel="0" collapsed="false">
      <c r="B354" s="2" t="n">
        <v>352</v>
      </c>
      <c r="C354" s="2" t="n">
        <v>0.0175153685558768</v>
      </c>
      <c r="D354" s="2" t="n">
        <v>0.0169495337441427</v>
      </c>
      <c r="E354" s="2" t="n">
        <v>0.124826342896079</v>
      </c>
    </row>
    <row r="355" customFormat="false" ht="13.8" hidden="false" customHeight="false" outlineLevel="0" collapsed="false">
      <c r="B355" s="2" t="n">
        <v>353</v>
      </c>
      <c r="C355" s="2" t="n">
        <v>0.00957152607564228</v>
      </c>
      <c r="D355" s="2" t="n">
        <v>0.00926231747183626</v>
      </c>
      <c r="E355" s="2" t="n">
        <v>0.0682131576133235</v>
      </c>
    </row>
    <row r="356" customFormat="false" ht="13.8" hidden="false" customHeight="false" outlineLevel="0" collapsed="false">
      <c r="B356" s="2" t="n">
        <v>354</v>
      </c>
      <c r="C356" s="2" t="n">
        <v>0.00811141387303491</v>
      </c>
      <c r="D356" s="2" t="n">
        <v>0.00784937599527916</v>
      </c>
      <c r="E356" s="2" t="n">
        <v>0.0578074249319751</v>
      </c>
    </row>
    <row r="357" customFormat="false" ht="13.8" hidden="false" customHeight="false" outlineLevel="0" collapsed="false">
      <c r="B357" s="2" t="n">
        <v>355</v>
      </c>
      <c r="C357" s="2" t="n">
        <v>0.00665130350717881</v>
      </c>
      <c r="D357" s="2" t="n">
        <v>0.00643643451893943</v>
      </c>
      <c r="E357" s="2" t="n">
        <v>0.0474016922508471</v>
      </c>
    </row>
    <row r="358" customFormat="false" ht="13.8" hidden="false" customHeight="false" outlineLevel="0" collapsed="false">
      <c r="B358" s="2" t="n">
        <v>356</v>
      </c>
      <c r="C358" s="2" t="n">
        <v>0.00519119314131979</v>
      </c>
      <c r="D358" s="2" t="n">
        <v>0.00502349304259963</v>
      </c>
      <c r="E358" s="2" t="n">
        <v>0.0369959595697196</v>
      </c>
    </row>
    <row r="359" customFormat="false" ht="13.8" hidden="false" customHeight="false" outlineLevel="0" collapsed="false">
      <c r="B359" s="2" t="n">
        <v>357</v>
      </c>
      <c r="C359" s="2" t="n">
        <v>0.0037310827754638</v>
      </c>
      <c r="D359" s="2" t="n">
        <v>0.00361055156625983</v>
      </c>
      <c r="E359" s="2" t="n">
        <v>0.0265902268885919</v>
      </c>
    </row>
    <row r="360" customFormat="false" ht="13.8" hidden="false" customHeight="false" outlineLevel="0" collapsed="false">
      <c r="B360" s="2" t="n">
        <v>358</v>
      </c>
      <c r="C360" s="2" t="n">
        <v>0.00279831171547185</v>
      </c>
      <c r="D360" s="2" t="n">
        <v>0.00270791367450561</v>
      </c>
      <c r="E360" s="2" t="n">
        <v>0.0199426701662572</v>
      </c>
    </row>
    <row r="361" customFormat="false" ht="13.8" hidden="false" customHeight="false" outlineLevel="0" collapsed="false">
      <c r="B361" s="2" t="n">
        <v>359</v>
      </c>
      <c r="C361" s="2" t="n">
        <v>0.00186554065548291</v>
      </c>
      <c r="D361" s="2" t="n">
        <v>0.00180527578275141</v>
      </c>
      <c r="E361" s="2" t="n">
        <v>0.0132951134439225</v>
      </c>
    </row>
    <row r="362" customFormat="false" ht="13.8" hidden="false" customHeight="false" outlineLevel="0" collapsed="false">
      <c r="B362" s="2" t="n">
        <v>360</v>
      </c>
      <c r="C362" s="2" t="n">
        <v>0.000932769595493507</v>
      </c>
      <c r="D362" s="2" t="n">
        <v>0.0009026378909972</v>
      </c>
      <c r="E362" s="2" t="n">
        <v>0.00664755672158764</v>
      </c>
    </row>
    <row r="363" customFormat="false" ht="13.8" hidden="false" customHeight="false" outlineLevel="0" collapsed="false">
      <c r="B363" s="2" t="n">
        <v>361</v>
      </c>
      <c r="C363" s="2" t="n">
        <v>0</v>
      </c>
      <c r="D363" s="2" t="n">
        <v>0</v>
      </c>
      <c r="E363" s="2" t="n">
        <v>0</v>
      </c>
    </row>
    <row r="364" customFormat="false" ht="13.8" hidden="false" customHeight="false" outlineLevel="0" collapsed="false">
      <c r="B364" s="2" t="n">
        <v>362</v>
      </c>
      <c r="C364" s="2" t="n">
        <v>0</v>
      </c>
      <c r="D364" s="2" t="n">
        <v>0</v>
      </c>
      <c r="E364" s="2" t="n">
        <v>0</v>
      </c>
    </row>
    <row r="365" customFormat="false" ht="13.8" hidden="false" customHeight="false" outlineLevel="0" collapsed="false">
      <c r="B365" s="2" t="n">
        <v>363</v>
      </c>
      <c r="C365" s="2" t="n">
        <v>0</v>
      </c>
      <c r="D365" s="2" t="n">
        <v>0</v>
      </c>
      <c r="E365" s="2" t="n">
        <v>0</v>
      </c>
    </row>
    <row r="366" customFormat="false" ht="13.8" hidden="false" customHeight="false" outlineLevel="0" collapsed="false">
      <c r="B366" s="2" t="n">
        <v>364</v>
      </c>
      <c r="C366" s="2" t="n">
        <v>0</v>
      </c>
      <c r="D366" s="2" t="n">
        <v>0</v>
      </c>
      <c r="E366" s="2" t="n">
        <v>0</v>
      </c>
    </row>
    <row r="367" customFormat="false" ht="13.8" hidden="false" customHeight="false" outlineLevel="0" collapsed="false">
      <c r="B367" s="2" t="n">
        <v>365</v>
      </c>
      <c r="C367" s="2" t="n">
        <v>0</v>
      </c>
      <c r="D367" s="2" t="n">
        <v>0</v>
      </c>
      <c r="E367" s="2" t="n">
        <v>0</v>
      </c>
    </row>
    <row r="368" customFormat="false" ht="13.8" hidden="false" customHeight="false" outlineLevel="0" collapsed="false">
      <c r="B368" s="2" t="n">
        <v>366</v>
      </c>
      <c r="C368" s="2" t="n">
        <v>0</v>
      </c>
      <c r="D368" s="2" t="n">
        <v>0</v>
      </c>
      <c r="E368" s="2" t="n">
        <v>0</v>
      </c>
    </row>
    <row r="369" customFormat="false" ht="13.8" hidden="false" customHeight="false" outlineLevel="0" collapsed="false">
      <c r="B369" s="2" t="n">
        <v>367</v>
      </c>
      <c r="C369" s="2" t="n">
        <v>0</v>
      </c>
      <c r="D369" s="2" t="n">
        <v>0</v>
      </c>
      <c r="E369" s="2" t="n">
        <v>0</v>
      </c>
    </row>
    <row r="370" customFormat="false" ht="13.8" hidden="false" customHeight="false" outlineLevel="0" collapsed="false">
      <c r="B370" s="2" t="n">
        <v>368</v>
      </c>
      <c r="C370" s="2" t="n">
        <v>0</v>
      </c>
      <c r="D370" s="2" t="n">
        <v>0</v>
      </c>
      <c r="E370" s="2" t="n">
        <v>0</v>
      </c>
    </row>
    <row r="371" customFormat="false" ht="13.8" hidden="false" customHeight="false" outlineLevel="0" collapsed="false">
      <c r="B371" s="2" t="n">
        <v>369</v>
      </c>
      <c r="C371" s="2" t="n">
        <v>0</v>
      </c>
      <c r="D371" s="2" t="n">
        <v>0</v>
      </c>
      <c r="E371" s="2" t="n">
        <v>0</v>
      </c>
    </row>
    <row r="372" customFormat="false" ht="13.8" hidden="false" customHeight="false" outlineLevel="0" collapsed="false">
      <c r="B372" s="2" t="n">
        <v>370</v>
      </c>
      <c r="C372" s="2" t="n">
        <v>0</v>
      </c>
      <c r="D372" s="2" t="n">
        <v>0</v>
      </c>
      <c r="E372" s="2" t="n">
        <v>0</v>
      </c>
    </row>
    <row r="373" customFormat="false" ht="13.8" hidden="false" customHeight="false" outlineLevel="0" collapsed="false">
      <c r="B373" s="2" t="n">
        <v>371</v>
      </c>
      <c r="C373" s="2" t="n">
        <v>0</v>
      </c>
      <c r="D373" s="2" t="n">
        <v>0</v>
      </c>
      <c r="E373" s="2" t="n">
        <v>0</v>
      </c>
    </row>
    <row r="374" customFormat="false" ht="13.8" hidden="false" customHeight="false" outlineLevel="0" collapsed="false">
      <c r="B374" s="2" t="n">
        <v>372</v>
      </c>
      <c r="C374" s="2" t="n">
        <v>0</v>
      </c>
      <c r="D374" s="2" t="n">
        <v>0</v>
      </c>
      <c r="E374" s="2" t="n">
        <v>0</v>
      </c>
    </row>
    <row r="375" customFormat="false" ht="13.8" hidden="false" customHeight="false" outlineLevel="0" collapsed="false">
      <c r="B375" s="2" t="n">
        <v>373</v>
      </c>
      <c r="C375" s="2" t="n">
        <v>0</v>
      </c>
      <c r="D375" s="2" t="n">
        <v>0</v>
      </c>
      <c r="E375" s="2" t="n">
        <v>0</v>
      </c>
    </row>
    <row r="376" customFormat="false" ht="13.8" hidden="false" customHeight="false" outlineLevel="0" collapsed="false">
      <c r="B376" s="2" t="n">
        <v>374</v>
      </c>
      <c r="C376" s="2" t="n">
        <v>0</v>
      </c>
      <c r="D376" s="2" t="n">
        <v>0</v>
      </c>
      <c r="E376" s="2" t="n">
        <v>0</v>
      </c>
    </row>
    <row r="377" customFormat="false" ht="13.8" hidden="false" customHeight="false" outlineLevel="0" collapsed="false">
      <c r="B377" s="2" t="n">
        <v>375</v>
      </c>
      <c r="C377" s="2" t="n">
        <v>0</v>
      </c>
      <c r="D377" s="2" t="n">
        <v>0</v>
      </c>
      <c r="E377" s="2" t="n">
        <v>0</v>
      </c>
    </row>
    <row r="378" customFormat="false" ht="13.8" hidden="false" customHeight="false" outlineLevel="0" collapsed="false">
      <c r="B378" s="2" t="n">
        <v>376</v>
      </c>
      <c r="C378" s="2" t="n">
        <v>0</v>
      </c>
      <c r="D378" s="2" t="n">
        <v>0</v>
      </c>
      <c r="E378" s="2" t="n">
        <v>0</v>
      </c>
    </row>
    <row r="379" customFormat="false" ht="13.8" hidden="false" customHeight="false" outlineLevel="0" collapsed="false">
      <c r="B379" s="2" t="n">
        <v>377</v>
      </c>
      <c r="C379" s="2" t="n">
        <v>0</v>
      </c>
      <c r="D379" s="2" t="n">
        <v>0</v>
      </c>
      <c r="E379" s="2" t="n">
        <v>0</v>
      </c>
    </row>
    <row r="380" customFormat="false" ht="13.8" hidden="false" customHeight="false" outlineLevel="0" collapsed="false">
      <c r="B380" s="2" t="n">
        <v>378</v>
      </c>
      <c r="C380" s="2" t="n">
        <v>0</v>
      </c>
      <c r="D380" s="2" t="n">
        <v>0</v>
      </c>
      <c r="E380" s="2" t="n">
        <v>0</v>
      </c>
    </row>
    <row r="381" customFormat="false" ht="13.8" hidden="false" customHeight="false" outlineLevel="0" collapsed="false">
      <c r="B381" s="2" t="n">
        <v>379</v>
      </c>
      <c r="C381" s="2" t="n">
        <v>0</v>
      </c>
      <c r="D381" s="2" t="n">
        <v>0</v>
      </c>
      <c r="E381" s="2" t="n">
        <v>0</v>
      </c>
    </row>
    <row r="382" customFormat="false" ht="13.8" hidden="false" customHeight="false" outlineLevel="0" collapsed="false">
      <c r="B382" s="2" t="n">
        <v>380</v>
      </c>
      <c r="C382" s="2" t="n">
        <v>0</v>
      </c>
      <c r="D382" s="2" t="n">
        <v>0</v>
      </c>
      <c r="E382" s="2" t="n">
        <v>0</v>
      </c>
    </row>
    <row r="383" customFormat="false" ht="13.8" hidden="false" customHeight="false" outlineLevel="0" collapsed="false">
      <c r="B383" s="2" t="n">
        <v>381</v>
      </c>
      <c r="C383" s="2" t="n">
        <v>0</v>
      </c>
      <c r="D383" s="2" t="n">
        <v>0</v>
      </c>
      <c r="E383" s="2" t="n">
        <v>0</v>
      </c>
    </row>
    <row r="384" customFormat="false" ht="13.8" hidden="false" customHeight="false" outlineLevel="0" collapsed="false">
      <c r="B384" s="2" t="n">
        <v>382</v>
      </c>
      <c r="C384" s="2" t="n">
        <v>0</v>
      </c>
      <c r="D384" s="2" t="n">
        <v>0</v>
      </c>
      <c r="E384" s="2" t="n">
        <v>0</v>
      </c>
    </row>
    <row r="385" customFormat="false" ht="13.8" hidden="false" customHeight="false" outlineLevel="0" collapsed="false">
      <c r="B385" s="2" t="n">
        <v>383</v>
      </c>
      <c r="C385" s="2" t="n">
        <v>0</v>
      </c>
      <c r="D385" s="2" t="n">
        <v>0</v>
      </c>
      <c r="E385" s="2" t="n">
        <v>0</v>
      </c>
    </row>
    <row r="386" customFormat="false" ht="13.8" hidden="false" customHeight="false" outlineLevel="0" collapsed="false">
      <c r="B386" s="2" t="n">
        <v>384</v>
      </c>
      <c r="C386" s="2" t="n">
        <v>0</v>
      </c>
      <c r="D386" s="2" t="n">
        <v>0</v>
      </c>
      <c r="E386" s="2" t="n">
        <v>0</v>
      </c>
    </row>
    <row r="387" customFormat="false" ht="13.8" hidden="false" customHeight="false" outlineLevel="0" collapsed="false">
      <c r="B387" s="2" t="n">
        <v>385</v>
      </c>
      <c r="C387" s="2" t="n">
        <v>0</v>
      </c>
      <c r="D387" s="2" t="n">
        <v>0</v>
      </c>
      <c r="E387" s="2" t="n">
        <v>0</v>
      </c>
    </row>
    <row r="388" customFormat="false" ht="13.8" hidden="false" customHeight="false" outlineLevel="0" collapsed="false">
      <c r="B388" s="2" t="n">
        <v>386</v>
      </c>
      <c r="C388" s="2" t="n">
        <v>0</v>
      </c>
      <c r="D388" s="2" t="n">
        <v>0</v>
      </c>
      <c r="E388" s="2" t="n">
        <v>0</v>
      </c>
    </row>
    <row r="389" customFormat="false" ht="13.8" hidden="false" customHeight="false" outlineLevel="0" collapsed="false">
      <c r="B389" s="2" t="n">
        <v>387</v>
      </c>
      <c r="C389" s="2" t="n">
        <v>0</v>
      </c>
      <c r="D389" s="2" t="n">
        <v>0</v>
      </c>
      <c r="E389" s="2" t="n">
        <v>0</v>
      </c>
    </row>
    <row r="390" customFormat="false" ht="13.8" hidden="false" customHeight="false" outlineLevel="0" collapsed="false">
      <c r="B390" s="2" t="n">
        <v>388</v>
      </c>
      <c r="C390" s="2" t="n">
        <v>0</v>
      </c>
      <c r="D390" s="2" t="n">
        <v>0</v>
      </c>
      <c r="E390" s="2" t="n">
        <v>0</v>
      </c>
    </row>
    <row r="391" customFormat="false" ht="13.8" hidden="false" customHeight="false" outlineLevel="0" collapsed="false">
      <c r="B391" s="2" t="n">
        <v>389</v>
      </c>
      <c r="C391" s="2" t="n">
        <v>0</v>
      </c>
      <c r="D391" s="2" t="n">
        <v>0</v>
      </c>
      <c r="E391" s="2" t="n">
        <v>0</v>
      </c>
    </row>
    <row r="392" customFormat="false" ht="13.8" hidden="false" customHeight="false" outlineLevel="0" collapsed="false">
      <c r="B392" s="2" t="n">
        <v>390</v>
      </c>
      <c r="C392" s="2" t="n">
        <v>0</v>
      </c>
      <c r="D392" s="2" t="n">
        <v>0</v>
      </c>
      <c r="E392" s="2" t="n">
        <v>0</v>
      </c>
    </row>
    <row r="393" customFormat="false" ht="13.8" hidden="false" customHeight="false" outlineLevel="0" collapsed="false">
      <c r="B393" s="2" t="n">
        <v>391</v>
      </c>
      <c r="C393" s="2" t="n">
        <v>0</v>
      </c>
      <c r="D393" s="2" t="n">
        <v>0</v>
      </c>
      <c r="E393" s="2" t="n">
        <v>0</v>
      </c>
    </row>
    <row r="394" customFormat="false" ht="13.8" hidden="false" customHeight="false" outlineLevel="0" collapsed="false">
      <c r="B394" s="2" t="n">
        <v>392</v>
      </c>
      <c r="C394" s="2" t="n">
        <v>0</v>
      </c>
      <c r="D394" s="2" t="n">
        <v>0</v>
      </c>
      <c r="E394" s="2" t="n">
        <v>0</v>
      </c>
    </row>
    <row r="395" customFormat="false" ht="13.8" hidden="false" customHeight="false" outlineLevel="0" collapsed="false">
      <c r="B395" s="2" t="n">
        <v>393</v>
      </c>
      <c r="C395" s="2" t="n">
        <v>0</v>
      </c>
      <c r="D395" s="2" t="n">
        <v>0</v>
      </c>
      <c r="E395" s="2" t="n">
        <v>0</v>
      </c>
    </row>
    <row r="396" customFormat="false" ht="13.8" hidden="false" customHeight="false" outlineLevel="0" collapsed="false">
      <c r="B396" s="2" t="n">
        <v>394</v>
      </c>
      <c r="C396" s="2" t="n">
        <v>0</v>
      </c>
      <c r="D396" s="2" t="n">
        <v>0</v>
      </c>
      <c r="E396" s="2" t="n">
        <v>0</v>
      </c>
    </row>
    <row r="397" customFormat="false" ht="13.8" hidden="false" customHeight="false" outlineLevel="0" collapsed="false">
      <c r="B397" s="2" t="n">
        <v>395</v>
      </c>
      <c r="C397" s="2" t="n">
        <v>0</v>
      </c>
      <c r="D397" s="2" t="n">
        <v>0</v>
      </c>
      <c r="E397" s="2" t="n">
        <v>0</v>
      </c>
    </row>
    <row r="398" customFormat="false" ht="13.8" hidden="false" customHeight="false" outlineLevel="0" collapsed="false">
      <c r="B398" s="2" t="n">
        <v>396</v>
      </c>
      <c r="C398" s="2" t="n">
        <v>0</v>
      </c>
      <c r="D398" s="2" t="n">
        <v>0</v>
      </c>
      <c r="E398" s="2" t="n">
        <v>0</v>
      </c>
    </row>
    <row r="399" customFormat="false" ht="13.8" hidden="false" customHeight="false" outlineLevel="0" collapsed="false">
      <c r="B399" s="2" t="n">
        <v>397</v>
      </c>
      <c r="C399" s="2" t="n">
        <v>0</v>
      </c>
      <c r="D399" s="2" t="n">
        <v>0</v>
      </c>
      <c r="E399" s="2" t="n">
        <v>0</v>
      </c>
    </row>
    <row r="400" customFormat="false" ht="13.8" hidden="false" customHeight="false" outlineLevel="0" collapsed="false">
      <c r="B400" s="2" t="n">
        <v>398</v>
      </c>
      <c r="C400" s="2" t="n">
        <v>0</v>
      </c>
      <c r="D400" s="2" t="n">
        <v>0</v>
      </c>
      <c r="E400" s="2" t="n">
        <v>0</v>
      </c>
    </row>
    <row r="401" customFormat="false" ht="13.8" hidden="false" customHeight="false" outlineLevel="0" collapsed="false">
      <c r="B401" s="2" t="n">
        <v>399</v>
      </c>
      <c r="C401" s="2" t="n">
        <v>0</v>
      </c>
      <c r="D401" s="2" t="n">
        <v>0</v>
      </c>
      <c r="E401" s="2" t="n">
        <v>0</v>
      </c>
    </row>
    <row r="402" customFormat="false" ht="13.8" hidden="false" customHeight="false" outlineLevel="0" collapsed="false">
      <c r="B402" s="2" t="n">
        <v>400</v>
      </c>
      <c r="C402" s="2" t="n">
        <v>0</v>
      </c>
      <c r="D402" s="2" t="n">
        <v>0</v>
      </c>
      <c r="E402" s="2" t="n">
        <v>0</v>
      </c>
    </row>
    <row r="403" customFormat="false" ht="13.8" hidden="false" customHeight="false" outlineLevel="0" collapsed="false">
      <c r="B403" s="2" t="n">
        <v>401</v>
      </c>
      <c r="C403" s="2" t="n">
        <v>0</v>
      </c>
      <c r="D403" s="2" t="n">
        <v>0</v>
      </c>
      <c r="E403" s="2" t="n">
        <v>0</v>
      </c>
    </row>
    <row r="404" customFormat="false" ht="13.8" hidden="false" customHeight="false" outlineLevel="0" collapsed="false">
      <c r="B404" s="2" t="n">
        <v>402</v>
      </c>
      <c r="C404" s="2" t="n">
        <v>0</v>
      </c>
      <c r="D404" s="2" t="n">
        <v>0</v>
      </c>
      <c r="E404" s="2" t="n">
        <v>0</v>
      </c>
    </row>
    <row r="405" customFormat="false" ht="13.8" hidden="false" customHeight="false" outlineLevel="0" collapsed="false">
      <c r="B405" s="2" t="n">
        <v>403</v>
      </c>
      <c r="C405" s="2" t="n">
        <v>0</v>
      </c>
      <c r="D405" s="2" t="n">
        <v>0</v>
      </c>
      <c r="E405" s="2" t="n">
        <v>0</v>
      </c>
    </row>
    <row r="406" customFormat="false" ht="13.8" hidden="false" customHeight="false" outlineLevel="0" collapsed="false">
      <c r="B406" s="2" t="n">
        <v>404</v>
      </c>
      <c r="C406" s="2" t="n">
        <v>0</v>
      </c>
      <c r="D406" s="2" t="n">
        <v>0</v>
      </c>
      <c r="E406" s="2" t="n">
        <v>0</v>
      </c>
    </row>
    <row r="407" customFormat="false" ht="13.8" hidden="false" customHeight="false" outlineLevel="0" collapsed="false">
      <c r="B407" s="2" t="n">
        <v>405</v>
      </c>
      <c r="C407" s="2" t="n">
        <v>0</v>
      </c>
      <c r="D407" s="2" t="n">
        <v>0</v>
      </c>
      <c r="E407" s="2" t="n">
        <v>0</v>
      </c>
    </row>
    <row r="408" customFormat="false" ht="13.8" hidden="false" customHeight="false" outlineLevel="0" collapsed="false">
      <c r="B408" s="2" t="n">
        <v>406</v>
      </c>
      <c r="C408" s="2" t="n">
        <v>0.00107175360241598</v>
      </c>
      <c r="D408" s="2" t="n">
        <v>0.00103713055134675</v>
      </c>
      <c r="E408" s="2" t="n">
        <v>0.00763803984204752</v>
      </c>
    </row>
    <row r="409" customFormat="false" ht="13.8" hidden="false" customHeight="false" outlineLevel="0" collapsed="false">
      <c r="B409" s="2" t="n">
        <v>407</v>
      </c>
      <c r="C409" s="2" t="n">
        <v>0.00214350720673869</v>
      </c>
      <c r="D409" s="2" t="n">
        <v>0.00207426110465729</v>
      </c>
      <c r="E409" s="2" t="n">
        <v>0.0152760796860091</v>
      </c>
    </row>
    <row r="410" customFormat="false" ht="13.8" hidden="false" customHeight="false" outlineLevel="0" collapsed="false">
      <c r="B410" s="2" t="n">
        <v>408</v>
      </c>
      <c r="C410" s="2" t="n">
        <v>0.00321526081106098</v>
      </c>
      <c r="D410" s="2" t="n">
        <v>0.00311139165796784</v>
      </c>
      <c r="E410" s="2" t="n">
        <v>0.0229141195299711</v>
      </c>
    </row>
    <row r="411" customFormat="false" ht="13.8" hidden="false" customHeight="false" outlineLevel="0" collapsed="false">
      <c r="B411" s="2" t="n">
        <v>409</v>
      </c>
      <c r="C411" s="2" t="n">
        <v>0.00428701441538304</v>
      </c>
      <c r="D411" s="2" t="n">
        <v>0.00414852221132585</v>
      </c>
      <c r="E411" s="2" t="n">
        <v>0.0305521593739333</v>
      </c>
    </row>
    <row r="412" customFormat="false" ht="13.8" hidden="false" customHeight="false" outlineLevel="0" collapsed="false">
      <c r="B412" s="2" t="n">
        <v>410</v>
      </c>
      <c r="C412" s="2" t="n">
        <v>0.00872730667498831</v>
      </c>
      <c r="D412" s="2" t="n">
        <v>0.00844537061898907</v>
      </c>
      <c r="E412" s="2" t="n">
        <v>0.0494135202534277</v>
      </c>
    </row>
    <row r="413" customFormat="false" ht="13.8" hidden="false" customHeight="false" outlineLevel="0" collapsed="false">
      <c r="B413" s="2" t="n">
        <v>411</v>
      </c>
      <c r="C413" s="2" t="n">
        <v>0.0131675989326859</v>
      </c>
      <c r="D413" s="2" t="n">
        <v>0.00847405153228711</v>
      </c>
      <c r="E413" s="2" t="n">
        <v>0.0721833510673119</v>
      </c>
    </row>
    <row r="414" customFormat="false" ht="13.8" hidden="false" customHeight="false" outlineLevel="0" collapsed="false">
      <c r="B414" s="2" t="n">
        <v>412</v>
      </c>
      <c r="C414" s="2" t="n">
        <v>0.0176078911903846</v>
      </c>
      <c r="D414" s="2" t="n">
        <v>0.0170390674304918</v>
      </c>
      <c r="E414" s="2" t="n">
        <v>0.0408768754762789</v>
      </c>
    </row>
    <row r="415" customFormat="false" ht="13.8" hidden="false" customHeight="false" outlineLevel="0" collapsed="false">
      <c r="B415" s="2" t="n">
        <v>413</v>
      </c>
      <c r="C415" s="2" t="n">
        <v>0.0220481834480834</v>
      </c>
      <c r="D415" s="2" t="n">
        <v>0.0213359158362431</v>
      </c>
      <c r="E415" s="2" t="n">
        <v>0.0743536665519126</v>
      </c>
    </row>
    <row r="416" customFormat="false" ht="13.8" hidden="false" customHeight="false" outlineLevel="0" collapsed="false">
      <c r="B416" s="2" t="n">
        <v>414</v>
      </c>
      <c r="C416" s="2" t="n">
        <v>0.0305292925555714</v>
      </c>
      <c r="D416" s="2" t="n">
        <v>0.0295430423118308</v>
      </c>
      <c r="E416" s="2" t="n">
        <v>0.019822757444423</v>
      </c>
    </row>
    <row r="417" customFormat="false" ht="13.8" hidden="false" customHeight="false" outlineLevel="0" collapsed="false">
      <c r="B417" s="2" t="n">
        <v>415</v>
      </c>
      <c r="C417" s="2" t="n">
        <v>0.0390104016630594</v>
      </c>
      <c r="D417" s="2" t="n">
        <v>0.0377501687874185</v>
      </c>
      <c r="E417" s="2" t="n">
        <v>0.0673239983369334</v>
      </c>
    </row>
    <row r="418" customFormat="false" ht="13.8" hidden="false" customHeight="false" outlineLevel="0" collapsed="false">
      <c r="B418" s="2" t="n">
        <v>416</v>
      </c>
      <c r="C418" s="2" t="n">
        <v>0.0284180333333283</v>
      </c>
      <c r="D418" s="2" t="n">
        <v>0.0459572952630062</v>
      </c>
      <c r="E418" s="2" t="n">
        <v>0.0175000000000001</v>
      </c>
    </row>
    <row r="419" customFormat="false" ht="13.8" hidden="false" customHeight="false" outlineLevel="0" collapsed="false">
      <c r="B419" s="2" t="n">
        <v>417</v>
      </c>
      <c r="C419" s="2" t="n">
        <v>0.0559726198780354</v>
      </c>
      <c r="D419" s="2" t="n">
        <v>0.054164421738594</v>
      </c>
      <c r="E419" s="2" t="n">
        <v>0.0428624967886208</v>
      </c>
    </row>
    <row r="420" customFormat="false" ht="13.8" hidden="false" customHeight="false" outlineLevel="0" collapsed="false">
      <c r="B420" s="2" t="n">
        <v>418</v>
      </c>
      <c r="C420" s="2" t="n">
        <v>0.0492519500000001</v>
      </c>
      <c r="D420" s="2" t="n">
        <v>0.0601316690014187</v>
      </c>
      <c r="E420" s="2" t="n">
        <v>0.0175000000000001</v>
      </c>
    </row>
    <row r="421" customFormat="false" ht="13.8" hidden="false" customHeight="false" outlineLevel="0" collapsed="false">
      <c r="B421" s="2" t="n">
        <v>419</v>
      </c>
      <c r="C421" s="2" t="n">
        <v>0.0683055300261265</v>
      </c>
      <c r="D421" s="2" t="n">
        <v>0.0660989162634976</v>
      </c>
      <c r="E421" s="2" t="n">
        <v>0.0174999999992539</v>
      </c>
    </row>
    <row r="422" customFormat="false" ht="13.8" hidden="false" customHeight="false" outlineLevel="0" collapsed="false">
      <c r="B422" s="2" t="n">
        <v>420</v>
      </c>
      <c r="C422" s="2" t="n">
        <v>0.0744719845184774</v>
      </c>
      <c r="D422" s="2" t="n">
        <v>0.0720661635270661</v>
      </c>
      <c r="E422" s="2" t="n">
        <v>0.0383966988148395</v>
      </c>
    </row>
    <row r="423" customFormat="false" ht="13.8" hidden="false" customHeight="false" outlineLevel="0" collapsed="false">
      <c r="B423" s="2" t="n">
        <v>421</v>
      </c>
      <c r="C423" s="2" t="n">
        <v>0.0547572433222377</v>
      </c>
      <c r="D423" s="2" t="n">
        <v>0.078033410789735</v>
      </c>
      <c r="E423" s="2" t="n">
        <v>0.0174999999998457</v>
      </c>
    </row>
    <row r="424" customFormat="false" ht="13.8" hidden="false" customHeight="false" outlineLevel="0" collapsed="false">
      <c r="B424" s="2" t="n">
        <v>422</v>
      </c>
      <c r="C424" s="2" t="n">
        <v>0.0847983841036408</v>
      </c>
      <c r="D424" s="2" t="n">
        <v>0.0820589682839523</v>
      </c>
      <c r="E424" s="2" t="n">
        <v>0.0175000000000004</v>
      </c>
    </row>
    <row r="425" customFormat="false" ht="13.8" hidden="false" customHeight="false" outlineLevel="0" collapsed="false">
      <c r="B425" s="2" t="n">
        <v>423</v>
      </c>
      <c r="C425" s="2" t="n">
        <v>0.0655995927726665</v>
      </c>
      <c r="D425" s="2" t="n">
        <v>0.0860845257779843</v>
      </c>
      <c r="E425" s="2" t="n">
        <v>0.0174999999999713</v>
      </c>
    </row>
    <row r="426" customFormat="false" ht="13.8" hidden="false" customHeight="false" outlineLevel="0" collapsed="false">
      <c r="B426" s="2" t="n">
        <v>424</v>
      </c>
      <c r="C426" s="2" t="n">
        <v>0.0931182735137033</v>
      </c>
      <c r="D426" s="2" t="n">
        <v>0.0901100832720753</v>
      </c>
      <c r="E426" s="2" t="n">
        <v>0.0201208007140273</v>
      </c>
    </row>
    <row r="427" customFormat="false" ht="13.8" hidden="false" customHeight="false" outlineLevel="0" collapsed="false">
      <c r="B427" s="2" t="n">
        <v>425</v>
      </c>
      <c r="C427" s="2" t="n">
        <v>0.0746711700703415</v>
      </c>
      <c r="D427" s="2" t="n">
        <v>0.0941356407661363</v>
      </c>
      <c r="E427" s="2" t="n">
        <v>0.0198691475559496</v>
      </c>
    </row>
    <row r="428" customFormat="false" ht="13.8" hidden="false" customHeight="false" outlineLevel="0" collapsed="false">
      <c r="B428" s="2" t="n">
        <v>426</v>
      </c>
      <c r="C428" s="2" t="n">
        <v>0.0760052181013575</v>
      </c>
      <c r="D428" s="2" t="n">
        <v>0.0958729016892571</v>
      </c>
      <c r="E428" s="2" t="n">
        <v>0.0408829892926698</v>
      </c>
    </row>
    <row r="429" customFormat="false" ht="13.8" hidden="false" customHeight="false" outlineLevel="0" collapsed="false">
      <c r="B429" s="2" t="n">
        <v>427</v>
      </c>
      <c r="C429" s="2" t="n">
        <v>0.10086873177564</v>
      </c>
      <c r="D429" s="2" t="n">
        <v>0.0976101626123052</v>
      </c>
      <c r="E429" s="2" t="n">
        <v>0.0557723780154947</v>
      </c>
    </row>
    <row r="430" customFormat="false" ht="13.8" hidden="false" customHeight="false" outlineLevel="0" collapsed="false">
      <c r="B430" s="2" t="n">
        <v>428</v>
      </c>
      <c r="C430" s="2" t="n">
        <v>0.0773947270576224</v>
      </c>
      <c r="D430" s="2" t="n">
        <v>0.0993474235354983</v>
      </c>
      <c r="E430" s="2" t="n">
        <v>0.0700318599211281</v>
      </c>
    </row>
    <row r="431" customFormat="false" ht="13.8" hidden="false" customHeight="false" outlineLevel="0" collapsed="false">
      <c r="B431" s="2" t="n">
        <v>429</v>
      </c>
      <c r="C431" s="2" t="n">
        <v>0.0884677334589257</v>
      </c>
      <c r="D431" s="2" t="n">
        <v>0.101084684458593</v>
      </c>
      <c r="E431" s="2" t="n">
        <v>0.114274870160326</v>
      </c>
    </row>
    <row r="432" customFormat="false" ht="13.8" hidden="false" customHeight="false" outlineLevel="0" collapsed="false">
      <c r="B432" s="2" t="n">
        <v>430</v>
      </c>
      <c r="C432" s="2" t="n">
        <v>0.0765465178865263</v>
      </c>
      <c r="D432" s="2" t="n">
        <v>0.103588553552853</v>
      </c>
      <c r="E432" s="2" t="n">
        <v>0.195879382211544</v>
      </c>
    </row>
    <row r="433" customFormat="false" ht="13.8" hidden="false" customHeight="false" outlineLevel="0" collapsed="false">
      <c r="B433" s="2" t="n">
        <v>431</v>
      </c>
      <c r="C433" s="2" t="n">
        <v>0.0870009500502161</v>
      </c>
      <c r="D433" s="2" t="n">
        <v>0.106092422646999</v>
      </c>
      <c r="E433" s="2" t="n">
        <v>0.323361608619856</v>
      </c>
    </row>
    <row r="434" customFormat="false" ht="13.8" hidden="false" customHeight="false" outlineLevel="0" collapsed="false">
      <c r="B434" s="2" t="n">
        <v>432</v>
      </c>
      <c r="C434" s="2" t="n">
        <v>0.0482551023779319</v>
      </c>
      <c r="D434" s="2" t="n">
        <v>0.108596291741332</v>
      </c>
      <c r="E434" s="2" t="n">
        <v>0.601697793290035</v>
      </c>
    </row>
    <row r="435" customFormat="false" ht="13.8" hidden="false" customHeight="false" outlineLevel="0" collapsed="false">
      <c r="B435" s="2" t="n">
        <v>433</v>
      </c>
      <c r="C435" s="2" t="n">
        <v>0.0626201678659304</v>
      </c>
      <c r="D435" s="2" t="n">
        <v>0.111100160835563</v>
      </c>
      <c r="E435" s="2" t="n">
        <v>0.818206977341814</v>
      </c>
    </row>
    <row r="436" customFormat="false" ht="13.8" hidden="false" customHeight="false" outlineLevel="0" collapsed="false">
      <c r="B436" s="2" t="n">
        <v>434</v>
      </c>
      <c r="C436" s="2" t="n">
        <v>0.070253717865856</v>
      </c>
      <c r="D436" s="2" t="n">
        <v>0.110248630155249</v>
      </c>
      <c r="E436" s="2" t="n">
        <v>0.811935804205723</v>
      </c>
    </row>
    <row r="437" customFormat="false" ht="13.8" hidden="false" customHeight="false" outlineLevel="0" collapsed="false">
      <c r="B437" s="2" t="n">
        <v>435</v>
      </c>
      <c r="C437" s="2" t="n">
        <v>0.0752020833333337</v>
      </c>
      <c r="D437" s="2" t="n">
        <v>0.109397099474942</v>
      </c>
      <c r="E437" s="2" t="n">
        <v>0.805664631069635</v>
      </c>
    </row>
    <row r="438" customFormat="false" ht="13.8" hidden="false" customHeight="false" outlineLevel="0" collapsed="false">
      <c r="B438" s="2" t="n">
        <v>436</v>
      </c>
      <c r="C438" s="2" t="n">
        <v>0.0610063523794964</v>
      </c>
      <c r="D438" s="2" t="n">
        <v>0.10854556824354</v>
      </c>
      <c r="E438" s="2" t="n">
        <v>0.799393457935093</v>
      </c>
    </row>
    <row r="439" customFormat="false" ht="13.8" hidden="false" customHeight="false" outlineLevel="0" collapsed="false">
      <c r="B439" s="2" t="n">
        <v>437</v>
      </c>
      <c r="C439" s="2" t="n">
        <v>0.0740043012005995</v>
      </c>
      <c r="D439" s="2" t="n">
        <v>0.107694037583507</v>
      </c>
      <c r="E439" s="2" t="n">
        <v>0.793122284798828</v>
      </c>
    </row>
    <row r="440" customFormat="false" ht="13.8" hidden="false" customHeight="false" outlineLevel="0" collapsed="false">
      <c r="B440" s="2" t="n">
        <v>438</v>
      </c>
      <c r="C440" s="2" t="n">
        <v>0.0616708511990466</v>
      </c>
      <c r="D440" s="2" t="n">
        <v>0.0884362260321508</v>
      </c>
      <c r="E440" s="2" t="n">
        <v>0.651296421581443</v>
      </c>
    </row>
    <row r="441" customFormat="false" ht="13.8" hidden="false" customHeight="false" outlineLevel="0" collapsed="false">
      <c r="B441" s="2" t="n">
        <v>439</v>
      </c>
      <c r="C441" s="2" t="n">
        <v>0.0714878317444521</v>
      </c>
      <c r="D441" s="2" t="n">
        <v>0.0691784139499887</v>
      </c>
      <c r="E441" s="2" t="n">
        <v>0.509470558365417</v>
      </c>
    </row>
    <row r="442" customFormat="false" ht="13.8" hidden="false" customHeight="false" outlineLevel="0" collapsed="false">
      <c r="B442" s="2" t="n">
        <v>440</v>
      </c>
      <c r="C442" s="2" t="n">
        <v>0.051587126433508</v>
      </c>
      <c r="D442" s="2" t="n">
        <v>0.0499206018678273</v>
      </c>
      <c r="E442" s="2" t="n">
        <v>0.36764469514939</v>
      </c>
    </row>
    <row r="443" customFormat="false" ht="13.8" hidden="false" customHeight="false" outlineLevel="0" collapsed="false">
      <c r="B443" s="2" t="n">
        <v>441</v>
      </c>
      <c r="C443" s="2" t="n">
        <v>0.0316864211225643</v>
      </c>
      <c r="D443" s="2" t="n">
        <v>0.0306627897856655</v>
      </c>
      <c r="E443" s="2" t="n">
        <v>0.225818831933364</v>
      </c>
    </row>
    <row r="444" customFormat="false" ht="13.8" hidden="false" customHeight="false" outlineLevel="0" collapsed="false">
      <c r="B444" s="2" t="n">
        <v>442</v>
      </c>
      <c r="C444" s="2" t="n">
        <v>0.0349084325140194</v>
      </c>
      <c r="D444" s="2" t="n">
        <v>0.0337807139462683</v>
      </c>
      <c r="E444" s="2" t="n">
        <v>0.248781060645453</v>
      </c>
    </row>
    <row r="445" customFormat="false" ht="13.8" hidden="false" customHeight="false" outlineLevel="0" collapsed="false">
      <c r="B445" s="2" t="n">
        <v>443</v>
      </c>
      <c r="C445" s="2" t="n">
        <v>0.0381304439053816</v>
      </c>
      <c r="D445" s="2" t="n">
        <v>0.0368986381069245</v>
      </c>
      <c r="E445" s="2" t="n">
        <v>0.271743289357489</v>
      </c>
    </row>
    <row r="446" customFormat="false" ht="13.8" hidden="false" customHeight="false" outlineLevel="0" collapsed="false">
      <c r="B446" s="2" t="n">
        <v>444</v>
      </c>
      <c r="C446" s="2" t="n">
        <v>0.0405962735538751</v>
      </c>
      <c r="D446" s="2" t="n">
        <v>0.0400165622675632</v>
      </c>
      <c r="E446" s="2" t="n">
        <v>0.294705518069544</v>
      </c>
    </row>
    <row r="447" customFormat="false" ht="13.8" hidden="false" customHeight="false" outlineLevel="0" collapsed="false">
      <c r="B447" s="2" t="n">
        <v>445</v>
      </c>
      <c r="C447" s="2" t="n">
        <v>0.0445744666881863</v>
      </c>
      <c r="D447" s="2" t="n">
        <v>0.0431344864281978</v>
      </c>
      <c r="E447" s="2" t="n">
        <v>0.317667746781598</v>
      </c>
    </row>
    <row r="448" customFormat="false" ht="13.8" hidden="false" customHeight="false" outlineLevel="0" collapsed="false">
      <c r="B448" s="2" t="n">
        <v>446</v>
      </c>
      <c r="C448" s="2" t="n">
        <v>0.040611480036849</v>
      </c>
      <c r="D448" s="2" t="n">
        <v>0.0392995242479449</v>
      </c>
      <c r="E448" s="2" t="n">
        <v>0.289424828292678</v>
      </c>
    </row>
    <row r="449" customFormat="false" ht="13.8" hidden="false" customHeight="false" outlineLevel="0" collapsed="false">
      <c r="B449" s="2" t="n">
        <v>447</v>
      </c>
      <c r="C449" s="2" t="n">
        <v>0.0366484933860857</v>
      </c>
      <c r="D449" s="2" t="n">
        <v>0.0354645623180496</v>
      </c>
      <c r="E449" s="2" t="n">
        <v>0.261181909328611</v>
      </c>
    </row>
    <row r="450" customFormat="false" ht="13.8" hidden="false" customHeight="false" outlineLevel="0" collapsed="false">
      <c r="B450" s="2" t="n">
        <v>448</v>
      </c>
      <c r="C450" s="2" t="n">
        <v>0.0320917213397882</v>
      </c>
      <c r="D450" s="2" t="n">
        <v>0.0316295998901864</v>
      </c>
      <c r="E450" s="2" t="n">
        <v>0.232938990602096</v>
      </c>
    </row>
    <row r="451" customFormat="false" ht="13.8" hidden="false" customHeight="false" outlineLevel="0" collapsed="false">
      <c r="B451" s="2" t="n">
        <v>449</v>
      </c>
      <c r="C451" s="2" t="n">
        <v>0.028722520083939</v>
      </c>
      <c r="D451" s="2" t="n">
        <v>0.0277946377105547</v>
      </c>
      <c r="E451" s="2" t="n">
        <v>0.204696071875589</v>
      </c>
    </row>
    <row r="452" customFormat="false" ht="13.8" hidden="false" customHeight="false" outlineLevel="0" collapsed="false">
      <c r="B452" s="2" t="n">
        <v>450</v>
      </c>
      <c r="C452" s="2" t="n">
        <v>0.0251903791759961</v>
      </c>
      <c r="D452" s="2" t="n">
        <v>0.0243766027821397</v>
      </c>
      <c r="E452" s="2" t="n">
        <v>0.179523650826259</v>
      </c>
    </row>
    <row r="453" customFormat="false" ht="13.8" hidden="false" customHeight="false" outlineLevel="0" collapsed="false">
      <c r="B453" s="2" t="n">
        <v>451</v>
      </c>
      <c r="C453" s="2" t="n">
        <v>0.0216582382680532</v>
      </c>
      <c r="D453" s="2" t="n">
        <v>0.0209585678537246</v>
      </c>
      <c r="E453" s="2" t="n">
        <v>0.15435122977693</v>
      </c>
    </row>
    <row r="454" customFormat="false" ht="13.8" hidden="false" customHeight="false" outlineLevel="0" collapsed="false">
      <c r="B454" s="2" t="n">
        <v>452</v>
      </c>
      <c r="C454" s="2" t="n">
        <v>0.0181260973601103</v>
      </c>
      <c r="D454" s="2" t="n">
        <v>0.0175405329253097</v>
      </c>
      <c r="E454" s="2" t="n">
        <v>0.129178808727601</v>
      </c>
    </row>
    <row r="455" customFormat="false" ht="13.8" hidden="false" customHeight="false" outlineLevel="0" collapsed="false">
      <c r="B455" s="2" t="n">
        <v>453</v>
      </c>
      <c r="C455" s="2" t="n">
        <v>0.0145939564520235</v>
      </c>
      <c r="D455" s="2" t="n">
        <v>0.0141224979967497</v>
      </c>
      <c r="E455" s="2" t="n">
        <v>0.104006387678144</v>
      </c>
    </row>
    <row r="456" customFormat="false" ht="13.8" hidden="false" customHeight="false" outlineLevel="0" collapsed="false">
      <c r="B456" s="2" t="n">
        <v>454</v>
      </c>
      <c r="C456" s="2" t="n">
        <v>0.0109752493027488</v>
      </c>
      <c r="D456" s="2" t="n">
        <v>0.0106206933535396</v>
      </c>
      <c r="E456" s="2" t="n">
        <v>0.0782170371417301</v>
      </c>
    </row>
    <row r="457" customFormat="false" ht="13.8" hidden="false" customHeight="false" outlineLevel="0" collapsed="false">
      <c r="B457" s="2" t="n">
        <v>455</v>
      </c>
      <c r="C457" s="2" t="n">
        <v>0.00735654034730498</v>
      </c>
      <c r="D457" s="2" t="n">
        <v>0.0071188887161136</v>
      </c>
      <c r="E457" s="2" t="n">
        <v>0.0524276866110997</v>
      </c>
    </row>
    <row r="458" customFormat="false" ht="13.8" hidden="false" customHeight="false" outlineLevel="0" collapsed="false">
      <c r="B458" s="2" t="n">
        <v>456</v>
      </c>
      <c r="C458" s="2" t="n">
        <v>0.00373783324447327</v>
      </c>
      <c r="D458" s="2" t="n">
        <v>0.00361708407275038</v>
      </c>
      <c r="E458" s="2" t="n">
        <v>0.0266383360745507</v>
      </c>
    </row>
    <row r="459" customFormat="false" ht="13.8" hidden="false" customHeight="false" outlineLevel="0" collapsed="false">
      <c r="B459" s="2" t="n">
        <v>457</v>
      </c>
      <c r="C459" s="2" t="n">
        <v>0.000119126141641029</v>
      </c>
      <c r="D459" s="2" t="n">
        <v>0.000115278223458981</v>
      </c>
      <c r="E459" s="2" t="n">
        <v>0.000848985538001849</v>
      </c>
    </row>
    <row r="460" customFormat="false" ht="13.8" hidden="false" customHeight="false" outlineLevel="0" collapsed="false">
      <c r="B460" s="2" t="n">
        <v>458</v>
      </c>
      <c r="C460" s="2" t="n">
        <v>8.93442243818923E-005</v>
      </c>
      <c r="D460" s="2" t="n">
        <v>8.64584139715088E-005</v>
      </c>
      <c r="E460" s="2" t="n">
        <v>0.000636739154744093</v>
      </c>
    </row>
    <row r="461" customFormat="false" ht="13.8" hidden="false" customHeight="false" outlineLevel="0" collapsed="false">
      <c r="B461" s="2" t="n">
        <v>459</v>
      </c>
      <c r="C461" s="2" t="n">
        <v>5.95623071219087E-005</v>
      </c>
      <c r="D461" s="2" t="n">
        <v>5.76386044844004E-005</v>
      </c>
      <c r="E461" s="2" t="n">
        <v>0.000424492771486328</v>
      </c>
    </row>
    <row r="462" customFormat="false" ht="13.8" hidden="false" customHeight="false" outlineLevel="0" collapsed="false">
      <c r="B462" s="2" t="n">
        <v>460</v>
      </c>
      <c r="C462" s="2" t="n">
        <v>2.9780389859193E-005</v>
      </c>
      <c r="D462" s="2" t="n">
        <v>2.88187949970734E-005</v>
      </c>
      <c r="E462" s="2" t="n">
        <v>0.000212246388228555</v>
      </c>
    </row>
    <row r="463" customFormat="false" ht="13.8" hidden="false" customHeight="false" outlineLevel="0" collapsed="false">
      <c r="B463" s="2" t="n">
        <v>461</v>
      </c>
      <c r="C463" s="2" t="n">
        <v>0</v>
      </c>
      <c r="D463" s="2" t="n">
        <v>0</v>
      </c>
      <c r="E463" s="2" t="n">
        <v>0</v>
      </c>
    </row>
    <row r="464" customFormat="false" ht="13.8" hidden="false" customHeight="false" outlineLevel="0" collapsed="false">
      <c r="B464" s="2" t="n">
        <v>462</v>
      </c>
      <c r="C464" s="2" t="n">
        <v>0</v>
      </c>
      <c r="D464" s="2" t="n">
        <v>0</v>
      </c>
      <c r="E464" s="2" t="n">
        <v>0</v>
      </c>
    </row>
    <row r="465" customFormat="false" ht="13.8" hidden="false" customHeight="false" outlineLevel="0" collapsed="false">
      <c r="B465" s="2" t="n">
        <v>463</v>
      </c>
      <c r="C465" s="2" t="n">
        <v>0</v>
      </c>
      <c r="D465" s="2" t="n">
        <v>0</v>
      </c>
      <c r="E465" s="2" t="n">
        <v>0</v>
      </c>
    </row>
    <row r="466" customFormat="false" ht="13.8" hidden="false" customHeight="false" outlineLevel="0" collapsed="false">
      <c r="B466" s="2" t="n">
        <v>464</v>
      </c>
      <c r="C466" s="2" t="n">
        <v>0</v>
      </c>
      <c r="D466" s="2" t="n">
        <v>0</v>
      </c>
      <c r="E466" s="2" t="n">
        <v>0</v>
      </c>
    </row>
    <row r="467" customFormat="false" ht="13.8" hidden="false" customHeight="false" outlineLevel="0" collapsed="false">
      <c r="B467" s="2" t="n">
        <v>465</v>
      </c>
      <c r="C467" s="2" t="n">
        <v>0</v>
      </c>
      <c r="D467" s="2" t="n">
        <v>0</v>
      </c>
      <c r="E467" s="2" t="n">
        <v>0</v>
      </c>
    </row>
    <row r="468" customFormat="false" ht="13.8" hidden="false" customHeight="false" outlineLevel="0" collapsed="false">
      <c r="B468" s="2" t="n">
        <v>466</v>
      </c>
      <c r="C468" s="2" t="n">
        <v>0</v>
      </c>
      <c r="D468" s="2" t="n">
        <v>0</v>
      </c>
      <c r="E468" s="2" t="n">
        <v>0</v>
      </c>
    </row>
    <row r="469" customFormat="false" ht="13.8" hidden="false" customHeight="false" outlineLevel="0" collapsed="false">
      <c r="B469" s="2" t="n">
        <v>467</v>
      </c>
      <c r="C469" s="2" t="n">
        <v>0</v>
      </c>
      <c r="D469" s="2" t="n">
        <v>0</v>
      </c>
      <c r="E469" s="2" t="n">
        <v>0</v>
      </c>
    </row>
    <row r="470" customFormat="false" ht="13.8" hidden="false" customHeight="false" outlineLevel="0" collapsed="false">
      <c r="B470" s="2" t="n">
        <v>468</v>
      </c>
      <c r="C470" s="2" t="n">
        <v>0</v>
      </c>
      <c r="D470" s="2" t="n">
        <v>0</v>
      </c>
      <c r="E470" s="2" t="n">
        <v>0</v>
      </c>
    </row>
    <row r="471" customFormat="false" ht="13.8" hidden="false" customHeight="false" outlineLevel="0" collapsed="false">
      <c r="B471" s="2" t="n">
        <v>469</v>
      </c>
      <c r="C471" s="2" t="n">
        <v>0</v>
      </c>
      <c r="D471" s="2" t="n">
        <v>0</v>
      </c>
      <c r="E471" s="2" t="n">
        <v>0</v>
      </c>
    </row>
    <row r="472" customFormat="false" ht="13.8" hidden="false" customHeight="false" outlineLevel="0" collapsed="false">
      <c r="B472" s="2" t="n">
        <v>470</v>
      </c>
      <c r="C472" s="2" t="n">
        <v>0</v>
      </c>
      <c r="D472" s="2" t="n">
        <v>0</v>
      </c>
      <c r="E472" s="2" t="n">
        <v>0</v>
      </c>
    </row>
    <row r="473" customFormat="false" ht="13.8" hidden="false" customHeight="false" outlineLevel="0" collapsed="false">
      <c r="B473" s="2" t="n">
        <v>471</v>
      </c>
      <c r="C473" s="2" t="n">
        <v>0</v>
      </c>
      <c r="D473" s="2" t="n">
        <v>0</v>
      </c>
      <c r="E473" s="2" t="n">
        <v>0</v>
      </c>
    </row>
    <row r="474" customFormat="false" ht="13.8" hidden="false" customHeight="false" outlineLevel="0" collapsed="false">
      <c r="B474" s="2" t="n">
        <v>472</v>
      </c>
      <c r="C474" s="2" t="n">
        <v>0</v>
      </c>
      <c r="D474" s="2" t="n">
        <v>0</v>
      </c>
      <c r="E474" s="2" t="n">
        <v>0</v>
      </c>
    </row>
    <row r="475" customFormat="false" ht="13.8" hidden="false" customHeight="false" outlineLevel="0" collapsed="false">
      <c r="B475" s="2" t="n">
        <v>473</v>
      </c>
      <c r="C475" s="2" t="n">
        <v>0</v>
      </c>
      <c r="D475" s="2" t="n">
        <v>0</v>
      </c>
      <c r="E475" s="2" t="n">
        <v>0</v>
      </c>
    </row>
    <row r="476" customFormat="false" ht="13.8" hidden="false" customHeight="false" outlineLevel="0" collapsed="false">
      <c r="B476" s="2" t="n">
        <v>474</v>
      </c>
      <c r="C476" s="2" t="n">
        <v>0</v>
      </c>
      <c r="D476" s="2" t="n">
        <v>0</v>
      </c>
      <c r="E476" s="2" t="n">
        <v>0</v>
      </c>
    </row>
    <row r="477" customFormat="false" ht="13.8" hidden="false" customHeight="false" outlineLevel="0" collapsed="false">
      <c r="B477" s="2" t="n">
        <v>475</v>
      </c>
      <c r="C477" s="2" t="n">
        <v>0</v>
      </c>
      <c r="D477" s="2" t="n">
        <v>0</v>
      </c>
      <c r="E477" s="2" t="n">
        <v>0</v>
      </c>
    </row>
    <row r="478" customFormat="false" ht="13.8" hidden="false" customHeight="false" outlineLevel="0" collapsed="false">
      <c r="B478" s="2" t="n">
        <v>476</v>
      </c>
      <c r="C478" s="2" t="n">
        <v>0</v>
      </c>
      <c r="D478" s="2" t="n">
        <v>0</v>
      </c>
      <c r="E478" s="2" t="n">
        <v>0</v>
      </c>
    </row>
    <row r="479" customFormat="false" ht="13.8" hidden="false" customHeight="false" outlineLevel="0" collapsed="false">
      <c r="B479" s="2" t="n">
        <v>477</v>
      </c>
      <c r="C479" s="2" t="n">
        <v>0</v>
      </c>
      <c r="D479" s="2" t="n">
        <v>0</v>
      </c>
      <c r="E479" s="2" t="n">
        <v>0</v>
      </c>
    </row>
    <row r="480" customFormat="false" ht="13.8" hidden="false" customHeight="false" outlineLevel="0" collapsed="false">
      <c r="B480" s="2" t="n">
        <v>478</v>
      </c>
      <c r="C480" s="2" t="n">
        <v>0</v>
      </c>
      <c r="D480" s="2" t="n">
        <v>0</v>
      </c>
      <c r="E480" s="2" t="n">
        <v>0</v>
      </c>
    </row>
    <row r="481" customFormat="false" ht="13.8" hidden="false" customHeight="false" outlineLevel="0" collapsed="false">
      <c r="B481" s="2" t="n">
        <v>479</v>
      </c>
      <c r="C481" s="2" t="n">
        <v>0</v>
      </c>
      <c r="D481" s="2" t="n">
        <v>0</v>
      </c>
      <c r="E481" s="2" t="n">
        <v>0</v>
      </c>
    </row>
    <row r="482" customFormat="false" ht="13.8" hidden="false" customHeight="false" outlineLevel="0" collapsed="false">
      <c r="B482" s="2" t="n">
        <v>480</v>
      </c>
      <c r="C482" s="2" t="n">
        <v>0</v>
      </c>
      <c r="D482" s="2" t="n">
        <v>0</v>
      </c>
      <c r="E482" s="2" t="n">
        <v>0</v>
      </c>
    </row>
    <row r="483" customFormat="false" ht="13.8" hidden="false" customHeight="false" outlineLevel="0" collapsed="false">
      <c r="B483" s="2" t="n">
        <v>481</v>
      </c>
      <c r="C483" s="2" t="n">
        <v>0</v>
      </c>
      <c r="D483" s="2" t="n">
        <v>0</v>
      </c>
      <c r="E483" s="2" t="n">
        <v>0</v>
      </c>
    </row>
    <row r="484" customFormat="false" ht="13.8" hidden="false" customHeight="false" outlineLevel="0" collapsed="false">
      <c r="B484" s="2" t="n">
        <v>482</v>
      </c>
      <c r="C484" s="2" t="n">
        <v>0</v>
      </c>
      <c r="D484" s="2" t="n">
        <v>0</v>
      </c>
      <c r="E484" s="2" t="n">
        <v>0</v>
      </c>
    </row>
    <row r="485" customFormat="false" ht="13.8" hidden="false" customHeight="false" outlineLevel="0" collapsed="false">
      <c r="B485" s="2" t="n">
        <v>483</v>
      </c>
      <c r="C485" s="2" t="n">
        <v>0</v>
      </c>
      <c r="D485" s="2" t="n">
        <v>0</v>
      </c>
      <c r="E485" s="2" t="n">
        <v>0</v>
      </c>
    </row>
    <row r="486" customFormat="false" ht="13.8" hidden="false" customHeight="false" outlineLevel="0" collapsed="false">
      <c r="B486" s="2" t="n">
        <v>484</v>
      </c>
      <c r="C486" s="2" t="n">
        <v>0</v>
      </c>
      <c r="D486" s="2" t="n">
        <v>0</v>
      </c>
      <c r="E486" s="2" t="n">
        <v>0</v>
      </c>
    </row>
    <row r="487" customFormat="false" ht="13.8" hidden="false" customHeight="false" outlineLevel="0" collapsed="false">
      <c r="B487" s="2" t="n">
        <v>485</v>
      </c>
      <c r="C487" s="2" t="n">
        <v>0</v>
      </c>
      <c r="D487" s="2" t="n">
        <v>0</v>
      </c>
      <c r="E487" s="2" t="n">
        <v>0</v>
      </c>
    </row>
    <row r="488" customFormat="false" ht="13.8" hidden="false" customHeight="false" outlineLevel="0" collapsed="false">
      <c r="B488" s="2" t="n">
        <v>486</v>
      </c>
      <c r="C488" s="2" t="n">
        <v>0</v>
      </c>
      <c r="D488" s="2" t="n">
        <v>0</v>
      </c>
      <c r="E488" s="2" t="n">
        <v>0</v>
      </c>
    </row>
    <row r="489" customFormat="false" ht="13.8" hidden="false" customHeight="false" outlineLevel="0" collapsed="false">
      <c r="B489" s="2" t="n">
        <v>487</v>
      </c>
      <c r="C489" s="2" t="n">
        <v>0</v>
      </c>
      <c r="D489" s="2" t="n">
        <v>0</v>
      </c>
      <c r="E489" s="2" t="n">
        <v>0</v>
      </c>
    </row>
    <row r="490" customFormat="false" ht="13.8" hidden="false" customHeight="false" outlineLevel="0" collapsed="false">
      <c r="B490" s="2" t="n">
        <v>488</v>
      </c>
      <c r="C490" s="2" t="n">
        <v>0</v>
      </c>
      <c r="D490" s="2" t="n">
        <v>0</v>
      </c>
      <c r="E490" s="2" t="n">
        <v>0</v>
      </c>
    </row>
    <row r="491" customFormat="false" ht="13.8" hidden="false" customHeight="false" outlineLevel="0" collapsed="false">
      <c r="B491" s="2" t="n">
        <v>489</v>
      </c>
      <c r="C491" s="2" t="n">
        <v>0</v>
      </c>
      <c r="D491" s="2" t="n">
        <v>0</v>
      </c>
      <c r="E491" s="2" t="n">
        <v>0</v>
      </c>
    </row>
    <row r="492" customFormat="false" ht="13.8" hidden="false" customHeight="false" outlineLevel="0" collapsed="false">
      <c r="B492" s="2" t="n">
        <v>490</v>
      </c>
      <c r="C492" s="2" t="n">
        <v>0</v>
      </c>
      <c r="D492" s="2" t="n">
        <v>0</v>
      </c>
      <c r="E492" s="2" t="n">
        <v>0</v>
      </c>
    </row>
    <row r="493" customFormat="false" ht="13.8" hidden="false" customHeight="false" outlineLevel="0" collapsed="false">
      <c r="B493" s="2" t="n">
        <v>491</v>
      </c>
      <c r="C493" s="2" t="n">
        <v>0</v>
      </c>
      <c r="D493" s="2" t="n">
        <v>0</v>
      </c>
      <c r="E493" s="2" t="n">
        <v>0</v>
      </c>
    </row>
    <row r="494" customFormat="false" ht="13.8" hidden="false" customHeight="false" outlineLevel="0" collapsed="false">
      <c r="B494" s="2" t="n">
        <v>492</v>
      </c>
      <c r="C494" s="2" t="n">
        <v>0</v>
      </c>
      <c r="D494" s="2" t="n">
        <v>0</v>
      </c>
      <c r="E494" s="2" t="n">
        <v>0</v>
      </c>
    </row>
    <row r="495" customFormat="false" ht="13.8" hidden="false" customHeight="false" outlineLevel="0" collapsed="false">
      <c r="B495" s="2" t="n">
        <v>493</v>
      </c>
      <c r="C495" s="2" t="n">
        <v>0</v>
      </c>
      <c r="D495" s="2" t="n">
        <v>0</v>
      </c>
      <c r="E495" s="2" t="n">
        <v>0</v>
      </c>
    </row>
    <row r="496" customFormat="false" ht="13.8" hidden="false" customHeight="false" outlineLevel="0" collapsed="false">
      <c r="B496" s="2" t="n">
        <v>494</v>
      </c>
      <c r="C496" s="2" t="n">
        <v>0</v>
      </c>
      <c r="D496" s="2" t="n">
        <v>0</v>
      </c>
      <c r="E496" s="2" t="n">
        <v>0</v>
      </c>
    </row>
    <row r="497" customFormat="false" ht="13.8" hidden="false" customHeight="false" outlineLevel="0" collapsed="false">
      <c r="B497" s="2" t="n">
        <v>495</v>
      </c>
      <c r="C497" s="2" t="n">
        <v>0</v>
      </c>
      <c r="D497" s="2" t="n">
        <v>0</v>
      </c>
      <c r="E497" s="2" t="n">
        <v>0</v>
      </c>
    </row>
    <row r="498" customFormat="false" ht="13.8" hidden="false" customHeight="false" outlineLevel="0" collapsed="false">
      <c r="B498" s="2" t="n">
        <v>496</v>
      </c>
      <c r="C498" s="2" t="n">
        <v>0</v>
      </c>
      <c r="D498" s="2" t="n">
        <v>0</v>
      </c>
      <c r="E498" s="2" t="n">
        <v>0</v>
      </c>
    </row>
    <row r="499" customFormat="false" ht="13.8" hidden="false" customHeight="false" outlineLevel="0" collapsed="false">
      <c r="B499" s="2" t="n">
        <v>497</v>
      </c>
      <c r="C499" s="2" t="n">
        <v>0</v>
      </c>
      <c r="D499" s="2" t="n">
        <v>0</v>
      </c>
      <c r="E499" s="2" t="n">
        <v>0</v>
      </c>
    </row>
    <row r="500" customFormat="false" ht="13.8" hidden="false" customHeight="false" outlineLevel="0" collapsed="false">
      <c r="B500" s="2" t="n">
        <v>498</v>
      </c>
      <c r="C500" s="2" t="n">
        <v>0</v>
      </c>
      <c r="D500" s="2" t="n">
        <v>0</v>
      </c>
      <c r="E500" s="2" t="n">
        <v>0</v>
      </c>
    </row>
    <row r="501" customFormat="false" ht="13.8" hidden="false" customHeight="false" outlineLevel="0" collapsed="false">
      <c r="B501" s="2" t="n">
        <v>499</v>
      </c>
      <c r="C501" s="2" t="n">
        <v>0</v>
      </c>
      <c r="D501" s="2" t="n">
        <v>0</v>
      </c>
      <c r="E501" s="2" t="n">
        <v>0</v>
      </c>
    </row>
    <row r="502" customFormat="false" ht="13.8" hidden="false" customHeight="false" outlineLevel="0" collapsed="false">
      <c r="B502" s="2" t="n">
        <v>500</v>
      </c>
      <c r="C502" s="2" t="n">
        <v>0</v>
      </c>
      <c r="D502" s="2" t="n">
        <v>0</v>
      </c>
      <c r="E502" s="2" t="n">
        <v>0</v>
      </c>
    </row>
    <row r="503" customFormat="false" ht="13.8" hidden="false" customHeight="false" outlineLevel="0" collapsed="false">
      <c r="B503" s="2" t="n">
        <v>501</v>
      </c>
      <c r="C503" s="2" t="n">
        <v>0</v>
      </c>
      <c r="D503" s="2" t="n">
        <v>0</v>
      </c>
      <c r="E503" s="2" t="n">
        <v>0</v>
      </c>
    </row>
    <row r="504" customFormat="false" ht="13.8" hidden="false" customHeight="false" outlineLevel="0" collapsed="false">
      <c r="B504" s="2" t="n">
        <v>502</v>
      </c>
      <c r="C504" s="2" t="n">
        <v>4.5665615339235E-005</v>
      </c>
      <c r="D504" s="2" t="n">
        <v>4.41904496753667E-005</v>
      </c>
      <c r="E504" s="2" t="n">
        <v>0.00032544445798207</v>
      </c>
    </row>
    <row r="505" customFormat="false" ht="13.8" hidden="false" customHeight="false" outlineLevel="0" collapsed="false">
      <c r="B505" s="2" t="n">
        <v>503</v>
      </c>
      <c r="C505" s="2" t="n">
        <v>9.13313594058394E-005</v>
      </c>
      <c r="D505" s="2" t="n">
        <v>8.83808956035521E-005</v>
      </c>
      <c r="E505" s="2" t="n">
        <v>0.000650888912239308</v>
      </c>
    </row>
    <row r="506" customFormat="false" ht="13.8" hidden="false" customHeight="false" outlineLevel="0" collapsed="false">
      <c r="B506" s="2" t="n">
        <v>504</v>
      </c>
      <c r="C506" s="2" t="n">
        <v>0.000136997018881797</v>
      </c>
      <c r="D506" s="2" t="n">
        <v>0.000132571341624074</v>
      </c>
      <c r="E506" s="2" t="n">
        <v>0.000976333366547645</v>
      </c>
    </row>
    <row r="507" customFormat="false" ht="13.8" hidden="false" customHeight="false" outlineLevel="0" collapsed="false">
      <c r="B507" s="2" t="n">
        <v>505</v>
      </c>
      <c r="C507" s="2" t="n">
        <v>0.000182662715172976</v>
      </c>
      <c r="D507" s="2" t="n">
        <v>0.000176761787602124</v>
      </c>
      <c r="E507" s="2" t="n">
        <v>0.00130177782083494</v>
      </c>
    </row>
    <row r="508" customFormat="false" ht="13.8" hidden="false" customHeight="false" outlineLevel="0" collapsed="false">
      <c r="B508" s="2" t="n">
        <v>506</v>
      </c>
      <c r="C508" s="2" t="n">
        <v>0.000663542157531788</v>
      </c>
      <c r="D508" s="2" t="n">
        <v>0.000642106396771811</v>
      </c>
      <c r="E508" s="2" t="n">
        <v>0.00472884942184264</v>
      </c>
    </row>
    <row r="509" customFormat="false" ht="13.8" hidden="false" customHeight="false" outlineLevel="0" collapsed="false">
      <c r="B509" s="2" t="n">
        <v>507</v>
      </c>
      <c r="C509" s="2" t="n">
        <v>0.00114442159989079</v>
      </c>
      <c r="D509" s="2" t="n">
        <v>0.0011074510059415</v>
      </c>
      <c r="E509" s="2" t="n">
        <v>0.00815592102285019</v>
      </c>
    </row>
    <row r="510" customFormat="false" ht="13.8" hidden="false" customHeight="false" outlineLevel="0" collapsed="false">
      <c r="B510" s="2" t="n">
        <v>508</v>
      </c>
      <c r="C510" s="2" t="n">
        <v>0.00162530104225131</v>
      </c>
      <c r="D510" s="2" t="n">
        <v>0.00157279561511119</v>
      </c>
      <c r="E510" s="2" t="n">
        <v>0.0115829926238563</v>
      </c>
    </row>
    <row r="511" customFormat="false" ht="13.8" hidden="false" customHeight="false" outlineLevel="0" collapsed="false">
      <c r="B511" s="2" t="n">
        <v>509</v>
      </c>
      <c r="C511" s="2" t="n">
        <v>0.00210618048461561</v>
      </c>
      <c r="D511" s="2" t="n">
        <v>0.00203814022428088</v>
      </c>
      <c r="E511" s="2" t="n">
        <v>0.0150100642251576</v>
      </c>
    </row>
    <row r="512" customFormat="false" ht="13.8" hidden="false" customHeight="false" outlineLevel="0" collapsed="false">
      <c r="B512" s="2" t="n">
        <v>510</v>
      </c>
      <c r="C512" s="2" t="n">
        <v>0.00880315141351609</v>
      </c>
      <c r="D512" s="2" t="n">
        <v>0.00851876518976215</v>
      </c>
      <c r="E512" s="2" t="n">
        <v>0.0627372009291725</v>
      </c>
    </row>
    <row r="513" customFormat="false" ht="13.8" hidden="false" customHeight="false" outlineLevel="0" collapsed="false">
      <c r="B513" s="2" t="n">
        <v>511</v>
      </c>
      <c r="C513" s="2" t="n">
        <v>0.0155001223408737</v>
      </c>
      <c r="D513" s="2" t="n">
        <v>0.0149993901536257</v>
      </c>
      <c r="E513" s="2" t="n">
        <v>0.110464337634435</v>
      </c>
    </row>
    <row r="514" customFormat="false" ht="13.8" hidden="false" customHeight="false" outlineLevel="0" collapsed="false">
      <c r="B514" s="2" t="n">
        <v>512</v>
      </c>
      <c r="C514" s="2" t="n">
        <v>0.0221970932696956</v>
      </c>
      <c r="D514" s="2" t="n">
        <v>0.0214800151189631</v>
      </c>
      <c r="E514" s="2" t="n">
        <v>0.158191474340039</v>
      </c>
    </row>
    <row r="515" customFormat="false" ht="13.8" hidden="false" customHeight="false" outlineLevel="0" collapsed="false">
      <c r="B515" s="2" t="n">
        <v>513</v>
      </c>
      <c r="C515" s="2" t="n">
        <v>0.0288940641985228</v>
      </c>
      <c r="D515" s="2" t="n">
        <v>0.0279606400842977</v>
      </c>
      <c r="E515" s="2" t="n">
        <v>0.205918611045646</v>
      </c>
    </row>
    <row r="516" customFormat="false" ht="13.8" hidden="false" customHeight="false" outlineLevel="0" collapsed="false">
      <c r="B516" s="2" t="n">
        <v>514</v>
      </c>
      <c r="C516" s="2" t="n">
        <v>0.0346503221457712</v>
      </c>
      <c r="D516" s="2" t="n">
        <v>0.0335309418629645</v>
      </c>
      <c r="E516" s="2" t="n">
        <v>0.246941591993444</v>
      </c>
    </row>
    <row r="517" customFormat="false" ht="13.8" hidden="false" customHeight="false" outlineLevel="0" collapsed="false">
      <c r="B517" s="2" t="n">
        <v>515</v>
      </c>
      <c r="C517" s="2" t="n">
        <v>0.04040658012905</v>
      </c>
      <c r="D517" s="2" t="n">
        <v>0.0391012436416641</v>
      </c>
      <c r="E517" s="2" t="n">
        <v>0.287964572941214</v>
      </c>
    </row>
    <row r="518" customFormat="false" ht="13.8" hidden="false" customHeight="false" outlineLevel="0" collapsed="false">
      <c r="B518" s="2" t="n">
        <v>516</v>
      </c>
      <c r="C518" s="2" t="n">
        <v>0.0461628380764032</v>
      </c>
      <c r="D518" s="2" t="n">
        <v>0.0446715454203645</v>
      </c>
      <c r="E518" s="2" t="n">
        <v>0.328987553888977</v>
      </c>
    </row>
    <row r="519" customFormat="false" ht="13.8" hidden="false" customHeight="false" outlineLevel="0" collapsed="false">
      <c r="B519" s="2" t="n">
        <v>517</v>
      </c>
      <c r="C519" s="2" t="n">
        <v>0.0519190960417178</v>
      </c>
      <c r="D519" s="2" t="n">
        <v>0.050241847199069</v>
      </c>
      <c r="E519" s="2" t="n">
        <v>0.370010534836741</v>
      </c>
    </row>
    <row r="520" customFormat="false" ht="13.8" hidden="false" customHeight="false" outlineLevel="0" collapsed="false">
      <c r="B520" s="2" t="n">
        <v>518</v>
      </c>
      <c r="C520" s="2" t="n">
        <v>0.0542174694799612</v>
      </c>
      <c r="D520" s="2" t="n">
        <v>0.0524659715571674</v>
      </c>
      <c r="E520" s="2" t="n">
        <v>0.38639029571736</v>
      </c>
    </row>
    <row r="521" customFormat="false" ht="13.8" hidden="false" customHeight="false" outlineLevel="0" collapsed="false">
      <c r="B521" s="2" t="n">
        <v>519</v>
      </c>
      <c r="C521" s="2" t="n">
        <v>0.0565158429003939</v>
      </c>
      <c r="D521" s="2" t="n">
        <v>0.0546900959152672</v>
      </c>
      <c r="E521" s="2" t="n">
        <v>0.402770056597974</v>
      </c>
    </row>
    <row r="522" customFormat="false" ht="13.8" hidden="false" customHeight="false" outlineLevel="0" collapsed="false">
      <c r="B522" s="2" t="n">
        <v>520</v>
      </c>
      <c r="C522" s="2" t="n">
        <v>0.0588142163208266</v>
      </c>
      <c r="D522" s="2" t="n">
        <v>0.0569142202733735</v>
      </c>
      <c r="E522" s="2" t="n">
        <v>0.419149817478584</v>
      </c>
    </row>
    <row r="523" customFormat="false" ht="13.8" hidden="false" customHeight="false" outlineLevel="0" collapsed="false">
      <c r="B523" s="2" t="n">
        <v>521</v>
      </c>
      <c r="C523" s="2" t="n">
        <v>0.0611125897415457</v>
      </c>
      <c r="D523" s="2" t="n">
        <v>0.0591383445330906</v>
      </c>
      <c r="E523" s="2" t="n">
        <v>0.43552957835934</v>
      </c>
    </row>
    <row r="524" customFormat="false" ht="13.8" hidden="false" customHeight="false" outlineLevel="0" collapsed="false">
      <c r="B524" s="2" t="n">
        <v>522</v>
      </c>
      <c r="C524" s="2" t="n">
        <v>0.0689508055236936</v>
      </c>
      <c r="D524" s="2" t="n">
        <v>0.0667233463358834</v>
      </c>
      <c r="E524" s="2" t="n">
        <v>0.491389996469769</v>
      </c>
    </row>
    <row r="525" customFormat="false" ht="13.8" hidden="false" customHeight="false" outlineLevel="0" collapsed="false">
      <c r="B525" s="2" t="n">
        <v>523</v>
      </c>
      <c r="C525" s="2" t="n">
        <v>0.0767890212882582</v>
      </c>
      <c r="D525" s="2" t="n">
        <v>0.0743083481386624</v>
      </c>
      <c r="E525" s="2" t="n">
        <v>0.547250414586265</v>
      </c>
    </row>
    <row r="526" customFormat="false" ht="13.8" hidden="false" customHeight="false" outlineLevel="0" collapsed="false">
      <c r="B526" s="2" t="n">
        <v>524</v>
      </c>
      <c r="C526" s="2" t="n">
        <v>0.0846272370704276</v>
      </c>
      <c r="D526" s="2" t="n">
        <v>0.0818933499414535</v>
      </c>
      <c r="E526" s="2" t="n">
        <v>0.603110832698117</v>
      </c>
    </row>
    <row r="527" customFormat="false" ht="13.8" hidden="false" customHeight="false" outlineLevel="0" collapsed="false">
      <c r="B527" s="2" t="n">
        <v>525</v>
      </c>
      <c r="C527" s="2" t="n">
        <v>0.092465452851327</v>
      </c>
      <c r="D527" s="2" t="n">
        <v>0.0894783520203192</v>
      </c>
      <c r="E527" s="2" t="n">
        <v>0.658971251085352</v>
      </c>
    </row>
    <row r="528" customFormat="false" ht="13.8" hidden="false" customHeight="false" outlineLevel="0" collapsed="false">
      <c r="B528" s="2" t="n">
        <v>526</v>
      </c>
      <c r="C528" s="2" t="n">
        <v>0.088279300019541</v>
      </c>
      <c r="D528" s="2" t="n">
        <v>0.0854274327301386</v>
      </c>
      <c r="E528" s="2" t="n">
        <v>0.629137899186737</v>
      </c>
    </row>
    <row r="529" customFormat="false" ht="13.8" hidden="false" customHeight="false" outlineLevel="0" collapsed="false">
      <c r="B529" s="2" t="n">
        <v>527</v>
      </c>
      <c r="C529" s="2" t="n">
        <v>0.0840931471864848</v>
      </c>
      <c r="D529" s="2" t="n">
        <v>0.0813765137160324</v>
      </c>
      <c r="E529" s="2" t="n">
        <v>0.599304547563504</v>
      </c>
    </row>
    <row r="530" customFormat="false" ht="13.8" hidden="false" customHeight="false" outlineLevel="0" collapsed="false">
      <c r="B530" s="2" t="n">
        <v>528</v>
      </c>
      <c r="C530" s="2" t="n">
        <v>0.0799069943516221</v>
      </c>
      <c r="D530" s="2" t="n">
        <v>0.0773255951136201</v>
      </c>
      <c r="E530" s="2" t="n">
        <v>0.569471196351027</v>
      </c>
    </row>
    <row r="531" customFormat="false" ht="13.8" hidden="false" customHeight="false" outlineLevel="0" collapsed="false">
      <c r="B531" s="2" t="n">
        <v>529</v>
      </c>
      <c r="C531" s="2" t="n">
        <v>0.0757208415203671</v>
      </c>
      <c r="D531" s="2" t="n">
        <v>0.0732746756878168</v>
      </c>
      <c r="E531" s="2" t="n">
        <v>0.539637844317045</v>
      </c>
    </row>
    <row r="532" customFormat="false" ht="13.8" hidden="false" customHeight="false" outlineLevel="0" collapsed="false">
      <c r="B532" s="2" t="n">
        <v>530</v>
      </c>
      <c r="C532" s="2" t="n">
        <v>0.0738858754569207</v>
      </c>
      <c r="D532" s="2" t="n">
        <v>0.0714989882432338</v>
      </c>
      <c r="E532" s="2" t="n">
        <v>0.526560637160697</v>
      </c>
    </row>
    <row r="533" customFormat="false" ht="13.8" hidden="false" customHeight="false" outlineLevel="0" collapsed="false">
      <c r="B533" s="2" t="n">
        <v>531</v>
      </c>
      <c r="C533" s="2" t="n">
        <v>0.0720509094110554</v>
      </c>
      <c r="D533" s="2" t="n">
        <v>0.0697233007986603</v>
      </c>
      <c r="E533" s="2" t="n">
        <v>0.513483429986907</v>
      </c>
    </row>
    <row r="534" customFormat="false" ht="13.8" hidden="false" customHeight="false" outlineLevel="0" collapsed="false">
      <c r="B534" s="2" t="n">
        <v>532</v>
      </c>
      <c r="C534" s="2" t="n">
        <v>0.0702159433300237</v>
      </c>
      <c r="D534" s="2" t="n">
        <v>0.067947613354065</v>
      </c>
      <c r="E534" s="2" t="n">
        <v>0.500406222848006</v>
      </c>
    </row>
    <row r="535" customFormat="false" ht="13.8" hidden="false" customHeight="false" outlineLevel="0" collapsed="false">
      <c r="B535" s="2" t="n">
        <v>533</v>
      </c>
      <c r="C535" s="2" t="n">
        <v>0.0683809772841941</v>
      </c>
      <c r="D535" s="2" t="n">
        <v>0.066171925909489</v>
      </c>
      <c r="E535" s="2" t="n">
        <v>0.487329015671373</v>
      </c>
    </row>
    <row r="536" customFormat="false" ht="13.8" hidden="false" customHeight="false" outlineLevel="0" collapsed="false">
      <c r="B536" s="2" t="n">
        <v>534</v>
      </c>
      <c r="C536" s="2" t="n">
        <v>0.0571452350708138</v>
      </c>
      <c r="D536" s="2" t="n">
        <v>0.0552991548342704</v>
      </c>
      <c r="E536" s="2" t="n">
        <v>0.407255530163862</v>
      </c>
    </row>
    <row r="537" customFormat="false" ht="13.8" hidden="false" customHeight="false" outlineLevel="0" collapsed="false">
      <c r="B537" s="2" t="n">
        <v>535</v>
      </c>
      <c r="C537" s="2" t="n">
        <v>0.045909492839769</v>
      </c>
      <c r="D537" s="2" t="n">
        <v>0.0444263837590415</v>
      </c>
      <c r="E537" s="2" t="n">
        <v>0.327182044679488</v>
      </c>
    </row>
    <row r="538" customFormat="false" ht="13.8" hidden="false" customHeight="false" outlineLevel="0" collapsed="false">
      <c r="B538" s="2" t="n">
        <v>536</v>
      </c>
      <c r="C538" s="2" t="n">
        <v>0.0346737506438241</v>
      </c>
      <c r="D538" s="2" t="n">
        <v>0.0335536126838308</v>
      </c>
      <c r="E538" s="2" t="n">
        <v>0.24710855914884</v>
      </c>
    </row>
    <row r="539" customFormat="false" ht="13.8" hidden="false" customHeight="false" outlineLevel="0" collapsed="false">
      <c r="B539" s="2" t="n">
        <v>537</v>
      </c>
      <c r="C539" s="2" t="n">
        <v>0.0234380084304464</v>
      </c>
      <c r="D539" s="2" t="n">
        <v>0.0226808416086099</v>
      </c>
      <c r="E539" s="2" t="n">
        <v>0.167035073641331</v>
      </c>
    </row>
    <row r="540" customFormat="false" ht="13.8" hidden="false" customHeight="false" outlineLevel="0" collapsed="false">
      <c r="B540" s="2" t="n">
        <v>538</v>
      </c>
      <c r="C540" s="2" t="n">
        <v>0.0190052609370568</v>
      </c>
      <c r="D540" s="2" t="n">
        <v>0.01839129418634</v>
      </c>
      <c r="E540" s="2" t="n">
        <v>0.13544432196367</v>
      </c>
    </row>
    <row r="541" customFormat="false" ht="13.8" hidden="false" customHeight="false" outlineLevel="0" collapsed="false">
      <c r="B541" s="2" t="n">
        <v>539</v>
      </c>
      <c r="C541" s="2" t="n">
        <v>0.0145725134436684</v>
      </c>
      <c r="D541" s="2" t="n">
        <v>0.0141017467640694</v>
      </c>
      <c r="E541" s="2" t="n">
        <v>0.10385357028601</v>
      </c>
    </row>
    <row r="542" customFormat="false" ht="13.8" hidden="false" customHeight="false" outlineLevel="0" collapsed="false">
      <c r="B542" s="2" t="n">
        <v>540</v>
      </c>
      <c r="C542" s="2" t="n">
        <v>0.0101397659502817</v>
      </c>
      <c r="D542" s="2" t="n">
        <v>0.00981219934179922</v>
      </c>
      <c r="E542" s="2" t="n">
        <v>0.0722628186083526</v>
      </c>
    </row>
    <row r="543" customFormat="false" ht="13.8" hidden="false" customHeight="false" outlineLevel="0" collapsed="false">
      <c r="B543" s="2" t="n">
        <v>541</v>
      </c>
      <c r="C543" s="2" t="n">
        <v>0.00570701642873589</v>
      </c>
      <c r="D543" s="2" t="n">
        <v>0.0055226529304524</v>
      </c>
      <c r="E543" s="2" t="n">
        <v>0.0406720669084017</v>
      </c>
    </row>
    <row r="544" customFormat="false" ht="13.8" hidden="false" customHeight="false" outlineLevel="0" collapsed="false">
      <c r="B544" s="2" t="n">
        <v>542</v>
      </c>
      <c r="C544" s="2" t="n">
        <v>0.00513202602732581</v>
      </c>
      <c r="D544" s="2" t="n">
        <v>0.00496623757613234</v>
      </c>
      <c r="E544" s="2" t="n">
        <v>0.0365742967364245</v>
      </c>
    </row>
    <row r="545" customFormat="false" ht="13.8" hidden="false" customHeight="false" outlineLevel="0" collapsed="false">
      <c r="B545" s="2" t="n">
        <v>543</v>
      </c>
      <c r="C545" s="2" t="n">
        <v>0.00455703562591356</v>
      </c>
      <c r="D545" s="2" t="n">
        <v>0.00440982222181137</v>
      </c>
      <c r="E545" s="2" t="n">
        <v>0.0324765265644451</v>
      </c>
    </row>
    <row r="546" customFormat="false" ht="13.8" hidden="false" customHeight="false" outlineLevel="0" collapsed="false">
      <c r="B546" s="2" t="n">
        <v>544</v>
      </c>
      <c r="C546" s="2" t="n">
        <v>0.00398204522450114</v>
      </c>
      <c r="D546" s="2" t="n">
        <v>0.00385340686749039</v>
      </c>
      <c r="E546" s="2" t="n">
        <v>0.0283787563924658</v>
      </c>
    </row>
    <row r="547" customFormat="false" ht="13.8" hidden="false" customHeight="false" outlineLevel="0" collapsed="false">
      <c r="B547" s="2" t="n">
        <v>545</v>
      </c>
      <c r="C547" s="2" t="n">
        <v>0.0034070548230885</v>
      </c>
      <c r="D547" s="2" t="n">
        <v>0.00329699151316942</v>
      </c>
      <c r="E547" s="2" t="n">
        <v>0.0242809862204867</v>
      </c>
    </row>
    <row r="548" customFormat="false" ht="13.8" hidden="false" customHeight="false" outlineLevel="0" collapsed="false">
      <c r="B548" s="2" t="n">
        <v>546</v>
      </c>
      <c r="C548" s="2" t="n">
        <v>0.00310804395298487</v>
      </c>
      <c r="D548" s="2" t="n">
        <v>0.00300764015831154</v>
      </c>
      <c r="E548" s="2" t="n">
        <v>0.022150032532966</v>
      </c>
    </row>
    <row r="549" customFormat="false" ht="13.8" hidden="false" customHeight="false" outlineLevel="0" collapsed="false">
      <c r="B549" s="2" t="n">
        <v>547</v>
      </c>
      <c r="C549" s="2" t="n">
        <v>0.0028090330828809</v>
      </c>
      <c r="D549" s="2" t="n">
        <v>0.00271828880345366</v>
      </c>
      <c r="E549" s="2" t="n">
        <v>0.0200190788454455</v>
      </c>
    </row>
    <row r="550" customFormat="false" ht="13.8" hidden="false" customHeight="false" outlineLevel="0" collapsed="false">
      <c r="B550" s="2" t="n">
        <v>548</v>
      </c>
      <c r="C550" s="2" t="n">
        <v>0.00251002221277649</v>
      </c>
      <c r="D550" s="2" t="n">
        <v>0.00242893744859578</v>
      </c>
      <c r="E550" s="2" t="n">
        <v>0.0178881251579249</v>
      </c>
    </row>
    <row r="551" customFormat="false" ht="13.8" hidden="false" customHeight="false" outlineLevel="0" collapsed="false">
      <c r="B551" s="2" t="n">
        <v>549</v>
      </c>
      <c r="C551" s="2" t="n">
        <v>0.00221101134267157</v>
      </c>
      <c r="D551" s="2" t="n">
        <v>0.00213958609373789</v>
      </c>
      <c r="E551" s="2" t="n">
        <v>0.0157571714704043</v>
      </c>
    </row>
    <row r="552" customFormat="false" ht="13.8" hidden="false" customHeight="false" outlineLevel="0" collapsed="false">
      <c r="B552" s="2" t="n">
        <v>550</v>
      </c>
      <c r="C552" s="2" t="n">
        <v>0.0016582581409018</v>
      </c>
      <c r="D552" s="2" t="n">
        <v>0.00160468956527294</v>
      </c>
      <c r="E552" s="2" t="n">
        <v>0.0118178785978923</v>
      </c>
    </row>
    <row r="553" customFormat="false" ht="13.8" hidden="false" customHeight="false" outlineLevel="0" collapsed="false">
      <c r="B553" s="2" t="n">
        <v>551</v>
      </c>
      <c r="C553" s="2" t="n">
        <v>0.00110550493913134</v>
      </c>
      <c r="D553" s="2" t="n">
        <v>0.00106979303680799</v>
      </c>
      <c r="E553" s="2" t="n">
        <v>0.0078785857253802</v>
      </c>
    </row>
    <row r="554" customFormat="false" ht="13.8" hidden="false" customHeight="false" outlineLevel="0" collapsed="false">
      <c r="B554" s="2" t="n">
        <v>552</v>
      </c>
      <c r="C554" s="2" t="n">
        <v>0.000552751737381503</v>
      </c>
      <c r="D554" s="2" t="n">
        <v>0.000534895675925859</v>
      </c>
      <c r="E554" s="2" t="n">
        <v>0.00393929285286769</v>
      </c>
    </row>
    <row r="555" customFormat="false" ht="13.8" hidden="false" customHeight="false" outlineLevel="0" collapsed="false">
      <c r="B555" s="2" t="n">
        <v>553</v>
      </c>
      <c r="C555" s="2" t="n">
        <v>0</v>
      </c>
      <c r="D555" s="2" t="n">
        <v>0</v>
      </c>
      <c r="E555" s="2" t="n">
        <v>0</v>
      </c>
    </row>
    <row r="556" customFormat="false" ht="13.8" hidden="false" customHeight="false" outlineLevel="0" collapsed="false">
      <c r="B556" s="2" t="n">
        <v>554</v>
      </c>
      <c r="C556" s="2" t="n">
        <v>0</v>
      </c>
      <c r="D556" s="2" t="n">
        <v>0</v>
      </c>
      <c r="E556" s="2" t="n">
        <v>0</v>
      </c>
    </row>
    <row r="557" customFormat="false" ht="13.8" hidden="false" customHeight="false" outlineLevel="0" collapsed="false">
      <c r="B557" s="2" t="n">
        <v>555</v>
      </c>
      <c r="C557" s="2" t="n">
        <v>0</v>
      </c>
      <c r="D557" s="2" t="n">
        <v>0</v>
      </c>
      <c r="E557" s="2" t="n">
        <v>0</v>
      </c>
    </row>
    <row r="558" customFormat="false" ht="13.8" hidden="false" customHeight="false" outlineLevel="0" collapsed="false">
      <c r="B558" s="2" t="n">
        <v>556</v>
      </c>
      <c r="C558" s="2" t="n">
        <v>0</v>
      </c>
      <c r="D558" s="2" t="n">
        <v>0</v>
      </c>
      <c r="E558" s="2" t="n">
        <v>0</v>
      </c>
    </row>
    <row r="559" customFormat="false" ht="13.8" hidden="false" customHeight="false" outlineLevel="0" collapsed="false">
      <c r="B559" s="2" t="n">
        <v>557</v>
      </c>
      <c r="C559" s="2" t="n">
        <v>0</v>
      </c>
      <c r="D559" s="2" t="n">
        <v>0</v>
      </c>
      <c r="E559" s="2" t="n">
        <v>0</v>
      </c>
    </row>
    <row r="560" customFormat="false" ht="13.8" hidden="false" customHeight="false" outlineLevel="0" collapsed="false">
      <c r="B560" s="2" t="n">
        <v>558</v>
      </c>
      <c r="C560" s="2" t="n">
        <v>0</v>
      </c>
      <c r="D560" s="2" t="n">
        <v>0</v>
      </c>
      <c r="E560" s="2" t="n">
        <v>0</v>
      </c>
    </row>
    <row r="561" customFormat="false" ht="13.8" hidden="false" customHeight="false" outlineLevel="0" collapsed="false">
      <c r="B561" s="2" t="n">
        <v>559</v>
      </c>
      <c r="C561" s="2" t="n">
        <v>0</v>
      </c>
      <c r="D561" s="2" t="n">
        <v>0</v>
      </c>
      <c r="E561" s="2" t="n">
        <v>0</v>
      </c>
    </row>
    <row r="562" customFormat="false" ht="13.8" hidden="false" customHeight="false" outlineLevel="0" collapsed="false">
      <c r="B562" s="2" t="n">
        <v>560</v>
      </c>
      <c r="C562" s="2" t="n">
        <v>0</v>
      </c>
      <c r="D562" s="2" t="n">
        <v>0</v>
      </c>
      <c r="E562" s="2" t="n">
        <v>0</v>
      </c>
    </row>
    <row r="563" customFormat="false" ht="13.8" hidden="false" customHeight="false" outlineLevel="0" collapsed="false">
      <c r="B563" s="2" t="n">
        <v>561</v>
      </c>
      <c r="C563" s="2" t="n">
        <v>0</v>
      </c>
      <c r="D563" s="2" t="n">
        <v>0</v>
      </c>
      <c r="E563" s="2" t="n">
        <v>0</v>
      </c>
    </row>
    <row r="564" customFormat="false" ht="13.8" hidden="false" customHeight="false" outlineLevel="0" collapsed="false">
      <c r="B564" s="2" t="n">
        <v>562</v>
      </c>
      <c r="C564" s="2" t="n">
        <v>0</v>
      </c>
      <c r="D564" s="2" t="n">
        <v>0</v>
      </c>
      <c r="E564" s="2" t="n">
        <v>0</v>
      </c>
    </row>
    <row r="565" customFormat="false" ht="13.8" hidden="false" customHeight="false" outlineLevel="0" collapsed="false">
      <c r="B565" s="2" t="n">
        <v>563</v>
      </c>
      <c r="C565" s="2" t="n">
        <v>0</v>
      </c>
      <c r="D565" s="2" t="n">
        <v>0</v>
      </c>
      <c r="E565" s="2" t="n">
        <v>0</v>
      </c>
    </row>
    <row r="566" customFormat="false" ht="13.8" hidden="false" customHeight="false" outlineLevel="0" collapsed="false">
      <c r="B566" s="2" t="n">
        <v>564</v>
      </c>
      <c r="C566" s="2" t="n">
        <v>0</v>
      </c>
      <c r="D566" s="2" t="n">
        <v>0</v>
      </c>
      <c r="E566" s="2" t="n">
        <v>0</v>
      </c>
    </row>
    <row r="567" customFormat="false" ht="13.8" hidden="false" customHeight="false" outlineLevel="0" collapsed="false">
      <c r="B567" s="2" t="n">
        <v>565</v>
      </c>
      <c r="C567" s="2" t="n">
        <v>0</v>
      </c>
      <c r="D567" s="2" t="n">
        <v>0</v>
      </c>
      <c r="E567" s="2" t="n">
        <v>0</v>
      </c>
    </row>
    <row r="568" customFormat="false" ht="13.8" hidden="false" customHeight="false" outlineLevel="0" collapsed="false">
      <c r="B568" s="2" t="n">
        <v>566</v>
      </c>
      <c r="C568" s="2" t="n">
        <v>0</v>
      </c>
      <c r="D568" s="2" t="n">
        <v>0</v>
      </c>
      <c r="E568" s="2" t="n">
        <v>0</v>
      </c>
    </row>
    <row r="569" customFormat="false" ht="13.8" hidden="false" customHeight="false" outlineLevel="0" collapsed="false">
      <c r="B569" s="2" t="n">
        <v>567</v>
      </c>
      <c r="C569" s="2" t="n">
        <v>0</v>
      </c>
      <c r="D569" s="2" t="n">
        <v>0</v>
      </c>
      <c r="E569" s="2" t="n">
        <v>0</v>
      </c>
    </row>
    <row r="570" customFormat="false" ht="13.8" hidden="false" customHeight="false" outlineLevel="0" collapsed="false">
      <c r="B570" s="2" t="n">
        <v>568</v>
      </c>
      <c r="C570" s="2" t="n">
        <v>0</v>
      </c>
      <c r="D570" s="2" t="n">
        <v>0</v>
      </c>
      <c r="E570" s="2" t="n">
        <v>0</v>
      </c>
    </row>
    <row r="571" customFormat="false" ht="13.8" hidden="false" customHeight="false" outlineLevel="0" collapsed="false">
      <c r="B571" s="2" t="n">
        <v>569</v>
      </c>
      <c r="C571" s="2" t="n">
        <v>0</v>
      </c>
      <c r="D571" s="2" t="n">
        <v>0</v>
      </c>
      <c r="E571" s="2" t="n">
        <v>0</v>
      </c>
    </row>
    <row r="572" customFormat="false" ht="13.8" hidden="false" customHeight="false" outlineLevel="0" collapsed="false">
      <c r="B572" s="2" t="n">
        <v>570</v>
      </c>
      <c r="C572" s="2" t="n">
        <v>0</v>
      </c>
      <c r="D572" s="2" t="n">
        <v>0</v>
      </c>
      <c r="E572" s="2" t="n">
        <v>0</v>
      </c>
    </row>
    <row r="573" customFormat="false" ht="13.8" hidden="false" customHeight="false" outlineLevel="0" collapsed="false">
      <c r="B573" s="2" t="n">
        <v>571</v>
      </c>
      <c r="C573" s="2" t="n">
        <v>0</v>
      </c>
      <c r="D573" s="2" t="n">
        <v>0</v>
      </c>
      <c r="E573" s="2" t="n">
        <v>0</v>
      </c>
    </row>
    <row r="574" customFormat="false" ht="13.8" hidden="false" customHeight="false" outlineLevel="0" collapsed="false">
      <c r="B574" s="2" t="n">
        <v>572</v>
      </c>
      <c r="C574" s="2" t="n">
        <v>0</v>
      </c>
      <c r="D574" s="2" t="n">
        <v>0</v>
      </c>
      <c r="E574" s="2" t="n">
        <v>0</v>
      </c>
    </row>
    <row r="575" customFormat="false" ht="13.8" hidden="false" customHeight="false" outlineLevel="0" collapsed="false">
      <c r="B575" s="2" t="n">
        <v>573</v>
      </c>
      <c r="C575" s="2" t="n">
        <v>0</v>
      </c>
      <c r="D575" s="2" t="n">
        <v>0</v>
      </c>
      <c r="E575" s="2" t="n">
        <v>0</v>
      </c>
    </row>
    <row r="576" customFormat="false" ht="13.8" hidden="false" customHeight="false" outlineLevel="0" collapsed="false">
      <c r="B576" s="2" t="n">
        <v>574</v>
      </c>
      <c r="C576" s="2" t="n">
        <v>0</v>
      </c>
      <c r="D576" s="2" t="n">
        <v>0</v>
      </c>
      <c r="E576" s="2" t="n">
        <v>0</v>
      </c>
    </row>
    <row r="577" customFormat="false" ht="13.8" hidden="false" customHeight="false" outlineLevel="0" collapsed="false">
      <c r="B577" s="2" t="n">
        <v>575</v>
      </c>
      <c r="C577" s="2" t="n">
        <v>0</v>
      </c>
      <c r="D577" s="2" t="n">
        <v>0</v>
      </c>
      <c r="E577" s="2" t="n">
        <v>0</v>
      </c>
    </row>
    <row r="578" customFormat="false" ht="13.8" hidden="false" customHeight="false" outlineLevel="0" collapsed="false">
      <c r="B578" s="2" t="n">
        <v>576</v>
      </c>
      <c r="C578" s="2" t="n">
        <v>0</v>
      </c>
      <c r="D578" s="2" t="n">
        <v>0</v>
      </c>
      <c r="E578" s="2" t="n">
        <v>0</v>
      </c>
    </row>
    <row r="579" customFormat="false" ht="13.8" hidden="false" customHeight="false" outlineLevel="0" collapsed="false">
      <c r="B579" s="2" t="n">
        <v>577</v>
      </c>
      <c r="C579" s="2" t="n">
        <v>0</v>
      </c>
      <c r="D579" s="2" t="n">
        <v>0</v>
      </c>
      <c r="E579" s="2" t="n">
        <v>0</v>
      </c>
    </row>
    <row r="580" customFormat="false" ht="13.8" hidden="false" customHeight="false" outlineLevel="0" collapsed="false">
      <c r="B580" s="2" t="n">
        <v>578</v>
      </c>
      <c r="C580" s="2" t="n">
        <v>0</v>
      </c>
      <c r="D580" s="2" t="n">
        <v>0</v>
      </c>
      <c r="E580" s="2" t="n">
        <v>0</v>
      </c>
    </row>
    <row r="581" customFormat="false" ht="13.8" hidden="false" customHeight="false" outlineLevel="0" collapsed="false">
      <c r="B581" s="2" t="n">
        <v>579</v>
      </c>
      <c r="C581" s="2" t="n">
        <v>0</v>
      </c>
      <c r="D581" s="2" t="n">
        <v>0</v>
      </c>
      <c r="E581" s="2" t="n">
        <v>0</v>
      </c>
    </row>
    <row r="582" customFormat="false" ht="13.8" hidden="false" customHeight="false" outlineLevel="0" collapsed="false">
      <c r="B582" s="2" t="n">
        <v>580</v>
      </c>
      <c r="C582" s="2" t="n">
        <v>0</v>
      </c>
      <c r="D582" s="2" t="n">
        <v>0</v>
      </c>
      <c r="E582" s="2" t="n">
        <v>0</v>
      </c>
    </row>
    <row r="583" customFormat="false" ht="13.8" hidden="false" customHeight="false" outlineLevel="0" collapsed="false">
      <c r="B583" s="2" t="n">
        <v>581</v>
      </c>
      <c r="C583" s="2" t="n">
        <v>0</v>
      </c>
      <c r="D583" s="2" t="n">
        <v>0</v>
      </c>
      <c r="E583" s="2" t="n">
        <v>0</v>
      </c>
    </row>
    <row r="584" customFormat="false" ht="13.8" hidden="false" customHeight="false" outlineLevel="0" collapsed="false">
      <c r="B584" s="2" t="n">
        <v>582</v>
      </c>
      <c r="C584" s="2" t="n">
        <v>0</v>
      </c>
      <c r="D584" s="2" t="n">
        <v>0</v>
      </c>
      <c r="E584" s="2" t="n">
        <v>0</v>
      </c>
    </row>
    <row r="585" customFormat="false" ht="13.8" hidden="false" customHeight="false" outlineLevel="0" collapsed="false">
      <c r="B585" s="2" t="n">
        <v>583</v>
      </c>
      <c r="C585" s="2" t="n">
        <v>0</v>
      </c>
      <c r="D585" s="2" t="n">
        <v>0</v>
      </c>
      <c r="E585" s="2" t="n">
        <v>0</v>
      </c>
    </row>
    <row r="586" customFormat="false" ht="13.8" hidden="false" customHeight="false" outlineLevel="0" collapsed="false">
      <c r="B586" s="2" t="n">
        <v>584</v>
      </c>
      <c r="C586" s="2" t="n">
        <v>0</v>
      </c>
      <c r="D586" s="2" t="n">
        <v>0</v>
      </c>
      <c r="E586" s="2" t="n">
        <v>0</v>
      </c>
    </row>
    <row r="587" customFormat="false" ht="13.8" hidden="false" customHeight="false" outlineLevel="0" collapsed="false">
      <c r="B587" s="2" t="n">
        <v>585</v>
      </c>
      <c r="C587" s="2" t="n">
        <v>0</v>
      </c>
      <c r="D587" s="2" t="n">
        <v>0</v>
      </c>
      <c r="E587" s="2" t="n">
        <v>0</v>
      </c>
    </row>
    <row r="588" customFormat="false" ht="13.8" hidden="false" customHeight="false" outlineLevel="0" collapsed="false">
      <c r="B588" s="2" t="n">
        <v>586</v>
      </c>
      <c r="C588" s="2" t="n">
        <v>0</v>
      </c>
      <c r="D588" s="2" t="n">
        <v>0</v>
      </c>
      <c r="E588" s="2" t="n">
        <v>0</v>
      </c>
    </row>
    <row r="589" customFormat="false" ht="13.8" hidden="false" customHeight="false" outlineLevel="0" collapsed="false">
      <c r="B589" s="2" t="n">
        <v>587</v>
      </c>
      <c r="C589" s="2" t="n">
        <v>0</v>
      </c>
      <c r="D589" s="2" t="n">
        <v>0</v>
      </c>
      <c r="E589" s="2" t="n">
        <v>0</v>
      </c>
    </row>
    <row r="590" customFormat="false" ht="13.8" hidden="false" customHeight="false" outlineLevel="0" collapsed="false">
      <c r="B590" s="2" t="n">
        <v>588</v>
      </c>
      <c r="C590" s="2" t="n">
        <v>0</v>
      </c>
      <c r="D590" s="2" t="n">
        <v>0</v>
      </c>
      <c r="E590" s="2" t="n">
        <v>0</v>
      </c>
    </row>
    <row r="591" customFormat="false" ht="13.8" hidden="false" customHeight="false" outlineLevel="0" collapsed="false">
      <c r="B591" s="2" t="n">
        <v>589</v>
      </c>
      <c r="C591" s="2" t="n">
        <v>0</v>
      </c>
      <c r="D591" s="2" t="n">
        <v>0</v>
      </c>
      <c r="E591" s="2" t="n">
        <v>0</v>
      </c>
    </row>
    <row r="592" customFormat="false" ht="13.8" hidden="false" customHeight="false" outlineLevel="0" collapsed="false">
      <c r="B592" s="2" t="n">
        <v>590</v>
      </c>
      <c r="C592" s="2" t="n">
        <v>0</v>
      </c>
      <c r="D592" s="2" t="n">
        <v>0</v>
      </c>
      <c r="E592" s="2" t="n">
        <v>0</v>
      </c>
    </row>
    <row r="593" customFormat="false" ht="13.8" hidden="false" customHeight="false" outlineLevel="0" collapsed="false">
      <c r="B593" s="2" t="n">
        <v>591</v>
      </c>
      <c r="C593" s="2" t="n">
        <v>0</v>
      </c>
      <c r="D593" s="2" t="n">
        <v>0</v>
      </c>
      <c r="E593" s="2" t="n">
        <v>0</v>
      </c>
    </row>
    <row r="594" customFormat="false" ht="13.8" hidden="false" customHeight="false" outlineLevel="0" collapsed="false">
      <c r="B594" s="2" t="n">
        <v>592</v>
      </c>
      <c r="C594" s="2" t="n">
        <v>0</v>
      </c>
      <c r="D594" s="2" t="n">
        <v>0</v>
      </c>
      <c r="E594" s="2" t="n">
        <v>0</v>
      </c>
    </row>
    <row r="595" customFormat="false" ht="13.8" hidden="false" customHeight="false" outlineLevel="0" collapsed="false">
      <c r="B595" s="2" t="n">
        <v>593</v>
      </c>
      <c r="C595" s="2" t="n">
        <v>0</v>
      </c>
      <c r="D595" s="2" t="n">
        <v>0</v>
      </c>
      <c r="E595" s="2" t="n">
        <v>0</v>
      </c>
    </row>
    <row r="596" customFormat="false" ht="13.8" hidden="false" customHeight="false" outlineLevel="0" collapsed="false">
      <c r="B596" s="2" t="n">
        <v>594</v>
      </c>
      <c r="C596" s="2" t="n">
        <v>0</v>
      </c>
      <c r="D596" s="2" t="n">
        <v>0</v>
      </c>
      <c r="E596" s="2" t="n">
        <v>0</v>
      </c>
    </row>
    <row r="597" customFormat="false" ht="13.8" hidden="false" customHeight="false" outlineLevel="0" collapsed="false">
      <c r="B597" s="2" t="n">
        <v>595</v>
      </c>
      <c r="C597" s="2" t="n">
        <v>0</v>
      </c>
      <c r="D597" s="2" t="n">
        <v>0</v>
      </c>
      <c r="E597" s="2" t="n">
        <v>0</v>
      </c>
    </row>
    <row r="598" customFormat="false" ht="13.8" hidden="false" customHeight="false" outlineLevel="0" collapsed="false">
      <c r="B598" s="2" t="n">
        <v>596</v>
      </c>
      <c r="C598" s="2" t="n">
        <v>0</v>
      </c>
      <c r="D598" s="2" t="n">
        <v>0</v>
      </c>
      <c r="E598" s="2" t="n">
        <v>0</v>
      </c>
    </row>
    <row r="599" customFormat="false" ht="13.8" hidden="false" customHeight="false" outlineLevel="0" collapsed="false">
      <c r="B599" s="2" t="n">
        <v>597</v>
      </c>
      <c r="C599" s="2" t="n">
        <v>0</v>
      </c>
      <c r="D599" s="2" t="n">
        <v>0</v>
      </c>
      <c r="E599" s="2" t="n">
        <v>0</v>
      </c>
    </row>
    <row r="600" customFormat="false" ht="13.8" hidden="false" customHeight="false" outlineLevel="0" collapsed="false">
      <c r="B600" s="2" t="n">
        <v>598</v>
      </c>
      <c r="C600" s="2" t="n">
        <v>0.000927211785924829</v>
      </c>
      <c r="D600" s="2" t="n">
        <v>0.000897258164551562</v>
      </c>
      <c r="E600" s="2" t="n">
        <v>0.00660793737660137</v>
      </c>
    </row>
    <row r="601" customFormat="false" ht="13.8" hidden="false" customHeight="false" outlineLevel="0" collapsed="false">
      <c r="B601" s="2" t="n">
        <v>599</v>
      </c>
      <c r="C601" s="2" t="n">
        <v>0.00185442359252695</v>
      </c>
      <c r="D601" s="2" t="n">
        <v>0.00179451634911722</v>
      </c>
      <c r="E601" s="2" t="n">
        <v>0.0132158747802742</v>
      </c>
    </row>
    <row r="602" customFormat="false" ht="13.8" hidden="false" customHeight="false" outlineLevel="0" collapsed="false">
      <c r="B602" s="2" t="n">
        <v>600</v>
      </c>
      <c r="C602" s="2" t="n">
        <v>0.00278163539918382</v>
      </c>
      <c r="D602" s="2" t="n">
        <v>0.00269177453499326</v>
      </c>
      <c r="E602" s="2" t="n">
        <v>0.0198238121714483</v>
      </c>
    </row>
    <row r="603" customFormat="false" ht="13.8" hidden="false" customHeight="false" outlineLevel="0" collapsed="false">
      <c r="B603" s="2" t="n">
        <v>601</v>
      </c>
      <c r="C603" s="2" t="n">
        <v>0.00370884720581315</v>
      </c>
      <c r="D603" s="2" t="n">
        <v>0.00358903271990025</v>
      </c>
      <c r="E603" s="2" t="n">
        <v>0.0264317495688734</v>
      </c>
    </row>
    <row r="604" customFormat="false" ht="13.8" hidden="false" customHeight="false" outlineLevel="0" collapsed="false">
      <c r="B604" s="2" t="n">
        <v>602</v>
      </c>
      <c r="C604" s="2" t="n">
        <v>0.00832465452427093</v>
      </c>
      <c r="D604" s="2" t="n">
        <v>0.00805572616539188</v>
      </c>
      <c r="E604" s="2" t="n">
        <v>0.0506760454757275</v>
      </c>
    </row>
    <row r="605" customFormat="false" ht="13.8" hidden="false" customHeight="false" outlineLevel="0" collapsed="false">
      <c r="B605" s="2" t="n">
        <v>603</v>
      </c>
      <c r="C605" s="2" t="n">
        <v>0.0129404618220254</v>
      </c>
      <c r="D605" s="2" t="n">
        <v>0.0125224195895052</v>
      </c>
      <c r="E605" s="2" t="n">
        <v>0.0823437381779722</v>
      </c>
    </row>
    <row r="606" customFormat="false" ht="13.8" hidden="false" customHeight="false" outlineLevel="0" collapsed="false">
      <c r="B606" s="2" t="n">
        <v>604</v>
      </c>
      <c r="C606" s="2" t="n">
        <v>0.0175562691197799</v>
      </c>
      <c r="D606" s="2" t="n">
        <v>0.0169891130136184</v>
      </c>
      <c r="E606" s="2" t="n">
        <v>0.0519780975468836</v>
      </c>
    </row>
    <row r="607" customFormat="false" ht="13.8" hidden="false" customHeight="false" outlineLevel="0" collapsed="false">
      <c r="B607" s="2" t="n">
        <v>605</v>
      </c>
      <c r="C607" s="2" t="n">
        <v>0.0221720764175344</v>
      </c>
      <c r="D607" s="2" t="n">
        <v>0.0214558064377314</v>
      </c>
      <c r="E607" s="2" t="n">
        <v>0.0521298902491281</v>
      </c>
    </row>
    <row r="608" customFormat="false" ht="13.8" hidden="false" customHeight="false" outlineLevel="0" collapsed="false">
      <c r="B608" s="2" t="n">
        <v>606</v>
      </c>
      <c r="C608" s="2" t="n">
        <v>0.0300746212413999</v>
      </c>
      <c r="D608" s="2" t="n">
        <v>0.0291030591763132</v>
      </c>
      <c r="E608" s="2" t="n">
        <v>0.0710111120919278</v>
      </c>
    </row>
    <row r="609" customFormat="false" ht="13.8" hidden="false" customHeight="false" outlineLevel="0" collapsed="false">
      <c r="B609" s="2" t="n">
        <v>607</v>
      </c>
      <c r="C609" s="2" t="n">
        <v>0.0379771660652653</v>
      </c>
      <c r="D609" s="2" t="n">
        <v>0.0367503119148948</v>
      </c>
      <c r="E609" s="2" t="n">
        <v>0.0177753339347275</v>
      </c>
    </row>
    <row r="610" customFormat="false" ht="13.8" hidden="false" customHeight="false" outlineLevel="0" collapsed="false">
      <c r="B610" s="2" t="n">
        <v>608</v>
      </c>
      <c r="C610" s="2" t="n">
        <v>0.0458797108891308</v>
      </c>
      <c r="D610" s="2" t="n">
        <v>0.0443975646534761</v>
      </c>
      <c r="E610" s="2" t="n">
        <v>0.0563728391108605</v>
      </c>
    </row>
    <row r="611" customFormat="false" ht="13.8" hidden="false" customHeight="false" outlineLevel="0" collapsed="false">
      <c r="B611" s="2" t="n">
        <v>609</v>
      </c>
      <c r="C611" s="2" t="n">
        <v>0.0530015499999134</v>
      </c>
      <c r="D611" s="2" t="n">
        <v>0.0520448173919695</v>
      </c>
      <c r="E611" s="2" t="n">
        <v>0.00205065004594429</v>
      </c>
    </row>
    <row r="612" customFormat="false" ht="13.8" hidden="false" customHeight="false" outlineLevel="0" collapsed="false">
      <c r="B612" s="2" t="n">
        <v>610</v>
      </c>
      <c r="C612" s="2" t="n">
        <v>0.0604335609639759</v>
      </c>
      <c r="D612" s="2" t="n">
        <v>0.0584812519114892</v>
      </c>
      <c r="E612" s="2" t="n">
        <v>0.0824521223693459</v>
      </c>
    </row>
    <row r="613" customFormat="false" ht="13.8" hidden="false" customHeight="false" outlineLevel="0" collapsed="false">
      <c r="B613" s="2" t="n">
        <v>611</v>
      </c>
      <c r="C613" s="2" t="n">
        <v>0.0528183333333351</v>
      </c>
      <c r="D613" s="2" t="n">
        <v>0.0649176864309227</v>
      </c>
      <c r="E613" s="2" t="n">
        <v>0.0285839666666683</v>
      </c>
    </row>
    <row r="614" customFormat="false" ht="13.8" hidden="false" customHeight="false" outlineLevel="0" collapsed="false">
      <c r="B614" s="2" t="n">
        <v>612</v>
      </c>
      <c r="C614" s="2" t="n">
        <v>0.0548539213254877</v>
      </c>
      <c r="D614" s="2" t="n">
        <v>0.0713541209503522</v>
      </c>
      <c r="E614" s="2" t="n">
        <v>0.0640007</v>
      </c>
    </row>
    <row r="615" customFormat="false" ht="13.8" hidden="false" customHeight="false" outlineLevel="0" collapsed="false">
      <c r="B615" s="2" t="n">
        <v>613</v>
      </c>
      <c r="C615" s="2" t="n">
        <v>0.0595919623407608</v>
      </c>
      <c r="D615" s="2" t="n">
        <v>0.0777905554697829</v>
      </c>
      <c r="E615" s="2" t="n">
        <v>0.0087831818747684</v>
      </c>
    </row>
    <row r="616" customFormat="false" ht="13.8" hidden="false" customHeight="false" outlineLevel="0" collapsed="false">
      <c r="B616" s="2" t="n">
        <v>614</v>
      </c>
      <c r="C616" s="2" t="n">
        <v>0.0854114954652955</v>
      </c>
      <c r="D616" s="2" t="n">
        <v>0.0826522730542495</v>
      </c>
      <c r="E616" s="2" t="n">
        <v>0.149831634480076</v>
      </c>
    </row>
    <row r="617" customFormat="false" ht="13.8" hidden="false" customHeight="false" outlineLevel="0" collapsed="false">
      <c r="B617" s="2" t="n">
        <v>615</v>
      </c>
      <c r="C617" s="2" t="n">
        <v>0.074366359583571</v>
      </c>
      <c r="D617" s="2" t="n">
        <v>0.0875139906387155</v>
      </c>
      <c r="E617" s="2" t="n">
        <v>0.0907175134048243</v>
      </c>
    </row>
    <row r="618" customFormat="false" ht="13.8" hidden="false" customHeight="false" outlineLevel="0" collapsed="false">
      <c r="B618" s="2" t="n">
        <v>616</v>
      </c>
      <c r="C618" s="2" t="n">
        <v>0.0954595329620603</v>
      </c>
      <c r="D618" s="2" t="n">
        <v>0.0923757082231808</v>
      </c>
      <c r="E618" s="2" t="n">
        <v>0.138108867037921</v>
      </c>
    </row>
    <row r="619" customFormat="false" ht="13.8" hidden="false" customHeight="false" outlineLevel="0" collapsed="false">
      <c r="B619" s="2" t="n">
        <v>617</v>
      </c>
      <c r="C619" s="2" t="n">
        <v>0.0838924005878925</v>
      </c>
      <c r="D619" s="2" t="n">
        <v>0.0972374258076454</v>
      </c>
      <c r="E619" s="2" t="n">
        <v>0.0904193114241684</v>
      </c>
    </row>
    <row r="620" customFormat="false" ht="13.8" hidden="false" customHeight="false" outlineLevel="0" collapsed="false">
      <c r="B620" s="2" t="n">
        <v>618</v>
      </c>
      <c r="C620" s="2" t="n">
        <v>0.0871350666705756</v>
      </c>
      <c r="D620" s="2" t="n">
        <v>0.100114800236387</v>
      </c>
      <c r="E620" s="2" t="n">
        <v>0.0870372608291933</v>
      </c>
    </row>
    <row r="621" customFormat="false" ht="13.8" hidden="false" customHeight="false" outlineLevel="0" collapsed="false">
      <c r="B621" s="2" t="n">
        <v>619</v>
      </c>
      <c r="C621" s="2" t="n">
        <v>0.0875105602184626</v>
      </c>
      <c r="D621" s="2" t="n">
        <v>0.102992174665127</v>
      </c>
      <c r="E621" s="2" t="n">
        <v>0.0514586547833627</v>
      </c>
    </row>
    <row r="622" customFormat="false" ht="13.8" hidden="false" customHeight="false" outlineLevel="0" collapsed="false">
      <c r="B622" s="2" t="n">
        <v>620</v>
      </c>
      <c r="C622" s="2" t="n">
        <v>0.0877361008092963</v>
      </c>
      <c r="D622" s="2" t="n">
        <v>0.105869549093867</v>
      </c>
      <c r="E622" s="2" t="n">
        <v>0.0606309827236461</v>
      </c>
    </row>
    <row r="623" customFormat="false" ht="13.8" hidden="false" customHeight="false" outlineLevel="0" collapsed="false">
      <c r="B623" s="2" t="n">
        <v>621</v>
      </c>
      <c r="C623" s="2" t="n">
        <v>0.0856775505356406</v>
      </c>
      <c r="D623" s="2" t="n">
        <v>0.108746923522607</v>
      </c>
      <c r="E623" s="2" t="n">
        <v>0.110087668188037</v>
      </c>
    </row>
    <row r="624" customFormat="false" ht="13.8" hidden="false" customHeight="false" outlineLevel="0" collapsed="false">
      <c r="B624" s="2" t="n">
        <v>622</v>
      </c>
      <c r="C624" s="2" t="n">
        <v>0.110329071853293</v>
      </c>
      <c r="D624" s="2" t="n">
        <v>0.106764885955358</v>
      </c>
      <c r="E624" s="2" t="n">
        <v>0.0988646197612448</v>
      </c>
    </row>
    <row r="625" customFormat="false" ht="13.8" hidden="false" customHeight="false" outlineLevel="0" collapsed="false">
      <c r="B625" s="2" t="n">
        <v>623</v>
      </c>
      <c r="C625" s="2" t="n">
        <v>0.0646973266072524</v>
      </c>
      <c r="D625" s="2" t="n">
        <v>0.10478284838796</v>
      </c>
      <c r="E625" s="2" t="n">
        <v>0.18689576911694</v>
      </c>
    </row>
    <row r="626" customFormat="false" ht="13.8" hidden="false" customHeight="false" outlineLevel="0" collapsed="false">
      <c r="B626" s="2" t="n">
        <v>624</v>
      </c>
      <c r="C626" s="2" t="n">
        <v>0.106232662004392</v>
      </c>
      <c r="D626" s="2" t="n">
        <v>0.10280081082086</v>
      </c>
      <c r="E626" s="2" t="n">
        <v>0.269934715669309</v>
      </c>
    </row>
    <row r="627" customFormat="false" ht="13.8" hidden="false" customHeight="false" outlineLevel="0" collapsed="false">
      <c r="B627" s="2" t="n">
        <v>625</v>
      </c>
      <c r="C627" s="2" t="n">
        <v>0.0359392523779314</v>
      </c>
      <c r="D627" s="2" t="n">
        <v>0.100818773253612</v>
      </c>
      <c r="E627" s="2" t="n">
        <v>0.361711813915342</v>
      </c>
    </row>
    <row r="628" customFormat="false" ht="13.8" hidden="false" customHeight="false" outlineLevel="0" collapsed="false">
      <c r="B628" s="2" t="n">
        <v>626</v>
      </c>
      <c r="C628" s="2" t="n">
        <v>0.0926036411790691</v>
      </c>
      <c r="D628" s="2" t="n">
        <v>0.0896120761595819</v>
      </c>
      <c r="E628" s="2" t="n">
        <v>0.466085938696394</v>
      </c>
    </row>
    <row r="629" customFormat="false" ht="13.8" hidden="false" customHeight="false" outlineLevel="0" collapsed="false">
      <c r="B629" s="2" t="n">
        <v>627</v>
      </c>
      <c r="C629" s="2" t="n">
        <v>0.0377562690445859</v>
      </c>
      <c r="D629" s="2" t="n">
        <v>0.0784053790655538</v>
      </c>
      <c r="E629" s="2" t="n">
        <v>0.493703769382728</v>
      </c>
    </row>
    <row r="630" customFormat="false" ht="13.8" hidden="false" customHeight="false" outlineLevel="0" collapsed="false">
      <c r="B630" s="2" t="n">
        <v>628</v>
      </c>
      <c r="C630" s="2" t="n">
        <v>0.0694420093773112</v>
      </c>
      <c r="D630" s="2" t="n">
        <v>0.0671986819715229</v>
      </c>
      <c r="E630" s="2" t="n">
        <v>0.494890646814643</v>
      </c>
    </row>
    <row r="631" customFormat="false" ht="13.8" hidden="false" customHeight="false" outlineLevel="0" collapsed="false">
      <c r="B631" s="2" t="n">
        <v>629</v>
      </c>
      <c r="C631" s="2" t="n">
        <v>0.0350062024587193</v>
      </c>
      <c r="D631" s="2" t="n">
        <v>0.0559919848773385</v>
      </c>
      <c r="E631" s="2" t="n">
        <v>0.386780818781843</v>
      </c>
    </row>
    <row r="632" customFormat="false" ht="13.8" hidden="false" customHeight="false" outlineLevel="0" collapsed="false">
      <c r="B632" s="2" t="n">
        <v>630</v>
      </c>
      <c r="C632" s="2" t="n">
        <v>0.0565547579972656</v>
      </c>
      <c r="D632" s="2" t="n">
        <v>0.0547277538584368</v>
      </c>
      <c r="E632" s="2" t="n">
        <v>0.403047391869836</v>
      </c>
    </row>
    <row r="633" customFormat="false" ht="13.8" hidden="false" customHeight="false" outlineLevel="0" collapsed="false">
      <c r="B633" s="2" t="n">
        <v>631</v>
      </c>
      <c r="C633" s="2" t="n">
        <v>0.0252726023779022</v>
      </c>
      <c r="D633" s="2" t="n">
        <v>0.053463522839381</v>
      </c>
      <c r="E633" s="2" t="n">
        <v>0.393736850526119</v>
      </c>
    </row>
    <row r="634" customFormat="false" ht="13.8" hidden="false" customHeight="false" outlineLevel="0" collapsed="false">
      <c r="B634" s="2" t="n">
        <v>632</v>
      </c>
      <c r="C634" s="2" t="n">
        <v>0.0510677833333337</v>
      </c>
      <c r="D634" s="2" t="n">
        <v>0.0521992918203245</v>
      </c>
      <c r="E634" s="2" t="n">
        <v>0.384426309182405</v>
      </c>
    </row>
    <row r="635" customFormat="false" ht="13.8" hidden="false" customHeight="false" outlineLevel="0" collapsed="false">
      <c r="B635" s="2" t="n">
        <v>633</v>
      </c>
      <c r="C635" s="2" t="n">
        <v>0.0316717190445692</v>
      </c>
      <c r="D635" s="2" t="n">
        <v>0.0509350608012681</v>
      </c>
      <c r="E635" s="2" t="n">
        <v>0.375115767838694</v>
      </c>
    </row>
    <row r="636" customFormat="false" ht="13.8" hidden="false" customHeight="false" outlineLevel="0" collapsed="false">
      <c r="B636" s="2" t="n">
        <v>634</v>
      </c>
      <c r="C636" s="2" t="n">
        <v>0.0485493661249764</v>
      </c>
      <c r="D636" s="2" t="n">
        <v>0.0469809765502075</v>
      </c>
      <c r="E636" s="2" t="n">
        <v>0.345995564061589</v>
      </c>
    </row>
    <row r="637" customFormat="false" ht="13.8" hidden="false" customHeight="false" outlineLevel="0" collapsed="false">
      <c r="B637" s="2" t="n">
        <v>635</v>
      </c>
      <c r="C637" s="2" t="n">
        <v>0.0350045023779023</v>
      </c>
      <c r="D637" s="2" t="n">
        <v>0.0430268922991487</v>
      </c>
      <c r="E637" s="2" t="n">
        <v>0.316875360284483</v>
      </c>
    </row>
    <row r="638" customFormat="false" ht="13.8" hidden="false" customHeight="false" outlineLevel="0" collapsed="false">
      <c r="B638" s="2" t="n">
        <v>636</v>
      </c>
      <c r="C638" s="2" t="n">
        <v>0.0403771952553904</v>
      </c>
      <c r="D638" s="2" t="n">
        <v>0.0390728080480875</v>
      </c>
      <c r="E638" s="2" t="n">
        <v>0.28775515650738</v>
      </c>
    </row>
    <row r="639" customFormat="false" ht="13.8" hidden="false" customHeight="false" outlineLevel="0" collapsed="false">
      <c r="B639" s="2" t="n">
        <v>637</v>
      </c>
      <c r="C639" s="2" t="n">
        <v>0.0350041023759754</v>
      </c>
      <c r="D639" s="2" t="n">
        <v>0.0351187237970286</v>
      </c>
      <c r="E639" s="2" t="n">
        <v>0.258634952730275</v>
      </c>
    </row>
    <row r="640" customFormat="false" ht="13.8" hidden="false" customHeight="false" outlineLevel="0" collapsed="false">
      <c r="B640" s="2" t="n">
        <v>638</v>
      </c>
      <c r="C640" s="2" t="n">
        <v>0.0286419102355553</v>
      </c>
      <c r="D640" s="2" t="n">
        <v>0.0277166319672866</v>
      </c>
      <c r="E640" s="2" t="n">
        <v>0.204121591665335</v>
      </c>
    </row>
    <row r="641" customFormat="false" ht="13.8" hidden="false" customHeight="false" outlineLevel="0" collapsed="false">
      <c r="B641" s="2" t="n">
        <v>639</v>
      </c>
      <c r="C641" s="2" t="n">
        <v>0.0209927093150925</v>
      </c>
      <c r="D641" s="2" t="n">
        <v>0.020314540137368</v>
      </c>
      <c r="E641" s="2" t="n">
        <v>0.149608230600361</v>
      </c>
    </row>
    <row r="642" customFormat="false" ht="13.8" hidden="false" customHeight="false" outlineLevel="0" collapsed="false">
      <c r="B642" s="2" t="n">
        <v>640</v>
      </c>
      <c r="C642" s="2" t="n">
        <v>0.0133435097766673</v>
      </c>
      <c r="D642" s="2" t="n">
        <v>0.0129124483076333</v>
      </c>
      <c r="E642" s="2" t="n">
        <v>0.0950948695354182</v>
      </c>
    </row>
    <row r="643" customFormat="false" ht="13.8" hidden="false" customHeight="false" outlineLevel="0" collapsed="false">
      <c r="B643" s="2" t="n">
        <v>641</v>
      </c>
      <c r="C643" s="2" t="n">
        <v>0.00569431023824418</v>
      </c>
      <c r="D643" s="2" t="n">
        <v>0.00551035647789861</v>
      </c>
      <c r="E643" s="2" t="n">
        <v>0.0405815084704759</v>
      </c>
    </row>
    <row r="644" customFormat="false" ht="13.8" hidden="false" customHeight="false" outlineLevel="0" collapsed="false">
      <c r="B644" s="2" t="n">
        <v>642</v>
      </c>
      <c r="C644" s="2" t="n">
        <v>0.00517411865031957</v>
      </c>
      <c r="D644" s="2" t="n">
        <v>0.00500696965875499</v>
      </c>
      <c r="E644" s="2" t="n">
        <v>0.036874271643643</v>
      </c>
    </row>
    <row r="645" customFormat="false" ht="13.8" hidden="false" customHeight="false" outlineLevel="0" collapsed="false">
      <c r="B645" s="2" t="n">
        <v>643</v>
      </c>
      <c r="C645" s="2" t="n">
        <v>0.00465392706239235</v>
      </c>
      <c r="D645" s="2" t="n">
        <v>0.00450358283961138</v>
      </c>
      <c r="E645" s="2" t="n">
        <v>0.0331670348168101</v>
      </c>
    </row>
    <row r="646" customFormat="false" ht="13.8" hidden="false" customHeight="false" outlineLevel="0" collapsed="false">
      <c r="B646" s="2" t="n">
        <v>644</v>
      </c>
      <c r="C646" s="2" t="n">
        <v>0.00413373547446803</v>
      </c>
      <c r="D646" s="2" t="n">
        <v>0.00400019602046776</v>
      </c>
      <c r="E646" s="2" t="n">
        <v>0.0294597979899771</v>
      </c>
    </row>
    <row r="647" customFormat="false" ht="13.8" hidden="false" customHeight="false" outlineLevel="0" collapsed="false">
      <c r="B647" s="2" t="n">
        <v>645</v>
      </c>
      <c r="C647" s="2" t="n">
        <v>0.00361354388654302</v>
      </c>
      <c r="D647" s="2" t="n">
        <v>0.00349680920132414</v>
      </c>
      <c r="E647" s="2" t="n">
        <v>0.0257525611631442</v>
      </c>
    </row>
    <row r="648" customFormat="false" ht="13.8" hidden="false" customHeight="false" outlineLevel="0" collapsed="false">
      <c r="B648" s="2" t="n">
        <v>646</v>
      </c>
      <c r="C648" s="2" t="n">
        <v>0.00271015769759292</v>
      </c>
      <c r="D648" s="2" t="n">
        <v>0.00262260690091164</v>
      </c>
      <c r="E648" s="2" t="n">
        <v>0.0193144208722788</v>
      </c>
    </row>
    <row r="649" customFormat="false" ht="13.8" hidden="false" customHeight="false" outlineLevel="0" collapsed="false">
      <c r="B649" s="2" t="n">
        <v>647</v>
      </c>
      <c r="C649" s="2" t="n">
        <v>0.00180677150864251</v>
      </c>
      <c r="D649" s="2" t="n">
        <v>0.00174840460049913</v>
      </c>
      <c r="E649" s="2" t="n">
        <v>0.0128762805814136</v>
      </c>
    </row>
    <row r="650" customFormat="false" ht="13.8" hidden="false" customHeight="false" outlineLevel="0" collapsed="false">
      <c r="B650" s="2" t="n">
        <v>648</v>
      </c>
      <c r="C650" s="2" t="n">
        <v>0.000903385319693152</v>
      </c>
      <c r="D650" s="2" t="n">
        <v>0.000874202300086621</v>
      </c>
      <c r="E650" s="2" t="n">
        <v>0.00643814029054795</v>
      </c>
    </row>
    <row r="651" customFormat="false" ht="13.8" hidden="false" customHeight="false" outlineLevel="0" collapsed="false">
      <c r="B651" s="2" t="n">
        <v>649</v>
      </c>
      <c r="C651" s="2" t="n">
        <v>0</v>
      </c>
      <c r="D651" s="2" t="n">
        <v>0</v>
      </c>
      <c r="E651" s="2" t="n">
        <v>0</v>
      </c>
    </row>
    <row r="652" customFormat="false" ht="13.8" hidden="false" customHeight="false" outlineLevel="0" collapsed="false">
      <c r="B652" s="2" t="n">
        <v>650</v>
      </c>
      <c r="C652" s="2" t="n">
        <v>0</v>
      </c>
      <c r="D652" s="2" t="n">
        <v>0</v>
      </c>
      <c r="E652" s="2" t="n">
        <v>0</v>
      </c>
    </row>
    <row r="653" customFormat="false" ht="13.8" hidden="false" customHeight="false" outlineLevel="0" collapsed="false">
      <c r="B653" s="2" t="n">
        <v>651</v>
      </c>
      <c r="C653" s="2" t="n">
        <v>0</v>
      </c>
      <c r="D653" s="2" t="n">
        <v>0</v>
      </c>
      <c r="E653" s="2" t="n">
        <v>0</v>
      </c>
    </row>
    <row r="654" customFormat="false" ht="13.8" hidden="false" customHeight="false" outlineLevel="0" collapsed="false">
      <c r="B654" s="2" t="n">
        <v>652</v>
      </c>
      <c r="C654" s="2" t="n">
        <v>0</v>
      </c>
      <c r="D654" s="2" t="n">
        <v>0</v>
      </c>
      <c r="E654" s="2" t="n">
        <v>0</v>
      </c>
    </row>
    <row r="655" customFormat="false" ht="13.8" hidden="false" customHeight="false" outlineLevel="0" collapsed="false">
      <c r="B655" s="2" t="n">
        <v>653</v>
      </c>
      <c r="C655" s="2" t="n">
        <v>0</v>
      </c>
      <c r="D655" s="2" t="n">
        <v>0</v>
      </c>
      <c r="E655" s="2" t="n">
        <v>0</v>
      </c>
    </row>
    <row r="656" customFormat="false" ht="13.8" hidden="false" customHeight="false" outlineLevel="0" collapsed="false">
      <c r="B656" s="2" t="n">
        <v>654</v>
      </c>
      <c r="C656" s="2" t="n">
        <v>0</v>
      </c>
      <c r="D656" s="2" t="n">
        <v>0</v>
      </c>
      <c r="E656" s="2" t="n">
        <v>0</v>
      </c>
    </row>
    <row r="657" customFormat="false" ht="13.8" hidden="false" customHeight="false" outlineLevel="0" collapsed="false">
      <c r="B657" s="2" t="n">
        <v>655</v>
      </c>
      <c r="C657" s="2" t="n">
        <v>0</v>
      </c>
      <c r="D657" s="2" t="n">
        <v>0</v>
      </c>
      <c r="E657" s="2" t="n">
        <v>0</v>
      </c>
    </row>
    <row r="658" customFormat="false" ht="13.8" hidden="false" customHeight="false" outlineLevel="0" collapsed="false">
      <c r="B658" s="2" t="n">
        <v>656</v>
      </c>
      <c r="C658" s="2" t="n">
        <v>0</v>
      </c>
      <c r="D658" s="2" t="n">
        <v>0</v>
      </c>
      <c r="E658" s="2" t="n">
        <v>0</v>
      </c>
    </row>
    <row r="659" customFormat="false" ht="13.8" hidden="false" customHeight="false" outlineLevel="0" collapsed="false">
      <c r="B659" s="2" t="n">
        <v>657</v>
      </c>
      <c r="C659" s="2" t="n">
        <v>0</v>
      </c>
      <c r="D659" s="2" t="n">
        <v>0</v>
      </c>
      <c r="E659" s="2" t="n">
        <v>0</v>
      </c>
    </row>
    <row r="660" customFormat="false" ht="13.8" hidden="false" customHeight="false" outlineLevel="0" collapsed="false">
      <c r="B660" s="2" t="n">
        <v>658</v>
      </c>
      <c r="C660" s="2" t="n">
        <v>0</v>
      </c>
      <c r="D660" s="2" t="n">
        <v>0</v>
      </c>
      <c r="E660" s="2" t="n">
        <v>0</v>
      </c>
    </row>
    <row r="661" customFormat="false" ht="13.8" hidden="false" customHeight="false" outlineLevel="0" collapsed="false">
      <c r="B661" s="2" t="n">
        <v>659</v>
      </c>
      <c r="C661" s="2" t="n">
        <v>0</v>
      </c>
      <c r="D661" s="2" t="n">
        <v>0</v>
      </c>
      <c r="E661" s="2" t="n">
        <v>0</v>
      </c>
    </row>
    <row r="662" customFormat="false" ht="13.8" hidden="false" customHeight="false" outlineLevel="0" collapsed="false">
      <c r="B662" s="2" t="n">
        <v>660</v>
      </c>
      <c r="C662" s="2" t="n">
        <v>0</v>
      </c>
      <c r="D662" s="2" t="n">
        <v>0</v>
      </c>
      <c r="E662" s="2" t="n">
        <v>0</v>
      </c>
    </row>
    <row r="663" customFormat="false" ht="13.8" hidden="false" customHeight="false" outlineLevel="0" collapsed="false">
      <c r="B663" s="2" t="n">
        <v>661</v>
      </c>
      <c r="C663" s="2" t="n">
        <v>0</v>
      </c>
      <c r="D663" s="2" t="n">
        <v>0</v>
      </c>
      <c r="E663" s="2" t="n">
        <v>0</v>
      </c>
    </row>
    <row r="664" customFormat="false" ht="13.8" hidden="false" customHeight="false" outlineLevel="0" collapsed="false">
      <c r="B664" s="2" t="n">
        <v>662</v>
      </c>
      <c r="C664" s="2" t="n">
        <v>0</v>
      </c>
      <c r="D664" s="2" t="n">
        <v>0</v>
      </c>
      <c r="E664" s="2" t="n">
        <v>0</v>
      </c>
    </row>
    <row r="665" customFormat="false" ht="13.8" hidden="false" customHeight="false" outlineLevel="0" collapsed="false">
      <c r="B665" s="2" t="n">
        <v>663</v>
      </c>
      <c r="C665" s="2" t="n">
        <v>0</v>
      </c>
      <c r="D665" s="2" t="n">
        <v>0</v>
      </c>
      <c r="E665" s="2" t="n">
        <v>0</v>
      </c>
    </row>
    <row r="666" customFormat="false" ht="13.8" hidden="false" customHeight="false" outlineLevel="0" collapsed="false">
      <c r="B666" s="2" t="n">
        <v>664</v>
      </c>
      <c r="C666" s="2" t="n">
        <v>0</v>
      </c>
      <c r="D666" s="2" t="n">
        <v>0</v>
      </c>
      <c r="E666" s="2" t="n">
        <v>0</v>
      </c>
    </row>
    <row r="667" customFormat="false" ht="13.8" hidden="false" customHeight="false" outlineLevel="0" collapsed="false">
      <c r="B667" s="2" t="n">
        <v>665</v>
      </c>
      <c r="C667" s="2" t="n">
        <v>0</v>
      </c>
      <c r="D667" s="2" t="n">
        <v>0</v>
      </c>
      <c r="E667" s="2" t="n">
        <v>0</v>
      </c>
    </row>
    <row r="668" customFormat="false" ht="13.8" hidden="false" customHeight="false" outlineLevel="0" collapsed="false">
      <c r="B668" s="2" t="n">
        <v>666</v>
      </c>
      <c r="C668" s="2" t="n">
        <v>0</v>
      </c>
      <c r="D668" s="2" t="n">
        <v>0</v>
      </c>
      <c r="E668" s="2" t="n">
        <v>0</v>
      </c>
    </row>
    <row r="669" customFormat="false" ht="13.8" hidden="false" customHeight="false" outlineLevel="0" collapsed="false">
      <c r="B669" s="2" t="n">
        <v>667</v>
      </c>
      <c r="C669" s="2" t="n">
        <v>0</v>
      </c>
      <c r="D669" s="2" t="n">
        <v>0</v>
      </c>
      <c r="E669" s="2" t="n">
        <v>0</v>
      </c>
    </row>
    <row r="670" customFormat="false" ht="13.8" hidden="false" customHeight="false" outlineLevel="0" collapsed="false">
      <c r="B670" s="2" t="n">
        <v>668</v>
      </c>
      <c r="C670" s="2" t="n">
        <v>0</v>
      </c>
      <c r="D670" s="2" t="n">
        <v>0</v>
      </c>
      <c r="E670" s="2" t="n">
        <v>0</v>
      </c>
    </row>
    <row r="671" customFormat="false" ht="13.8" hidden="false" customHeight="false" outlineLevel="0" collapsed="false">
      <c r="B671" s="2" t="n">
        <v>669</v>
      </c>
      <c r="C671" s="2" t="n">
        <v>0</v>
      </c>
      <c r="D671" s="2" t="n">
        <v>0</v>
      </c>
      <c r="E671" s="2" t="n">
        <v>0</v>
      </c>
    </row>
    <row r="672" customFormat="false" ht="13.8" hidden="false" customHeight="false" outlineLevel="0" collapsed="false">
      <c r="B672" s="2" t="n">
        <v>670</v>
      </c>
      <c r="C672" s="2" t="n">
        <v>0</v>
      </c>
      <c r="D672" s="2" t="n">
        <v>0</v>
      </c>
      <c r="E672" s="2" t="n">
        <v>0</v>
      </c>
    </row>
    <row r="673" customFormat="false" ht="13.8" hidden="false" customHeight="false" outlineLevel="0" collapsed="false">
      <c r="B673" s="2" t="n">
        <v>671</v>
      </c>
      <c r="C673" s="2" t="n">
        <v>0</v>
      </c>
      <c r="D673" s="2" t="n">
        <v>0</v>
      </c>
      <c r="E673" s="2" t="n">
        <v>0</v>
      </c>
    </row>
    <row r="674" customFormat="false" ht="13.8" hidden="false" customHeight="false" outlineLevel="0" collapsed="false">
      <c r="B674" s="2" t="n">
        <v>672</v>
      </c>
      <c r="C674" s="2" t="n">
        <v>0</v>
      </c>
      <c r="D674" s="2" t="n">
        <v>0</v>
      </c>
      <c r="E674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6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5429687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C2" s="2" t="n">
        <f aca="false">SUM(C3:C674)</f>
        <v>27.6588620036125</v>
      </c>
      <c r="D2" s="2" t="n">
        <f aca="false">SUM(D3:D674)</f>
        <v>14.2213222840388</v>
      </c>
      <c r="E2" s="2" t="n">
        <f aca="false">SUM(E3:E674)</f>
        <v>1.90268682334973E-008</v>
      </c>
      <c r="F2" s="2" t="n">
        <f aca="false">SUM(C2:E2)</f>
        <v>41.8801843066782</v>
      </c>
    </row>
    <row r="3" customFormat="false" ht="13.8" hidden="false" customHeight="false" outlineLevel="0" collapsed="false">
      <c r="B3" s="2" t="n">
        <v>1</v>
      </c>
      <c r="C3" s="2" t="n">
        <v>0.0120024655828131</v>
      </c>
      <c r="D3" s="2" t="n">
        <v>5.10396924579833E-012</v>
      </c>
      <c r="E3" s="2" t="n">
        <v>5.10157138679698E-012</v>
      </c>
    </row>
    <row r="4" customFormat="false" ht="13.8" hidden="false" customHeight="false" outlineLevel="0" collapsed="false">
      <c r="B4" s="2" t="n">
        <v>2</v>
      </c>
      <c r="C4" s="2" t="n">
        <v>0.0483854823037894</v>
      </c>
      <c r="D4" s="2" t="n">
        <v>4.92322016501697E-012</v>
      </c>
      <c r="E4" s="2" t="n">
        <v>4.92125148215575E-012</v>
      </c>
    </row>
    <row r="5" customFormat="false" ht="13.8" hidden="false" customHeight="false" outlineLevel="0" collapsed="false">
      <c r="B5" s="2" t="n">
        <v>3</v>
      </c>
      <c r="C5" s="2" t="n">
        <v>0.0551852656837943</v>
      </c>
      <c r="D5" s="2" t="n">
        <v>4.74291297596547E-012</v>
      </c>
      <c r="E5" s="2" t="n">
        <v>4.74137720315254E-012</v>
      </c>
    </row>
    <row r="6" customFormat="false" ht="13.8" hidden="false" customHeight="false" outlineLevel="0" collapsed="false">
      <c r="B6" s="2" t="n">
        <v>4</v>
      </c>
      <c r="C6" s="2" t="n">
        <v>0.0531675991567304</v>
      </c>
      <c r="D6" s="2" t="n">
        <v>0.0333333333160695</v>
      </c>
      <c r="E6" s="2" t="n">
        <v>4.33352537846947E-012</v>
      </c>
    </row>
    <row r="7" customFormat="false" ht="13.8" hidden="false" customHeight="false" outlineLevel="0" collapsed="false">
      <c r="B7" s="2" t="n">
        <v>5</v>
      </c>
      <c r="C7" s="2" t="n">
        <v>0.0542504323497815</v>
      </c>
      <c r="D7" s="2" t="n">
        <v>0.0972614508495345</v>
      </c>
      <c r="E7" s="2" t="n">
        <v>4.86823826142497E-012</v>
      </c>
    </row>
    <row r="8" customFormat="false" ht="13.8" hidden="false" customHeight="false" outlineLevel="0" collapsed="false">
      <c r="B8" s="2" t="n">
        <v>6</v>
      </c>
      <c r="C8" s="2" t="n">
        <v>0.0397335490397768</v>
      </c>
      <c r="D8" s="2" t="n">
        <v>0.0872682521455532</v>
      </c>
      <c r="E8" s="2" t="n">
        <v>4.77693484049005E-012</v>
      </c>
    </row>
    <row r="9" customFormat="false" ht="13.8" hidden="false" customHeight="false" outlineLevel="0" collapsed="false">
      <c r="B9" s="2" t="n">
        <v>7</v>
      </c>
      <c r="C9" s="2" t="n">
        <v>0.0540334657297716</v>
      </c>
      <c r="D9" s="2" t="n">
        <v>0.069415883488851</v>
      </c>
      <c r="E9" s="2" t="n">
        <v>4.68434373126976E-012</v>
      </c>
    </row>
    <row r="10" customFormat="false" ht="13.8" hidden="false" customHeight="false" outlineLevel="0" collapsed="false">
      <c r="B10" s="2" t="n">
        <v>8</v>
      </c>
      <c r="C10" s="2" t="n">
        <v>0.0411168323664831</v>
      </c>
      <c r="D10" s="2" t="n">
        <v>1.24623078499572E-009</v>
      </c>
      <c r="E10" s="2" t="n">
        <v>0</v>
      </c>
    </row>
    <row r="11" customFormat="false" ht="13.8" hidden="false" customHeight="false" outlineLevel="0" collapsed="false">
      <c r="B11" s="2" t="n">
        <v>9</v>
      </c>
      <c r="C11" s="2" t="n">
        <v>0.0552501157001108</v>
      </c>
      <c r="D11" s="2" t="n">
        <v>1.78614102804759E-009</v>
      </c>
      <c r="E11" s="2" t="n">
        <v>0</v>
      </c>
    </row>
    <row r="12" customFormat="false" ht="13.8" hidden="false" customHeight="false" outlineLevel="0" collapsed="false">
      <c r="B12" s="2" t="n">
        <v>10</v>
      </c>
      <c r="C12" s="2" t="n">
        <v>0.0400502657005364</v>
      </c>
      <c r="D12" s="2" t="n">
        <v>2.32609912443147E-009</v>
      </c>
      <c r="E12" s="2" t="n">
        <v>0</v>
      </c>
    </row>
    <row r="13" customFormat="false" ht="13.8" hidden="false" customHeight="false" outlineLevel="0" collapsed="false">
      <c r="B13" s="2" t="n">
        <v>11</v>
      </c>
      <c r="C13" s="2" t="n">
        <v>0.0211667823677385</v>
      </c>
      <c r="D13" s="2" t="n">
        <v>2.86609768253043E-009</v>
      </c>
      <c r="E13" s="2" t="n">
        <v>0</v>
      </c>
    </row>
    <row r="14" customFormat="false" ht="13.8" hidden="false" customHeight="false" outlineLevel="0" collapsed="false">
      <c r="B14" s="2" t="n">
        <v>12</v>
      </c>
      <c r="C14" s="2" t="n">
        <v>0.0515999990350485</v>
      </c>
      <c r="D14" s="2" t="n">
        <v>3.40613329531346E-009</v>
      </c>
      <c r="E14" s="2" t="n">
        <v>0</v>
      </c>
    </row>
    <row r="15" customFormat="false" ht="13.8" hidden="false" customHeight="false" outlineLevel="0" collapsed="false">
      <c r="B15" s="2" t="n">
        <v>13</v>
      </c>
      <c r="C15" s="2" t="n">
        <v>0.0730501157022456</v>
      </c>
      <c r="D15" s="2" t="n">
        <v>3.94614765753565E-009</v>
      </c>
      <c r="E15" s="2" t="n">
        <v>0</v>
      </c>
    </row>
    <row r="16" customFormat="false" ht="13.8" hidden="false" customHeight="false" outlineLevel="0" collapsed="false">
      <c r="B16" s="2" t="n">
        <v>14</v>
      </c>
      <c r="C16" s="2" t="n">
        <v>0.0839666823694505</v>
      </c>
      <c r="D16" s="2" t="n">
        <v>4.48616930269465E-009</v>
      </c>
      <c r="E16" s="2" t="n">
        <v>0</v>
      </c>
    </row>
    <row r="17" customFormat="false" ht="13.8" hidden="false" customHeight="false" outlineLevel="0" collapsed="false">
      <c r="B17" s="2" t="n">
        <v>15</v>
      </c>
      <c r="C17" s="2" t="n">
        <v>0.047316682369989</v>
      </c>
      <c r="D17" s="2" t="n">
        <v>5.02619645674702E-009</v>
      </c>
      <c r="E17" s="2" t="n">
        <v>0</v>
      </c>
    </row>
    <row r="18" customFormat="false" ht="13.8" hidden="false" customHeight="false" outlineLevel="0" collapsed="false">
      <c r="B18" s="2" t="n">
        <v>16</v>
      </c>
      <c r="C18" s="2" t="n">
        <v>0.0769001323705271</v>
      </c>
      <c r="D18" s="2" t="n">
        <v>5.56622909065022E-009</v>
      </c>
      <c r="E18" s="2" t="n">
        <v>0</v>
      </c>
    </row>
    <row r="19" customFormat="false" ht="13.8" hidden="false" customHeight="false" outlineLevel="0" collapsed="false">
      <c r="B19" s="2" t="n">
        <v>17</v>
      </c>
      <c r="C19" s="2" t="n">
        <v>0.0432002157043989</v>
      </c>
      <c r="D19" s="2" t="n">
        <v>6.10626719683809E-009</v>
      </c>
      <c r="E19" s="2" t="n">
        <v>0</v>
      </c>
    </row>
    <row r="20" customFormat="false" ht="13.8" hidden="false" customHeight="false" outlineLevel="0" collapsed="false">
      <c r="B20" s="2" t="n">
        <v>18</v>
      </c>
      <c r="C20" s="2" t="n">
        <v>0.0728668990382703</v>
      </c>
      <c r="D20" s="2" t="n">
        <v>6.64631076167146E-009</v>
      </c>
      <c r="E20" s="2" t="n">
        <v>0</v>
      </c>
    </row>
    <row r="21" customFormat="false" ht="13.8" hidden="false" customHeight="false" outlineLevel="0" collapsed="false">
      <c r="B21" s="2" t="n">
        <v>19</v>
      </c>
      <c r="C21" s="2" t="n">
        <v>0.0409835157054754</v>
      </c>
      <c r="D21" s="2" t="n">
        <v>7.18635977678991E-009</v>
      </c>
      <c r="E21" s="2" t="n">
        <v>0</v>
      </c>
    </row>
    <row r="22" customFormat="false" ht="13.8" hidden="false" customHeight="false" outlineLevel="0" collapsed="false">
      <c r="B22" s="2" t="n">
        <v>20</v>
      </c>
      <c r="C22" s="2" t="n">
        <v>0.053683649039347</v>
      </c>
      <c r="D22" s="2" t="n">
        <v>7.72641424554282E-009</v>
      </c>
      <c r="E22" s="2" t="n">
        <v>0</v>
      </c>
    </row>
    <row r="23" customFormat="false" ht="13.8" hidden="false" customHeight="false" outlineLevel="0" collapsed="false">
      <c r="B23" s="2" t="n">
        <v>21</v>
      </c>
      <c r="C23" s="2" t="n">
        <v>0.0643004323732186</v>
      </c>
      <c r="D23" s="2" t="n">
        <v>8.26647605471504E-009</v>
      </c>
      <c r="E23" s="2" t="n">
        <v>0</v>
      </c>
    </row>
    <row r="24" customFormat="false" ht="13.8" hidden="false" customHeight="false" outlineLevel="0" collapsed="false">
      <c r="B24" s="2" t="n">
        <v>22</v>
      </c>
      <c r="C24" s="2" t="n">
        <v>0.0702377007728498</v>
      </c>
      <c r="D24" s="2" t="n">
        <v>1.82009538206961E-012</v>
      </c>
      <c r="E24" s="2" t="n">
        <v>1.45656556242183E-012</v>
      </c>
    </row>
    <row r="25" customFormat="false" ht="13.8" hidden="false" customHeight="false" outlineLevel="0" collapsed="false">
      <c r="B25" s="2" t="n">
        <v>23</v>
      </c>
      <c r="C25" s="2" t="n">
        <v>0.0379755351425106</v>
      </c>
      <c r="D25" s="2" t="n">
        <v>1.60891265828164E-012</v>
      </c>
      <c r="E25" s="2" t="n">
        <v>1.25442058333274E-012</v>
      </c>
    </row>
    <row r="26" customFormat="false" ht="13.8" hidden="false" customHeight="false" outlineLevel="0" collapsed="false">
      <c r="B26" s="2" t="n">
        <v>24</v>
      </c>
      <c r="C26" s="2" t="n">
        <v>0.0955465361788384</v>
      </c>
      <c r="D26" s="2" t="n">
        <v>1.39663065997707E-012</v>
      </c>
      <c r="E26" s="2" t="n">
        <v>1.05253302223715E-012</v>
      </c>
    </row>
    <row r="27" customFormat="false" ht="13.8" hidden="false" customHeight="false" outlineLevel="0" collapsed="false">
      <c r="B27" s="2" t="n">
        <v>25</v>
      </c>
      <c r="C27" s="2" t="n">
        <v>0.0374341872151669</v>
      </c>
      <c r="D27" s="2" t="n">
        <v>1.18438675537641E-012</v>
      </c>
      <c r="E27" s="2" t="n">
        <v>8.50356788810404E-013</v>
      </c>
    </row>
    <row r="28" customFormat="false" ht="13.8" hidden="false" customHeight="false" outlineLevel="0" collapsed="false">
      <c r="B28" s="2" t="n">
        <v>26</v>
      </c>
      <c r="C28" s="2" t="n">
        <v>0.0853929161054613</v>
      </c>
      <c r="D28" s="2" t="n">
        <v>9.69482009090747E-013</v>
      </c>
      <c r="E28" s="2" t="n">
        <v>6.49604564637118E-013</v>
      </c>
    </row>
    <row r="29" customFormat="false" ht="13.8" hidden="false" customHeight="false" outlineLevel="0" collapsed="false">
      <c r="B29" s="2" t="n">
        <v>27</v>
      </c>
      <c r="C29" s="2" t="n">
        <v>0.00302800629043425</v>
      </c>
      <c r="D29" s="2" t="n">
        <v>4.7423862610299E-011</v>
      </c>
      <c r="E29" s="2" t="n">
        <v>9.39351504263747E-011</v>
      </c>
    </row>
    <row r="30" customFormat="false" ht="13.8" hidden="false" customHeight="false" outlineLevel="0" collapsed="false">
      <c r="B30" s="2" t="n">
        <v>28</v>
      </c>
      <c r="C30" s="2" t="n">
        <v>0.0295027695697657</v>
      </c>
      <c r="D30" s="2" t="n">
        <v>1.21387262228416E-012</v>
      </c>
      <c r="E30" s="2" t="n">
        <v>0</v>
      </c>
    </row>
    <row r="31" customFormat="false" ht="13.8" hidden="false" customHeight="false" outlineLevel="0" collapsed="false">
      <c r="B31" s="2" t="n">
        <v>29</v>
      </c>
      <c r="C31" s="2" t="n">
        <v>0.0219275128725167</v>
      </c>
      <c r="D31" s="2" t="n">
        <v>1.30302218768746E-012</v>
      </c>
      <c r="E31" s="2" t="n">
        <v>0</v>
      </c>
    </row>
    <row r="32" customFormat="false" ht="13.8" hidden="false" customHeight="false" outlineLevel="0" collapsed="false">
      <c r="B32" s="2" t="n">
        <v>30</v>
      </c>
      <c r="C32" s="2" t="n">
        <v>0.082118372499437</v>
      </c>
      <c r="D32" s="2" t="n">
        <v>2.22987364865019E-013</v>
      </c>
      <c r="E32" s="2" t="n">
        <v>0</v>
      </c>
    </row>
    <row r="33" customFormat="false" ht="13.8" hidden="false" customHeight="false" outlineLevel="0" collapsed="false">
      <c r="B33" s="2" t="n">
        <v>31</v>
      </c>
      <c r="C33" s="2" t="n">
        <v>0.0163605322349902</v>
      </c>
      <c r="D33" s="2" t="n">
        <v>0</v>
      </c>
      <c r="E33" s="2" t="n">
        <v>1.13818287728015E-014</v>
      </c>
    </row>
    <row r="34" customFormat="false" ht="13.8" hidden="false" customHeight="false" outlineLevel="0" collapsed="false">
      <c r="B34" s="2" t="n">
        <v>32</v>
      </c>
      <c r="C34" s="2" t="n">
        <v>0.0453702753277328</v>
      </c>
      <c r="D34" s="2" t="n">
        <v>0</v>
      </c>
      <c r="E34" s="2" t="n">
        <v>1.24170875029926E-014</v>
      </c>
    </row>
    <row r="35" customFormat="false" ht="13.8" hidden="false" customHeight="false" outlineLevel="0" collapsed="false">
      <c r="B35" s="2" t="n">
        <v>33</v>
      </c>
      <c r="C35" s="2" t="n">
        <v>0.000296368420475452</v>
      </c>
      <c r="D35" s="2" t="n">
        <v>0</v>
      </c>
      <c r="E35" s="2" t="n">
        <v>1.34752761997343E-014</v>
      </c>
    </row>
    <row r="36" customFormat="false" ht="13.8" hidden="false" customHeight="false" outlineLevel="0" collapsed="false">
      <c r="B36" s="2" t="n">
        <v>34</v>
      </c>
      <c r="C36" s="2" t="n">
        <v>0.0585782762518824</v>
      </c>
      <c r="D36" s="2" t="n">
        <v>0</v>
      </c>
      <c r="E36" s="2" t="n">
        <v>1.45280418784011E-014</v>
      </c>
    </row>
    <row r="37" customFormat="false" ht="13.8" hidden="false" customHeight="false" outlineLevel="0" collapsed="false">
      <c r="B37" s="2" t="n">
        <v>35</v>
      </c>
      <c r="C37" s="2" t="n">
        <v>0.0099104340832894</v>
      </c>
      <c r="D37" s="2" t="n">
        <v>0</v>
      </c>
      <c r="E37" s="2" t="n">
        <v>1.55928635868245E-014</v>
      </c>
    </row>
    <row r="38" customFormat="false" ht="13.8" hidden="false" customHeight="false" outlineLevel="0" collapsed="false">
      <c r="B38" s="2" t="n">
        <v>36</v>
      </c>
      <c r="C38" s="2" t="n">
        <v>0.0351426252480297</v>
      </c>
      <c r="D38" s="2" t="n">
        <v>0</v>
      </c>
      <c r="E38" s="2" t="n">
        <v>1.66551117254581E-014</v>
      </c>
    </row>
    <row r="39" customFormat="false" ht="13.8" hidden="false" customHeight="false" outlineLevel="0" collapsed="false">
      <c r="B39" s="2" t="n">
        <v>37</v>
      </c>
      <c r="C39" s="2" t="n">
        <v>0.0349245497461034</v>
      </c>
      <c r="D39" s="2" t="n">
        <v>0</v>
      </c>
      <c r="E39" s="2" t="n">
        <v>1.77164553917571E-014</v>
      </c>
    </row>
    <row r="40" customFormat="false" ht="13.8" hidden="false" customHeight="false" outlineLevel="0" collapsed="false">
      <c r="B40" s="2" t="n">
        <v>38</v>
      </c>
      <c r="C40" s="2" t="n">
        <v>0.0153045348883475</v>
      </c>
      <c r="D40" s="2" t="n">
        <v>0</v>
      </c>
      <c r="E40" s="2" t="n">
        <v>1.8765808426615E-014</v>
      </c>
    </row>
    <row r="41" customFormat="false" ht="13.8" hidden="false" customHeight="false" outlineLevel="0" collapsed="false">
      <c r="B41" s="2" t="n">
        <v>39</v>
      </c>
      <c r="C41" s="2" t="n">
        <v>0.00860125336392486</v>
      </c>
      <c r="D41" s="2" t="n">
        <v>0</v>
      </c>
      <c r="E41" s="2" t="n">
        <v>1.98280751517131E-014</v>
      </c>
    </row>
    <row r="42" customFormat="false" ht="13.8" hidden="false" customHeight="false" outlineLevel="0" collapsed="false">
      <c r="B42" s="2" t="n">
        <v>40</v>
      </c>
      <c r="C42" s="2" t="n">
        <v>1.02574773474603E-013</v>
      </c>
      <c r="D42" s="2" t="n">
        <v>0</v>
      </c>
      <c r="E42" s="2" t="n">
        <v>2.1080349736588E-014</v>
      </c>
    </row>
    <row r="43" customFormat="false" ht="13.8" hidden="false" customHeight="false" outlineLevel="0" collapsed="false">
      <c r="B43" s="2" t="n">
        <v>41</v>
      </c>
      <c r="C43" s="2" t="n">
        <v>9.48146488112866E-014</v>
      </c>
      <c r="D43" s="2" t="n">
        <v>0</v>
      </c>
      <c r="E43" s="2" t="n">
        <v>2.20183192600185E-014</v>
      </c>
    </row>
    <row r="44" customFormat="false" ht="13.8" hidden="false" customHeight="false" outlineLevel="0" collapsed="false">
      <c r="B44" s="2" t="n">
        <v>42</v>
      </c>
      <c r="C44" s="2" t="n">
        <v>1.16880135856431E-010</v>
      </c>
      <c r="D44" s="2" t="n">
        <v>0</v>
      </c>
      <c r="E44" s="2" t="n">
        <v>0</v>
      </c>
    </row>
    <row r="45" customFormat="false" ht="13.8" hidden="false" customHeight="false" outlineLevel="0" collapsed="false">
      <c r="B45" s="2" t="n">
        <v>43</v>
      </c>
      <c r="C45" s="2" t="n">
        <v>2.33651201843772E-010</v>
      </c>
      <c r="D45" s="2" t="n">
        <v>0</v>
      </c>
      <c r="E45" s="2" t="n">
        <v>0</v>
      </c>
    </row>
    <row r="46" customFormat="false" ht="13.8" hidden="false" customHeight="false" outlineLevel="0" collapsed="false">
      <c r="B46" s="2" t="n">
        <v>44</v>
      </c>
      <c r="C46" s="2" t="n">
        <v>9.8258188965247E-014</v>
      </c>
      <c r="D46" s="2" t="n">
        <v>0</v>
      </c>
      <c r="E46" s="2" t="n">
        <v>2.44502643969789E-014</v>
      </c>
    </row>
    <row r="47" customFormat="false" ht="13.8" hidden="false" customHeight="false" outlineLevel="0" collapsed="false">
      <c r="B47" s="2" t="n">
        <v>45</v>
      </c>
      <c r="C47" s="2" t="n">
        <v>1.38426989780866E-013</v>
      </c>
      <c r="D47" s="2" t="n">
        <v>0</v>
      </c>
      <c r="E47" s="2" t="n">
        <v>6.56179537766414E-014</v>
      </c>
    </row>
    <row r="48" customFormat="false" ht="13.8" hidden="false" customHeight="false" outlineLevel="0" collapsed="false">
      <c r="B48" s="2" t="n">
        <v>46</v>
      </c>
      <c r="C48" s="2" t="n">
        <v>9.7384644512616E-014</v>
      </c>
      <c r="D48" s="2" t="n">
        <v>0</v>
      </c>
      <c r="E48" s="2" t="n">
        <v>2.60563722068868E-014</v>
      </c>
    </row>
    <row r="49" customFormat="false" ht="13.8" hidden="false" customHeight="false" outlineLevel="0" collapsed="false">
      <c r="B49" s="2" t="n">
        <v>47</v>
      </c>
      <c r="C49" s="2" t="n">
        <v>9.63029095169006E-014</v>
      </c>
      <c r="D49" s="2" t="n">
        <v>0</v>
      </c>
      <c r="E49" s="2" t="n">
        <v>2.69425708567789E-014</v>
      </c>
    </row>
    <row r="50" customFormat="false" ht="13.8" hidden="false" customHeight="false" outlineLevel="0" collapsed="false">
      <c r="B50" s="2" t="n">
        <v>48</v>
      </c>
      <c r="C50" s="2" t="n">
        <v>8.17555569532132E-010</v>
      </c>
      <c r="D50" s="2" t="n">
        <v>0</v>
      </c>
      <c r="E50" s="2" t="n">
        <v>0</v>
      </c>
    </row>
    <row r="51" customFormat="false" ht="13.8" hidden="false" customHeight="false" outlineLevel="0" collapsed="false">
      <c r="B51" s="2" t="n">
        <v>49</v>
      </c>
      <c r="C51" s="2" t="n">
        <v>9.3269305729988E-010</v>
      </c>
      <c r="D51" s="2" t="n">
        <v>9.32392354187872E-010</v>
      </c>
      <c r="E51" s="2" t="n">
        <v>1.86882774730747E-009</v>
      </c>
    </row>
    <row r="52" customFormat="false" ht="13.8" hidden="false" customHeight="false" outlineLevel="0" collapsed="false">
      <c r="B52" s="2" t="n">
        <v>50</v>
      </c>
      <c r="C52" s="2" t="n">
        <v>9.0507796617027E-014</v>
      </c>
      <c r="D52" s="2" t="n">
        <v>0</v>
      </c>
      <c r="E52" s="2" t="n">
        <v>6.18257208714259E-014</v>
      </c>
    </row>
    <row r="53" customFormat="false" ht="13.8" hidden="false" customHeight="false" outlineLevel="0" collapsed="false">
      <c r="B53" s="2" t="n">
        <v>51</v>
      </c>
      <c r="C53" s="2" t="n">
        <v>8.23593821466343E-014</v>
      </c>
      <c r="D53" s="2" t="n">
        <v>0</v>
      </c>
      <c r="E53" s="2" t="n">
        <v>6.10373029442338E-014</v>
      </c>
    </row>
    <row r="54" customFormat="false" ht="13.8" hidden="false" customHeight="false" outlineLevel="0" collapsed="false">
      <c r="B54" s="2" t="n">
        <v>52</v>
      </c>
      <c r="C54" s="2" t="n">
        <v>7.59205580542138E-014</v>
      </c>
      <c r="D54" s="2" t="n">
        <v>0</v>
      </c>
      <c r="E54" s="2" t="n">
        <v>6.00842185081928E-014</v>
      </c>
    </row>
    <row r="55" customFormat="false" ht="13.8" hidden="false" customHeight="false" outlineLevel="0" collapsed="false">
      <c r="B55" s="2" t="n">
        <v>53</v>
      </c>
      <c r="C55" s="2" t="n">
        <v>6.94981843137934E-014</v>
      </c>
      <c r="D55" s="2" t="n">
        <v>0</v>
      </c>
      <c r="E55" s="2" t="n">
        <v>5.91510351856067E-014</v>
      </c>
    </row>
    <row r="56" customFormat="false" ht="13.8" hidden="false" customHeight="false" outlineLevel="0" collapsed="false">
      <c r="B56" s="2" t="n">
        <v>54</v>
      </c>
      <c r="C56" s="2" t="n">
        <v>6.11457249913326E-014</v>
      </c>
      <c r="D56" s="2" t="n">
        <v>0</v>
      </c>
      <c r="E56" s="2" t="n">
        <v>8.2093366241023E-014</v>
      </c>
    </row>
    <row r="57" customFormat="false" ht="13.8" hidden="false" customHeight="false" outlineLevel="0" collapsed="false">
      <c r="B57" s="2" t="n">
        <v>55</v>
      </c>
      <c r="C57" s="2" t="n">
        <v>5.61663825717162E-014</v>
      </c>
      <c r="D57" s="2" t="n">
        <v>0</v>
      </c>
      <c r="E57" s="2" t="n">
        <v>6.19215592857655E-014</v>
      </c>
    </row>
    <row r="58" customFormat="false" ht="13.8" hidden="false" customHeight="false" outlineLevel="0" collapsed="false">
      <c r="B58" s="2" t="n">
        <v>56</v>
      </c>
      <c r="C58" s="2" t="n">
        <v>5.15103261625059E-014</v>
      </c>
      <c r="D58" s="2" t="n">
        <v>0</v>
      </c>
      <c r="E58" s="2" t="n">
        <v>4.77613664102306E-014</v>
      </c>
    </row>
    <row r="59" customFormat="false" ht="13.8" hidden="false" customHeight="false" outlineLevel="0" collapsed="false">
      <c r="B59" s="2" t="n">
        <v>57</v>
      </c>
      <c r="C59" s="2" t="n">
        <v>4.77273309147513E-014</v>
      </c>
      <c r="D59" s="2" t="n">
        <v>0</v>
      </c>
      <c r="E59" s="2" t="n">
        <v>3.62388345004963E-014</v>
      </c>
    </row>
    <row r="60" customFormat="false" ht="13.8" hidden="false" customHeight="false" outlineLevel="0" collapsed="false">
      <c r="B60" s="2" t="n">
        <v>58</v>
      </c>
      <c r="C60" s="2" t="n">
        <v>4.34750928392143E-014</v>
      </c>
      <c r="D60" s="2" t="n">
        <v>0</v>
      </c>
      <c r="E60" s="2" t="n">
        <v>2.4569772890072E-014</v>
      </c>
    </row>
    <row r="61" customFormat="false" ht="13.8" hidden="false" customHeight="false" outlineLevel="0" collapsed="false">
      <c r="B61" s="2" t="n">
        <v>59</v>
      </c>
      <c r="C61" s="2" t="n">
        <v>3.93885177266224E-014</v>
      </c>
      <c r="D61" s="2" t="n">
        <v>0</v>
      </c>
      <c r="E61" s="2" t="n">
        <v>1.36299355280954E-014</v>
      </c>
    </row>
    <row r="62" customFormat="false" ht="13.8" hidden="false" customHeight="false" outlineLevel="0" collapsed="false">
      <c r="B62" s="2" t="n">
        <v>60</v>
      </c>
      <c r="C62" s="2" t="n">
        <v>0.0111175674270042</v>
      </c>
      <c r="D62" s="2" t="n">
        <v>5.27145754001073E-015</v>
      </c>
      <c r="E62" s="2" t="n">
        <v>2.28227317392985E-014</v>
      </c>
    </row>
    <row r="63" customFormat="false" ht="13.8" hidden="false" customHeight="false" outlineLevel="0" collapsed="false">
      <c r="B63" s="2" t="n">
        <v>61</v>
      </c>
      <c r="C63" s="2" t="n">
        <v>0.00781513860351561</v>
      </c>
      <c r="D63" s="2" t="n">
        <v>1.74277774418623E-014</v>
      </c>
      <c r="E63" s="2" t="n">
        <v>2.1456482096209E-014</v>
      </c>
    </row>
    <row r="64" customFormat="false" ht="13.8" hidden="false" customHeight="false" outlineLevel="0" collapsed="false">
      <c r="B64" s="2" t="n">
        <v>62</v>
      </c>
      <c r="C64" s="2" t="n">
        <v>0.0266818647487252</v>
      </c>
      <c r="D64" s="2" t="n">
        <v>3.00068275896256E-014</v>
      </c>
      <c r="E64" s="2" t="n">
        <v>2.08556856683616E-014</v>
      </c>
    </row>
    <row r="65" customFormat="false" ht="13.8" hidden="false" customHeight="false" outlineLevel="0" collapsed="false">
      <c r="B65" s="2" t="n">
        <v>63</v>
      </c>
      <c r="C65" s="2" t="n">
        <v>0.0189652908937897</v>
      </c>
      <c r="D65" s="2" t="n">
        <v>3.89427348181423E-014</v>
      </c>
      <c r="E65" s="2" t="n">
        <v>2.00570383430506E-014</v>
      </c>
    </row>
    <row r="66" customFormat="false" ht="13.8" hidden="false" customHeight="false" outlineLevel="0" collapsed="false">
      <c r="B66" s="2" t="n">
        <v>64</v>
      </c>
      <c r="C66" s="2" t="n">
        <v>0.0369154503722468</v>
      </c>
      <c r="D66" s="2" t="n">
        <v>4.80961960022703E-014</v>
      </c>
      <c r="E66" s="2" t="n">
        <v>2.0020262173363E-014</v>
      </c>
    </row>
    <row r="67" customFormat="false" ht="13.8" hidden="false" customHeight="false" outlineLevel="0" collapsed="false">
      <c r="B67" s="2" t="n">
        <v>65</v>
      </c>
      <c r="C67" s="2" t="n">
        <v>0.0288656098505608</v>
      </c>
      <c r="D67" s="2" t="n">
        <v>7.12680139281211E-014</v>
      </c>
      <c r="E67" s="2" t="n">
        <v>1.97477869098311E-014</v>
      </c>
    </row>
    <row r="68" customFormat="false" ht="13.8" hidden="false" customHeight="false" outlineLevel="0" collapsed="false">
      <c r="B68" s="2" t="n">
        <v>66</v>
      </c>
      <c r="C68" s="2" t="n">
        <v>0.0456577477773778</v>
      </c>
      <c r="D68" s="2" t="n">
        <v>8.99674225013718E-014</v>
      </c>
      <c r="E68" s="2" t="n">
        <v>1.95956166669105E-014</v>
      </c>
    </row>
    <row r="69" customFormat="false" ht="13.8" hidden="false" customHeight="false" outlineLevel="0" collapsed="false">
      <c r="B69" s="2" t="n">
        <v>67</v>
      </c>
      <c r="C69" s="2" t="n">
        <v>0.0376996357041458</v>
      </c>
      <c r="D69" s="2" t="n">
        <v>1.01324848288498E-013</v>
      </c>
      <c r="E69" s="2" t="n">
        <v>1.95366255754053E-014</v>
      </c>
    </row>
    <row r="70" customFormat="false" ht="13.8" hidden="false" customHeight="false" outlineLevel="0" collapsed="false">
      <c r="B70" s="2" t="n">
        <v>68</v>
      </c>
      <c r="C70" s="2" t="n">
        <v>0.0557415236284942</v>
      </c>
      <c r="D70" s="2" t="n">
        <v>1.16321933803644E-014</v>
      </c>
      <c r="E70" s="2" t="n">
        <v>2.63950911835302E-014</v>
      </c>
    </row>
    <row r="71" customFormat="false" ht="13.8" hidden="false" customHeight="false" outlineLevel="0" collapsed="false">
      <c r="B71" s="2" t="n">
        <v>69</v>
      </c>
      <c r="C71" s="2" t="n">
        <v>0.0477834098536495</v>
      </c>
      <c r="D71" s="2" t="n">
        <v>6.58144666614924E-012</v>
      </c>
      <c r="E71" s="2" t="n">
        <v>6.62444412743414E-012</v>
      </c>
    </row>
    <row r="72" customFormat="false" ht="13.8" hidden="false" customHeight="false" outlineLevel="0" collapsed="false">
      <c r="B72" s="2" t="n">
        <v>70</v>
      </c>
      <c r="C72" s="2" t="n">
        <v>0.0640877028451199</v>
      </c>
      <c r="D72" s="2" t="n">
        <v>6.4033751924634E-012</v>
      </c>
      <c r="E72" s="2" t="n">
        <v>6.447847121834E-012</v>
      </c>
    </row>
    <row r="73" customFormat="false" ht="13.8" hidden="false" customHeight="false" outlineLevel="0" collapsed="false">
      <c r="B73" s="2" t="n">
        <v>71</v>
      </c>
      <c r="C73" s="2" t="n">
        <v>0.0543920791699243</v>
      </c>
      <c r="D73" s="2" t="n">
        <v>6.22521254067731E-012</v>
      </c>
      <c r="E73" s="2" t="n">
        <v>6.27121495899611E-012</v>
      </c>
    </row>
    <row r="74" customFormat="false" ht="13.8" hidden="false" customHeight="false" outlineLevel="0" collapsed="false">
      <c r="B74" s="2" t="n">
        <v>72</v>
      </c>
      <c r="C74" s="2" t="n">
        <v>0.0706962888280602</v>
      </c>
      <c r="D74" s="2" t="n">
        <v>6.04705567886394E-012</v>
      </c>
      <c r="E74" s="2" t="n">
        <v>6.09463668568095E-012</v>
      </c>
    </row>
    <row r="75" customFormat="false" ht="13.8" hidden="false" customHeight="false" outlineLevel="0" collapsed="false">
      <c r="B75" s="2" t="n">
        <v>73</v>
      </c>
      <c r="C75" s="2" t="n">
        <v>0.0705839151494452</v>
      </c>
      <c r="D75" s="2" t="n">
        <v>0</v>
      </c>
      <c r="E75" s="2" t="n">
        <v>7.95451028081885E-012</v>
      </c>
    </row>
    <row r="76" customFormat="false" ht="13.8" hidden="false" customHeight="false" outlineLevel="0" collapsed="false">
      <c r="B76" s="2" t="n">
        <v>74</v>
      </c>
      <c r="C76" s="2" t="n">
        <v>0.0869178151960298</v>
      </c>
      <c r="D76" s="2" t="n">
        <v>0</v>
      </c>
      <c r="E76" s="2" t="n">
        <v>7.69177288091627E-012</v>
      </c>
    </row>
    <row r="77" customFormat="false" ht="13.8" hidden="false" customHeight="false" outlineLevel="0" collapsed="false">
      <c r="B77" s="2" t="n">
        <v>75</v>
      </c>
      <c r="C77" s="2" t="n">
        <v>0.0778351819092901</v>
      </c>
      <c r="D77" s="2" t="n">
        <v>0</v>
      </c>
      <c r="E77" s="2" t="n">
        <v>7.42905713681826E-012</v>
      </c>
    </row>
    <row r="78" customFormat="false" ht="13.8" hidden="false" customHeight="false" outlineLevel="0" collapsed="false">
      <c r="B78" s="2" t="n">
        <v>76</v>
      </c>
      <c r="C78" s="2" t="n">
        <v>0.0454528486225521</v>
      </c>
      <c r="D78" s="2" t="n">
        <v>0</v>
      </c>
      <c r="E78" s="2" t="n">
        <v>7.16628730134842E-012</v>
      </c>
    </row>
    <row r="79" customFormat="false" ht="13.8" hidden="false" customHeight="false" outlineLevel="0" collapsed="false">
      <c r="B79" s="2" t="n">
        <v>77</v>
      </c>
      <c r="C79" s="2" t="n">
        <v>0.102569798669144</v>
      </c>
      <c r="D79" s="2" t="n">
        <v>0</v>
      </c>
      <c r="E79" s="2" t="n">
        <v>6.90352932431186E-012</v>
      </c>
    </row>
    <row r="80" customFormat="false" ht="13.8" hidden="false" customHeight="false" outlineLevel="0" collapsed="false">
      <c r="B80" s="2" t="n">
        <v>78</v>
      </c>
      <c r="C80" s="2" t="n">
        <v>0.0647030320503144</v>
      </c>
      <c r="D80" s="2" t="n">
        <v>0.0333333326011414</v>
      </c>
      <c r="E80" s="2" t="n">
        <v>7.88165249909518E-012</v>
      </c>
    </row>
    <row r="81" customFormat="false" ht="13.8" hidden="false" customHeight="false" outlineLevel="0" collapsed="false">
      <c r="B81" s="2" t="n">
        <v>79</v>
      </c>
      <c r="C81" s="2" t="n">
        <v>0.131503332096817</v>
      </c>
      <c r="D81" s="2" t="n">
        <v>0.0999999993142884</v>
      </c>
      <c r="E81" s="2" t="n">
        <v>7.52691044286705E-012</v>
      </c>
    </row>
    <row r="82" customFormat="false" ht="13.8" hidden="false" customHeight="false" outlineLevel="0" collapsed="false">
      <c r="B82" s="2" t="n">
        <v>80</v>
      </c>
      <c r="C82" s="2" t="n">
        <v>0.0508211488099885</v>
      </c>
      <c r="D82" s="2" t="n">
        <v>0.09999999936077</v>
      </c>
      <c r="E82" s="2" t="n">
        <v>7.17218777074979E-012</v>
      </c>
    </row>
    <row r="83" customFormat="false" ht="13.8" hidden="false" customHeight="false" outlineLevel="0" collapsed="false">
      <c r="B83" s="2" t="n">
        <v>81</v>
      </c>
      <c r="C83" s="2" t="n">
        <v>0.107037565523158</v>
      </c>
      <c r="D83" s="2" t="n">
        <v>0.0999999994072521</v>
      </c>
      <c r="E83" s="2" t="n">
        <v>6.81744024246456E-012</v>
      </c>
    </row>
    <row r="84" customFormat="false" ht="13.8" hidden="false" customHeight="false" outlineLevel="0" collapsed="false">
      <c r="B84" s="2" t="n">
        <v>82</v>
      </c>
      <c r="C84" s="2" t="n">
        <v>0.0637206822363302</v>
      </c>
      <c r="D84" s="2" t="n">
        <v>0.0999999994537346</v>
      </c>
      <c r="E84" s="2" t="n">
        <v>6.4626903174912E-012</v>
      </c>
    </row>
    <row r="85" customFormat="false" ht="13.8" hidden="false" customHeight="false" outlineLevel="0" collapsed="false">
      <c r="B85" s="2" t="n">
        <v>83</v>
      </c>
      <c r="C85" s="2" t="n">
        <v>0.0995536156161681</v>
      </c>
      <c r="D85" s="2" t="n">
        <v>0.0999999995002176</v>
      </c>
      <c r="E85" s="2" t="n">
        <v>6.10793315246741E-012</v>
      </c>
    </row>
    <row r="86" customFormat="false" ht="13.8" hidden="false" customHeight="false" outlineLevel="0" collapsed="false">
      <c r="B86" s="2" t="n">
        <v>84</v>
      </c>
      <c r="C86" s="2" t="n">
        <v>0.105836915662674</v>
      </c>
      <c r="D86" s="2" t="n">
        <v>0.0999999995467009</v>
      </c>
      <c r="E86" s="2" t="n">
        <v>5.75318734217769E-012</v>
      </c>
    </row>
    <row r="87" customFormat="false" ht="13.8" hidden="false" customHeight="false" outlineLevel="0" collapsed="false">
      <c r="B87" s="2" t="n">
        <v>85</v>
      </c>
      <c r="C87" s="2" t="n">
        <v>0.0902207323758466</v>
      </c>
      <c r="D87" s="2" t="n">
        <v>0.0999999995931846</v>
      </c>
      <c r="E87" s="2" t="n">
        <v>5.39840678899299E-012</v>
      </c>
    </row>
    <row r="88" customFormat="false" ht="13.8" hidden="false" customHeight="false" outlineLevel="0" collapsed="false">
      <c r="B88" s="2" t="n">
        <v>86</v>
      </c>
      <c r="C88" s="2" t="n">
        <v>0.07803729908902</v>
      </c>
      <c r="D88" s="2" t="n">
        <v>0.0999999996396687</v>
      </c>
      <c r="E88" s="2" t="n">
        <v>5.04364953461139E-012</v>
      </c>
    </row>
    <row r="89" customFormat="false" ht="13.8" hidden="false" customHeight="false" outlineLevel="0" collapsed="false">
      <c r="B89" s="2" t="n">
        <v>87</v>
      </c>
      <c r="C89" s="2" t="n">
        <v>0.0721701324688604</v>
      </c>
      <c r="D89" s="2" t="n">
        <v>0.0999999996861532</v>
      </c>
      <c r="E89" s="2" t="n">
        <v>4.68886933141099E-012</v>
      </c>
    </row>
    <row r="90" customFormat="false" ht="13.8" hidden="false" customHeight="false" outlineLevel="0" collapsed="false">
      <c r="B90" s="2" t="n">
        <v>88</v>
      </c>
      <c r="C90" s="2" t="n">
        <v>0.0946863991820344</v>
      </c>
      <c r="D90" s="2" t="n">
        <v>0.0999999997326378</v>
      </c>
      <c r="E90" s="2" t="n">
        <v>4.33411789907067E-012</v>
      </c>
    </row>
    <row r="91" customFormat="false" ht="13.8" hidden="false" customHeight="false" outlineLevel="0" collapsed="false">
      <c r="B91" s="2" t="n">
        <v>89</v>
      </c>
      <c r="C91" s="2" t="n">
        <v>0.0790198492285424</v>
      </c>
      <c r="D91" s="2" t="n">
        <v>0.0999999997791223</v>
      </c>
      <c r="E91" s="2" t="n">
        <v>3.97931288970465E-012</v>
      </c>
    </row>
    <row r="92" customFormat="false" ht="13.8" hidden="false" customHeight="false" outlineLevel="0" collapsed="false">
      <c r="B92" s="2" t="n">
        <v>90</v>
      </c>
      <c r="C92" s="2" t="n">
        <v>0.042020615941718</v>
      </c>
      <c r="D92" s="2" t="n">
        <v>0.0999999998256065</v>
      </c>
      <c r="E92" s="2" t="n">
        <v>3.6245426232273E-012</v>
      </c>
    </row>
    <row r="93" customFormat="false" ht="13.8" hidden="false" customHeight="false" outlineLevel="0" collapsed="false">
      <c r="B93" s="2" t="n">
        <v>91</v>
      </c>
      <c r="C93" s="2" t="n">
        <v>0.0380035826548936</v>
      </c>
      <c r="D93" s="2" t="n">
        <v>0.099999999872089</v>
      </c>
      <c r="E93" s="2" t="n">
        <v>3.26975484594905E-012</v>
      </c>
    </row>
    <row r="94" customFormat="false" ht="13.8" hidden="false" customHeight="false" outlineLevel="0" collapsed="false">
      <c r="B94" s="2" t="n">
        <v>92</v>
      </c>
      <c r="C94" s="2" t="n">
        <v>0.099169849368069</v>
      </c>
      <c r="D94" s="2" t="n">
        <v>0.0999999999185698</v>
      </c>
      <c r="E94" s="2" t="n">
        <v>2.91495115991111E-012</v>
      </c>
    </row>
    <row r="95" customFormat="false" ht="13.8" hidden="false" customHeight="false" outlineLevel="0" collapsed="false">
      <c r="B95" s="2" t="n">
        <v>93</v>
      </c>
      <c r="C95" s="2" t="n">
        <v>0.0538019661013563</v>
      </c>
      <c r="D95" s="2" t="n">
        <v>0.0823964574746678</v>
      </c>
      <c r="E95" s="2" t="n">
        <v>2.3290334134502E-012</v>
      </c>
    </row>
    <row r="96" customFormat="false" ht="13.8" hidden="false" customHeight="false" outlineLevel="0" collapsed="false">
      <c r="B96" s="2" t="n">
        <v>94</v>
      </c>
      <c r="C96" s="2" t="n">
        <v>0.110685199458026</v>
      </c>
      <c r="D96" s="2" t="n">
        <v>0.0346359206843202</v>
      </c>
      <c r="E96" s="2" t="n">
        <v>2.24059344470533E-012</v>
      </c>
    </row>
    <row r="97" customFormat="false" ht="13.8" hidden="false" customHeight="false" outlineLevel="0" collapsed="false">
      <c r="B97" s="2" t="n">
        <v>95</v>
      </c>
      <c r="C97" s="2" t="n">
        <v>0.0400524328146972</v>
      </c>
      <c r="D97" s="2" t="n">
        <v>0.0392497708689644</v>
      </c>
      <c r="E97" s="2" t="n">
        <v>2.15221165860752E-012</v>
      </c>
    </row>
    <row r="98" customFormat="false" ht="13.8" hidden="false" customHeight="false" outlineLevel="0" collapsed="false">
      <c r="B98" s="2" t="n">
        <v>96</v>
      </c>
      <c r="C98" s="2" t="n">
        <v>0.0354193328380347</v>
      </c>
      <c r="D98" s="2" t="n">
        <v>0.0322561547219798</v>
      </c>
      <c r="E98" s="2" t="n">
        <v>2.06382821742713E-012</v>
      </c>
    </row>
    <row r="99" customFormat="false" ht="13.8" hidden="false" customHeight="false" outlineLevel="0" collapsed="false">
      <c r="B99" s="2" t="n">
        <v>97</v>
      </c>
      <c r="C99" s="2" t="n">
        <v>0.0310197328613725</v>
      </c>
      <c r="D99" s="2" t="n">
        <v>0.0264468481310798</v>
      </c>
      <c r="E99" s="2" t="n">
        <v>1.9754385092116E-012</v>
      </c>
    </row>
    <row r="100" customFormat="false" ht="13.8" hidden="false" customHeight="false" outlineLevel="0" collapsed="false">
      <c r="B100" s="2" t="n">
        <v>98</v>
      </c>
      <c r="C100" s="2" t="n">
        <v>0.110584999550665</v>
      </c>
      <c r="D100" s="2" t="n">
        <v>7.58234471863116E-012</v>
      </c>
      <c r="E100" s="2" t="n">
        <v>1.86908664288982E-012</v>
      </c>
    </row>
    <row r="101" customFormat="false" ht="13.8" hidden="false" customHeight="false" outlineLevel="0" collapsed="false">
      <c r="B101" s="2" t="n">
        <v>99</v>
      </c>
      <c r="C101" s="2" t="n">
        <v>0.0397513662413818</v>
      </c>
      <c r="D101" s="2" t="n">
        <v>0.0177076573260412</v>
      </c>
      <c r="E101" s="2" t="n">
        <v>1.7986537116558E-012</v>
      </c>
    </row>
    <row r="102" customFormat="false" ht="13.8" hidden="false" customHeight="false" outlineLevel="0" collapsed="false">
      <c r="B102" s="2" t="n">
        <v>100</v>
      </c>
      <c r="C102" s="2" t="n">
        <v>0.0416178495980534</v>
      </c>
      <c r="D102" s="2" t="n">
        <v>0.00986193622219073</v>
      </c>
      <c r="E102" s="2" t="n">
        <v>1.710258403173E-012</v>
      </c>
    </row>
    <row r="103" customFormat="false" ht="13.8" hidden="false" customHeight="false" outlineLevel="0" collapsed="false">
      <c r="B103" s="2" t="n">
        <v>101</v>
      </c>
      <c r="C103" s="2" t="n">
        <v>0.0529834829547254</v>
      </c>
      <c r="D103" s="2" t="n">
        <v>0.0138033284689226</v>
      </c>
      <c r="E103" s="2" t="n">
        <v>1.62187143436928E-012</v>
      </c>
    </row>
    <row r="104" customFormat="false" ht="13.8" hidden="false" customHeight="false" outlineLevel="0" collapsed="false">
      <c r="B104" s="2" t="n">
        <v>102</v>
      </c>
      <c r="C104" s="2" t="n">
        <v>0.0176836329780646</v>
      </c>
      <c r="D104" s="2" t="n">
        <v>0.0323007935600612</v>
      </c>
      <c r="E104" s="2" t="n">
        <v>1.533476656796E-012</v>
      </c>
    </row>
    <row r="105" customFormat="false" ht="13.8" hidden="false" customHeight="false" outlineLevel="0" collapsed="false">
      <c r="B105" s="2" t="n">
        <v>103</v>
      </c>
      <c r="C105" s="2" t="n">
        <v>0.0771333996680699</v>
      </c>
      <c r="D105" s="2" t="n">
        <v>0.0072718647022104</v>
      </c>
      <c r="E105" s="2" t="n">
        <v>1.44508583723166E-012</v>
      </c>
    </row>
    <row r="106" customFormat="false" ht="13.8" hidden="false" customHeight="false" outlineLevel="0" collapsed="false">
      <c r="B106" s="2" t="n">
        <v>104</v>
      </c>
      <c r="C106" s="2" t="n">
        <v>0.012050183024743</v>
      </c>
      <c r="D106" s="2" t="n">
        <v>0.0303735650658526</v>
      </c>
      <c r="E106" s="2" t="n">
        <v>1.35669422640868E-012</v>
      </c>
    </row>
    <row r="107" customFormat="false" ht="13.8" hidden="false" customHeight="false" outlineLevel="0" collapsed="false">
      <c r="B107" s="2" t="n">
        <v>105</v>
      </c>
      <c r="C107" s="2" t="n">
        <v>0.0497503997147489</v>
      </c>
      <c r="D107" s="2" t="n">
        <v>0.0160872083870565</v>
      </c>
      <c r="E107" s="2" t="n">
        <v>1.26829473628028E-012</v>
      </c>
    </row>
    <row r="108" customFormat="false" ht="13.8" hidden="false" customHeight="false" outlineLevel="0" collapsed="false">
      <c r="B108" s="2" t="n">
        <v>106</v>
      </c>
      <c r="C108" s="2" t="n">
        <v>0.0139166830714223</v>
      </c>
      <c r="D108" s="2" t="n">
        <v>0.0351567819073209</v>
      </c>
      <c r="E108" s="2" t="n">
        <v>1.17989967510151E-012</v>
      </c>
    </row>
    <row r="109" customFormat="false" ht="13.8" hidden="false" customHeight="false" outlineLevel="0" collapsed="false">
      <c r="B109" s="2" t="n">
        <v>107</v>
      </c>
      <c r="C109" s="2" t="n">
        <v>0.0745501330947621</v>
      </c>
      <c r="D109" s="2" t="n">
        <v>0.00977202724772523</v>
      </c>
      <c r="E109" s="2" t="n">
        <v>1.09150263165683E-012</v>
      </c>
    </row>
    <row r="110" customFormat="false" ht="13.8" hidden="false" customHeight="false" outlineLevel="0" collapsed="false">
      <c r="B110" s="2" t="n">
        <v>108</v>
      </c>
      <c r="C110" s="2" t="n">
        <v>0.0161669664514358</v>
      </c>
      <c r="D110" s="2" t="n">
        <v>0.0304675259638374</v>
      </c>
      <c r="E110" s="2" t="n">
        <v>1.00310181093311E-012</v>
      </c>
    </row>
    <row r="111" customFormat="false" ht="13.8" hidden="false" customHeight="false" outlineLevel="0" collapsed="false">
      <c r="B111" s="2" t="n">
        <v>109</v>
      </c>
      <c r="C111" s="2" t="n">
        <v>0.0640002498081095</v>
      </c>
      <c r="D111" s="2" t="n">
        <v>0.0133889157959674</v>
      </c>
      <c r="E111" s="2" t="n">
        <v>9.14708744679128E-013</v>
      </c>
    </row>
    <row r="112" customFormat="false" ht="13.8" hidden="false" customHeight="false" outlineLevel="0" collapsed="false">
      <c r="B112" s="2" t="n">
        <v>110</v>
      </c>
      <c r="C112" s="2" t="n">
        <v>0.031383566498117</v>
      </c>
      <c r="D112" s="2" t="n">
        <v>0.0221050534467971</v>
      </c>
      <c r="E112" s="2" t="n">
        <v>8.26306430945981E-013</v>
      </c>
    </row>
    <row r="113" customFormat="false" ht="13.8" hidden="false" customHeight="false" outlineLevel="0" collapsed="false">
      <c r="B113" s="2" t="n">
        <v>111</v>
      </c>
      <c r="C113" s="2" t="n">
        <v>0.0448835165214579</v>
      </c>
      <c r="D113" s="2" t="n">
        <v>0.0225986172775279</v>
      </c>
      <c r="E113" s="2" t="n">
        <v>7.37909989334364E-013</v>
      </c>
    </row>
    <row r="114" customFormat="false" ht="13.8" hidden="false" customHeight="false" outlineLevel="0" collapsed="false">
      <c r="B114" s="2" t="n">
        <v>112</v>
      </c>
      <c r="C114" s="2" t="n">
        <v>0.0407335832114658</v>
      </c>
      <c r="D114" s="2" t="n">
        <v>0.017304225615807</v>
      </c>
      <c r="E114" s="2" t="n">
        <v>6.49513158298456E-013</v>
      </c>
    </row>
    <row r="115" customFormat="false" ht="13.8" hidden="false" customHeight="false" outlineLevel="0" collapsed="false">
      <c r="B115" s="2" t="n">
        <v>113</v>
      </c>
      <c r="C115" s="2" t="n">
        <v>0.0389999999014739</v>
      </c>
      <c r="D115" s="2" t="n">
        <v>0.0255357617706125</v>
      </c>
      <c r="E115" s="2" t="n">
        <v>5.61106465618031E-013</v>
      </c>
    </row>
    <row r="116" customFormat="false" ht="13.8" hidden="false" customHeight="false" outlineLevel="0" collapsed="false">
      <c r="B116" s="2" t="n">
        <v>114</v>
      </c>
      <c r="C116" s="2" t="n">
        <v>0.0380501499248156</v>
      </c>
      <c r="D116" s="2" t="n">
        <v>0.0187703883194811</v>
      </c>
      <c r="E116" s="2" t="n">
        <v>4.72697940500834E-013</v>
      </c>
    </row>
    <row r="117" customFormat="false" ht="13.8" hidden="false" customHeight="false" outlineLevel="0" collapsed="false">
      <c r="B117" s="2" t="n">
        <v>115</v>
      </c>
      <c r="C117" s="2" t="n">
        <v>0.0548334166148242</v>
      </c>
      <c r="D117" s="2" t="n">
        <v>0.0179588558273211</v>
      </c>
      <c r="E117" s="2" t="n">
        <v>3.84293305163063E-013</v>
      </c>
    </row>
    <row r="118" customFormat="false" ht="13.8" hidden="false" customHeight="false" outlineLevel="0" collapsed="false">
      <c r="B118" s="2" t="n">
        <v>116</v>
      </c>
      <c r="C118" s="2" t="n">
        <v>0.0224167499714997</v>
      </c>
      <c r="D118" s="2" t="n">
        <v>0.0340201755765028</v>
      </c>
      <c r="E118" s="2" t="n">
        <v>2.95891715643447E-013</v>
      </c>
    </row>
    <row r="119" customFormat="false" ht="13.8" hidden="false" customHeight="false" outlineLevel="0" collapsed="false">
      <c r="B119" s="2" t="n">
        <v>117</v>
      </c>
      <c r="C119" s="2" t="n">
        <v>0.0291724381925405</v>
      </c>
      <c r="D119" s="2" t="n">
        <v>0.0216457617862143</v>
      </c>
      <c r="E119" s="2" t="n">
        <v>1.74226466284911E-013</v>
      </c>
    </row>
    <row r="120" customFormat="false" ht="13.8" hidden="false" customHeight="false" outlineLevel="0" collapsed="false">
      <c r="B120" s="2" t="n">
        <v>118</v>
      </c>
      <c r="C120" s="2" t="n">
        <v>0.0180029393601548</v>
      </c>
      <c r="D120" s="2" t="n">
        <v>0.0381599425247826</v>
      </c>
      <c r="E120" s="2" t="n">
        <v>1.73838974571013E-013</v>
      </c>
    </row>
    <row r="121" customFormat="false" ht="13.8" hidden="false" customHeight="false" outlineLevel="0" collapsed="false">
      <c r="B121" s="2" t="n">
        <v>119</v>
      </c>
      <c r="C121" s="2" t="n">
        <v>3.73130088120575E-010</v>
      </c>
      <c r="D121" s="2" t="n">
        <v>0.0385918923360952</v>
      </c>
      <c r="E121" s="2" t="n">
        <v>0</v>
      </c>
    </row>
    <row r="122" customFormat="false" ht="13.8" hidden="false" customHeight="false" outlineLevel="0" collapsed="false">
      <c r="B122" s="2" t="n">
        <v>120</v>
      </c>
      <c r="C122" s="2" t="n">
        <v>6.4319909719554E-010</v>
      </c>
      <c r="D122" s="2" t="n">
        <v>0.0334970230718302</v>
      </c>
      <c r="E122" s="2" t="n">
        <v>0</v>
      </c>
    </row>
    <row r="123" customFormat="false" ht="13.8" hidden="false" customHeight="false" outlineLevel="0" collapsed="false">
      <c r="B123" s="2" t="n">
        <v>121</v>
      </c>
      <c r="C123" s="2" t="n">
        <v>0.00538260433702334</v>
      </c>
      <c r="D123" s="2" t="n">
        <v>0.0221984361897445</v>
      </c>
      <c r="E123" s="2" t="n">
        <v>0</v>
      </c>
    </row>
    <row r="124" customFormat="false" ht="13.8" hidden="false" customHeight="false" outlineLevel="0" collapsed="false">
      <c r="B124" s="2" t="n">
        <v>122</v>
      </c>
      <c r="C124" s="2" t="n">
        <v>0.0437029565814485</v>
      </c>
      <c r="D124" s="2" t="n">
        <v>1.52067023927992E-013</v>
      </c>
      <c r="E124" s="2" t="n">
        <v>1.52054866680625E-013</v>
      </c>
    </row>
    <row r="125" customFormat="false" ht="13.8" hidden="false" customHeight="false" outlineLevel="0" collapsed="false">
      <c r="B125" s="2" t="n">
        <v>123</v>
      </c>
      <c r="C125" s="2" t="n">
        <v>8.6007255407956E-016</v>
      </c>
      <c r="D125" s="2" t="n">
        <v>0</v>
      </c>
      <c r="E125" s="2" t="n">
        <v>1.64142695205635E-016</v>
      </c>
    </row>
    <row r="126" customFormat="false" ht="13.8" hidden="false" customHeight="false" outlineLevel="0" collapsed="false">
      <c r="B126" s="2" t="n">
        <v>124</v>
      </c>
      <c r="C126" s="2" t="n">
        <v>0.0620340017098125</v>
      </c>
      <c r="D126" s="2" t="n">
        <v>0</v>
      </c>
      <c r="E126" s="2" t="n">
        <v>1.80075866518332E-016</v>
      </c>
    </row>
    <row r="127" customFormat="false" ht="13.8" hidden="false" customHeight="false" outlineLevel="0" collapsed="false">
      <c r="B127" s="2" t="n">
        <v>125</v>
      </c>
      <c r="C127" s="2" t="n">
        <v>0.00250100639169157</v>
      </c>
      <c r="D127" s="2" t="n">
        <v>0</v>
      </c>
      <c r="E127" s="2" t="n">
        <v>1.74017085149782E-016</v>
      </c>
    </row>
    <row r="128" customFormat="false" ht="13.8" hidden="false" customHeight="false" outlineLevel="0" collapsed="false">
      <c r="B128" s="2" t="n">
        <v>126</v>
      </c>
      <c r="C128" s="2" t="n">
        <v>0.0543125706155501</v>
      </c>
      <c r="D128" s="2" t="n">
        <v>0</v>
      </c>
      <c r="E128" s="2" t="n">
        <v>1.62490997730706E-016</v>
      </c>
    </row>
    <row r="129" customFormat="false" ht="13.8" hidden="false" customHeight="false" outlineLevel="0" collapsed="false">
      <c r="B129" s="2" t="n">
        <v>127</v>
      </c>
      <c r="C129" s="2" t="n">
        <v>1.13426234960597E-016</v>
      </c>
      <c r="D129" s="2" t="n">
        <v>0</v>
      </c>
      <c r="E129" s="2" t="n">
        <v>2.04828795027821E-016</v>
      </c>
    </row>
    <row r="130" customFormat="false" ht="13.8" hidden="false" customHeight="false" outlineLevel="0" collapsed="false">
      <c r="B130" s="2" t="n">
        <v>128</v>
      </c>
      <c r="C130" s="2" t="n">
        <v>0.00208661572992973</v>
      </c>
      <c r="D130" s="2" t="n">
        <v>0</v>
      </c>
      <c r="E130" s="2" t="n">
        <v>2.8386200241907E-016</v>
      </c>
    </row>
    <row r="131" customFormat="false" ht="13.8" hidden="false" customHeight="false" outlineLevel="0" collapsed="false">
      <c r="B131" s="2" t="n">
        <v>129</v>
      </c>
      <c r="C131" s="2" t="n">
        <v>0.0178314632871258</v>
      </c>
      <c r="D131" s="2" t="n">
        <v>0</v>
      </c>
      <c r="E131" s="2" t="n">
        <v>1.07428131492625E-016</v>
      </c>
    </row>
    <row r="132" customFormat="false" ht="13.8" hidden="false" customHeight="false" outlineLevel="0" collapsed="false">
      <c r="B132" s="2" t="n">
        <v>130</v>
      </c>
      <c r="C132" s="2" t="n">
        <v>2.38429453454003E-016</v>
      </c>
      <c r="D132" s="2" t="n">
        <v>0</v>
      </c>
      <c r="E132" s="2" t="n">
        <v>1.49507718661823E-016</v>
      </c>
    </row>
    <row r="133" customFormat="false" ht="13.8" hidden="false" customHeight="false" outlineLevel="0" collapsed="false">
      <c r="B133" s="2" t="n">
        <v>131</v>
      </c>
      <c r="C133" s="2" t="n">
        <v>1.67136108025795E-010</v>
      </c>
      <c r="D133" s="2" t="n">
        <v>8.3647902526121E-011</v>
      </c>
      <c r="E133" s="2" t="n">
        <v>8.34883326209949E-011</v>
      </c>
    </row>
    <row r="134" customFormat="false" ht="13.8" hidden="false" customHeight="false" outlineLevel="0" collapsed="false">
      <c r="B134" s="2" t="n">
        <v>132</v>
      </c>
      <c r="C134" s="2" t="n">
        <v>0.0177028035165861</v>
      </c>
      <c r="D134" s="2" t="n">
        <v>0</v>
      </c>
      <c r="E134" s="2" t="n">
        <v>2.2664557774948E-017</v>
      </c>
    </row>
    <row r="135" customFormat="false" ht="13.8" hidden="false" customHeight="false" outlineLevel="0" collapsed="false">
      <c r="B135" s="2" t="n">
        <v>133</v>
      </c>
      <c r="C135" s="2" t="n">
        <v>6.91439793328298E-011</v>
      </c>
      <c r="D135" s="2" t="n">
        <v>3.46049814334409E-011</v>
      </c>
      <c r="E135" s="2" t="n">
        <v>3.4539010726469E-011</v>
      </c>
    </row>
    <row r="136" customFormat="false" ht="13.8" hidden="false" customHeight="false" outlineLevel="0" collapsed="false">
      <c r="B136" s="2" t="n">
        <v>134</v>
      </c>
      <c r="C136" s="2" t="n">
        <v>0.00499104774131245</v>
      </c>
      <c r="D136" s="2" t="n">
        <v>0</v>
      </c>
      <c r="E136" s="2" t="n">
        <v>0</v>
      </c>
    </row>
    <row r="137" customFormat="false" ht="13.8" hidden="false" customHeight="false" outlineLevel="0" collapsed="false">
      <c r="B137" s="2" t="n">
        <v>135</v>
      </c>
      <c r="C137" s="2" t="n">
        <v>2.71543884574971E-011</v>
      </c>
      <c r="D137" s="2" t="n">
        <v>1.35900380835499E-011</v>
      </c>
      <c r="E137" s="2" t="n">
        <v>1.35641531603338E-011</v>
      </c>
    </row>
    <row r="138" customFormat="false" ht="13.8" hidden="false" customHeight="false" outlineLevel="0" collapsed="false">
      <c r="B138" s="2" t="n">
        <v>136</v>
      </c>
      <c r="C138" s="2" t="n">
        <v>1.41591467222471E-010</v>
      </c>
      <c r="D138" s="2" t="n">
        <v>3.90327751249919E-010</v>
      </c>
      <c r="E138" s="2" t="n">
        <v>0</v>
      </c>
    </row>
    <row r="139" customFormat="false" ht="13.8" hidden="false" customHeight="false" outlineLevel="0" collapsed="false">
      <c r="B139" s="2" t="n">
        <v>137</v>
      </c>
      <c r="C139" s="2" t="n">
        <v>2.88423290380565E-011</v>
      </c>
      <c r="D139" s="2" t="n">
        <v>2.88968268662097E-011</v>
      </c>
      <c r="E139" s="2" t="n">
        <v>5.77936845203458E-011</v>
      </c>
    </row>
    <row r="140" customFormat="false" ht="13.8" hidden="false" customHeight="false" outlineLevel="0" collapsed="false">
      <c r="B140" s="2" t="n">
        <v>138</v>
      </c>
      <c r="C140" s="2" t="n">
        <v>2.48283127898776E-010</v>
      </c>
      <c r="D140" s="2" t="n">
        <v>2.72994320594875E-010</v>
      </c>
      <c r="E140" s="2" t="n">
        <v>0</v>
      </c>
    </row>
    <row r="141" customFormat="false" ht="13.8" hidden="false" customHeight="false" outlineLevel="0" collapsed="false">
      <c r="B141" s="2" t="n">
        <v>139</v>
      </c>
      <c r="C141" s="2" t="n">
        <v>7.04596841975259E-012</v>
      </c>
      <c r="D141" s="2" t="n">
        <v>7.05860464234288E-012</v>
      </c>
      <c r="E141" s="2" t="n">
        <v>1.0574463112281E-011</v>
      </c>
    </row>
    <row r="142" customFormat="false" ht="13.8" hidden="false" customHeight="false" outlineLevel="0" collapsed="false">
      <c r="B142" s="2" t="n">
        <v>140</v>
      </c>
      <c r="C142" s="2" t="n">
        <v>3.46556514617683E-010</v>
      </c>
      <c r="D142" s="2" t="n">
        <v>1.47184752499941E-010</v>
      </c>
      <c r="E142" s="2" t="n">
        <v>0</v>
      </c>
    </row>
    <row r="143" customFormat="false" ht="13.8" hidden="false" customHeight="false" outlineLevel="0" collapsed="false">
      <c r="B143" s="2" t="n">
        <v>141</v>
      </c>
      <c r="C143" s="2" t="n">
        <v>5.40913299295443E-016</v>
      </c>
      <c r="D143" s="2" t="n">
        <v>0</v>
      </c>
      <c r="E143" s="2" t="n">
        <v>0</v>
      </c>
    </row>
    <row r="144" customFormat="false" ht="13.8" hidden="false" customHeight="false" outlineLevel="0" collapsed="false">
      <c r="B144" s="2" t="n">
        <v>142</v>
      </c>
      <c r="C144" s="2" t="n">
        <v>4.79091807473704E-011</v>
      </c>
      <c r="D144" s="2" t="n">
        <v>0</v>
      </c>
      <c r="E144" s="2" t="n">
        <v>0</v>
      </c>
    </row>
    <row r="145" customFormat="false" ht="13.8" hidden="false" customHeight="false" outlineLevel="0" collapsed="false">
      <c r="B145" s="2" t="n">
        <v>143</v>
      </c>
      <c r="C145" s="2" t="n">
        <v>6.8818578685568E-011</v>
      </c>
      <c r="D145" s="2" t="n">
        <v>0</v>
      </c>
      <c r="E145" s="2" t="n">
        <v>0</v>
      </c>
    </row>
    <row r="146" customFormat="false" ht="13.8" hidden="false" customHeight="false" outlineLevel="0" collapsed="false">
      <c r="B146" s="2" t="n">
        <v>144</v>
      </c>
      <c r="C146" s="2" t="n">
        <v>3.81984725828484E-013</v>
      </c>
      <c r="D146" s="2" t="n">
        <v>3.81549320552156E-013</v>
      </c>
      <c r="E146" s="2" t="n">
        <v>3.80780435921899E-013</v>
      </c>
    </row>
    <row r="147" customFormat="false" ht="13.8" hidden="false" customHeight="false" outlineLevel="0" collapsed="false">
      <c r="B147" s="2" t="n">
        <v>145</v>
      </c>
      <c r="C147" s="2" t="n">
        <v>1.43899911267111E-010</v>
      </c>
      <c r="D147" s="2" t="n">
        <v>2.72658185478494E-010</v>
      </c>
      <c r="E147" s="2" t="n">
        <v>2.14949469766794E-010</v>
      </c>
    </row>
    <row r="148" customFormat="false" ht="13.8" hidden="false" customHeight="false" outlineLevel="0" collapsed="false">
      <c r="B148" s="2" t="n">
        <v>146</v>
      </c>
      <c r="C148" s="2" t="n">
        <v>1.60250386611073E-015</v>
      </c>
      <c r="D148" s="2" t="n">
        <v>0</v>
      </c>
      <c r="E148" s="2" t="n">
        <v>0</v>
      </c>
    </row>
    <row r="149" customFormat="false" ht="13.8" hidden="false" customHeight="false" outlineLevel="0" collapsed="false">
      <c r="B149" s="2" t="n">
        <v>147</v>
      </c>
      <c r="C149" s="2" t="n">
        <v>6.8604916308804E-017</v>
      </c>
      <c r="D149" s="2" t="n">
        <v>5.88270199846854E-017</v>
      </c>
      <c r="E149" s="2" t="n">
        <v>4.91616250130177E-018</v>
      </c>
    </row>
    <row r="150" customFormat="false" ht="13.8" hidden="false" customHeight="false" outlineLevel="0" collapsed="false">
      <c r="B150" s="2" t="n">
        <v>148</v>
      </c>
      <c r="C150" s="2" t="n">
        <v>1.94515522259602E-016</v>
      </c>
      <c r="D150" s="2" t="n">
        <v>1.94515522259607E-016</v>
      </c>
      <c r="E150" s="2" t="n">
        <v>0</v>
      </c>
    </row>
    <row r="151" customFormat="false" ht="13.8" hidden="false" customHeight="false" outlineLevel="0" collapsed="false">
      <c r="B151" s="2" t="n">
        <v>149</v>
      </c>
      <c r="C151" s="2" t="n">
        <v>2.42858027259261E-016</v>
      </c>
      <c r="D151" s="2" t="n">
        <v>2.00905488603425E-016</v>
      </c>
      <c r="E151" s="2" t="n">
        <v>1.63398616576793E-017</v>
      </c>
    </row>
    <row r="152" customFormat="false" ht="13.8" hidden="false" customHeight="false" outlineLevel="0" collapsed="false">
      <c r="B152" s="2" t="n">
        <v>150</v>
      </c>
      <c r="C152" s="2" t="n">
        <v>0</v>
      </c>
      <c r="D152" s="2" t="n">
        <v>0</v>
      </c>
      <c r="E152" s="2" t="n">
        <v>7.74761200533847E-010</v>
      </c>
    </row>
    <row r="153" customFormat="false" ht="13.8" hidden="false" customHeight="false" outlineLevel="0" collapsed="false">
      <c r="B153" s="2" t="n">
        <v>151</v>
      </c>
      <c r="C153" s="2" t="n">
        <v>1.75887875372068E-015</v>
      </c>
      <c r="D153" s="2" t="n">
        <v>1.76126293951169E-015</v>
      </c>
      <c r="E153" s="2" t="n">
        <v>0</v>
      </c>
    </row>
    <row r="154" customFormat="false" ht="13.8" hidden="false" customHeight="false" outlineLevel="0" collapsed="false">
      <c r="B154" s="2" t="n">
        <v>152</v>
      </c>
      <c r="C154" s="2" t="n">
        <v>0.00384803889586271</v>
      </c>
      <c r="D154" s="2" t="n">
        <v>1.91005373943549E-015</v>
      </c>
      <c r="E154" s="2" t="n">
        <v>0</v>
      </c>
    </row>
    <row r="155" customFormat="false" ht="13.8" hidden="false" customHeight="false" outlineLevel="0" collapsed="false">
      <c r="B155" s="2" t="n">
        <v>153</v>
      </c>
      <c r="C155" s="2" t="n">
        <v>9.18344755333811E-012</v>
      </c>
      <c r="D155" s="2" t="n">
        <v>4.58721513967076E-012</v>
      </c>
      <c r="E155" s="2" t="n">
        <v>4.57466063785304E-012</v>
      </c>
    </row>
    <row r="156" customFormat="false" ht="13.8" hidden="false" customHeight="false" outlineLevel="0" collapsed="false">
      <c r="B156" s="2" t="n">
        <v>154</v>
      </c>
      <c r="C156" s="2" t="n">
        <v>5.79749186591301E-015</v>
      </c>
      <c r="D156" s="2" t="n">
        <v>5.62524514721287E-015</v>
      </c>
      <c r="E156" s="2" t="n">
        <v>0</v>
      </c>
    </row>
    <row r="157" customFormat="false" ht="13.8" hidden="false" customHeight="false" outlineLevel="0" collapsed="false">
      <c r="B157" s="2" t="n">
        <v>155</v>
      </c>
      <c r="C157" s="2" t="n">
        <v>7.06501785081033E-015</v>
      </c>
      <c r="D157" s="2" t="n">
        <v>6.59715870749042E-015</v>
      </c>
      <c r="E157" s="2" t="n">
        <v>0</v>
      </c>
    </row>
    <row r="158" customFormat="false" ht="13.8" hidden="false" customHeight="false" outlineLevel="0" collapsed="false">
      <c r="B158" s="2" t="n">
        <v>156</v>
      </c>
      <c r="C158" s="2" t="n">
        <v>7.6065742317643E-015</v>
      </c>
      <c r="D158" s="2" t="n">
        <v>7.525426609506E-015</v>
      </c>
      <c r="E158" s="2" t="n">
        <v>0</v>
      </c>
    </row>
    <row r="159" customFormat="false" ht="13.8" hidden="false" customHeight="false" outlineLevel="0" collapsed="false">
      <c r="B159" s="2" t="n">
        <v>157</v>
      </c>
      <c r="C159" s="2" t="n">
        <v>0.00735968566893575</v>
      </c>
      <c r="D159" s="2" t="n">
        <v>5.52803515165263E-015</v>
      </c>
      <c r="E159" s="2" t="n">
        <v>0</v>
      </c>
    </row>
    <row r="160" customFormat="false" ht="13.8" hidden="false" customHeight="false" outlineLevel="0" collapsed="false">
      <c r="B160" s="2" t="n">
        <v>158</v>
      </c>
      <c r="C160" s="2" t="n">
        <v>0.0384881398370796</v>
      </c>
      <c r="D160" s="2" t="n">
        <v>6.06417005957395E-015</v>
      </c>
      <c r="E160" s="2" t="n">
        <v>0</v>
      </c>
    </row>
    <row r="161" customFormat="false" ht="13.8" hidden="false" customHeight="false" outlineLevel="0" collapsed="false">
      <c r="B161" s="2" t="n">
        <v>159</v>
      </c>
      <c r="C161" s="2" t="n">
        <v>9.96866901241661E-015</v>
      </c>
      <c r="D161" s="2" t="n">
        <v>1.0073077793477E-014</v>
      </c>
      <c r="E161" s="2" t="n">
        <v>0</v>
      </c>
    </row>
    <row r="162" customFormat="false" ht="13.8" hidden="false" customHeight="false" outlineLevel="0" collapsed="false">
      <c r="B162" s="2" t="n">
        <v>160</v>
      </c>
      <c r="C162" s="2" t="n">
        <v>0.0422450481733484</v>
      </c>
      <c r="D162" s="2" t="n">
        <v>6.65219124472957E-015</v>
      </c>
      <c r="E162" s="2" t="n">
        <v>0</v>
      </c>
    </row>
    <row r="163" customFormat="false" ht="13.8" hidden="false" customHeight="false" outlineLevel="0" collapsed="false">
      <c r="B163" s="2" t="n">
        <v>161</v>
      </c>
      <c r="C163" s="2" t="n">
        <v>1.154679692255E-014</v>
      </c>
      <c r="D163" s="2" t="n">
        <v>1.14075604723323E-014</v>
      </c>
      <c r="E163" s="2" t="n">
        <v>0</v>
      </c>
    </row>
    <row r="164" customFormat="false" ht="13.8" hidden="false" customHeight="false" outlineLevel="0" collapsed="false">
      <c r="B164" s="2" t="n">
        <v>162</v>
      </c>
      <c r="C164" s="2" t="n">
        <v>0.0201506218662276</v>
      </c>
      <c r="D164" s="2" t="n">
        <v>7.89240031681303E-015</v>
      </c>
      <c r="E164" s="2" t="n">
        <v>0</v>
      </c>
    </row>
    <row r="165" customFormat="false" ht="13.8" hidden="false" customHeight="false" outlineLevel="0" collapsed="false">
      <c r="B165" s="2" t="n">
        <v>163</v>
      </c>
      <c r="C165" s="2" t="n">
        <v>0.0383440247256046</v>
      </c>
      <c r="D165" s="2" t="n">
        <v>1.25314045703232E-014</v>
      </c>
      <c r="E165" s="2" t="n">
        <v>1.25257424410339E-014</v>
      </c>
    </row>
    <row r="166" customFormat="false" ht="13.8" hidden="false" customHeight="false" outlineLevel="0" collapsed="false">
      <c r="B166" s="2" t="n">
        <v>164</v>
      </c>
      <c r="C166" s="2" t="n">
        <v>0.0451210257759296</v>
      </c>
      <c r="D166" s="2" t="n">
        <v>6.94329623405599E-012</v>
      </c>
      <c r="E166" s="2" t="n">
        <v>6.96453390707228E-012</v>
      </c>
    </row>
    <row r="167" customFormat="false" ht="13.8" hidden="false" customHeight="false" outlineLevel="0" collapsed="false">
      <c r="B167" s="2" t="n">
        <v>165</v>
      </c>
      <c r="C167" s="2" t="n">
        <v>0.05189781377509</v>
      </c>
      <c r="D167" s="2" t="n">
        <v>1.39480118556895E-014</v>
      </c>
      <c r="E167" s="2" t="n">
        <v>1.38572076354145E-014</v>
      </c>
    </row>
    <row r="168" customFormat="false" ht="13.8" hidden="false" customHeight="false" outlineLevel="0" collapsed="false">
      <c r="B168" s="2" t="n">
        <v>166</v>
      </c>
      <c r="C168" s="2" t="n">
        <v>0.0490056423385188</v>
      </c>
      <c r="D168" s="2" t="n">
        <v>6.59957898388504E-012</v>
      </c>
      <c r="E168" s="2" t="n">
        <v>6.61131218121231E-012</v>
      </c>
    </row>
    <row r="169" customFormat="false" ht="13.8" hidden="false" customHeight="false" outlineLevel="0" collapsed="false">
      <c r="B169" s="2" t="n">
        <v>167</v>
      </c>
      <c r="C169" s="2" t="n">
        <v>0.052947072663175</v>
      </c>
      <c r="D169" s="2" t="n">
        <v>6.42146233267244E-012</v>
      </c>
      <c r="E169" s="2" t="n">
        <v>6.43471861346873E-012</v>
      </c>
    </row>
    <row r="170" customFormat="false" ht="13.8" hidden="false" customHeight="false" outlineLevel="0" collapsed="false">
      <c r="B170" s="2" t="n">
        <v>168</v>
      </c>
      <c r="C170" s="2" t="n">
        <v>0.0837212363211628</v>
      </c>
      <c r="D170" s="2" t="n">
        <v>6.2433042415521E-012</v>
      </c>
      <c r="E170" s="2" t="n">
        <v>6.25813574863248E-012</v>
      </c>
    </row>
    <row r="171" customFormat="false" ht="13.8" hidden="false" customHeight="false" outlineLevel="0" collapsed="false">
      <c r="B171" s="2" t="n">
        <v>169</v>
      </c>
      <c r="C171" s="2" t="n">
        <v>0.055495799979153</v>
      </c>
      <c r="D171" s="2" t="n">
        <v>6.0651258908872E-012</v>
      </c>
      <c r="E171" s="2" t="n">
        <v>6.08155856648622E-012</v>
      </c>
    </row>
    <row r="172" customFormat="false" ht="13.8" hidden="false" customHeight="false" outlineLevel="0" collapsed="false">
      <c r="B172" s="2" t="n">
        <v>170</v>
      </c>
      <c r="C172" s="2" t="n">
        <v>0.0944977413042934</v>
      </c>
      <c r="D172" s="2" t="n">
        <v>5.88695760695756E-012</v>
      </c>
      <c r="E172" s="2" t="n">
        <v>5.90495791197176E-012</v>
      </c>
    </row>
    <row r="173" customFormat="false" ht="13.8" hidden="false" customHeight="false" outlineLevel="0" collapsed="false">
      <c r="B173" s="2" t="n">
        <v>171</v>
      </c>
      <c r="C173" s="2" t="n">
        <v>0.0442327492961318</v>
      </c>
      <c r="D173" s="2" t="n">
        <v>5.70877730391188E-012</v>
      </c>
      <c r="E173" s="2" t="n">
        <v>5.72834061707462E-012</v>
      </c>
    </row>
    <row r="174" customFormat="false" ht="13.8" hidden="false" customHeight="false" outlineLevel="0" collapsed="false">
      <c r="B174" s="2" t="n">
        <v>172</v>
      </c>
      <c r="C174" s="2" t="n">
        <v>0.071801523954653</v>
      </c>
      <c r="D174" s="2" t="n">
        <v>5.53062248906282E-012</v>
      </c>
      <c r="E174" s="2" t="n">
        <v>5.55169566534845E-012</v>
      </c>
    </row>
    <row r="175" customFormat="false" ht="13.8" hidden="false" customHeight="false" outlineLevel="0" collapsed="false">
      <c r="B175" s="2" t="n">
        <v>173</v>
      </c>
      <c r="C175" s="2" t="n">
        <v>0.0731201986107785</v>
      </c>
      <c r="D175" s="2" t="n">
        <v>0</v>
      </c>
      <c r="E175" s="2" t="n">
        <v>6.97228686064035E-012</v>
      </c>
    </row>
    <row r="176" customFormat="false" ht="13.8" hidden="false" customHeight="false" outlineLevel="0" collapsed="false">
      <c r="B176" s="2" t="n">
        <v>174</v>
      </c>
      <c r="C176" s="2" t="n">
        <v>0.102286915325369</v>
      </c>
      <c r="D176" s="2" t="n">
        <v>0.0733333325993483</v>
      </c>
      <c r="E176" s="2" t="n">
        <v>8.03963704748622E-012</v>
      </c>
    </row>
    <row r="177" customFormat="false" ht="13.8" hidden="false" customHeight="false" outlineLevel="0" collapsed="false">
      <c r="B177" s="2" t="n">
        <v>175</v>
      </c>
      <c r="C177" s="2" t="n">
        <v>0.0757041820385387</v>
      </c>
      <c r="D177" s="2" t="n">
        <v>0.0999999993124959</v>
      </c>
      <c r="E177" s="2" t="n">
        <v>7.68489886127005E-012</v>
      </c>
    </row>
    <row r="178" customFormat="false" ht="13.8" hidden="false" customHeight="false" outlineLevel="0" collapsed="false">
      <c r="B178" s="2" t="n">
        <v>176</v>
      </c>
      <c r="C178" s="2" t="n">
        <v>0.107136848751708</v>
      </c>
      <c r="D178" s="2" t="n">
        <v>0.0999999993589776</v>
      </c>
      <c r="E178" s="2" t="n">
        <v>7.33013168658277E-012</v>
      </c>
    </row>
    <row r="179" customFormat="false" ht="13.8" hidden="false" customHeight="false" outlineLevel="0" collapsed="false">
      <c r="B179" s="2" t="n">
        <v>177</v>
      </c>
      <c r="C179" s="2" t="n">
        <v>0.0896874154648786</v>
      </c>
      <c r="D179" s="2" t="n">
        <v>0.0999999994054596</v>
      </c>
      <c r="E179" s="2" t="n">
        <v>6.97539019262711E-012</v>
      </c>
    </row>
    <row r="180" customFormat="false" ht="13.8" hidden="false" customHeight="false" outlineLevel="0" collapsed="false">
      <c r="B180" s="2" t="n">
        <v>178</v>
      </c>
      <c r="C180" s="2" t="n">
        <v>0.108454448844716</v>
      </c>
      <c r="D180" s="2" t="n">
        <v>0.0999999994519421</v>
      </c>
      <c r="E180" s="2" t="n">
        <v>6.62059546690755E-012</v>
      </c>
    </row>
    <row r="181" customFormat="false" ht="13.8" hidden="false" customHeight="false" outlineLevel="0" collapsed="false">
      <c r="B181" s="2" t="n">
        <v>179</v>
      </c>
      <c r="C181" s="2" t="n">
        <v>0.0871543655578873</v>
      </c>
      <c r="D181" s="2" t="n">
        <v>0.099999999498425</v>
      </c>
      <c r="E181" s="2" t="n">
        <v>6.26590218675681E-012</v>
      </c>
    </row>
    <row r="182" customFormat="false" ht="13.8" hidden="false" customHeight="false" outlineLevel="0" collapsed="false">
      <c r="B182" s="2" t="n">
        <v>180</v>
      </c>
      <c r="C182" s="2" t="n">
        <v>0.0969210822710589</v>
      </c>
      <c r="D182" s="2" t="n">
        <v>0.0999999995449084</v>
      </c>
      <c r="E182" s="2" t="n">
        <v>5.91112165179985E-012</v>
      </c>
    </row>
    <row r="183" customFormat="false" ht="13.8" hidden="false" customHeight="false" outlineLevel="0" collapsed="false">
      <c r="B183" s="2" t="n">
        <v>181</v>
      </c>
      <c r="C183" s="2" t="n">
        <v>0.076987365650898</v>
      </c>
      <c r="D183" s="2" t="n">
        <v>0.0999999995913921</v>
      </c>
      <c r="E183" s="2" t="n">
        <v>5.55636990124521E-012</v>
      </c>
    </row>
    <row r="184" customFormat="false" ht="13.8" hidden="false" customHeight="false" outlineLevel="0" collapsed="false">
      <c r="B184" s="2" t="n">
        <v>182</v>
      </c>
      <c r="C184" s="2" t="n">
        <v>0.075670515697404</v>
      </c>
      <c r="D184" s="2" t="n">
        <v>0.0999999996378762</v>
      </c>
      <c r="E184" s="2" t="n">
        <v>5.20161562756313E-012</v>
      </c>
    </row>
    <row r="185" customFormat="false" ht="13.8" hidden="false" customHeight="false" outlineLevel="0" collapsed="false">
      <c r="B185" s="2" t="n">
        <v>183</v>
      </c>
      <c r="C185" s="2" t="n">
        <v>0.0627867157439107</v>
      </c>
      <c r="D185" s="2" t="n">
        <v>0.0999999996843606</v>
      </c>
      <c r="E185" s="2" t="n">
        <v>4.84684376542501E-012</v>
      </c>
    </row>
    <row r="186" customFormat="false" ht="13.8" hidden="false" customHeight="false" outlineLevel="0" collapsed="false">
      <c r="B186" s="2" t="n">
        <v>184</v>
      </c>
      <c r="C186" s="2" t="n">
        <v>0.0442372991237513</v>
      </c>
      <c r="D186" s="2" t="n">
        <v>0.0999999997308452</v>
      </c>
      <c r="E186" s="2" t="n">
        <v>4.49205142880241E-012</v>
      </c>
    </row>
    <row r="187" customFormat="false" ht="13.8" hidden="false" customHeight="false" outlineLevel="0" collapsed="false">
      <c r="B187" s="2" t="n">
        <v>185</v>
      </c>
      <c r="C187" s="2" t="n">
        <v>0.107970582503591</v>
      </c>
      <c r="D187" s="2" t="n">
        <v>0.0999999997773298</v>
      </c>
      <c r="E187" s="2" t="n">
        <v>4.13728553869212E-012</v>
      </c>
    </row>
    <row r="188" customFormat="false" ht="13.8" hidden="false" customHeight="false" outlineLevel="0" collapsed="false">
      <c r="B188" s="2" t="n">
        <v>186</v>
      </c>
      <c r="C188" s="2" t="n">
        <v>0.0485375325500997</v>
      </c>
      <c r="D188" s="2" t="n">
        <v>0.099999999823814</v>
      </c>
      <c r="E188" s="2" t="n">
        <v>3.78251495110573E-012</v>
      </c>
    </row>
    <row r="189" customFormat="false" ht="13.8" hidden="false" customHeight="false" outlineLevel="0" collapsed="false">
      <c r="B189" s="2" t="n">
        <v>187</v>
      </c>
      <c r="C189" s="2" t="n">
        <v>0.0737532992632743</v>
      </c>
      <c r="D189" s="2" t="n">
        <v>0.0999999998702965</v>
      </c>
      <c r="E189" s="2" t="n">
        <v>3.42772254625228E-012</v>
      </c>
    </row>
    <row r="190" customFormat="false" ht="13.8" hidden="false" customHeight="false" outlineLevel="0" collapsed="false">
      <c r="B190" s="2" t="n">
        <v>188</v>
      </c>
      <c r="C190" s="2" t="n">
        <v>0.0948363659764522</v>
      </c>
      <c r="D190" s="2" t="n">
        <v>0.0999999999167805</v>
      </c>
      <c r="E190" s="2" t="n">
        <v>3.0730622593923E-012</v>
      </c>
    </row>
    <row r="191" customFormat="false" ht="13.8" hidden="false" customHeight="false" outlineLevel="0" collapsed="false">
      <c r="B191" s="2" t="n">
        <v>189</v>
      </c>
      <c r="C191" s="2" t="n">
        <v>0.068653032710062</v>
      </c>
      <c r="D191" s="2" t="n">
        <v>0.0563675726647754</v>
      </c>
      <c r="E191" s="2" t="n">
        <v>2.48306842274559E-012</v>
      </c>
    </row>
    <row r="192" customFormat="false" ht="13.8" hidden="false" customHeight="false" outlineLevel="0" collapsed="false">
      <c r="B192" s="2" t="n">
        <v>190</v>
      </c>
      <c r="C192" s="2" t="n">
        <v>0.0591200494000651</v>
      </c>
      <c r="D192" s="2" t="n">
        <v>0.0272989095703471</v>
      </c>
      <c r="E192" s="2" t="n">
        <v>2.3946627355534E-012</v>
      </c>
    </row>
    <row r="193" customFormat="false" ht="13.8" hidden="false" customHeight="false" outlineLevel="0" collapsed="false">
      <c r="B193" s="2" t="n">
        <v>191</v>
      </c>
      <c r="C193" s="2" t="n">
        <v>0.0185688327567359</v>
      </c>
      <c r="D193" s="2" t="n">
        <v>0.0221099359529935</v>
      </c>
      <c r="E193" s="2" t="n">
        <v>2.30626880349825E-012</v>
      </c>
    </row>
    <row r="194" customFormat="false" ht="13.8" hidden="false" customHeight="false" outlineLevel="0" collapsed="false">
      <c r="B194" s="2" t="n">
        <v>192</v>
      </c>
      <c r="C194" s="2" t="n">
        <v>0.0445024827757525</v>
      </c>
      <c r="D194" s="2" t="n">
        <v>0</v>
      </c>
      <c r="E194" s="2" t="n">
        <v>2.2678064531406E-012</v>
      </c>
    </row>
    <row r="195" customFormat="false" ht="13.8" hidden="false" customHeight="false" outlineLevel="0" collapsed="false">
      <c r="B195" s="2" t="n">
        <v>193</v>
      </c>
      <c r="C195" s="2" t="n">
        <v>0.00926919946686423</v>
      </c>
      <c r="D195" s="2" t="n">
        <v>0</v>
      </c>
      <c r="E195" s="2" t="n">
        <v>2.16668524999211E-012</v>
      </c>
    </row>
    <row r="196" customFormat="false" ht="13.8" hidden="false" customHeight="false" outlineLevel="0" collapsed="false">
      <c r="B196" s="2" t="n">
        <v>194</v>
      </c>
      <c r="C196" s="2" t="n">
        <v>0.0289523828246407</v>
      </c>
      <c r="D196" s="2" t="n">
        <v>0</v>
      </c>
      <c r="E196" s="2" t="n">
        <v>2.06557816815755E-012</v>
      </c>
    </row>
    <row r="197" customFormat="false" ht="13.8" hidden="false" customHeight="false" outlineLevel="0" collapsed="false">
      <c r="B197" s="2" t="n">
        <v>195</v>
      </c>
      <c r="C197" s="2" t="n">
        <v>0.0817680495167505</v>
      </c>
      <c r="D197" s="2" t="n">
        <v>0.00196276952861807</v>
      </c>
      <c r="E197" s="2" t="n">
        <v>1.95271934098489E-012</v>
      </c>
    </row>
    <row r="198" customFormat="false" ht="13.8" hidden="false" customHeight="false" outlineLevel="0" collapsed="false">
      <c r="B198" s="2" t="n">
        <v>196</v>
      </c>
      <c r="C198" s="2" t="n">
        <v>0.0132504828734226</v>
      </c>
      <c r="D198" s="2" t="n">
        <v>0.0185857783284641</v>
      </c>
      <c r="E198" s="2" t="n">
        <v>1.86431995931323E-012</v>
      </c>
    </row>
    <row r="199" customFormat="false" ht="13.8" hidden="false" customHeight="false" outlineLevel="0" collapsed="false">
      <c r="B199" s="2" t="n">
        <v>197</v>
      </c>
      <c r="C199" s="2" t="n">
        <v>0.077616882896413</v>
      </c>
      <c r="D199" s="2" t="n">
        <v>1.12647072663716E-011</v>
      </c>
      <c r="E199" s="2" t="n">
        <v>1.7644208531123E-012</v>
      </c>
    </row>
    <row r="200" customFormat="false" ht="13.8" hidden="false" customHeight="false" outlineLevel="0" collapsed="false">
      <c r="B200" s="2" t="n">
        <v>198</v>
      </c>
      <c r="C200" s="2" t="n">
        <v>0.0137501162534321</v>
      </c>
      <c r="D200" s="2" t="n">
        <v>0.0286669460892112</v>
      </c>
      <c r="E200" s="2" t="n">
        <v>1.68753778077319E-012</v>
      </c>
    </row>
    <row r="201" customFormat="false" ht="13.8" hidden="false" customHeight="false" outlineLevel="0" collapsed="false">
      <c r="B201" s="2" t="n">
        <v>199</v>
      </c>
      <c r="C201" s="2" t="n">
        <v>0.0465835829434367</v>
      </c>
      <c r="D201" s="2" t="n">
        <v>0.019510732212715</v>
      </c>
      <c r="E201" s="2" t="n">
        <v>1.59915116920813E-012</v>
      </c>
    </row>
    <row r="202" customFormat="false" ht="13.8" hidden="false" customHeight="false" outlineLevel="0" collapsed="false">
      <c r="B202" s="2" t="n">
        <v>200</v>
      </c>
      <c r="C202" s="2" t="n">
        <v>0.0152499996334425</v>
      </c>
      <c r="D202" s="2" t="n">
        <v>0.0306546822410936</v>
      </c>
      <c r="E202" s="2" t="n">
        <v>1.51075137319592E-012</v>
      </c>
    </row>
    <row r="203" customFormat="false" ht="13.8" hidden="false" customHeight="false" outlineLevel="0" collapsed="false">
      <c r="B203" s="2" t="n">
        <v>201</v>
      </c>
      <c r="C203" s="2" t="n">
        <v>0.079916749656781</v>
      </c>
      <c r="D203" s="2" t="n">
        <v>0.00472233104575788</v>
      </c>
      <c r="E203" s="2" t="n">
        <v>1.42236671897752E-012</v>
      </c>
    </row>
    <row r="204" customFormat="false" ht="13.8" hidden="false" customHeight="false" outlineLevel="0" collapsed="false">
      <c r="B204" s="2" t="n">
        <v>202</v>
      </c>
      <c r="C204" s="2" t="n">
        <v>0.0146502330134539</v>
      </c>
      <c r="D204" s="2" t="n">
        <v>0.0395506614413426</v>
      </c>
      <c r="E204" s="2" t="n">
        <v>1.33397052905485E-012</v>
      </c>
    </row>
    <row r="205" customFormat="false" ht="13.8" hidden="false" customHeight="false" outlineLevel="0" collapsed="false">
      <c r="B205" s="2" t="n">
        <v>203</v>
      </c>
      <c r="C205" s="2" t="n">
        <v>0.0142169163701267</v>
      </c>
      <c r="D205" s="2" t="n">
        <v>0.033996723904614</v>
      </c>
      <c r="E205" s="2" t="n">
        <v>1.24557279050258E-012</v>
      </c>
    </row>
    <row r="206" customFormat="false" ht="13.8" hidden="false" customHeight="false" outlineLevel="0" collapsed="false">
      <c r="B206" s="2" t="n">
        <v>204</v>
      </c>
      <c r="C206" s="2" t="n">
        <v>0.0700001330601328</v>
      </c>
      <c r="D206" s="2" t="n">
        <v>0.00773780426242202</v>
      </c>
      <c r="E206" s="2" t="n">
        <v>1.1571777543647E-012</v>
      </c>
    </row>
    <row r="207" customFormat="false" ht="13.8" hidden="false" customHeight="false" outlineLevel="0" collapsed="false">
      <c r="B207" s="2" t="n">
        <v>205</v>
      </c>
      <c r="C207" s="2" t="n">
        <v>0.0219500330834732</v>
      </c>
      <c r="D207" s="2" t="n">
        <v>0.0300213455776831</v>
      </c>
      <c r="E207" s="2" t="n">
        <v>1.06877244215286E-012</v>
      </c>
    </row>
    <row r="208" customFormat="false" ht="13.8" hidden="false" customHeight="false" outlineLevel="0" collapsed="false">
      <c r="B208" s="2" t="n">
        <v>206</v>
      </c>
      <c r="C208" s="2" t="n">
        <v>0.0702501331068132</v>
      </c>
      <c r="D208" s="2" t="n">
        <v>0.008261084629992</v>
      </c>
      <c r="E208" s="2" t="n">
        <v>9.80385724737155E-013</v>
      </c>
    </row>
    <row r="209" customFormat="false" ht="13.8" hidden="false" customHeight="false" outlineLevel="0" collapsed="false">
      <c r="B209" s="2" t="n">
        <v>207</v>
      </c>
      <c r="C209" s="2" t="n">
        <v>0.0190833997968204</v>
      </c>
      <c r="D209" s="2" t="n">
        <v>0.0374100922974474</v>
      </c>
      <c r="E209" s="2" t="n">
        <v>8.91983190057554E-013</v>
      </c>
    </row>
    <row r="210" customFormat="false" ht="13.8" hidden="false" customHeight="false" outlineLevel="0" collapsed="false">
      <c r="B210" s="2" t="n">
        <v>208</v>
      </c>
      <c r="C210" s="2" t="n">
        <v>0.0713833998201609</v>
      </c>
      <c r="D210" s="2" t="n">
        <v>0.0127219902923815</v>
      </c>
      <c r="E210" s="2" t="n">
        <v>8.03582307193491E-013</v>
      </c>
    </row>
    <row r="211" customFormat="false" ht="13.8" hidden="false" customHeight="false" outlineLevel="0" collapsed="false">
      <c r="B211" s="2" t="n">
        <v>209</v>
      </c>
      <c r="C211" s="2" t="n">
        <v>0.0185337165101685</v>
      </c>
      <c r="D211" s="2" t="n">
        <v>0.038311436725187</v>
      </c>
      <c r="E211" s="2" t="n">
        <v>7.15179918066237E-013</v>
      </c>
    </row>
    <row r="212" customFormat="false" ht="13.8" hidden="false" customHeight="false" outlineLevel="0" collapsed="false">
      <c r="B212" s="2" t="n">
        <v>210</v>
      </c>
      <c r="C212" s="2" t="n">
        <v>0.0441835832001762</v>
      </c>
      <c r="D212" s="2" t="n">
        <v>0.0158126062477462</v>
      </c>
      <c r="E212" s="2" t="n">
        <v>6.26781607996124E-013</v>
      </c>
    </row>
    <row r="213" customFormat="false" ht="13.8" hidden="false" customHeight="false" outlineLevel="0" collapsed="false">
      <c r="B213" s="2" t="n">
        <v>211</v>
      </c>
      <c r="C213" s="2" t="n">
        <v>0.0410000498901842</v>
      </c>
      <c r="D213" s="2" t="n">
        <v>0.0268761005337815</v>
      </c>
      <c r="E213" s="2" t="n">
        <v>5.38379708542074E-013</v>
      </c>
    </row>
    <row r="214" customFormat="false" ht="13.8" hidden="false" customHeight="false" outlineLevel="0" collapsed="false">
      <c r="B214" s="2" t="n">
        <v>212</v>
      </c>
      <c r="C214" s="2" t="n">
        <v>0.0671666832468591</v>
      </c>
      <c r="D214" s="2" t="n">
        <v>0.0141216769687657</v>
      </c>
      <c r="E214" s="2" t="n">
        <v>4.49973223316265E-013</v>
      </c>
    </row>
    <row r="215" customFormat="false" ht="13.8" hidden="false" customHeight="false" outlineLevel="0" collapsed="false">
      <c r="B215" s="2" t="n">
        <v>213</v>
      </c>
      <c r="C215" s="2" t="n">
        <v>0.0834999999368676</v>
      </c>
      <c r="D215" s="2" t="n">
        <v>0.00440888388314508</v>
      </c>
      <c r="E215" s="2" t="n">
        <v>3.61572119580191E-013</v>
      </c>
    </row>
    <row r="216" customFormat="false" ht="13.8" hidden="false" customHeight="false" outlineLevel="0" collapsed="false">
      <c r="B216" s="2" t="n">
        <v>214</v>
      </c>
      <c r="C216" s="2" t="n">
        <v>0.0563307742137363</v>
      </c>
      <c r="D216" s="2" t="n">
        <v>0.0115307463117729</v>
      </c>
      <c r="E216" s="2" t="n">
        <v>2.73225188057748E-013</v>
      </c>
    </row>
    <row r="217" customFormat="false" ht="13.8" hidden="false" customHeight="false" outlineLevel="0" collapsed="false">
      <c r="B217" s="2" t="n">
        <v>215</v>
      </c>
      <c r="C217" s="2" t="n">
        <v>0.0354629553398925</v>
      </c>
      <c r="D217" s="2" t="n">
        <v>0.0219905899793654</v>
      </c>
      <c r="E217" s="2" t="n">
        <v>1.12688345291977E-013</v>
      </c>
    </row>
    <row r="218" customFormat="false" ht="13.8" hidden="false" customHeight="false" outlineLevel="0" collapsed="false">
      <c r="B218" s="2" t="n">
        <v>216</v>
      </c>
      <c r="C218" s="2" t="n">
        <v>0.0162922952871982</v>
      </c>
      <c r="D218" s="2" t="n">
        <v>0.0321060340089698</v>
      </c>
      <c r="E218" s="2" t="n">
        <v>1.12654568567562E-013</v>
      </c>
    </row>
    <row r="219" customFormat="false" ht="13.8" hidden="false" customHeight="false" outlineLevel="0" collapsed="false">
      <c r="B219" s="2" t="n">
        <v>217</v>
      </c>
      <c r="C219" s="2" t="n">
        <v>0.0181161144240907</v>
      </c>
      <c r="D219" s="2" t="n">
        <v>0.0307153319811146</v>
      </c>
      <c r="E219" s="2" t="n">
        <v>1.1265159504969E-013</v>
      </c>
    </row>
    <row r="220" customFormat="false" ht="13.8" hidden="false" customHeight="false" outlineLevel="0" collapsed="false">
      <c r="B220" s="2" t="n">
        <v>218</v>
      </c>
      <c r="C220" s="2" t="n">
        <v>0.0174056913352545</v>
      </c>
      <c r="D220" s="2" t="n">
        <v>0.0333306659085027</v>
      </c>
      <c r="E220" s="2" t="n">
        <v>1.1263646311359E-013</v>
      </c>
    </row>
    <row r="221" customFormat="false" ht="13.8" hidden="false" customHeight="false" outlineLevel="0" collapsed="false">
      <c r="B221" s="2" t="n">
        <v>219</v>
      </c>
      <c r="C221" s="2" t="n">
        <v>0.0432550348786445</v>
      </c>
      <c r="D221" s="2" t="n">
        <v>0.0487449783858475</v>
      </c>
      <c r="E221" s="2" t="n">
        <v>1.12631532249346E-013</v>
      </c>
    </row>
    <row r="222" customFormat="false" ht="13.8" hidden="false" customHeight="false" outlineLevel="0" collapsed="false">
      <c r="B222" s="2" t="n">
        <v>220</v>
      </c>
      <c r="C222" s="2" t="n">
        <v>0.0391366755603003</v>
      </c>
      <c r="D222" s="2" t="n">
        <v>0</v>
      </c>
      <c r="E222" s="2" t="n">
        <v>1.66863778485783E-016</v>
      </c>
    </row>
    <row r="223" customFormat="false" ht="13.8" hidden="false" customHeight="false" outlineLevel="0" collapsed="false">
      <c r="B223" s="2" t="n">
        <v>221</v>
      </c>
      <c r="C223" s="2" t="n">
        <v>0.0524915739680637</v>
      </c>
      <c r="D223" s="2" t="n">
        <v>0</v>
      </c>
      <c r="E223" s="2" t="n">
        <v>1.60514902201982E-016</v>
      </c>
    </row>
    <row r="224" customFormat="false" ht="13.8" hidden="false" customHeight="false" outlineLevel="0" collapsed="false">
      <c r="B224" s="2" t="n">
        <v>222</v>
      </c>
      <c r="C224" s="2" t="n">
        <v>0.024527313451524</v>
      </c>
      <c r="D224" s="2" t="n">
        <v>0</v>
      </c>
      <c r="E224" s="2" t="n">
        <v>1.49021741965513E-016</v>
      </c>
    </row>
    <row r="225" customFormat="false" ht="13.8" hidden="false" customHeight="false" outlineLevel="0" collapsed="false">
      <c r="B225" s="2" t="n">
        <v>223</v>
      </c>
      <c r="C225" s="2" t="n">
        <v>0.0343631862683176</v>
      </c>
      <c r="D225" s="2" t="n">
        <v>0</v>
      </c>
      <c r="E225" s="2" t="n">
        <v>1.38984092074848E-016</v>
      </c>
    </row>
    <row r="226" customFormat="false" ht="13.8" hidden="false" customHeight="false" outlineLevel="0" collapsed="false">
      <c r="B226" s="2" t="n">
        <v>224</v>
      </c>
      <c r="C226" s="2" t="n">
        <v>0.00319907575177799</v>
      </c>
      <c r="D226" s="2" t="n">
        <v>0</v>
      </c>
      <c r="E226" s="2" t="n">
        <v>1.28715266255748E-016</v>
      </c>
    </row>
    <row r="227" customFormat="false" ht="13.8" hidden="false" customHeight="false" outlineLevel="0" collapsed="false">
      <c r="B227" s="2" t="n">
        <v>225</v>
      </c>
      <c r="C227" s="2" t="n">
        <v>0.0203186652352383</v>
      </c>
      <c r="D227" s="2" t="n">
        <v>0</v>
      </c>
      <c r="E227" s="2" t="n">
        <v>1.18413205981925E-016</v>
      </c>
    </row>
    <row r="228" customFormat="false" ht="13.8" hidden="false" customHeight="false" outlineLevel="0" collapsed="false">
      <c r="B228" s="2" t="n">
        <v>226</v>
      </c>
      <c r="C228" s="2" t="n">
        <v>2.89226846145851E-016</v>
      </c>
      <c r="D228" s="2" t="n">
        <v>0</v>
      </c>
      <c r="E228" s="2" t="n">
        <v>9.91209478419019E-017</v>
      </c>
    </row>
    <row r="229" customFormat="false" ht="13.8" hidden="false" customHeight="false" outlineLevel="0" collapsed="false">
      <c r="B229" s="2" t="n">
        <v>227</v>
      </c>
      <c r="C229" s="2" t="n">
        <v>0.00226686406774851</v>
      </c>
      <c r="D229" s="2" t="n">
        <v>0</v>
      </c>
      <c r="E229" s="2" t="n">
        <v>2.1763865997423E-016</v>
      </c>
    </row>
    <row r="230" customFormat="false" ht="13.8" hidden="false" customHeight="false" outlineLevel="0" collapsed="false">
      <c r="B230" s="2" t="n">
        <v>228</v>
      </c>
      <c r="C230" s="2" t="n">
        <v>1.34022067015484E-010</v>
      </c>
      <c r="D230" s="2" t="n">
        <v>6.70749802973083E-011</v>
      </c>
      <c r="E230" s="2" t="n">
        <v>6.69472442948323E-011</v>
      </c>
    </row>
    <row r="231" customFormat="false" ht="13.8" hidden="false" customHeight="false" outlineLevel="0" collapsed="false">
      <c r="B231" s="2" t="n">
        <v>229</v>
      </c>
      <c r="C231" s="2" t="n">
        <v>7.1614827332288E-011</v>
      </c>
      <c r="D231" s="2" t="n">
        <v>3.58415897344385E-011</v>
      </c>
      <c r="E231" s="2" t="n">
        <v>3.57733052080122E-011</v>
      </c>
    </row>
    <row r="232" customFormat="false" ht="13.8" hidden="false" customHeight="false" outlineLevel="0" collapsed="false">
      <c r="B232" s="2" t="n">
        <v>230</v>
      </c>
      <c r="C232" s="2" t="n">
        <v>3.82107216182472E-011</v>
      </c>
      <c r="D232" s="2" t="n">
        <v>1.9123593763532E-011</v>
      </c>
      <c r="E232" s="2" t="n">
        <v>1.90872047139776E-011</v>
      </c>
    </row>
    <row r="233" customFormat="false" ht="13.8" hidden="false" customHeight="false" outlineLevel="0" collapsed="false">
      <c r="B233" s="2" t="n">
        <v>231</v>
      </c>
      <c r="C233" s="2" t="n">
        <v>2.02809428718935E-011</v>
      </c>
      <c r="D233" s="2" t="n">
        <v>1.01501476707646E-011</v>
      </c>
      <c r="E233" s="2" t="n">
        <v>1.01308669009735E-011</v>
      </c>
    </row>
    <row r="234" customFormat="false" ht="13.8" hidden="false" customHeight="false" outlineLevel="0" collapsed="false">
      <c r="B234" s="2" t="n">
        <v>232</v>
      </c>
      <c r="C234" s="2" t="n">
        <v>1.44597184387846E-017</v>
      </c>
      <c r="D234" s="2" t="n">
        <v>0</v>
      </c>
      <c r="E234" s="2" t="n">
        <v>1.17169752449012E-016</v>
      </c>
    </row>
    <row r="235" customFormat="false" ht="13.8" hidden="false" customHeight="false" outlineLevel="0" collapsed="false">
      <c r="B235" s="2" t="n">
        <v>233</v>
      </c>
      <c r="C235" s="2" t="n">
        <v>3.16796347641984E-017</v>
      </c>
      <c r="D235" s="2" t="n">
        <v>1.27677651610594E-017</v>
      </c>
      <c r="E235" s="2" t="n">
        <v>1.52144481300566E-017</v>
      </c>
    </row>
    <row r="236" customFormat="false" ht="13.8" hidden="false" customHeight="false" outlineLevel="0" collapsed="false">
      <c r="B236" s="2" t="n">
        <v>234</v>
      </c>
      <c r="C236" s="2" t="n">
        <v>4.51773028674849E-011</v>
      </c>
      <c r="D236" s="2" t="n">
        <v>4.44661002609139E-011</v>
      </c>
      <c r="E236" s="2" t="n">
        <v>8.80508844336691E-011</v>
      </c>
    </row>
    <row r="237" customFormat="false" ht="13.8" hidden="false" customHeight="false" outlineLevel="0" collapsed="false">
      <c r="B237" s="2" t="n">
        <v>235</v>
      </c>
      <c r="C237" s="2" t="n">
        <v>2.31351601726951E-011</v>
      </c>
      <c r="D237" s="2" t="n">
        <v>2.31793708565047E-011</v>
      </c>
      <c r="E237" s="2" t="n">
        <v>4.63144742882555E-011</v>
      </c>
    </row>
    <row r="238" customFormat="false" ht="13.8" hidden="false" customHeight="false" outlineLevel="0" collapsed="false">
      <c r="B238" s="2" t="n">
        <v>236</v>
      </c>
      <c r="C238" s="2" t="n">
        <v>8.63784811796773E-017</v>
      </c>
      <c r="D238" s="2" t="n">
        <v>2.07455347942549E-018</v>
      </c>
      <c r="E238" s="2" t="n">
        <v>0</v>
      </c>
    </row>
    <row r="239" customFormat="false" ht="13.8" hidden="false" customHeight="false" outlineLevel="0" collapsed="false">
      <c r="B239" s="2" t="n">
        <v>237</v>
      </c>
      <c r="C239" s="2" t="n">
        <v>1.55744842510069E-016</v>
      </c>
      <c r="D239" s="2" t="n">
        <v>0</v>
      </c>
      <c r="E239" s="2" t="n">
        <v>0</v>
      </c>
    </row>
    <row r="240" customFormat="false" ht="13.8" hidden="false" customHeight="false" outlineLevel="0" collapsed="false">
      <c r="B240" s="2" t="n">
        <v>238</v>
      </c>
      <c r="C240" s="2" t="n">
        <v>2.01055356767361E-012</v>
      </c>
      <c r="D240" s="2" t="n">
        <v>2.01410588288269E-012</v>
      </c>
      <c r="E240" s="2" t="n">
        <v>4.02437079491748E-012</v>
      </c>
    </row>
    <row r="241" customFormat="false" ht="13.8" hidden="false" customHeight="false" outlineLevel="0" collapsed="false">
      <c r="B241" s="2" t="n">
        <v>239</v>
      </c>
      <c r="C241" s="2" t="n">
        <v>5.18406987403641E-016</v>
      </c>
      <c r="D241" s="2" t="n">
        <v>0</v>
      </c>
      <c r="E241" s="2" t="n">
        <v>0</v>
      </c>
    </row>
    <row r="242" customFormat="false" ht="13.8" hidden="false" customHeight="false" outlineLevel="0" collapsed="false">
      <c r="B242" s="2" t="n">
        <v>240</v>
      </c>
      <c r="C242" s="2" t="n">
        <v>5.41253013706621E-011</v>
      </c>
      <c r="D242" s="2" t="n">
        <v>1.05738177035013E-010</v>
      </c>
      <c r="E242" s="2" t="n">
        <v>7.90506140550564E-011</v>
      </c>
    </row>
    <row r="243" customFormat="false" ht="13.8" hidden="false" customHeight="false" outlineLevel="0" collapsed="false">
      <c r="B243" s="2" t="n">
        <v>241</v>
      </c>
      <c r="C243" s="2" t="n">
        <v>1.10221841787069E-010</v>
      </c>
      <c r="D243" s="2" t="n">
        <v>0</v>
      </c>
      <c r="E243" s="2" t="n">
        <v>0</v>
      </c>
    </row>
    <row r="244" customFormat="false" ht="13.8" hidden="false" customHeight="false" outlineLevel="0" collapsed="false">
      <c r="B244" s="2" t="n">
        <v>242</v>
      </c>
      <c r="C244" s="2" t="n">
        <v>7.15448861826247E-010</v>
      </c>
      <c r="D244" s="2" t="n">
        <v>0</v>
      </c>
      <c r="E244" s="2" t="n">
        <v>0</v>
      </c>
    </row>
    <row r="245" customFormat="false" ht="13.8" hidden="false" customHeight="false" outlineLevel="0" collapsed="false">
      <c r="B245" s="2" t="n">
        <v>243</v>
      </c>
      <c r="C245" s="2" t="n">
        <v>1.1836304206355E-014</v>
      </c>
      <c r="D245" s="2" t="n">
        <v>0</v>
      </c>
      <c r="E245" s="2" t="n">
        <v>0</v>
      </c>
    </row>
    <row r="246" customFormat="false" ht="13.8" hidden="false" customHeight="false" outlineLevel="0" collapsed="false">
      <c r="B246" s="2" t="n">
        <v>244</v>
      </c>
      <c r="C246" s="2" t="n">
        <v>4.81364256110594E-016</v>
      </c>
      <c r="D246" s="2" t="n">
        <v>4.84702116218016E-016</v>
      </c>
      <c r="E246" s="2" t="n">
        <v>1.37603220141121E-017</v>
      </c>
    </row>
    <row r="247" customFormat="false" ht="13.8" hidden="false" customHeight="false" outlineLevel="0" collapsed="false">
      <c r="B247" s="2" t="n">
        <v>245</v>
      </c>
      <c r="C247" s="2" t="n">
        <v>9.10654934713234E-014</v>
      </c>
      <c r="D247" s="2" t="n">
        <v>4.62066301064634E-014</v>
      </c>
      <c r="E247" s="2" t="n">
        <v>4.04758711013677E-014</v>
      </c>
    </row>
    <row r="248" customFormat="false" ht="13.8" hidden="false" customHeight="false" outlineLevel="0" collapsed="false">
      <c r="B248" s="2" t="n">
        <v>246</v>
      </c>
      <c r="C248" s="2" t="n">
        <v>2.66737500525558E-015</v>
      </c>
      <c r="D248" s="2" t="n">
        <v>2.67214337683761E-015</v>
      </c>
      <c r="E248" s="2" t="n">
        <v>0</v>
      </c>
    </row>
    <row r="249" customFormat="false" ht="13.8" hidden="false" customHeight="false" outlineLevel="0" collapsed="false">
      <c r="B249" s="2" t="n">
        <v>247</v>
      </c>
      <c r="C249" s="2" t="n">
        <v>5.11414060704228E-015</v>
      </c>
      <c r="D249" s="2" t="n">
        <v>5.12367735020635E-015</v>
      </c>
      <c r="E249" s="2" t="n">
        <v>0</v>
      </c>
    </row>
    <row r="250" customFormat="false" ht="13.8" hidden="false" customHeight="false" outlineLevel="0" collapsed="false">
      <c r="B250" s="2" t="n">
        <v>248</v>
      </c>
      <c r="C250" s="2" t="n">
        <v>1.91560380887036E-012</v>
      </c>
      <c r="D250" s="2" t="n">
        <v>9.5803024043036E-013</v>
      </c>
      <c r="E250" s="2" t="n">
        <v>9.43939550684726E-013</v>
      </c>
    </row>
    <row r="251" customFormat="false" ht="13.8" hidden="false" customHeight="false" outlineLevel="0" collapsed="false">
      <c r="B251" s="2" t="n">
        <v>249</v>
      </c>
      <c r="C251" s="2" t="n">
        <v>4.76611363683682E-015</v>
      </c>
      <c r="D251" s="2" t="n">
        <v>4.77469670568447E-015</v>
      </c>
      <c r="E251" s="2" t="n">
        <v>0</v>
      </c>
    </row>
    <row r="252" customFormat="false" ht="13.8" hidden="false" customHeight="false" outlineLevel="0" collapsed="false">
      <c r="B252" s="2" t="n">
        <v>250</v>
      </c>
      <c r="C252" s="2" t="n">
        <v>5.3783147272392E-015</v>
      </c>
      <c r="D252" s="2" t="n">
        <v>5.38880514471967E-015</v>
      </c>
      <c r="E252" s="2" t="n">
        <v>0</v>
      </c>
    </row>
    <row r="253" customFormat="false" ht="13.8" hidden="false" customHeight="false" outlineLevel="0" collapsed="false">
      <c r="B253" s="2" t="n">
        <v>251</v>
      </c>
      <c r="C253" s="2" t="n">
        <v>5.94459151524726E-015</v>
      </c>
      <c r="D253" s="2" t="n">
        <v>5.94401419810471E-015</v>
      </c>
      <c r="E253" s="2" t="n">
        <v>0</v>
      </c>
    </row>
    <row r="254" customFormat="false" ht="13.8" hidden="false" customHeight="false" outlineLevel="0" collapsed="false">
      <c r="B254" s="2" t="n">
        <v>252</v>
      </c>
      <c r="C254" s="2" t="n">
        <v>9.71984022363985E-015</v>
      </c>
      <c r="D254" s="2" t="n">
        <v>9.73796003565109E-015</v>
      </c>
      <c r="E254" s="2" t="n">
        <v>0</v>
      </c>
    </row>
    <row r="255" customFormat="false" ht="13.8" hidden="false" customHeight="false" outlineLevel="0" collapsed="false">
      <c r="B255" s="2" t="n">
        <v>253</v>
      </c>
      <c r="C255" s="2" t="n">
        <v>6.97907474824803E-015</v>
      </c>
      <c r="D255" s="2" t="n">
        <v>6.99242618867377E-015</v>
      </c>
      <c r="E255" s="2" t="n">
        <v>0</v>
      </c>
    </row>
    <row r="256" customFormat="false" ht="13.8" hidden="false" customHeight="false" outlineLevel="0" collapsed="false">
      <c r="B256" s="2" t="n">
        <v>254</v>
      </c>
      <c r="C256" s="2" t="n">
        <v>1.13158409108225E-014</v>
      </c>
      <c r="D256" s="2" t="n">
        <v>1.11785118092431E-014</v>
      </c>
      <c r="E256" s="2" t="n">
        <v>0</v>
      </c>
    </row>
    <row r="257" customFormat="false" ht="13.8" hidden="false" customHeight="false" outlineLevel="0" collapsed="false">
      <c r="B257" s="2" t="n">
        <v>255</v>
      </c>
      <c r="C257" s="2" t="n">
        <v>0.0130649493899749</v>
      </c>
      <c r="D257" s="2" t="n">
        <v>7.72982140337184E-015</v>
      </c>
      <c r="E257" s="2" t="n">
        <v>0</v>
      </c>
    </row>
    <row r="258" customFormat="false" ht="13.8" hidden="false" customHeight="false" outlineLevel="0" collapsed="false">
      <c r="B258" s="2" t="n">
        <v>256</v>
      </c>
      <c r="C258" s="2" t="n">
        <v>0.0550356267578369</v>
      </c>
      <c r="D258" s="2" t="n">
        <v>1.2361047613807E-014</v>
      </c>
      <c r="E258" s="2" t="n">
        <v>1.23088850856438E-014</v>
      </c>
    </row>
    <row r="259" customFormat="false" ht="13.8" hidden="false" customHeight="false" outlineLevel="0" collapsed="false">
      <c r="B259" s="2" t="n">
        <v>257</v>
      </c>
      <c r="C259" s="2" t="n">
        <v>0.0450063023823341</v>
      </c>
      <c r="D259" s="2" t="n">
        <v>6.70336795439584E-012</v>
      </c>
      <c r="E259" s="2" t="n">
        <v>6.71205262843889E-012</v>
      </c>
    </row>
    <row r="260" customFormat="false" ht="13.8" hidden="false" customHeight="false" outlineLevel="0" collapsed="false">
      <c r="B260" s="2" t="n">
        <v>258</v>
      </c>
      <c r="C260" s="2" t="n">
        <v>0.0723971549257757</v>
      </c>
      <c r="D260" s="2" t="n">
        <v>6.52526484105555E-012</v>
      </c>
      <c r="E260" s="2" t="n">
        <v>6.53550188482595E-012</v>
      </c>
    </row>
    <row r="261" customFormat="false" ht="13.8" hidden="false" customHeight="false" outlineLevel="0" collapsed="false">
      <c r="B261" s="2" t="n">
        <v>259</v>
      </c>
      <c r="C261" s="2" t="n">
        <v>0.0477877908025531</v>
      </c>
      <c r="D261" s="2" t="n">
        <v>6.34709071522108E-012</v>
      </c>
      <c r="E261" s="2" t="n">
        <v>6.35887084440523E-012</v>
      </c>
    </row>
    <row r="262" customFormat="false" ht="13.8" hidden="false" customHeight="false" outlineLevel="0" collapsed="false">
      <c r="B262" s="2" t="n">
        <v>260</v>
      </c>
      <c r="C262" s="2" t="n">
        <v>0.0683451433459942</v>
      </c>
      <c r="D262" s="2" t="n">
        <v>6.16893089541328E-012</v>
      </c>
      <c r="E262" s="2" t="n">
        <v>6.18227109745661E-012</v>
      </c>
    </row>
    <row r="263" customFormat="false" ht="13.8" hidden="false" customHeight="false" outlineLevel="0" collapsed="false">
      <c r="B263" s="2" t="n">
        <v>261</v>
      </c>
      <c r="C263" s="2" t="n">
        <v>0.0440690292227705</v>
      </c>
      <c r="D263" s="2" t="n">
        <v>5.99075529630345E-012</v>
      </c>
      <c r="E263" s="2" t="n">
        <v>6.00566432919458E-012</v>
      </c>
    </row>
    <row r="264" customFormat="false" ht="13.8" hidden="false" customHeight="false" outlineLevel="0" collapsed="false">
      <c r="B264" s="2" t="n">
        <v>262</v>
      </c>
      <c r="C264" s="2" t="n">
        <v>0.0840519840751005</v>
      </c>
      <c r="D264" s="2" t="n">
        <v>5.81260236139444E-012</v>
      </c>
      <c r="E264" s="2" t="n">
        <v>5.82906437507594E-012</v>
      </c>
    </row>
    <row r="265" customFormat="false" ht="13.8" hidden="false" customHeight="false" outlineLevel="0" collapsed="false">
      <c r="B265" s="2" t="n">
        <v>263</v>
      </c>
      <c r="C265" s="2" t="n">
        <v>0.0560347722608112</v>
      </c>
      <c r="D265" s="2" t="n">
        <v>5.63443118276808E-012</v>
      </c>
      <c r="E265" s="2" t="n">
        <v>5.65245790773001E-012</v>
      </c>
    </row>
    <row r="266" customFormat="false" ht="13.8" hidden="false" customHeight="false" outlineLevel="0" collapsed="false">
      <c r="B266" s="2" t="n">
        <v>264</v>
      </c>
      <c r="C266" s="2" t="n">
        <v>0.0891511104497143</v>
      </c>
      <c r="D266" s="2" t="n">
        <v>0.0657156105931947</v>
      </c>
      <c r="E266" s="2" t="n">
        <v>8.67018629054556E-012</v>
      </c>
    </row>
    <row r="267" customFormat="false" ht="13.8" hidden="false" customHeight="false" outlineLevel="0" collapsed="false">
      <c r="B267" s="2" t="n">
        <v>265</v>
      </c>
      <c r="C267" s="2" t="n">
        <v>0.0500848152980235</v>
      </c>
      <c r="D267" s="2" t="n">
        <v>0.099999999220079</v>
      </c>
      <c r="E267" s="2" t="n">
        <v>8.31553303505901E-012</v>
      </c>
    </row>
    <row r="268" customFormat="false" ht="13.8" hidden="false" customHeight="false" outlineLevel="0" collapsed="false">
      <c r="B268" s="2" t="n">
        <v>266</v>
      </c>
      <c r="C268" s="2" t="n">
        <v>0.0928853986778578</v>
      </c>
      <c r="D268" s="2" t="n">
        <v>0.0999999992665597</v>
      </c>
      <c r="E268" s="2" t="n">
        <v>7.96082146237115E-012</v>
      </c>
    </row>
    <row r="269" customFormat="false" ht="13.8" hidden="false" customHeight="false" outlineLevel="0" collapsed="false">
      <c r="B269" s="2" t="n">
        <v>267</v>
      </c>
      <c r="C269" s="2" t="n">
        <v>0.0554029487243617</v>
      </c>
      <c r="D269" s="2" t="n">
        <v>0.0999999993130409</v>
      </c>
      <c r="E269" s="2" t="n">
        <v>7.60603977519995E-012</v>
      </c>
    </row>
    <row r="270" customFormat="false" ht="13.8" hidden="false" customHeight="false" outlineLevel="0" collapsed="false">
      <c r="B270" s="2" t="n">
        <v>268</v>
      </c>
      <c r="C270" s="2" t="n">
        <v>0.106236565437531</v>
      </c>
      <c r="D270" s="2" t="n">
        <v>0.0999999993595225</v>
      </c>
      <c r="E270" s="2" t="n">
        <v>7.25133696589419E-012</v>
      </c>
    </row>
    <row r="271" customFormat="false" ht="13.8" hidden="false" customHeight="false" outlineLevel="0" collapsed="false">
      <c r="B271" s="2" t="n">
        <v>269</v>
      </c>
      <c r="C271" s="2" t="n">
        <v>0.0822527321507014</v>
      </c>
      <c r="D271" s="2" t="n">
        <v>0.0999999994060046</v>
      </c>
      <c r="E271" s="2" t="n">
        <v>6.89659095561145E-012</v>
      </c>
    </row>
    <row r="272" customFormat="false" ht="13.8" hidden="false" customHeight="false" outlineLevel="0" collapsed="false">
      <c r="B272" s="2" t="n">
        <v>270</v>
      </c>
      <c r="C272" s="2" t="n">
        <v>0.135585332197205</v>
      </c>
      <c r="D272" s="2" t="n">
        <v>0.0999999994524871</v>
      </c>
      <c r="E272" s="2" t="n">
        <v>6.54179850303536E-012</v>
      </c>
    </row>
    <row r="273" customFormat="false" ht="13.8" hidden="false" customHeight="false" outlineLevel="0" collapsed="false">
      <c r="B273" s="2" t="n">
        <v>271</v>
      </c>
      <c r="C273" s="2" t="n">
        <v>0.0749529822437106</v>
      </c>
      <c r="D273" s="2" t="n">
        <v>0.09999999949897</v>
      </c>
      <c r="E273" s="2" t="n">
        <v>6.18708034026226E-012</v>
      </c>
    </row>
    <row r="274" customFormat="false" ht="13.8" hidden="false" customHeight="false" outlineLevel="0" collapsed="false">
      <c r="B274" s="2" t="n">
        <v>272</v>
      </c>
      <c r="C274" s="2" t="n">
        <v>0.129270248956882</v>
      </c>
      <c r="D274" s="2" t="n">
        <v>0.0999999995454534</v>
      </c>
      <c r="E274" s="2" t="n">
        <v>5.83232493791518E-012</v>
      </c>
    </row>
    <row r="275" customFormat="false" ht="13.8" hidden="false" customHeight="false" outlineLevel="0" collapsed="false">
      <c r="B275" s="2" t="n">
        <v>273</v>
      </c>
      <c r="C275" s="2" t="n">
        <v>0.0980539823367213</v>
      </c>
      <c r="D275" s="2" t="n">
        <v>0.0999999995919371</v>
      </c>
      <c r="E275" s="2" t="n">
        <v>5.47755784148245E-012</v>
      </c>
    </row>
    <row r="276" customFormat="false" ht="13.8" hidden="false" customHeight="false" outlineLevel="0" collapsed="false">
      <c r="B276" s="2" t="n">
        <v>274</v>
      </c>
      <c r="C276" s="2" t="n">
        <v>0.131586949049894</v>
      </c>
      <c r="D276" s="2" t="n">
        <v>0.0999999996384212</v>
      </c>
      <c r="E276" s="2" t="n">
        <v>5.12279094504613E-012</v>
      </c>
    </row>
    <row r="277" customFormat="false" ht="13.8" hidden="false" customHeight="false" outlineLevel="0" collapsed="false">
      <c r="B277" s="2" t="n">
        <v>275</v>
      </c>
      <c r="C277" s="2" t="n">
        <v>0.0836371157630676</v>
      </c>
      <c r="D277" s="2" t="n">
        <v>0.0999999996849056</v>
      </c>
      <c r="E277" s="2" t="n">
        <v>4.76801235452356E-012</v>
      </c>
    </row>
    <row r="278" customFormat="false" ht="13.8" hidden="false" customHeight="false" outlineLevel="0" collapsed="false">
      <c r="B278" s="2" t="n">
        <v>276</v>
      </c>
      <c r="C278" s="2" t="n">
        <v>0.109820215809574</v>
      </c>
      <c r="D278" s="2" t="n">
        <v>0.0999999997313902</v>
      </c>
      <c r="E278" s="2" t="n">
        <v>4.4132416433903E-012</v>
      </c>
    </row>
    <row r="279" customFormat="false" ht="13.8" hidden="false" customHeight="false" outlineLevel="0" collapsed="false">
      <c r="B279" s="2" t="n">
        <v>277</v>
      </c>
      <c r="C279" s="2" t="n">
        <v>0.111920715856082</v>
      </c>
      <c r="D279" s="2" t="n">
        <v>0.0999999997778748</v>
      </c>
      <c r="E279" s="2" t="n">
        <v>4.05846141785057E-012</v>
      </c>
    </row>
    <row r="280" customFormat="false" ht="13.8" hidden="false" customHeight="false" outlineLevel="0" collapsed="false">
      <c r="B280" s="2" t="n">
        <v>278</v>
      </c>
      <c r="C280" s="2" t="n">
        <v>0.123286749235923</v>
      </c>
      <c r="D280" s="2" t="n">
        <v>0.0999999998243589</v>
      </c>
      <c r="E280" s="2" t="n">
        <v>3.70367562610939E-012</v>
      </c>
    </row>
    <row r="281" customFormat="false" ht="13.8" hidden="false" customHeight="false" outlineLevel="0" collapsed="false">
      <c r="B281" s="2" t="n">
        <v>279</v>
      </c>
      <c r="C281" s="2" t="n">
        <v>0.125603032615765</v>
      </c>
      <c r="D281" s="2" t="n">
        <v>0.0999999998708414</v>
      </c>
      <c r="E281" s="2" t="n">
        <v>3.34891190982353E-012</v>
      </c>
    </row>
    <row r="282" customFormat="false" ht="13.8" hidden="false" customHeight="false" outlineLevel="0" collapsed="false">
      <c r="B282" s="2" t="n">
        <v>280</v>
      </c>
      <c r="C282" s="2" t="n">
        <v>0.127503032662274</v>
      </c>
      <c r="D282" s="2" t="n">
        <v>0.0999999999173222</v>
      </c>
      <c r="E282" s="2" t="n">
        <v>2.99411926624638E-012</v>
      </c>
    </row>
    <row r="283" customFormat="false" ht="13.8" hidden="false" customHeight="false" outlineLevel="0" collapsed="false">
      <c r="B283" s="2" t="n">
        <v>281</v>
      </c>
      <c r="C283" s="2" t="n">
        <v>0.100237032728887</v>
      </c>
      <c r="D283" s="2" t="n">
        <v>0.0889753792819169</v>
      </c>
      <c r="E283" s="2" t="n">
        <v>2.4082537526141E-012</v>
      </c>
    </row>
    <row r="284" customFormat="false" ht="13.8" hidden="false" customHeight="false" outlineLevel="0" collapsed="false">
      <c r="B284" s="2" t="n">
        <v>282</v>
      </c>
      <c r="C284" s="2" t="n">
        <v>0.0824708327522231</v>
      </c>
      <c r="D284" s="2" t="n">
        <v>0.0413309857927968</v>
      </c>
      <c r="E284" s="2" t="n">
        <v>2.31985906310831E-012</v>
      </c>
    </row>
    <row r="285" customFormat="false" ht="13.8" hidden="false" customHeight="false" outlineLevel="0" collapsed="false">
      <c r="B285" s="2" t="n">
        <v>283</v>
      </c>
      <c r="C285" s="2" t="n">
        <v>0.0292544661088938</v>
      </c>
      <c r="D285" s="2" t="n">
        <v>0.0211369585621076</v>
      </c>
      <c r="E285" s="2" t="n">
        <v>2.23146739568315E-012</v>
      </c>
    </row>
    <row r="286" customFormat="false" ht="13.8" hidden="false" customHeight="false" outlineLevel="0" collapsed="false">
      <c r="B286" s="2" t="n">
        <v>284</v>
      </c>
      <c r="C286" s="2" t="n">
        <v>0.0412705827988973</v>
      </c>
      <c r="D286" s="2" t="n">
        <v>0.0149197876040585</v>
      </c>
      <c r="E286" s="2" t="n">
        <v>2.14306289565719E-012</v>
      </c>
    </row>
    <row r="287" customFormat="false" ht="13.8" hidden="false" customHeight="false" outlineLevel="0" collapsed="false">
      <c r="B287" s="2" t="n">
        <v>285</v>
      </c>
      <c r="C287" s="2" t="n">
        <v>0.0563370494889011</v>
      </c>
      <c r="D287" s="2" t="n">
        <v>0.0129625157443321</v>
      </c>
      <c r="E287" s="2" t="n">
        <v>2.05467750609905E-012</v>
      </c>
    </row>
    <row r="288" customFormat="false" ht="13.8" hidden="false" customHeight="false" outlineLevel="0" collapsed="false">
      <c r="B288" s="2" t="n">
        <v>286</v>
      </c>
      <c r="C288" s="2" t="n">
        <v>0.0514531661789053</v>
      </c>
      <c r="D288" s="2" t="n">
        <v>0.0124244213872962</v>
      </c>
      <c r="E288" s="2" t="n">
        <v>1.96628500865159E-012</v>
      </c>
    </row>
    <row r="289" customFormat="false" ht="13.8" hidden="false" customHeight="false" outlineLevel="0" collapsed="false">
      <c r="B289" s="2" t="n">
        <v>287</v>
      </c>
      <c r="C289" s="2" t="n">
        <v>0.0474855662022431</v>
      </c>
      <c r="D289" s="2" t="n">
        <v>0.0179862634761895</v>
      </c>
      <c r="E289" s="2" t="n">
        <v>1.87790063526511E-012</v>
      </c>
    </row>
    <row r="290" customFormat="false" ht="13.8" hidden="false" customHeight="false" outlineLevel="0" collapsed="false">
      <c r="B290" s="2" t="n">
        <v>288</v>
      </c>
      <c r="C290" s="2" t="n">
        <v>0.0842696828922477</v>
      </c>
      <c r="D290" s="2" t="n">
        <v>0.000718138279429242</v>
      </c>
      <c r="E290" s="2" t="n">
        <v>1.78950517123765E-012</v>
      </c>
    </row>
    <row r="291" customFormat="false" ht="13.8" hidden="false" customHeight="false" outlineLevel="0" collapsed="false">
      <c r="B291" s="2" t="n">
        <v>289</v>
      </c>
      <c r="C291" s="2" t="n">
        <v>0.014386199582171</v>
      </c>
      <c r="D291" s="2" t="n">
        <v>1.37130811957719E-011</v>
      </c>
      <c r="E291" s="2" t="n">
        <v>1.68894625709345E-012</v>
      </c>
    </row>
    <row r="292" customFormat="false" ht="13.8" hidden="false" customHeight="false" outlineLevel="0" collapsed="false">
      <c r="B292" s="2" t="n">
        <v>290</v>
      </c>
      <c r="C292" s="2" t="n">
        <v>0.0266354996055914</v>
      </c>
      <c r="D292" s="2" t="n">
        <v>0.00512458178821887</v>
      </c>
      <c r="E292" s="2" t="n">
        <v>1.61272586460421E-012</v>
      </c>
    </row>
    <row r="293" customFormat="false" ht="13.8" hidden="false" customHeight="false" outlineLevel="0" collapsed="false">
      <c r="B293" s="2" t="n">
        <v>291</v>
      </c>
      <c r="C293" s="2" t="n">
        <v>0.0496180496289299</v>
      </c>
      <c r="D293" s="2" t="n">
        <v>0.0122428442149638</v>
      </c>
      <c r="E293" s="2" t="n">
        <v>1.52433409132721E-012</v>
      </c>
    </row>
    <row r="294" customFormat="false" ht="13.8" hidden="false" customHeight="false" outlineLevel="0" collapsed="false">
      <c r="B294" s="2" t="n">
        <v>292</v>
      </c>
      <c r="C294" s="2" t="n">
        <v>0.0402171496522689</v>
      </c>
      <c r="D294" s="2" t="n">
        <v>0.0230185099529774</v>
      </c>
      <c r="E294" s="2" t="n">
        <v>1.4359451094077E-012</v>
      </c>
    </row>
    <row r="295" customFormat="false" ht="13.8" hidden="false" customHeight="false" outlineLevel="0" collapsed="false">
      <c r="B295" s="2" t="n">
        <v>293</v>
      </c>
      <c r="C295" s="2" t="n">
        <v>0.0418501663422747</v>
      </c>
      <c r="D295" s="2" t="n">
        <v>0.0158228072612677</v>
      </c>
      <c r="E295" s="2" t="n">
        <v>1.34755288427818E-012</v>
      </c>
    </row>
    <row r="296" customFormat="false" ht="13.8" hidden="false" customHeight="false" outlineLevel="0" collapsed="false">
      <c r="B296" s="2" t="n">
        <v>294</v>
      </c>
      <c r="C296" s="2" t="n">
        <v>0.0441502496989474</v>
      </c>
      <c r="D296" s="2" t="n">
        <v>0.0224597530797053</v>
      </c>
      <c r="E296" s="2" t="n">
        <v>1.25916853856048E-012</v>
      </c>
    </row>
    <row r="297" customFormat="false" ht="13.8" hidden="false" customHeight="false" outlineLevel="0" collapsed="false">
      <c r="B297" s="2" t="n">
        <v>295</v>
      </c>
      <c r="C297" s="2" t="n">
        <v>0.0246004163889538</v>
      </c>
      <c r="D297" s="2" t="n">
        <v>0.025095383637483</v>
      </c>
      <c r="E297" s="2" t="n">
        <v>1.17076320133796E-012</v>
      </c>
    </row>
    <row r="298" customFormat="false" ht="13.8" hidden="false" customHeight="false" outlineLevel="0" collapsed="false">
      <c r="B298" s="2" t="n">
        <v>296</v>
      </c>
      <c r="C298" s="2" t="n">
        <v>0.036900349745627</v>
      </c>
      <c r="D298" s="2" t="n">
        <v>0.0263864811126111</v>
      </c>
      <c r="E298" s="2" t="n">
        <v>1.08236373618407E-012</v>
      </c>
    </row>
    <row r="299" customFormat="false" ht="13.8" hidden="false" customHeight="false" outlineLevel="0" collapsed="false">
      <c r="B299" s="2" t="n">
        <v>297</v>
      </c>
      <c r="C299" s="2" t="n">
        <v>0.0247333997689671</v>
      </c>
      <c r="D299" s="2" t="n">
        <v>0.025169136903312</v>
      </c>
      <c r="E299" s="2" t="n">
        <v>9.93971636047982E-013</v>
      </c>
    </row>
    <row r="300" customFormat="false" ht="13.8" hidden="false" customHeight="false" outlineLevel="0" collapsed="false">
      <c r="B300" s="2" t="n">
        <v>298</v>
      </c>
      <c r="C300" s="2" t="n">
        <v>0.0483001664589741</v>
      </c>
      <c r="D300" s="2" t="n">
        <v>0.0207545136646719</v>
      </c>
      <c r="E300" s="2" t="n">
        <v>9.05563877171342E-013</v>
      </c>
    </row>
    <row r="301" customFormat="false" ht="13.8" hidden="false" customHeight="false" outlineLevel="0" collapsed="false">
      <c r="B301" s="2" t="n">
        <v>299</v>
      </c>
      <c r="C301" s="2" t="n">
        <v>0.0136335998156481</v>
      </c>
      <c r="D301" s="2" t="n">
        <v>0.0307376792712048</v>
      </c>
      <c r="E301" s="2" t="n">
        <v>8.17165528153984E-013</v>
      </c>
    </row>
    <row r="302" customFormat="false" ht="13.8" hidden="false" customHeight="false" outlineLevel="0" collapsed="false">
      <c r="B302" s="2" t="n">
        <v>300</v>
      </c>
      <c r="C302" s="2" t="n">
        <v>0.0416837498389888</v>
      </c>
      <c r="D302" s="2" t="n">
        <v>0.0240581646458886</v>
      </c>
      <c r="E302" s="2" t="n">
        <v>7.28766125498224E-013</v>
      </c>
    </row>
    <row r="303" customFormat="false" ht="13.8" hidden="false" customHeight="false" outlineLevel="0" collapsed="false">
      <c r="B303" s="2" t="n">
        <v>301</v>
      </c>
      <c r="C303" s="2" t="n">
        <v>0.0121502665289966</v>
      </c>
      <c r="D303" s="2" t="n">
        <v>0.0314495636726326</v>
      </c>
      <c r="E303" s="2" t="n">
        <v>6.40361904441264E-013</v>
      </c>
    </row>
    <row r="304" customFormat="false" ht="13.8" hidden="false" customHeight="false" outlineLevel="0" collapsed="false">
      <c r="B304" s="2" t="n">
        <v>302</v>
      </c>
      <c r="C304" s="2" t="n">
        <v>0.0279167498856712</v>
      </c>
      <c r="D304" s="2" t="n">
        <v>0.0308582635929464</v>
      </c>
      <c r="E304" s="2" t="n">
        <v>5.51963555455791E-013</v>
      </c>
    </row>
    <row r="305" customFormat="false" ht="13.8" hidden="false" customHeight="false" outlineLevel="0" collapsed="false">
      <c r="B305" s="2" t="n">
        <v>303</v>
      </c>
      <c r="C305" s="2" t="n">
        <v>0.0476166999090127</v>
      </c>
      <c r="D305" s="2" t="n">
        <v>0.013560297205135</v>
      </c>
      <c r="E305" s="2" t="n">
        <v>4.63559359397217E-013</v>
      </c>
    </row>
    <row r="306" customFormat="false" ht="13.8" hidden="false" customHeight="false" outlineLevel="0" collapsed="false">
      <c r="B306" s="2" t="n">
        <v>304</v>
      </c>
      <c r="C306" s="2" t="n">
        <v>0.0382335999323544</v>
      </c>
      <c r="D306" s="2" t="n">
        <v>0.0253344571709181</v>
      </c>
      <c r="E306" s="2" t="n">
        <v>3.75152327347911E-013</v>
      </c>
    </row>
    <row r="307" customFormat="false" ht="13.8" hidden="false" customHeight="false" outlineLevel="0" collapsed="false">
      <c r="B307" s="2" t="n">
        <v>305</v>
      </c>
      <c r="C307" s="2" t="n">
        <v>0.0493667499556964</v>
      </c>
      <c r="D307" s="2" t="n">
        <v>0.0118951729290054</v>
      </c>
      <c r="E307" s="2" t="n">
        <v>2.86748645624308E-013</v>
      </c>
    </row>
    <row r="308" customFormat="false" ht="13.8" hidden="false" customHeight="false" outlineLevel="0" collapsed="false">
      <c r="B308" s="2" t="n">
        <v>306</v>
      </c>
      <c r="C308" s="2" t="n">
        <v>0.0385835499790469</v>
      </c>
      <c r="D308" s="2" t="n">
        <v>0.0234607738197789</v>
      </c>
      <c r="E308" s="2" t="n">
        <v>1.9856285621319E-013</v>
      </c>
    </row>
    <row r="309" customFormat="false" ht="13.8" hidden="false" customHeight="false" outlineLevel="0" collapsed="false">
      <c r="B309" s="2" t="n">
        <v>307</v>
      </c>
      <c r="C309" s="2" t="n">
        <v>0.0404767379486321</v>
      </c>
      <c r="D309" s="2" t="n">
        <v>0.0126830039191329</v>
      </c>
      <c r="E309" s="2" t="n">
        <v>1.10906716453173E-013</v>
      </c>
    </row>
    <row r="310" customFormat="false" ht="13.8" hidden="false" customHeight="false" outlineLevel="0" collapsed="false">
      <c r="B310" s="2" t="n">
        <v>308</v>
      </c>
      <c r="C310" s="2" t="n">
        <v>2.6993598653406E-010</v>
      </c>
      <c r="D310" s="2" t="n">
        <v>0.0348750692249518</v>
      </c>
      <c r="E310" s="2" t="n">
        <v>0</v>
      </c>
    </row>
    <row r="311" customFormat="false" ht="13.8" hidden="false" customHeight="false" outlineLevel="0" collapsed="false">
      <c r="B311" s="2" t="n">
        <v>309</v>
      </c>
      <c r="C311" s="2" t="n">
        <v>5.39956969493949E-010</v>
      </c>
      <c r="D311" s="2" t="n">
        <v>0.00930917571682751</v>
      </c>
      <c r="E311" s="2" t="n">
        <v>0</v>
      </c>
    </row>
    <row r="312" customFormat="false" ht="13.8" hidden="false" customHeight="false" outlineLevel="0" collapsed="false">
      <c r="B312" s="2" t="n">
        <v>310</v>
      </c>
      <c r="C312" s="2" t="n">
        <v>0.0106416769007854</v>
      </c>
      <c r="D312" s="2" t="n">
        <v>6.40569193330022E-013</v>
      </c>
      <c r="E312" s="2" t="n">
        <v>9.56405615783122E-014</v>
      </c>
    </row>
    <row r="313" customFormat="false" ht="13.8" hidden="false" customHeight="false" outlineLevel="0" collapsed="false">
      <c r="B313" s="2" t="n">
        <v>311</v>
      </c>
      <c r="C313" s="2" t="n">
        <v>0.00240396041358793</v>
      </c>
      <c r="D313" s="2" t="n">
        <v>1.58203022539735E-010</v>
      </c>
      <c r="E313" s="2" t="n">
        <v>3.21199391638593E-010</v>
      </c>
    </row>
    <row r="314" customFormat="false" ht="13.8" hidden="false" customHeight="false" outlineLevel="0" collapsed="false">
      <c r="B314" s="2" t="n">
        <v>312</v>
      </c>
      <c r="C314" s="2" t="n">
        <v>0.0292454745129227</v>
      </c>
      <c r="D314" s="2" t="n">
        <v>3.90199752621759E-014</v>
      </c>
      <c r="E314" s="2" t="n">
        <v>0</v>
      </c>
    </row>
    <row r="315" customFormat="false" ht="13.8" hidden="false" customHeight="false" outlineLevel="0" collapsed="false">
      <c r="B315" s="2" t="n">
        <v>313</v>
      </c>
      <c r="C315" s="2" t="n">
        <v>0.0389662771362599</v>
      </c>
      <c r="D315" s="2" t="n">
        <v>3.87947185689927E-014</v>
      </c>
      <c r="E315" s="2" t="n">
        <v>2.60105402268131E-013</v>
      </c>
    </row>
    <row r="316" customFormat="false" ht="13.8" hidden="false" customHeight="false" outlineLevel="0" collapsed="false">
      <c r="B316" s="2" t="n">
        <v>314</v>
      </c>
      <c r="C316" s="2" t="n">
        <v>0.0394344960252569</v>
      </c>
      <c r="D316" s="2" t="n">
        <v>9.80064486125462E-014</v>
      </c>
      <c r="E316" s="2" t="n">
        <v>0</v>
      </c>
    </row>
    <row r="317" customFormat="false" ht="13.8" hidden="false" customHeight="false" outlineLevel="0" collapsed="false">
      <c r="B317" s="2" t="n">
        <v>315</v>
      </c>
      <c r="C317" s="2" t="n">
        <v>0.060036294842654</v>
      </c>
      <c r="D317" s="2" t="n">
        <v>0</v>
      </c>
      <c r="E317" s="2" t="n">
        <v>0</v>
      </c>
    </row>
    <row r="318" customFormat="false" ht="13.8" hidden="false" customHeight="false" outlineLevel="0" collapsed="false">
      <c r="B318" s="2" t="n">
        <v>316</v>
      </c>
      <c r="C318" s="2" t="n">
        <v>0.0248966134719492</v>
      </c>
      <c r="D318" s="2" t="n">
        <v>0</v>
      </c>
      <c r="E318" s="2" t="n">
        <v>0</v>
      </c>
    </row>
    <row r="319" customFormat="false" ht="13.8" hidden="false" customHeight="false" outlineLevel="0" collapsed="false">
      <c r="B319" s="2" t="n">
        <v>317</v>
      </c>
      <c r="C319" s="2" t="n">
        <v>0.045907398767911</v>
      </c>
      <c r="D319" s="2" t="n">
        <v>0</v>
      </c>
      <c r="E319" s="2" t="n">
        <v>9.63868095429973E-017</v>
      </c>
    </row>
    <row r="320" customFormat="false" ht="13.8" hidden="false" customHeight="false" outlineLevel="0" collapsed="false">
      <c r="B320" s="2" t="n">
        <v>318</v>
      </c>
      <c r="C320" s="2" t="n">
        <v>0.034576117926024</v>
      </c>
      <c r="D320" s="2" t="n">
        <v>0</v>
      </c>
      <c r="E320" s="2" t="n">
        <v>2.36293559681727E-017</v>
      </c>
    </row>
    <row r="321" customFormat="false" ht="13.8" hidden="false" customHeight="false" outlineLevel="0" collapsed="false">
      <c r="B321" s="2" t="n">
        <v>319</v>
      </c>
      <c r="C321" s="2" t="n">
        <v>5.98550693379658E-009</v>
      </c>
      <c r="D321" s="2" t="n">
        <v>6.61907365638742E-009</v>
      </c>
      <c r="E321" s="2" t="n">
        <v>5.98551805704666E-009</v>
      </c>
    </row>
    <row r="322" customFormat="false" ht="13.8" hidden="false" customHeight="false" outlineLevel="0" collapsed="false">
      <c r="B322" s="2" t="n">
        <v>320</v>
      </c>
      <c r="C322" s="2" t="n">
        <v>4.88398169642033E-009</v>
      </c>
      <c r="D322" s="2" t="n">
        <v>5.40095170870346E-009</v>
      </c>
      <c r="E322" s="2" t="n">
        <v>4.88414789710087E-009</v>
      </c>
    </row>
    <row r="323" customFormat="false" ht="13.8" hidden="false" customHeight="false" outlineLevel="0" collapsed="false">
      <c r="B323" s="2" t="n">
        <v>321</v>
      </c>
      <c r="C323" s="2" t="n">
        <v>0.0110501420670295</v>
      </c>
      <c r="D323" s="2" t="n">
        <v>0</v>
      </c>
      <c r="E323" s="2" t="n">
        <v>0</v>
      </c>
    </row>
    <row r="324" customFormat="false" ht="13.8" hidden="false" customHeight="false" outlineLevel="0" collapsed="false">
      <c r="B324" s="2" t="n">
        <v>322</v>
      </c>
      <c r="C324" s="2" t="n">
        <v>0.0103660401781077</v>
      </c>
      <c r="D324" s="2" t="n">
        <v>0</v>
      </c>
      <c r="E324" s="2" t="n">
        <v>0</v>
      </c>
    </row>
    <row r="325" customFormat="false" ht="13.8" hidden="false" customHeight="false" outlineLevel="0" collapsed="false">
      <c r="B325" s="2" t="n">
        <v>323</v>
      </c>
      <c r="C325" s="2" t="n">
        <v>6.71039336065141E-016</v>
      </c>
      <c r="D325" s="2" t="n">
        <v>0</v>
      </c>
      <c r="E325" s="2" t="n">
        <v>4.660695085659E-016</v>
      </c>
    </row>
    <row r="326" customFormat="false" ht="13.8" hidden="false" customHeight="false" outlineLevel="0" collapsed="false">
      <c r="B326" s="2" t="n">
        <v>324</v>
      </c>
      <c r="C326" s="2" t="n">
        <v>0</v>
      </c>
      <c r="D326" s="2" t="n">
        <v>9.93386462719697E-021</v>
      </c>
      <c r="E326" s="2" t="n">
        <v>4.35483912771851E-017</v>
      </c>
    </row>
    <row r="327" customFormat="false" ht="13.8" hidden="false" customHeight="false" outlineLevel="0" collapsed="false">
      <c r="B327" s="2" t="n">
        <v>325</v>
      </c>
      <c r="C327" s="2" t="n">
        <v>1.6634000018264E-010</v>
      </c>
      <c r="D327" s="2" t="n">
        <v>8.32493827020993E-011</v>
      </c>
      <c r="E327" s="2" t="n">
        <v>8.30904563759219E-011</v>
      </c>
    </row>
    <row r="328" customFormat="false" ht="13.8" hidden="false" customHeight="false" outlineLevel="0" collapsed="false">
      <c r="B328" s="2" t="n">
        <v>326</v>
      </c>
      <c r="C328" s="2" t="n">
        <v>0.00669348260265961</v>
      </c>
      <c r="D328" s="2" t="n">
        <v>0</v>
      </c>
      <c r="E328" s="2" t="n">
        <v>0</v>
      </c>
    </row>
    <row r="329" customFormat="false" ht="13.8" hidden="false" customHeight="false" outlineLevel="0" collapsed="false">
      <c r="B329" s="2" t="n">
        <v>327</v>
      </c>
      <c r="C329" s="2" t="n">
        <v>3.93538151322788E-012</v>
      </c>
      <c r="D329" s="2" t="n">
        <v>1.96947946601767E-012</v>
      </c>
      <c r="E329" s="2" t="n">
        <v>1.9657132998971E-012</v>
      </c>
    </row>
    <row r="330" customFormat="false" ht="13.8" hidden="false" customHeight="false" outlineLevel="0" collapsed="false">
      <c r="B330" s="2" t="n">
        <v>328</v>
      </c>
      <c r="C330" s="2" t="n">
        <v>1.10627867278008E-015</v>
      </c>
      <c r="D330" s="2" t="n">
        <v>4.05235620151754E-016</v>
      </c>
      <c r="E330" s="2" t="n">
        <v>0</v>
      </c>
    </row>
    <row r="331" customFormat="false" ht="13.8" hidden="false" customHeight="false" outlineLevel="0" collapsed="false">
      <c r="B331" s="2" t="n">
        <v>329</v>
      </c>
      <c r="C331" s="2" t="n">
        <v>5.99725659271159E-012</v>
      </c>
      <c r="D331" s="2" t="n">
        <v>2.99630344864646E-012</v>
      </c>
      <c r="E331" s="2" t="n">
        <v>2.99566281997239E-012</v>
      </c>
    </row>
    <row r="332" customFormat="false" ht="13.8" hidden="false" customHeight="false" outlineLevel="0" collapsed="false">
      <c r="B332" s="2" t="n">
        <v>330</v>
      </c>
      <c r="C332" s="2" t="n">
        <v>2.16603352594799E-016</v>
      </c>
      <c r="D332" s="2" t="n">
        <v>0</v>
      </c>
      <c r="E332" s="2" t="n">
        <v>5.50116791455331E-017</v>
      </c>
    </row>
    <row r="333" customFormat="false" ht="13.8" hidden="false" customHeight="false" outlineLevel="0" collapsed="false">
      <c r="B333" s="2" t="n">
        <v>331</v>
      </c>
      <c r="C333" s="2" t="n">
        <v>2.08325665391924E-013</v>
      </c>
      <c r="D333" s="2" t="n">
        <v>1.03576131285385E-013</v>
      </c>
      <c r="E333" s="2" t="n">
        <v>1.04011412895132E-013</v>
      </c>
    </row>
    <row r="334" customFormat="false" ht="13.8" hidden="false" customHeight="false" outlineLevel="0" collapsed="false">
      <c r="B334" s="2" t="n">
        <v>332</v>
      </c>
      <c r="C334" s="2" t="n">
        <v>3.67951108285513E-016</v>
      </c>
      <c r="D334" s="2" t="n">
        <v>0</v>
      </c>
      <c r="E334" s="2" t="n">
        <v>2.52986073765985E-016</v>
      </c>
    </row>
    <row r="335" customFormat="false" ht="13.8" hidden="false" customHeight="false" outlineLevel="0" collapsed="false">
      <c r="B335" s="2" t="n">
        <v>333</v>
      </c>
      <c r="C335" s="2" t="n">
        <v>2.60237154090565E-012</v>
      </c>
      <c r="D335" s="2" t="n">
        <v>2.60112076689815E-012</v>
      </c>
      <c r="E335" s="2" t="n">
        <v>5.20910190502444E-012</v>
      </c>
    </row>
    <row r="336" customFormat="false" ht="13.8" hidden="false" customHeight="false" outlineLevel="0" collapsed="false">
      <c r="B336" s="2" t="n">
        <v>334</v>
      </c>
      <c r="C336" s="2" t="n">
        <v>1.7821209780169E-011</v>
      </c>
      <c r="D336" s="2" t="n">
        <v>0</v>
      </c>
      <c r="E336" s="2" t="n">
        <v>0</v>
      </c>
    </row>
    <row r="337" customFormat="false" ht="13.8" hidden="false" customHeight="false" outlineLevel="0" collapsed="false">
      <c r="B337" s="2" t="n">
        <v>335</v>
      </c>
      <c r="C337" s="2" t="n">
        <v>6.34884269890839E-012</v>
      </c>
      <c r="D337" s="2" t="n">
        <v>6.34632510265436E-012</v>
      </c>
      <c r="E337" s="2" t="n">
        <v>1.27079980617575E-011</v>
      </c>
    </row>
    <row r="338" customFormat="false" ht="13.8" hidden="false" customHeight="false" outlineLevel="0" collapsed="false">
      <c r="B338" s="2" t="n">
        <v>336</v>
      </c>
      <c r="C338" s="2" t="n">
        <v>3.42407461424174E-011</v>
      </c>
      <c r="D338" s="2" t="n">
        <v>3.42339407958422E-011</v>
      </c>
      <c r="E338" s="2" t="n">
        <v>6.85375665713246E-011</v>
      </c>
    </row>
    <row r="339" customFormat="false" ht="13.8" hidden="false" customHeight="false" outlineLevel="0" collapsed="false">
      <c r="B339" s="2" t="n">
        <v>337</v>
      </c>
      <c r="C339" s="2" t="n">
        <v>8.02194988281858E-012</v>
      </c>
      <c r="D339" s="2" t="n">
        <v>8.01748928311117E-012</v>
      </c>
      <c r="E339" s="2" t="n">
        <v>1.60551200575758E-011</v>
      </c>
    </row>
    <row r="340" customFormat="false" ht="13.8" hidden="false" customHeight="false" outlineLevel="0" collapsed="false">
      <c r="B340" s="2" t="n">
        <v>338</v>
      </c>
      <c r="C340" s="2" t="n">
        <v>1.18363361500811E-010</v>
      </c>
      <c r="D340" s="2" t="n">
        <v>0</v>
      </c>
      <c r="E340" s="2" t="n">
        <v>0</v>
      </c>
    </row>
    <row r="341" customFormat="false" ht="13.8" hidden="false" customHeight="false" outlineLevel="0" collapsed="false">
      <c r="B341" s="2" t="n">
        <v>339</v>
      </c>
      <c r="C341" s="2" t="n">
        <v>5.25871910944124E-015</v>
      </c>
      <c r="D341" s="2" t="n">
        <v>0</v>
      </c>
      <c r="E341" s="2" t="n">
        <v>4.83310852325695E-016</v>
      </c>
    </row>
    <row r="342" customFormat="false" ht="13.8" hidden="false" customHeight="false" outlineLevel="0" collapsed="false">
      <c r="B342" s="2" t="n">
        <v>340</v>
      </c>
      <c r="C342" s="2" t="n">
        <v>1.80555795149868E-015</v>
      </c>
      <c r="D342" s="2" t="n">
        <v>0</v>
      </c>
      <c r="E342" s="2" t="n">
        <v>0</v>
      </c>
    </row>
    <row r="343" customFormat="false" ht="13.8" hidden="false" customHeight="false" outlineLevel="0" collapsed="false">
      <c r="B343" s="2" t="n">
        <v>341</v>
      </c>
      <c r="C343" s="2" t="n">
        <v>2.82432892766647E-015</v>
      </c>
      <c r="D343" s="2" t="n">
        <v>0</v>
      </c>
      <c r="E343" s="2" t="n">
        <v>0</v>
      </c>
    </row>
    <row r="344" customFormat="false" ht="13.8" hidden="false" customHeight="false" outlineLevel="0" collapsed="false">
      <c r="B344" s="2" t="n">
        <v>342</v>
      </c>
      <c r="C344" s="2" t="n">
        <v>3.35900372459382E-015</v>
      </c>
      <c r="D344" s="2" t="n">
        <v>0</v>
      </c>
      <c r="E344" s="2" t="n">
        <v>0</v>
      </c>
    </row>
    <row r="345" customFormat="false" ht="13.8" hidden="false" customHeight="false" outlineLevel="0" collapsed="false">
      <c r="B345" s="2" t="n">
        <v>343</v>
      </c>
      <c r="C345" s="2" t="n">
        <v>0</v>
      </c>
      <c r="D345" s="2" t="n">
        <v>3.62964397574584E-009</v>
      </c>
      <c r="E345" s="2" t="n">
        <v>0</v>
      </c>
    </row>
    <row r="346" customFormat="false" ht="13.8" hidden="false" customHeight="false" outlineLevel="0" collapsed="false">
      <c r="B346" s="2" t="n">
        <v>344</v>
      </c>
      <c r="C346" s="2" t="n">
        <v>3.5435667618481E-015</v>
      </c>
      <c r="D346" s="2" t="n">
        <v>0</v>
      </c>
      <c r="E346" s="2" t="n">
        <v>0</v>
      </c>
    </row>
    <row r="347" customFormat="false" ht="13.8" hidden="false" customHeight="false" outlineLevel="0" collapsed="false">
      <c r="B347" s="2" t="n">
        <v>345</v>
      </c>
      <c r="C347" s="2" t="n">
        <v>0.00755129812864832</v>
      </c>
      <c r="D347" s="2" t="n">
        <v>2.71140302698482E-015</v>
      </c>
      <c r="E347" s="2" t="n">
        <v>2.4461168359225E-015</v>
      </c>
    </row>
    <row r="348" customFormat="false" ht="13.8" hidden="false" customHeight="false" outlineLevel="0" collapsed="false">
      <c r="B348" s="2" t="n">
        <v>346</v>
      </c>
      <c r="C348" s="2" t="n">
        <v>0.0126014829306339</v>
      </c>
      <c r="D348" s="2" t="n">
        <v>2.96254133426562E-015</v>
      </c>
      <c r="E348" s="2" t="n">
        <v>2.72913532577544E-015</v>
      </c>
    </row>
    <row r="349" customFormat="false" ht="13.8" hidden="false" customHeight="false" outlineLevel="0" collapsed="false">
      <c r="B349" s="2" t="n">
        <v>347</v>
      </c>
      <c r="C349" s="2" t="n">
        <v>0.0171184510659723</v>
      </c>
      <c r="D349" s="2" t="n">
        <v>3.7941588883471E-015</v>
      </c>
      <c r="E349" s="2" t="n">
        <v>2.990073600058E-015</v>
      </c>
    </row>
    <row r="350" customFormat="false" ht="13.8" hidden="false" customHeight="false" outlineLevel="0" collapsed="false">
      <c r="B350" s="2" t="n">
        <v>348</v>
      </c>
      <c r="C350" s="2" t="n">
        <v>0.0215023525346308</v>
      </c>
      <c r="D350" s="2" t="n">
        <v>4.23217879909108E-015</v>
      </c>
      <c r="E350" s="2" t="n">
        <v>3.28011270615343E-015</v>
      </c>
    </row>
    <row r="351" customFormat="false" ht="13.8" hidden="false" customHeight="false" outlineLevel="0" collapsed="false">
      <c r="B351" s="2" t="n">
        <v>349</v>
      </c>
      <c r="C351" s="2" t="n">
        <v>0.0261531040032583</v>
      </c>
      <c r="D351" s="2" t="n">
        <v>3.84566258615758E-015</v>
      </c>
      <c r="E351" s="2" t="n">
        <v>3.38451107264832E-015</v>
      </c>
    </row>
    <row r="352" customFormat="false" ht="13.8" hidden="false" customHeight="false" outlineLevel="0" collapsed="false">
      <c r="B352" s="2" t="n">
        <v>350</v>
      </c>
      <c r="C352" s="2" t="n">
        <v>0.024096996483682</v>
      </c>
      <c r="D352" s="2" t="n">
        <v>5.50000051524471E-015</v>
      </c>
      <c r="E352" s="2" t="n">
        <v>3.73074078206576E-015</v>
      </c>
    </row>
    <row r="353" customFormat="false" ht="13.8" hidden="false" customHeight="false" outlineLevel="0" collapsed="false">
      <c r="B353" s="2" t="n">
        <v>351</v>
      </c>
      <c r="C353" s="2" t="n">
        <v>0.0420407889640116</v>
      </c>
      <c r="D353" s="2" t="n">
        <v>4.56340488357526E-015</v>
      </c>
      <c r="E353" s="2" t="n">
        <v>3.81561661193583E-015</v>
      </c>
    </row>
    <row r="354" customFormat="false" ht="13.8" hidden="false" customHeight="false" outlineLevel="0" collapsed="false">
      <c r="B354" s="2" t="n">
        <v>352</v>
      </c>
      <c r="C354" s="2" t="n">
        <v>0.049984631444493</v>
      </c>
      <c r="D354" s="2" t="n">
        <v>7.9742406622874E-015</v>
      </c>
      <c r="E354" s="2" t="n">
        <v>4.11263049533818E-015</v>
      </c>
    </row>
    <row r="355" customFormat="false" ht="13.8" hidden="false" customHeight="false" outlineLevel="0" collapsed="false">
      <c r="B355" s="2" t="n">
        <v>353</v>
      </c>
      <c r="C355" s="2" t="n">
        <v>0.0579285072579503</v>
      </c>
      <c r="D355" s="2" t="n">
        <v>3.49090358333276E-015</v>
      </c>
      <c r="E355" s="2" t="n">
        <v>5.0864853134992E-015</v>
      </c>
    </row>
    <row r="356" customFormat="false" ht="13.8" hidden="false" customHeight="false" outlineLevel="0" collapsed="false">
      <c r="B356" s="2" t="n">
        <v>354</v>
      </c>
      <c r="C356" s="2" t="n">
        <v>0.0609720492177295</v>
      </c>
      <c r="D356" s="2" t="n">
        <v>6.86513061737545E-012</v>
      </c>
      <c r="E356" s="2" t="n">
        <v>6.86417393739262E-012</v>
      </c>
    </row>
    <row r="357" customFormat="false" ht="13.8" hidden="false" customHeight="false" outlineLevel="0" collapsed="false">
      <c r="B357" s="2" t="n">
        <v>355</v>
      </c>
      <c r="C357" s="2" t="n">
        <v>0.0478489430100648</v>
      </c>
      <c r="D357" s="2" t="n">
        <v>6.68704626832439E-012</v>
      </c>
      <c r="E357" s="2" t="n">
        <v>6.68755496789409E-012</v>
      </c>
    </row>
    <row r="358" customFormat="false" ht="13.8" hidden="false" customHeight="false" outlineLevel="0" collapsed="false">
      <c r="B358" s="2" t="n">
        <v>356</v>
      </c>
      <c r="C358" s="2" t="n">
        <v>0.0751424201357305</v>
      </c>
      <c r="D358" s="2" t="n">
        <v>6.50887137558505E-012</v>
      </c>
      <c r="E358" s="2" t="n">
        <v>6.51096707844772E-012</v>
      </c>
    </row>
    <row r="359" customFormat="false" ht="13.8" hidden="false" customHeight="false" outlineLevel="0" collapsed="false">
      <c r="B359" s="2" t="n">
        <v>357</v>
      </c>
      <c r="C359" s="2" t="n">
        <v>0.0444691972613993</v>
      </c>
      <c r="D359" s="2" t="n">
        <v>6.33070065720958E-012</v>
      </c>
      <c r="E359" s="2" t="n">
        <v>6.33438059890574E-012</v>
      </c>
    </row>
    <row r="360" customFormat="false" ht="13.8" hidden="false" customHeight="false" outlineLevel="0" collapsed="false">
      <c r="B360" s="2" t="n">
        <v>358</v>
      </c>
      <c r="C360" s="2" t="n">
        <v>0.0848686850811946</v>
      </c>
      <c r="D360" s="2" t="n">
        <v>6.15254020975271E-012</v>
      </c>
      <c r="E360" s="2" t="n">
        <v>6.15776339301164E-012</v>
      </c>
    </row>
    <row r="361" customFormat="false" ht="13.8" hidden="false" customHeight="false" outlineLevel="0" collapsed="false">
      <c r="B361" s="2" t="n">
        <v>359</v>
      </c>
      <c r="C361" s="2" t="n">
        <v>0.052634672900993</v>
      </c>
      <c r="D361" s="2" t="n">
        <v>5.97436941080616E-012</v>
      </c>
      <c r="E361" s="2" t="n">
        <v>5.98117277910732E-012</v>
      </c>
    </row>
    <row r="362" customFormat="false" ht="13.8" hidden="false" customHeight="false" outlineLevel="0" collapsed="false">
      <c r="B362" s="2" t="n">
        <v>360</v>
      </c>
      <c r="C362" s="2" t="n">
        <v>0.0924008107207909</v>
      </c>
      <c r="D362" s="2" t="n">
        <v>5.79621368334492E-012</v>
      </c>
      <c r="E362" s="2" t="n">
        <v>5.80454373446009E-012</v>
      </c>
    </row>
    <row r="363" customFormat="false" ht="13.8" hidden="false" customHeight="false" outlineLevel="0" collapsed="false">
      <c r="B363" s="2" t="n">
        <v>361</v>
      </c>
      <c r="C363" s="2" t="n">
        <v>0.0510006985386069</v>
      </c>
      <c r="D363" s="2" t="n">
        <v>0</v>
      </c>
      <c r="E363" s="2" t="n">
        <v>7.18664313417177E-012</v>
      </c>
    </row>
    <row r="364" customFormat="false" ht="13.8" hidden="false" customHeight="false" outlineLevel="0" collapsed="false">
      <c r="B364" s="2" t="n">
        <v>362</v>
      </c>
      <c r="C364" s="2" t="n">
        <v>0.0900011985851989</v>
      </c>
      <c r="D364" s="2" t="n">
        <v>0</v>
      </c>
      <c r="E364" s="2" t="n">
        <v>6.92388421595778E-012</v>
      </c>
    </row>
    <row r="365" customFormat="false" ht="13.8" hidden="false" customHeight="false" outlineLevel="0" collapsed="false">
      <c r="B365" s="2" t="n">
        <v>363</v>
      </c>
      <c r="C365" s="2" t="n">
        <v>0.0630181486317936</v>
      </c>
      <c r="D365" s="2" t="n">
        <v>0</v>
      </c>
      <c r="E365" s="2" t="n">
        <v>6.66115599909768E-012</v>
      </c>
    </row>
    <row r="366" customFormat="false" ht="13.8" hidden="false" customHeight="false" outlineLevel="0" collapsed="false">
      <c r="B366" s="2" t="n">
        <v>364</v>
      </c>
      <c r="C366" s="2" t="n">
        <v>0.117152065345053</v>
      </c>
      <c r="D366" s="2" t="n">
        <v>0</v>
      </c>
      <c r="E366" s="2" t="n">
        <v>6.39841202346951E-012</v>
      </c>
    </row>
    <row r="367" customFormat="false" ht="13.8" hidden="false" customHeight="false" outlineLevel="0" collapsed="false">
      <c r="B367" s="2" t="n">
        <v>365</v>
      </c>
      <c r="C367" s="2" t="n">
        <v>0.091236348726069</v>
      </c>
      <c r="D367" s="2" t="n">
        <v>0.0999999994058817</v>
      </c>
      <c r="E367" s="2" t="n">
        <v>7.22252699029977E-012</v>
      </c>
    </row>
    <row r="368" customFormat="false" ht="13.8" hidden="false" customHeight="false" outlineLevel="0" collapsed="false">
      <c r="B368" s="2" t="n">
        <v>366</v>
      </c>
      <c r="C368" s="2" t="n">
        <v>0.123754148772572</v>
      </c>
      <c r="D368" s="2" t="n">
        <v>0.0999999994523642</v>
      </c>
      <c r="E368" s="2" t="n">
        <v>6.86782462565171E-012</v>
      </c>
    </row>
    <row r="369" customFormat="false" ht="13.8" hidden="false" customHeight="false" outlineLevel="0" collapsed="false">
      <c r="B369" s="2" t="n">
        <v>367</v>
      </c>
      <c r="C369" s="2" t="n">
        <v>0.0910207154857428</v>
      </c>
      <c r="D369" s="2" t="n">
        <v>0.0999999994988471</v>
      </c>
      <c r="E369" s="2" t="n">
        <v>6.51304639209883E-012</v>
      </c>
    </row>
    <row r="370" customFormat="false" ht="13.8" hidden="false" customHeight="false" outlineLevel="0" collapsed="false">
      <c r="B370" s="2" t="n">
        <v>368</v>
      </c>
      <c r="C370" s="2" t="n">
        <v>0.132520882198913</v>
      </c>
      <c r="D370" s="2" t="n">
        <v>0.0999999995453304</v>
      </c>
      <c r="E370" s="2" t="n">
        <v>6.15831443143168E-012</v>
      </c>
    </row>
    <row r="371" customFormat="false" ht="13.8" hidden="false" customHeight="false" outlineLevel="0" collapsed="false">
      <c r="B371" s="2" t="n">
        <v>369</v>
      </c>
      <c r="C371" s="2" t="n">
        <v>0.107003865578752</v>
      </c>
      <c r="D371" s="2" t="n">
        <v>0.0999999995918141</v>
      </c>
      <c r="E371" s="2" t="n">
        <v>5.80355410924921E-012</v>
      </c>
    </row>
    <row r="372" customFormat="false" ht="13.8" hidden="false" customHeight="false" outlineLevel="0" collapsed="false">
      <c r="B372" s="2" t="n">
        <v>370</v>
      </c>
      <c r="C372" s="2" t="n">
        <v>0.150203282291923</v>
      </c>
      <c r="D372" s="2" t="n">
        <v>0.0999999996382982</v>
      </c>
      <c r="E372" s="2" t="n">
        <v>5.44876433632583E-012</v>
      </c>
    </row>
    <row r="373" customFormat="false" ht="13.8" hidden="false" customHeight="false" outlineLevel="0" collapsed="false">
      <c r="B373" s="2" t="n">
        <v>371</v>
      </c>
      <c r="C373" s="2" t="n">
        <v>0.110736632338429</v>
      </c>
      <c r="D373" s="2" t="n">
        <v>0.0999999996847825</v>
      </c>
      <c r="E373" s="2" t="n">
        <v>5.09402327061366E-012</v>
      </c>
    </row>
    <row r="374" customFormat="false" ht="13.8" hidden="false" customHeight="false" outlineLevel="0" collapsed="false">
      <c r="B374" s="2" t="n">
        <v>372</v>
      </c>
      <c r="C374" s="2" t="n">
        <v>0.145737282384935</v>
      </c>
      <c r="D374" s="2" t="n">
        <v>0.0999999997312671</v>
      </c>
      <c r="E374" s="2" t="n">
        <v>4.73924881591123E-012</v>
      </c>
    </row>
    <row r="375" customFormat="false" ht="13.8" hidden="false" customHeight="false" outlineLevel="0" collapsed="false">
      <c r="B375" s="2" t="n">
        <v>373</v>
      </c>
      <c r="C375" s="2" t="n">
        <v>0.0894544157647757</v>
      </c>
      <c r="D375" s="2" t="n">
        <v>0.0999999997777517</v>
      </c>
      <c r="E375" s="2" t="n">
        <v>4.38446779520152E-012</v>
      </c>
    </row>
    <row r="376" customFormat="false" ht="13.8" hidden="false" customHeight="false" outlineLevel="0" collapsed="false">
      <c r="B376" s="2" t="n">
        <v>374</v>
      </c>
      <c r="C376" s="2" t="n">
        <v>0.0792382658112829</v>
      </c>
      <c r="D376" s="2" t="n">
        <v>0.0999999998242358</v>
      </c>
      <c r="E376" s="2" t="n">
        <v>4.02971155831986E-012</v>
      </c>
    </row>
    <row r="377" customFormat="false" ht="13.8" hidden="false" customHeight="false" outlineLevel="0" collapsed="false">
      <c r="B377" s="2" t="n">
        <v>375</v>
      </c>
      <c r="C377" s="2" t="n">
        <v>0.0832541825244571</v>
      </c>
      <c r="D377" s="2" t="n">
        <v>0.0999999998707183</v>
      </c>
      <c r="E377" s="2" t="n">
        <v>3.67492085087421E-012</v>
      </c>
    </row>
    <row r="378" customFormat="false" ht="13.8" hidden="false" customHeight="false" outlineLevel="0" collapsed="false">
      <c r="B378" s="2" t="n">
        <v>376</v>
      </c>
      <c r="C378" s="2" t="n">
        <v>0.0675707825709668</v>
      </c>
      <c r="D378" s="2" t="n">
        <v>0.0999999999172012</v>
      </c>
      <c r="E378" s="2" t="n">
        <v>3.32021271897426E-012</v>
      </c>
    </row>
    <row r="379" customFormat="false" ht="13.8" hidden="false" customHeight="false" outlineLevel="0" collapsed="false">
      <c r="B379" s="2" t="n">
        <v>377</v>
      </c>
      <c r="C379" s="2" t="n">
        <v>0.0465711659709117</v>
      </c>
      <c r="D379" s="2" t="n">
        <v>0.0570690531650973</v>
      </c>
      <c r="E379" s="2" t="n">
        <v>2.73415136848703E-012</v>
      </c>
    </row>
    <row r="380" customFormat="false" ht="13.8" hidden="false" customHeight="false" outlineLevel="0" collapsed="false">
      <c r="B380" s="2" t="n">
        <v>378</v>
      </c>
      <c r="C380" s="2" t="n">
        <v>0.043854082660914</v>
      </c>
      <c r="D380" s="2" t="n">
        <v>0.028048082376458</v>
      </c>
      <c r="E380" s="2" t="n">
        <v>2.64575276872832E-012</v>
      </c>
    </row>
    <row r="381" customFormat="false" ht="13.8" hidden="false" customHeight="false" outlineLevel="0" collapsed="false">
      <c r="B381" s="2" t="n">
        <v>379</v>
      </c>
      <c r="C381" s="2" t="n">
        <v>0.0795870326842495</v>
      </c>
      <c r="D381" s="2" t="n">
        <v>0.0086093307649268</v>
      </c>
      <c r="E381" s="2" t="n">
        <v>2.5573631560976E-012</v>
      </c>
    </row>
    <row r="382" customFormat="false" ht="13.8" hidden="false" customHeight="false" outlineLevel="0" collapsed="false">
      <c r="B382" s="2" t="n">
        <v>380</v>
      </c>
      <c r="C382" s="2" t="n">
        <v>0.0716862993742524</v>
      </c>
      <c r="D382" s="2" t="n">
        <v>0.00403908671731697</v>
      </c>
      <c r="E382" s="2" t="n">
        <v>2.4689716332177E-012</v>
      </c>
    </row>
    <row r="383" customFormat="false" ht="13.8" hidden="false" customHeight="false" outlineLevel="0" collapsed="false">
      <c r="B383" s="2" t="n">
        <v>381</v>
      </c>
      <c r="C383" s="2" t="n">
        <v>0.0777532160642554</v>
      </c>
      <c r="D383" s="2" t="n">
        <v>0.00194299969610659</v>
      </c>
      <c r="E383" s="2" t="n">
        <v>2.38059256632262E-012</v>
      </c>
    </row>
    <row r="384" customFormat="false" ht="13.8" hidden="false" customHeight="false" outlineLevel="0" collapsed="false">
      <c r="B384" s="2" t="n">
        <v>382</v>
      </c>
      <c r="C384" s="2" t="n">
        <v>0.0595872494209255</v>
      </c>
      <c r="D384" s="2" t="n">
        <v>0.00334889573656265</v>
      </c>
      <c r="E384" s="2" t="n">
        <v>2.2922058547577E-012</v>
      </c>
    </row>
    <row r="385" customFormat="false" ht="13.8" hidden="false" customHeight="false" outlineLevel="0" collapsed="false">
      <c r="B385" s="2" t="n">
        <v>383</v>
      </c>
      <c r="C385" s="2" t="n">
        <v>0.0286692661104873</v>
      </c>
      <c r="D385" s="2" t="n">
        <v>1.60558459007461E-011</v>
      </c>
      <c r="E385" s="2" t="n">
        <v>2.20907537555412E-012</v>
      </c>
    </row>
    <row r="386" customFormat="false" ht="13.8" hidden="false" customHeight="false" outlineLevel="0" collapsed="false">
      <c r="B386" s="2" t="n">
        <v>384</v>
      </c>
      <c r="C386" s="2" t="n">
        <v>0.0763862161339284</v>
      </c>
      <c r="D386" s="2" t="n">
        <v>1.63053044174982E-011</v>
      </c>
      <c r="E386" s="2" t="n">
        <v>2.1194946230547E-012</v>
      </c>
    </row>
    <row r="387" customFormat="false" ht="13.8" hidden="false" customHeight="false" outlineLevel="0" collapsed="false">
      <c r="B387" s="2" t="n">
        <v>385</v>
      </c>
      <c r="C387" s="2" t="n">
        <v>0.075186366157359</v>
      </c>
      <c r="D387" s="2" t="n">
        <v>1.48866355871282E-011</v>
      </c>
      <c r="E387" s="2" t="n">
        <v>2.01829832928091E-012</v>
      </c>
    </row>
    <row r="388" customFormat="false" ht="13.8" hidden="false" customHeight="false" outlineLevel="0" collapsed="false">
      <c r="B388" s="2" t="n">
        <v>386</v>
      </c>
      <c r="C388" s="2" t="n">
        <v>0.0134359161809418</v>
      </c>
      <c r="D388" s="2" t="n">
        <v>0.000818112171635092</v>
      </c>
      <c r="E388" s="2" t="n">
        <v>1.93865726541249E-012</v>
      </c>
    </row>
    <row r="389" customFormat="false" ht="13.8" hidden="false" customHeight="false" outlineLevel="0" collapsed="false">
      <c r="B389" s="2" t="n">
        <v>387</v>
      </c>
      <c r="C389" s="2" t="n">
        <v>0.0905680495374998</v>
      </c>
      <c r="D389" s="2" t="n">
        <v>1.48371083868276E-011</v>
      </c>
      <c r="E389" s="2" t="n">
        <v>1.84080891285276E-012</v>
      </c>
    </row>
    <row r="390" customFormat="false" ht="13.8" hidden="false" customHeight="false" outlineLevel="0" collapsed="false">
      <c r="B390" s="2" t="n">
        <v>388</v>
      </c>
      <c r="C390" s="2" t="n">
        <v>0.024150949560865</v>
      </c>
      <c r="D390" s="2" t="n">
        <v>1.43498809459721E-011</v>
      </c>
      <c r="E390" s="2" t="n">
        <v>1.75220651514569E-012</v>
      </c>
    </row>
    <row r="391" customFormat="false" ht="13.8" hidden="false" customHeight="false" outlineLevel="0" collapsed="false">
      <c r="B391" s="2" t="n">
        <v>389</v>
      </c>
      <c r="C391" s="2" t="n">
        <v>0.0707169829175632</v>
      </c>
      <c r="D391" s="2" t="n">
        <v>1.38654005639977E-011</v>
      </c>
      <c r="E391" s="2" t="n">
        <v>1.66361230971831E-012</v>
      </c>
    </row>
    <row r="392" customFormat="false" ht="13.8" hidden="false" customHeight="false" outlineLevel="0" collapsed="false">
      <c r="B392" s="2" t="n">
        <v>390</v>
      </c>
      <c r="C392" s="2" t="n">
        <v>0.0230001329409604</v>
      </c>
      <c r="D392" s="2" t="n">
        <v>0.0125142793861764</v>
      </c>
      <c r="E392" s="2" t="n">
        <v>1.58508854706848E-012</v>
      </c>
    </row>
    <row r="393" customFormat="false" ht="13.8" hidden="false" customHeight="false" outlineLevel="0" collapsed="false">
      <c r="B393" s="2" t="n">
        <v>391</v>
      </c>
      <c r="C393" s="2" t="n">
        <v>0.0435001996309655</v>
      </c>
      <c r="D393" s="2" t="n">
        <v>0.00748996341802231</v>
      </c>
      <c r="E393" s="2" t="n">
        <v>1.49670227043696E-012</v>
      </c>
    </row>
    <row r="394" customFormat="false" ht="13.8" hidden="false" customHeight="false" outlineLevel="0" collapsed="false">
      <c r="B394" s="2" t="n">
        <v>392</v>
      </c>
      <c r="C394" s="2" t="n">
        <v>0.0545169663209711</v>
      </c>
      <c r="D394" s="2" t="n">
        <v>0.00906341813429072</v>
      </c>
      <c r="E394" s="2" t="n">
        <v>1.40830740396939E-012</v>
      </c>
    </row>
    <row r="395" customFormat="false" ht="13.8" hidden="false" customHeight="false" outlineLevel="0" collapsed="false">
      <c r="B395" s="2" t="n">
        <v>393</v>
      </c>
      <c r="C395" s="2" t="n">
        <v>0.0338334496776437</v>
      </c>
      <c r="D395" s="2" t="n">
        <v>0.0211973139466384</v>
      </c>
      <c r="E395" s="2" t="n">
        <v>1.3199110194927E-012</v>
      </c>
    </row>
    <row r="396" customFormat="false" ht="13.8" hidden="false" customHeight="false" outlineLevel="0" collapsed="false">
      <c r="B396" s="2" t="n">
        <v>394</v>
      </c>
      <c r="C396" s="2" t="n">
        <v>0.051900249700983</v>
      </c>
      <c r="D396" s="2" t="n">
        <v>0.0122471037561282</v>
      </c>
      <c r="E396" s="2" t="n">
        <v>1.23151441534679E-012</v>
      </c>
    </row>
    <row r="397" customFormat="false" ht="13.8" hidden="false" customHeight="false" outlineLevel="0" collapsed="false">
      <c r="B397" s="2" t="n">
        <v>395</v>
      </c>
      <c r="C397" s="2" t="n">
        <v>0.0334335163909894</v>
      </c>
      <c r="D397" s="2" t="n">
        <v>0.01965911484359</v>
      </c>
      <c r="E397" s="2" t="n">
        <v>1.14312230272628E-012</v>
      </c>
    </row>
    <row r="398" customFormat="false" ht="13.8" hidden="false" customHeight="false" outlineLevel="0" collapsed="false">
      <c r="B398" s="2" t="n">
        <v>396</v>
      </c>
      <c r="C398" s="2" t="n">
        <v>0.0226008997476626</v>
      </c>
      <c r="D398" s="2" t="n">
        <v>0.0339971232421368</v>
      </c>
      <c r="E398" s="2" t="n">
        <v>1.05472379123174E-012</v>
      </c>
    </row>
    <row r="399" customFormat="false" ht="13.8" hidden="false" customHeight="false" outlineLevel="0" collapsed="false">
      <c r="B399" s="2" t="n">
        <v>397</v>
      </c>
      <c r="C399" s="2" t="n">
        <v>0.0683670497710026</v>
      </c>
      <c r="D399" s="2" t="n">
        <v>0.00881668767786842</v>
      </c>
      <c r="E399" s="2" t="n">
        <v>9.66326835243035E-013</v>
      </c>
    </row>
    <row r="400" customFormat="false" ht="13.8" hidden="false" customHeight="false" outlineLevel="0" collapsed="false">
      <c r="B400" s="2" t="n">
        <v>398</v>
      </c>
      <c r="C400" s="2" t="n">
        <v>0.0170667997943431</v>
      </c>
      <c r="D400" s="2" t="n">
        <v>0.0331960021837073</v>
      </c>
      <c r="E400" s="2" t="n">
        <v>8.77926466397609E-013</v>
      </c>
    </row>
    <row r="401" customFormat="false" ht="13.8" hidden="false" customHeight="false" outlineLevel="0" collapsed="false">
      <c r="B401" s="2" t="n">
        <v>399</v>
      </c>
      <c r="C401" s="2" t="n">
        <v>0.0661169331510169</v>
      </c>
      <c r="D401" s="2" t="n">
        <v>0.00775076039955671</v>
      </c>
      <c r="E401" s="2" t="n">
        <v>7.89525093880125E-013</v>
      </c>
    </row>
    <row r="402" customFormat="false" ht="13.8" hidden="false" customHeight="false" outlineLevel="0" collapsed="false">
      <c r="B402" s="2" t="n">
        <v>400</v>
      </c>
      <c r="C402" s="2" t="n">
        <v>0.00516724984102458</v>
      </c>
      <c r="D402" s="2" t="n">
        <v>0.0369727070147748</v>
      </c>
      <c r="E402" s="2" t="n">
        <v>7.01121337176851E-013</v>
      </c>
    </row>
    <row r="403" customFormat="false" ht="13.8" hidden="false" customHeight="false" outlineLevel="0" collapsed="false">
      <c r="B403" s="2" t="n">
        <v>401</v>
      </c>
      <c r="C403" s="2" t="n">
        <v>0.0619669331976988</v>
      </c>
      <c r="D403" s="2" t="n">
        <v>0.00633900947539537</v>
      </c>
      <c r="E403" s="2" t="n">
        <v>6.12713640781957E-013</v>
      </c>
    </row>
    <row r="404" customFormat="false" ht="13.8" hidden="false" customHeight="false" outlineLevel="0" collapsed="false">
      <c r="B404" s="2" t="n">
        <v>402</v>
      </c>
      <c r="C404" s="2" t="n">
        <v>0.0219834165543734</v>
      </c>
      <c r="D404" s="2" t="n">
        <v>0.0216200556315588</v>
      </c>
      <c r="E404" s="2" t="n">
        <v>5.24312845097113E-013</v>
      </c>
    </row>
    <row r="405" customFormat="false" ht="13.8" hidden="false" customHeight="false" outlineLevel="0" collapsed="false">
      <c r="B405" s="2" t="n">
        <v>403</v>
      </c>
      <c r="C405" s="2" t="n">
        <v>0.0546273836500227</v>
      </c>
      <c r="D405" s="2" t="n">
        <v>1.28224082127735E-009</v>
      </c>
      <c r="E405" s="2" t="n">
        <v>0</v>
      </c>
    </row>
    <row r="406" customFormat="false" ht="13.8" hidden="false" customHeight="false" outlineLevel="0" collapsed="false">
      <c r="B406" s="2" t="n">
        <v>404</v>
      </c>
      <c r="C406" s="2" t="n">
        <v>0.0211169331865353</v>
      </c>
      <c r="D406" s="2" t="n">
        <v>1.37961317862277E-009</v>
      </c>
      <c r="E406" s="2" t="n">
        <v>0</v>
      </c>
    </row>
    <row r="407" customFormat="false" ht="13.8" hidden="false" customHeight="false" outlineLevel="0" collapsed="false">
      <c r="B407" s="2" t="n">
        <v>405</v>
      </c>
      <c r="C407" s="2" t="n">
        <v>0.0103439522947576</v>
      </c>
      <c r="D407" s="2" t="n">
        <v>1.82230729556746E-009</v>
      </c>
      <c r="E407" s="2" t="n">
        <v>0</v>
      </c>
    </row>
    <row r="408" customFormat="false" ht="13.8" hidden="false" customHeight="false" outlineLevel="0" collapsed="false">
      <c r="B408" s="2" t="n">
        <v>406</v>
      </c>
      <c r="C408" s="2" t="n">
        <v>0.00713940026498764</v>
      </c>
      <c r="D408" s="2" t="n">
        <v>3.10056223854241E-014</v>
      </c>
      <c r="E408" s="2" t="n">
        <v>7.84682131308009E-014</v>
      </c>
    </row>
    <row r="409" customFormat="false" ht="13.8" hidden="false" customHeight="false" outlineLevel="0" collapsed="false">
      <c r="B409" s="2" t="n">
        <v>407</v>
      </c>
      <c r="C409" s="2" t="n">
        <v>0.0230793037537762</v>
      </c>
      <c r="D409" s="2" t="n">
        <v>3.09972454135033E-014</v>
      </c>
      <c r="E409" s="2" t="n">
        <v>7.84632523480693E-014</v>
      </c>
    </row>
    <row r="410" customFormat="false" ht="13.8" hidden="false" customHeight="false" outlineLevel="0" collapsed="false">
      <c r="B410" s="2" t="n">
        <v>408</v>
      </c>
      <c r="C410" s="2" t="n">
        <v>0.024949424540905</v>
      </c>
      <c r="D410" s="2" t="n">
        <v>3.09924843819177E-014</v>
      </c>
      <c r="E410" s="2" t="n">
        <v>7.845983324163E-014</v>
      </c>
    </row>
    <row r="411" customFormat="false" ht="13.8" hidden="false" customHeight="false" outlineLevel="0" collapsed="false">
      <c r="B411" s="2" t="n">
        <v>409</v>
      </c>
      <c r="C411" s="2" t="n">
        <v>0.0354014814329597</v>
      </c>
      <c r="D411" s="2" t="n">
        <v>7.82876368914638E-014</v>
      </c>
      <c r="E411" s="2" t="n">
        <v>7.82793316280968E-014</v>
      </c>
    </row>
    <row r="412" customFormat="false" ht="13.8" hidden="false" customHeight="false" outlineLevel="0" collapsed="false">
      <c r="B412" s="2" t="n">
        <v>410</v>
      </c>
      <c r="C412" s="2" t="n">
        <v>0.0358404599916765</v>
      </c>
      <c r="D412" s="2" t="n">
        <v>0</v>
      </c>
      <c r="E412" s="2" t="n">
        <v>0</v>
      </c>
    </row>
    <row r="413" customFormat="false" ht="13.8" hidden="false" customHeight="false" outlineLevel="0" collapsed="false">
      <c r="B413" s="2" t="n">
        <v>411</v>
      </c>
      <c r="C413" s="2" t="n">
        <v>0.054683351067313</v>
      </c>
      <c r="D413" s="2" t="n">
        <v>0</v>
      </c>
      <c r="E413" s="2" t="n">
        <v>1.50997837494143E-016</v>
      </c>
    </row>
    <row r="414" customFormat="false" ht="13.8" hidden="false" customHeight="false" outlineLevel="0" collapsed="false">
      <c r="B414" s="2" t="n">
        <v>412</v>
      </c>
      <c r="C414" s="2" t="n">
        <v>0.0233768754762803</v>
      </c>
      <c r="D414" s="2" t="n">
        <v>0</v>
      </c>
      <c r="E414" s="2" t="n">
        <v>5.65058771483505E-017</v>
      </c>
    </row>
    <row r="415" customFormat="false" ht="13.8" hidden="false" customHeight="false" outlineLevel="0" collapsed="false">
      <c r="B415" s="2" t="n">
        <v>413</v>
      </c>
      <c r="C415" s="2" t="n">
        <v>0.0568536665519144</v>
      </c>
      <c r="D415" s="2" t="n">
        <v>4.93335621607491E-017</v>
      </c>
      <c r="E415" s="2" t="n">
        <v>2.90905284600123E-017</v>
      </c>
    </row>
    <row r="416" customFormat="false" ht="13.8" hidden="false" customHeight="false" outlineLevel="0" collapsed="false">
      <c r="B416" s="2" t="n">
        <v>414</v>
      </c>
      <c r="C416" s="2" t="n">
        <v>0.00232275744442545</v>
      </c>
      <c r="D416" s="2" t="n">
        <v>3.01151402004556E-016</v>
      </c>
      <c r="E416" s="2" t="n">
        <v>0</v>
      </c>
    </row>
    <row r="417" customFormat="false" ht="13.8" hidden="false" customHeight="false" outlineLevel="0" collapsed="false">
      <c r="B417" s="2" t="n">
        <v>415</v>
      </c>
      <c r="C417" s="2" t="n">
        <v>0.0498239983369365</v>
      </c>
      <c r="D417" s="2" t="n">
        <v>4.93500007953858E-016</v>
      </c>
      <c r="E417" s="2" t="n">
        <v>0</v>
      </c>
    </row>
    <row r="418" customFormat="false" ht="13.8" hidden="false" customHeight="false" outlineLevel="0" collapsed="false">
      <c r="B418" s="2" t="n">
        <v>416</v>
      </c>
      <c r="C418" s="2" t="n">
        <v>1.20315575972148E-015</v>
      </c>
      <c r="D418" s="2" t="n">
        <v>1.082079196145E-015</v>
      </c>
      <c r="E418" s="2" t="n">
        <v>0</v>
      </c>
    </row>
    <row r="419" customFormat="false" ht="13.8" hidden="false" customHeight="false" outlineLevel="0" collapsed="false">
      <c r="B419" s="2" t="n">
        <v>417</v>
      </c>
      <c r="C419" s="2" t="n">
        <v>0.0253624967886253</v>
      </c>
      <c r="D419" s="2" t="n">
        <v>9.68408877186414E-016</v>
      </c>
      <c r="E419" s="2" t="n">
        <v>0</v>
      </c>
    </row>
    <row r="420" customFormat="false" ht="13.8" hidden="false" customHeight="false" outlineLevel="0" collapsed="false">
      <c r="B420" s="2" t="n">
        <v>418</v>
      </c>
      <c r="C420" s="2" t="n">
        <v>0</v>
      </c>
      <c r="D420" s="2" t="n">
        <v>1.7642711541355E-015</v>
      </c>
      <c r="E420" s="2" t="n">
        <v>0</v>
      </c>
    </row>
    <row r="421" customFormat="false" ht="13.8" hidden="false" customHeight="false" outlineLevel="0" collapsed="false">
      <c r="B421" s="2" t="n">
        <v>419</v>
      </c>
      <c r="C421" s="2" t="n">
        <v>7.80852159362677E-010</v>
      </c>
      <c r="D421" s="2" t="n">
        <v>3.90055292251791E-010</v>
      </c>
      <c r="E421" s="2" t="n">
        <v>3.90052634879334E-010</v>
      </c>
    </row>
    <row r="422" customFormat="false" ht="13.8" hidden="false" customHeight="false" outlineLevel="0" collapsed="false">
      <c r="B422" s="2" t="n">
        <v>420</v>
      </c>
      <c r="C422" s="2" t="n">
        <v>0.0208966988148467</v>
      </c>
      <c r="D422" s="2" t="n">
        <v>1.56350321043019E-015</v>
      </c>
      <c r="E422" s="2" t="n">
        <v>0</v>
      </c>
    </row>
    <row r="423" customFormat="false" ht="13.8" hidden="false" customHeight="false" outlineLevel="0" collapsed="false">
      <c r="B423" s="2" t="n">
        <v>421</v>
      </c>
      <c r="C423" s="2" t="n">
        <v>1.60581607930527E-010</v>
      </c>
      <c r="D423" s="2" t="n">
        <v>8.02167024839297E-011</v>
      </c>
      <c r="E423" s="2" t="n">
        <v>8.02141775766694E-011</v>
      </c>
    </row>
    <row r="424" customFormat="false" ht="13.8" hidden="false" customHeight="false" outlineLevel="0" collapsed="false">
      <c r="B424" s="2" t="n">
        <v>422</v>
      </c>
      <c r="C424" s="2" t="n">
        <v>1.00907384745809E-015</v>
      </c>
      <c r="D424" s="2" t="n">
        <v>2.88000609938355E-015</v>
      </c>
      <c r="E424" s="2" t="n">
        <v>0</v>
      </c>
    </row>
    <row r="425" customFormat="false" ht="13.8" hidden="false" customHeight="false" outlineLevel="0" collapsed="false">
      <c r="B425" s="2" t="n">
        <v>423</v>
      </c>
      <c r="C425" s="2" t="n">
        <v>3.02015050624367E-011</v>
      </c>
      <c r="D425" s="2" t="n">
        <v>1.50871434446124E-011</v>
      </c>
      <c r="E425" s="2" t="n">
        <v>1.50861528466481E-011</v>
      </c>
    </row>
    <row r="426" customFormat="false" ht="13.8" hidden="false" customHeight="false" outlineLevel="0" collapsed="false">
      <c r="B426" s="2" t="n">
        <v>424</v>
      </c>
      <c r="C426" s="2" t="n">
        <v>1.47446806029511E-015</v>
      </c>
      <c r="D426" s="2" t="n">
        <v>5.82284474958606E-016</v>
      </c>
      <c r="E426" s="2" t="n">
        <v>0</v>
      </c>
    </row>
    <row r="427" customFormat="false" ht="13.8" hidden="false" customHeight="false" outlineLevel="0" collapsed="false">
      <c r="B427" s="2" t="n">
        <v>425</v>
      </c>
      <c r="C427" s="2" t="n">
        <v>3.50070262686174E-016</v>
      </c>
      <c r="D427" s="2" t="n">
        <v>0</v>
      </c>
      <c r="E427" s="2" t="n">
        <v>0</v>
      </c>
    </row>
    <row r="428" customFormat="false" ht="13.8" hidden="false" customHeight="false" outlineLevel="0" collapsed="false">
      <c r="B428" s="2" t="n">
        <v>426</v>
      </c>
      <c r="C428" s="2" t="n">
        <v>5.13201461350715E-016</v>
      </c>
      <c r="D428" s="2" t="n">
        <v>0</v>
      </c>
      <c r="E428" s="2" t="n">
        <v>6.34910747391311E-017</v>
      </c>
    </row>
    <row r="429" customFormat="false" ht="13.8" hidden="false" customHeight="false" outlineLevel="0" collapsed="false">
      <c r="B429" s="2" t="n">
        <v>427</v>
      </c>
      <c r="C429" s="2" t="n">
        <v>3.81754589671031E-011</v>
      </c>
      <c r="D429" s="2" t="n">
        <v>3.81712425236013E-011</v>
      </c>
      <c r="E429" s="2" t="n">
        <v>7.64167520756226E-011</v>
      </c>
    </row>
    <row r="430" customFormat="false" ht="13.8" hidden="false" customHeight="false" outlineLevel="0" collapsed="false">
      <c r="B430" s="2" t="n">
        <v>428</v>
      </c>
      <c r="C430" s="2" t="n">
        <v>9.37800616965119E-016</v>
      </c>
      <c r="D430" s="2" t="n">
        <v>0</v>
      </c>
      <c r="E430" s="2" t="n">
        <v>1.15331277341715E-016</v>
      </c>
    </row>
    <row r="431" customFormat="false" ht="13.8" hidden="false" customHeight="false" outlineLevel="0" collapsed="false">
      <c r="B431" s="2" t="n">
        <v>429</v>
      </c>
      <c r="C431" s="2" t="n">
        <v>1.37685406322894E-010</v>
      </c>
      <c r="D431" s="2" t="n">
        <v>1.23070335121269E-011</v>
      </c>
      <c r="E431" s="2" t="n">
        <v>1.23079899582905E-011</v>
      </c>
    </row>
    <row r="432" customFormat="false" ht="13.8" hidden="false" customHeight="false" outlineLevel="0" collapsed="false">
      <c r="B432" s="2" t="n">
        <v>430</v>
      </c>
      <c r="C432" s="2" t="n">
        <v>2.04105931670506E-015</v>
      </c>
      <c r="D432" s="2" t="n">
        <v>0</v>
      </c>
      <c r="E432" s="2" t="n">
        <v>4.345607255393E-016</v>
      </c>
    </row>
    <row r="433" customFormat="false" ht="13.8" hidden="false" customHeight="false" outlineLevel="0" collapsed="false">
      <c r="B433" s="2" t="n">
        <v>431</v>
      </c>
      <c r="C433" s="2" t="n">
        <v>1.00241144928763E-010</v>
      </c>
      <c r="D433" s="2" t="n">
        <v>5.0023151586584E-011</v>
      </c>
      <c r="E433" s="2" t="n">
        <v>5.0024443265675E-011</v>
      </c>
    </row>
    <row r="434" customFormat="false" ht="13.8" hidden="false" customHeight="false" outlineLevel="0" collapsed="false">
      <c r="B434" s="2" t="n">
        <v>432</v>
      </c>
      <c r="C434" s="2" t="n">
        <v>3.99387425967007E-015</v>
      </c>
      <c r="D434" s="2" t="n">
        <v>0</v>
      </c>
      <c r="E434" s="2" t="n">
        <v>3.33791025043263E-016</v>
      </c>
    </row>
    <row r="435" customFormat="false" ht="13.8" hidden="false" customHeight="false" outlineLevel="0" collapsed="false">
      <c r="B435" s="2" t="n">
        <v>433</v>
      </c>
      <c r="C435" s="2" t="n">
        <v>2.13049686707446E-015</v>
      </c>
      <c r="D435" s="2" t="n">
        <v>0</v>
      </c>
      <c r="E435" s="2" t="n">
        <v>0</v>
      </c>
    </row>
    <row r="436" customFormat="false" ht="13.8" hidden="false" customHeight="false" outlineLevel="0" collapsed="false">
      <c r="B436" s="2" t="n">
        <v>434</v>
      </c>
      <c r="C436" s="2" t="n">
        <v>2.74454039098213E-015</v>
      </c>
      <c r="D436" s="2" t="n">
        <v>0</v>
      </c>
      <c r="E436" s="2" t="n">
        <v>0</v>
      </c>
    </row>
    <row r="437" customFormat="false" ht="13.8" hidden="false" customHeight="false" outlineLevel="0" collapsed="false">
      <c r="B437" s="2" t="n">
        <v>435</v>
      </c>
      <c r="C437" s="2" t="n">
        <v>3.1592132455224E-015</v>
      </c>
      <c r="D437" s="2" t="n">
        <v>0</v>
      </c>
      <c r="E437" s="2" t="n">
        <v>0</v>
      </c>
    </row>
    <row r="438" customFormat="false" ht="13.8" hidden="false" customHeight="false" outlineLevel="0" collapsed="false">
      <c r="B438" s="2" t="n">
        <v>436</v>
      </c>
      <c r="C438" s="2" t="n">
        <v>0</v>
      </c>
      <c r="D438" s="2" t="n">
        <v>9.69693171872086E-009</v>
      </c>
      <c r="E438" s="2" t="n">
        <v>0</v>
      </c>
    </row>
    <row r="439" customFormat="false" ht="13.8" hidden="false" customHeight="false" outlineLevel="0" collapsed="false">
      <c r="B439" s="2" t="n">
        <v>437</v>
      </c>
      <c r="C439" s="2" t="n">
        <v>0</v>
      </c>
      <c r="D439" s="2" t="n">
        <v>8.50731414313546E-009</v>
      </c>
      <c r="E439" s="2" t="n">
        <v>0</v>
      </c>
    </row>
    <row r="440" customFormat="false" ht="13.8" hidden="false" customHeight="false" outlineLevel="0" collapsed="false">
      <c r="B440" s="2" t="n">
        <v>438</v>
      </c>
      <c r="C440" s="2" t="n">
        <v>4.08019638744893E-015</v>
      </c>
      <c r="D440" s="2" t="n">
        <v>0</v>
      </c>
      <c r="E440" s="2" t="n">
        <v>0</v>
      </c>
    </row>
    <row r="441" customFormat="false" ht="13.8" hidden="false" customHeight="false" outlineLevel="0" collapsed="false">
      <c r="B441" s="2" t="n">
        <v>439</v>
      </c>
      <c r="C441" s="2" t="n">
        <v>0.00411328492243128</v>
      </c>
      <c r="D441" s="2" t="n">
        <v>6.05991025685084E-015</v>
      </c>
      <c r="E441" s="2" t="n">
        <v>2.8734738746177E-015</v>
      </c>
    </row>
    <row r="442" customFormat="false" ht="13.8" hidden="false" customHeight="false" outlineLevel="0" collapsed="false">
      <c r="B442" s="2" t="n">
        <v>440</v>
      </c>
      <c r="C442" s="2" t="n">
        <v>0.00941407356672265</v>
      </c>
      <c r="D442" s="2" t="n">
        <v>6.29398258622003E-015</v>
      </c>
      <c r="E442" s="2" t="n">
        <v>3.19352297860126E-015</v>
      </c>
    </row>
    <row r="443" customFormat="false" ht="13.8" hidden="false" customHeight="false" outlineLevel="0" collapsed="false">
      <c r="B443" s="2" t="n">
        <v>441</v>
      </c>
      <c r="C443" s="2" t="n">
        <v>0.0440644622110133</v>
      </c>
      <c r="D443" s="2" t="n">
        <v>6.454145005925E-015</v>
      </c>
      <c r="E443" s="2" t="n">
        <v>3.56587953852443E-015</v>
      </c>
    </row>
    <row r="444" customFormat="false" ht="13.8" hidden="false" customHeight="false" outlineLevel="0" collapsed="false">
      <c r="B444" s="2" t="n">
        <v>442</v>
      </c>
      <c r="C444" s="2" t="n">
        <v>0.027859100819533</v>
      </c>
      <c r="D444" s="2" t="n">
        <v>4.55179017258961E-015</v>
      </c>
      <c r="E444" s="2" t="n">
        <v>3.56380703656164E-015</v>
      </c>
    </row>
    <row r="445" customFormat="false" ht="13.8" hidden="false" customHeight="false" outlineLevel="0" collapsed="false">
      <c r="B445" s="2" t="n">
        <v>443</v>
      </c>
      <c r="C445" s="2" t="n">
        <v>0.0291870227615674</v>
      </c>
      <c r="D445" s="2" t="n">
        <v>7.75990323722082E-015</v>
      </c>
      <c r="E445" s="2" t="n">
        <v>4.02132062373863E-015</v>
      </c>
    </row>
    <row r="446" customFormat="false" ht="13.8" hidden="false" customHeight="false" outlineLevel="0" collapsed="false">
      <c r="B446" s="2" t="n">
        <v>444</v>
      </c>
      <c r="C446" s="2" t="n">
        <v>6.11785775680458E-015</v>
      </c>
      <c r="D446" s="2" t="n">
        <v>0</v>
      </c>
      <c r="E446" s="2" t="n">
        <v>0</v>
      </c>
    </row>
    <row r="447" customFormat="false" ht="13.8" hidden="false" customHeight="false" outlineLevel="0" collapsed="false">
      <c r="B447" s="2" t="n">
        <v>445</v>
      </c>
      <c r="C447" s="2" t="n">
        <v>0.0460923666454835</v>
      </c>
      <c r="D447" s="2" t="n">
        <v>1.00649337803583E-014</v>
      </c>
      <c r="E447" s="2" t="n">
        <v>4.29320870879595E-015</v>
      </c>
    </row>
    <row r="448" customFormat="false" ht="13.8" hidden="false" customHeight="false" outlineLevel="0" collapsed="false">
      <c r="B448" s="2" t="n">
        <v>446</v>
      </c>
      <c r="C448" s="2" t="n">
        <v>0.00413877020045928</v>
      </c>
      <c r="D448" s="2" t="n">
        <v>2.36668146787382E-010</v>
      </c>
      <c r="E448" s="2" t="n">
        <v>4.75143336473956E-010</v>
      </c>
    </row>
    <row r="449" customFormat="false" ht="13.8" hidden="false" customHeight="false" outlineLevel="0" collapsed="false">
      <c r="B449" s="2" t="n">
        <v>447</v>
      </c>
      <c r="C449" s="2" t="n">
        <v>0.0544349232800034</v>
      </c>
      <c r="D449" s="2" t="n">
        <v>2.47772260747182E-010</v>
      </c>
      <c r="E449" s="2" t="n">
        <v>0</v>
      </c>
    </row>
    <row r="450" customFormat="false" ht="13.8" hidden="false" customHeight="false" outlineLevel="0" collapsed="false">
      <c r="B450" s="2" t="n">
        <v>448</v>
      </c>
      <c r="C450" s="2" t="n">
        <v>7.51502159301016E-015</v>
      </c>
      <c r="D450" s="2" t="n">
        <v>1.04941407933067E-015</v>
      </c>
      <c r="E450" s="2" t="n">
        <v>0</v>
      </c>
    </row>
    <row r="451" customFormat="false" ht="13.8" hidden="false" customHeight="false" outlineLevel="0" collapsed="false">
      <c r="B451" s="2" t="n">
        <v>449</v>
      </c>
      <c r="C451" s="2" t="n">
        <v>0.0625295811157123</v>
      </c>
      <c r="D451" s="2" t="n">
        <v>8.61509490402563E-015</v>
      </c>
      <c r="E451" s="2" t="n">
        <v>8.53339407329126E-015</v>
      </c>
    </row>
    <row r="452" customFormat="false" ht="13.8" hidden="false" customHeight="false" outlineLevel="0" collapsed="false">
      <c r="B452" s="2" t="n">
        <v>450</v>
      </c>
      <c r="C452" s="2" t="n">
        <v>0.0270619886897601</v>
      </c>
      <c r="D452" s="2" t="n">
        <v>9.28559194914406E-015</v>
      </c>
      <c r="E452" s="2" t="n">
        <v>9.21449109339225E-015</v>
      </c>
    </row>
    <row r="453" customFormat="false" ht="13.8" hidden="false" customHeight="false" outlineLevel="0" collapsed="false">
      <c r="B453" s="2" t="n">
        <v>451</v>
      </c>
      <c r="C453" s="2" t="n">
        <v>0.0785941129310269</v>
      </c>
      <c r="D453" s="2" t="n">
        <v>9.92091348334503E-015</v>
      </c>
      <c r="E453" s="2" t="n">
        <v>9.87994652560625E-015</v>
      </c>
    </row>
    <row r="454" customFormat="false" ht="13.8" hidden="false" customHeight="false" outlineLevel="0" collapsed="false">
      <c r="B454" s="2" t="n">
        <v>452</v>
      </c>
      <c r="C454" s="2" t="n">
        <v>0.0266264538388799</v>
      </c>
      <c r="D454" s="2" t="n">
        <v>1.05484236504171E-014</v>
      </c>
      <c r="E454" s="2" t="n">
        <v>1.04900670849195E-014</v>
      </c>
    </row>
    <row r="455" customFormat="false" ht="13.8" hidden="false" customHeight="false" outlineLevel="0" collapsed="false">
      <c r="B455" s="2" t="n">
        <v>453</v>
      </c>
      <c r="C455" s="2" t="n">
        <v>0.075656543548733</v>
      </c>
      <c r="D455" s="2" t="n">
        <v>1.25236006586111E-014</v>
      </c>
      <c r="E455" s="2" t="n">
        <v>3.03050317792302E-014</v>
      </c>
    </row>
    <row r="456" customFormat="false" ht="13.8" hidden="false" customHeight="false" outlineLevel="0" collapsed="false">
      <c r="B456" s="2" t="n">
        <v>454</v>
      </c>
      <c r="C456" s="2" t="n">
        <v>0.0361125697439136</v>
      </c>
      <c r="D456" s="2" t="n">
        <v>1.15725362744266E-014</v>
      </c>
      <c r="E456" s="2" t="n">
        <v>1.14882809552587E-014</v>
      </c>
    </row>
    <row r="457" customFormat="false" ht="13.8" hidden="false" customHeight="false" outlineLevel="0" collapsed="false">
      <c r="B457" s="2" t="n">
        <v>455</v>
      </c>
      <c r="C457" s="2" t="n">
        <v>0.0812272060269795</v>
      </c>
      <c r="D457" s="2" t="n">
        <v>7.21127970286624E-012</v>
      </c>
      <c r="E457" s="2" t="n">
        <v>7.1934111779784E-012</v>
      </c>
    </row>
    <row r="458" customFormat="false" ht="13.8" hidden="false" customHeight="false" outlineLevel="0" collapsed="false">
      <c r="B458" s="2" t="n">
        <v>456</v>
      </c>
      <c r="C458" s="2" t="n">
        <v>0.0447129465562887</v>
      </c>
      <c r="D458" s="2" t="n">
        <v>7.02993755050465E-012</v>
      </c>
      <c r="E458" s="2" t="n">
        <v>7.01268241117828E-012</v>
      </c>
    </row>
    <row r="459" customFormat="false" ht="13.8" hidden="false" customHeight="false" outlineLevel="0" collapsed="false">
      <c r="B459" s="2" t="n">
        <v>457</v>
      </c>
      <c r="C459" s="2" t="n">
        <v>0.058632387090243</v>
      </c>
      <c r="D459" s="2" t="n">
        <v>0.0798847193683993</v>
      </c>
      <c r="E459" s="2" t="n">
        <v>1.14774720762737E-011</v>
      </c>
    </row>
    <row r="460" customFormat="false" ht="13.8" hidden="false" customHeight="false" outlineLevel="0" collapsed="false">
      <c r="B460" s="2" t="n">
        <v>458</v>
      </c>
      <c r="C460" s="2" t="n">
        <v>0.0493961524337995</v>
      </c>
      <c r="D460" s="2" t="n">
        <v>0.0999135392708875</v>
      </c>
      <c r="E460" s="2" t="n">
        <v>1.11183717384086E-011</v>
      </c>
    </row>
    <row r="461" customFormat="false" ht="13.8" hidden="false" customHeight="false" outlineLevel="0" collapsed="false">
      <c r="B461" s="2" t="n">
        <v>459</v>
      </c>
      <c r="C461" s="2" t="n">
        <v>0.0789591177773554</v>
      </c>
      <c r="D461" s="2" t="n">
        <v>0.0999423591733763</v>
      </c>
      <c r="E461" s="2" t="n">
        <v>1.07592527541374E-011</v>
      </c>
    </row>
    <row r="462" customFormat="false" ht="13.8" hidden="false" customHeight="false" outlineLevel="0" collapsed="false">
      <c r="B462" s="2" t="n">
        <v>460</v>
      </c>
      <c r="C462" s="2" t="n">
        <v>0.070972866454244</v>
      </c>
      <c r="D462" s="2" t="n">
        <v>0.0999711790758655</v>
      </c>
      <c r="E462" s="2" t="n">
        <v>1.04001192413794E-011</v>
      </c>
    </row>
    <row r="463" customFormat="false" ht="13.8" hidden="false" customHeight="false" outlineLevel="0" collapsed="false">
      <c r="B463" s="2" t="n">
        <v>461</v>
      </c>
      <c r="C463" s="2" t="n">
        <v>0.0860525318000219</v>
      </c>
      <c r="D463" s="2" t="n">
        <v>0.0999999989815581</v>
      </c>
      <c r="E463" s="2" t="n">
        <v>1.00406583146257E-011</v>
      </c>
    </row>
    <row r="464" customFormat="false" ht="13.8" hidden="false" customHeight="false" outlineLevel="0" collapsed="false">
      <c r="B464" s="2" t="n">
        <v>462</v>
      </c>
      <c r="C464" s="2" t="n">
        <v>0.0711198818465044</v>
      </c>
      <c r="D464" s="2" t="n">
        <v>0.0999999990280358</v>
      </c>
      <c r="E464" s="2" t="n">
        <v>9.68155709646676E-012</v>
      </c>
    </row>
    <row r="465" customFormat="false" ht="13.8" hidden="false" customHeight="false" outlineLevel="0" collapsed="false">
      <c r="B465" s="2" t="n">
        <v>463</v>
      </c>
      <c r="C465" s="2" t="n">
        <v>0.104519648559672</v>
      </c>
      <c r="D465" s="2" t="n">
        <v>0.0999999990745141</v>
      </c>
      <c r="E465" s="2" t="n">
        <v>9.32241126255395E-012</v>
      </c>
    </row>
    <row r="466" customFormat="false" ht="13.8" hidden="false" customHeight="false" outlineLevel="0" collapsed="false">
      <c r="B466" s="2" t="n">
        <v>464</v>
      </c>
      <c r="C466" s="2" t="n">
        <v>0.102652881939507</v>
      </c>
      <c r="D466" s="2" t="n">
        <v>0.0999999991209928</v>
      </c>
      <c r="E466" s="2" t="n">
        <v>8.96328721975913E-012</v>
      </c>
    </row>
    <row r="467" customFormat="false" ht="13.8" hidden="false" customHeight="false" outlineLevel="0" collapsed="false">
      <c r="B467" s="2" t="n">
        <v>465</v>
      </c>
      <c r="C467" s="2" t="n">
        <v>0.117420098652675</v>
      </c>
      <c r="D467" s="2" t="n">
        <v>0.0999999991674719</v>
      </c>
      <c r="E467" s="2" t="n">
        <v>8.60413561380274E-012</v>
      </c>
    </row>
    <row r="468" customFormat="false" ht="13.8" hidden="false" customHeight="false" outlineLevel="0" collapsed="false">
      <c r="B468" s="2" t="n">
        <v>466</v>
      </c>
      <c r="C468" s="2" t="n">
        <v>0.077404182032511</v>
      </c>
      <c r="D468" s="2" t="n">
        <v>0.0999999992139515</v>
      </c>
      <c r="E468" s="2" t="n">
        <v>8.24500307318243E-012</v>
      </c>
    </row>
    <row r="469" customFormat="false" ht="13.8" hidden="false" customHeight="false" outlineLevel="0" collapsed="false">
      <c r="B469" s="2" t="n">
        <v>467</v>
      </c>
      <c r="C469" s="2" t="n">
        <v>0.100970948745681</v>
      </c>
      <c r="D469" s="2" t="n">
        <v>0.0999999992604316</v>
      </c>
      <c r="E469" s="2" t="n">
        <v>7.88587208162982E-012</v>
      </c>
    </row>
    <row r="470" customFormat="false" ht="13.8" hidden="false" customHeight="false" outlineLevel="0" collapsed="false">
      <c r="B470" s="2" t="n">
        <v>468</v>
      </c>
      <c r="C470" s="2" t="n">
        <v>0.0777703987921838</v>
      </c>
      <c r="D470" s="2" t="n">
        <v>0.0999999993069121</v>
      </c>
      <c r="E470" s="2" t="n">
        <v>7.52673632247772E-012</v>
      </c>
    </row>
    <row r="471" customFormat="false" ht="13.8" hidden="false" customHeight="false" outlineLevel="0" collapsed="false">
      <c r="B471" s="2" t="n">
        <v>469</v>
      </c>
      <c r="C471" s="2" t="n">
        <v>0.0893876988386876</v>
      </c>
      <c r="D471" s="2" t="n">
        <v>0.099999999353393</v>
      </c>
      <c r="E471" s="2" t="n">
        <v>7.16757641704738E-012</v>
      </c>
    </row>
    <row r="472" customFormat="false" ht="13.8" hidden="false" customHeight="false" outlineLevel="0" collapsed="false">
      <c r="B472" s="2" t="n">
        <v>470</v>
      </c>
      <c r="C472" s="2" t="n">
        <v>0.0997036988851918</v>
      </c>
      <c r="D472" s="2" t="n">
        <v>0.0999999993998745</v>
      </c>
      <c r="E472" s="2" t="n">
        <v>6.80844307727479E-012</v>
      </c>
    </row>
    <row r="473" customFormat="false" ht="13.8" hidden="false" customHeight="false" outlineLevel="0" collapsed="false">
      <c r="B473" s="2" t="n">
        <v>471</v>
      </c>
      <c r="C473" s="2" t="n">
        <v>0.0627541322650298</v>
      </c>
      <c r="D473" s="2" t="n">
        <v>0.0999999994463563</v>
      </c>
      <c r="E473" s="2" t="n">
        <v>6.44926874335154E-012</v>
      </c>
    </row>
    <row r="474" customFormat="false" ht="13.8" hidden="false" customHeight="false" outlineLevel="0" collapsed="false">
      <c r="B474" s="2" t="n">
        <v>472</v>
      </c>
      <c r="C474" s="2" t="n">
        <v>0.0915040489782016</v>
      </c>
      <c r="D474" s="2" t="n">
        <v>0.0999999994928385</v>
      </c>
      <c r="E474" s="2" t="n">
        <v>6.09011541658335E-012</v>
      </c>
    </row>
    <row r="475" customFormat="false" ht="13.8" hidden="false" customHeight="false" outlineLevel="0" collapsed="false">
      <c r="B475" s="2" t="n">
        <v>473</v>
      </c>
      <c r="C475" s="2" t="n">
        <v>0.0661038156913739</v>
      </c>
      <c r="D475" s="2" t="n">
        <v>0.0999999995393212</v>
      </c>
      <c r="E475" s="2" t="n">
        <v>5.73095719141082E-012</v>
      </c>
    </row>
    <row r="476" customFormat="false" ht="13.8" hidden="false" customHeight="false" outlineLevel="0" collapsed="false">
      <c r="B476" s="2" t="n">
        <v>474</v>
      </c>
      <c r="C476" s="2" t="n">
        <v>0.09217051573788</v>
      </c>
      <c r="D476" s="2" t="n">
        <v>0.0999999995858042</v>
      </c>
      <c r="E476" s="2" t="n">
        <v>5.37179454144044E-012</v>
      </c>
    </row>
    <row r="477" customFormat="false" ht="13.8" hidden="false" customHeight="false" outlineLevel="0" collapsed="false">
      <c r="B477" s="2" t="n">
        <v>475</v>
      </c>
      <c r="C477" s="2" t="n">
        <v>0.0544203657843866</v>
      </c>
      <c r="D477" s="2" t="n">
        <v>0.0999999996322876</v>
      </c>
      <c r="E477" s="2" t="n">
        <v>5.01262352121893E-012</v>
      </c>
    </row>
    <row r="478" customFormat="false" ht="13.8" hidden="false" customHeight="false" outlineLevel="0" collapsed="false">
      <c r="B478" s="2" t="n">
        <v>476</v>
      </c>
      <c r="C478" s="2" t="n">
        <v>0.0557041824975603</v>
      </c>
      <c r="D478" s="2" t="n">
        <v>0.0999999996787714</v>
      </c>
      <c r="E478" s="2" t="n">
        <v>4.65346501378038E-012</v>
      </c>
    </row>
    <row r="479" customFormat="false" ht="13.8" hidden="false" customHeight="false" outlineLevel="0" collapsed="false">
      <c r="B479" s="2" t="n">
        <v>477</v>
      </c>
      <c r="C479" s="2" t="n">
        <v>0.0303361492107344</v>
      </c>
      <c r="D479" s="2" t="n">
        <v>0.0999999997252552</v>
      </c>
      <c r="E479" s="2" t="n">
        <v>4.29428180303665E-012</v>
      </c>
    </row>
    <row r="480" customFormat="false" ht="13.8" hidden="false" customHeight="false" outlineLevel="0" collapsed="false">
      <c r="B480" s="2" t="n">
        <v>478</v>
      </c>
      <c r="C480" s="2" t="n">
        <v>0.053219115923909</v>
      </c>
      <c r="D480" s="2" t="n">
        <v>0.0999999997717392</v>
      </c>
      <c r="E480" s="2" t="n">
        <v>3.93508558303408E-012</v>
      </c>
    </row>
    <row r="481" customFormat="false" ht="13.8" hidden="false" customHeight="false" outlineLevel="0" collapsed="false">
      <c r="B481" s="2" t="n">
        <v>479</v>
      </c>
      <c r="C481" s="2" t="n">
        <v>0.0453190159704175</v>
      </c>
      <c r="D481" s="2" t="n">
        <v>0.0999999998182226</v>
      </c>
      <c r="E481" s="2" t="n">
        <v>3.57591742240952E-012</v>
      </c>
    </row>
    <row r="482" customFormat="false" ht="13.8" hidden="false" customHeight="false" outlineLevel="0" collapsed="false">
      <c r="B482" s="2" t="n">
        <v>480</v>
      </c>
      <c r="C482" s="2" t="n">
        <v>0.0151199993502597</v>
      </c>
      <c r="D482" s="2" t="n">
        <v>0.0999999998647044</v>
      </c>
      <c r="E482" s="2" t="n">
        <v>3.21673347891288E-012</v>
      </c>
    </row>
    <row r="483" customFormat="false" ht="13.8" hidden="false" customHeight="false" outlineLevel="0" collapsed="false">
      <c r="B483" s="2" t="n">
        <v>481</v>
      </c>
      <c r="C483" s="2" t="n">
        <v>0.00851944939676902</v>
      </c>
      <c r="D483" s="2" t="n">
        <v>0.0666666665778511</v>
      </c>
      <c r="E483" s="2" t="n">
        <v>2.85753984210174E-012</v>
      </c>
    </row>
    <row r="484" customFormat="false" ht="13.8" hidden="false" customHeight="false" outlineLevel="0" collapsed="false">
      <c r="B484" s="2" t="n">
        <v>482</v>
      </c>
      <c r="C484" s="2" t="n">
        <v>0.0382693161300478</v>
      </c>
      <c r="D484" s="2" t="n">
        <v>0.0939427895591773</v>
      </c>
      <c r="E484" s="2" t="n">
        <v>2.26674919929977E-012</v>
      </c>
    </row>
    <row r="485" customFormat="false" ht="13.8" hidden="false" customHeight="false" outlineLevel="0" collapsed="false">
      <c r="B485" s="2" t="n">
        <v>483</v>
      </c>
      <c r="C485" s="2" t="n">
        <v>0.0700681494867186</v>
      </c>
      <c r="D485" s="2" t="n">
        <v>0.0376745602085424</v>
      </c>
      <c r="E485" s="2" t="n">
        <v>2.17563266098961E-012</v>
      </c>
    </row>
    <row r="486" customFormat="false" ht="13.8" hidden="false" customHeight="false" outlineLevel="0" collapsed="false">
      <c r="B486" s="2" t="n">
        <v>484</v>
      </c>
      <c r="C486" s="2" t="n">
        <v>0.0409677995100563</v>
      </c>
      <c r="D486" s="2" t="n">
        <v>0.0353998117551147</v>
      </c>
      <c r="E486" s="2" t="n">
        <v>2.08507340954379E-012</v>
      </c>
    </row>
    <row r="487" customFormat="false" ht="13.8" hidden="false" customHeight="false" outlineLevel="0" collapsed="false">
      <c r="B487" s="2" t="n">
        <v>485</v>
      </c>
      <c r="C487" s="2" t="n">
        <v>0.0519836995333942</v>
      </c>
      <c r="D487" s="2" t="n">
        <v>0.0228665591688156</v>
      </c>
      <c r="E487" s="2" t="n">
        <v>1.99469045320359E-012</v>
      </c>
    </row>
    <row r="488" customFormat="false" ht="13.8" hidden="false" customHeight="false" outlineLevel="0" collapsed="false">
      <c r="B488" s="2" t="n">
        <v>486</v>
      </c>
      <c r="C488" s="2" t="n">
        <v>0.0158502995567323</v>
      </c>
      <c r="D488" s="2" t="n">
        <v>0.0351721024161173</v>
      </c>
      <c r="E488" s="2" t="n">
        <v>1.90445397507992E-012</v>
      </c>
    </row>
    <row r="489" customFormat="false" ht="13.8" hidden="false" customHeight="false" outlineLevel="0" collapsed="false">
      <c r="B489" s="2" t="n">
        <v>487</v>
      </c>
      <c r="C489" s="2" t="n">
        <v>0.0210005162467373</v>
      </c>
      <c r="D489" s="2" t="n">
        <v>0.0322364655267311</v>
      </c>
      <c r="E489" s="2" t="n">
        <v>1.81427420192599E-012</v>
      </c>
    </row>
    <row r="490" customFormat="false" ht="13.8" hidden="false" customHeight="false" outlineLevel="0" collapsed="false">
      <c r="B490" s="2" t="n">
        <v>488</v>
      </c>
      <c r="C490" s="2" t="n">
        <v>0.0123500496034092</v>
      </c>
      <c r="D490" s="2" t="n">
        <v>0.0328742253914021</v>
      </c>
      <c r="E490" s="2" t="n">
        <v>1.72411411125902E-012</v>
      </c>
    </row>
    <row r="491" customFormat="false" ht="13.8" hidden="false" customHeight="false" outlineLevel="0" collapsed="false">
      <c r="B491" s="2" t="n">
        <v>489</v>
      </c>
      <c r="C491" s="2" t="n">
        <v>0.0940333496265985</v>
      </c>
      <c r="D491" s="2" t="n">
        <v>1.11587687062633E-011</v>
      </c>
      <c r="E491" s="2" t="n">
        <v>1.63456234287278E-012</v>
      </c>
    </row>
    <row r="492" customFormat="false" ht="13.8" hidden="false" customHeight="false" outlineLevel="0" collapsed="false">
      <c r="B492" s="2" t="n">
        <v>490</v>
      </c>
      <c r="C492" s="2" t="n">
        <v>0.0119833663167537</v>
      </c>
      <c r="D492" s="2" t="n">
        <v>0.0307655792802162</v>
      </c>
      <c r="E492" s="2" t="n">
        <v>1.54380020702112E-012</v>
      </c>
    </row>
    <row r="493" customFormat="false" ht="13.8" hidden="false" customHeight="false" outlineLevel="0" collapsed="false">
      <c r="B493" s="2" t="n">
        <v>491</v>
      </c>
      <c r="C493" s="2" t="n">
        <v>0.0898666996733939</v>
      </c>
      <c r="D493" s="2" t="n">
        <v>1.09267120896808E-011</v>
      </c>
      <c r="E493" s="2" t="n">
        <v>1.45381888326467E-012</v>
      </c>
    </row>
    <row r="494" customFormat="false" ht="13.8" hidden="false" customHeight="false" outlineLevel="0" collapsed="false">
      <c r="B494" s="2" t="n">
        <v>492</v>
      </c>
      <c r="C494" s="2" t="n">
        <v>0.0141001663634325</v>
      </c>
      <c r="D494" s="2" t="n">
        <v>0.0277027123499789</v>
      </c>
      <c r="E494" s="2" t="n">
        <v>1.36351012785885E-012</v>
      </c>
    </row>
    <row r="495" customFormat="false" ht="13.8" hidden="false" customHeight="false" outlineLevel="0" collapsed="false">
      <c r="B495" s="2" t="n">
        <v>493</v>
      </c>
      <c r="C495" s="2" t="n">
        <v>0.100866833053393</v>
      </c>
      <c r="D495" s="2" t="n">
        <v>9.31752081762314E-012</v>
      </c>
      <c r="E495" s="2" t="n">
        <v>1.18223823545217E-012</v>
      </c>
    </row>
    <row r="496" customFormat="false" ht="13.8" hidden="false" customHeight="false" outlineLevel="0" collapsed="false">
      <c r="B496" s="2" t="n">
        <v>494</v>
      </c>
      <c r="C496" s="2" t="n">
        <v>0.0431834830767789</v>
      </c>
      <c r="D496" s="2" t="n">
        <v>0.0110930507212885</v>
      </c>
      <c r="E496" s="2" t="n">
        <v>1.18322368259002E-012</v>
      </c>
    </row>
    <row r="497" customFormat="false" ht="13.8" hidden="false" customHeight="false" outlineLevel="0" collapsed="false">
      <c r="B497" s="2" t="n">
        <v>495</v>
      </c>
      <c r="C497" s="2" t="n">
        <v>0.103500083099939</v>
      </c>
      <c r="D497" s="2" t="n">
        <v>6.77680995403851E-012</v>
      </c>
      <c r="E497" s="2" t="n">
        <v>7.31669568533825E-013</v>
      </c>
    </row>
    <row r="498" customFormat="false" ht="13.8" hidden="false" customHeight="false" outlineLevel="0" collapsed="false">
      <c r="B498" s="2" t="n">
        <v>496</v>
      </c>
      <c r="C498" s="2" t="n">
        <v>0.0380002331234596</v>
      </c>
      <c r="D498" s="2" t="n">
        <v>0.013174366182382</v>
      </c>
      <c r="E498" s="2" t="n">
        <v>1.0029602539545E-012</v>
      </c>
    </row>
    <row r="499" customFormat="false" ht="13.8" hidden="false" customHeight="false" outlineLevel="0" collapsed="false">
      <c r="B499" s="2" t="n">
        <v>497</v>
      </c>
      <c r="C499" s="2" t="n">
        <v>0.098816783146261</v>
      </c>
      <c r="D499" s="2" t="n">
        <v>1.36227365626685E-011</v>
      </c>
      <c r="E499" s="2" t="n">
        <v>0</v>
      </c>
    </row>
    <row r="500" customFormat="false" ht="13.8" hidden="false" customHeight="false" outlineLevel="0" collapsed="false">
      <c r="B500" s="2" t="n">
        <v>498</v>
      </c>
      <c r="C500" s="2" t="n">
        <v>0.0318335165034745</v>
      </c>
      <c r="D500" s="2" t="n">
        <v>0.0160594801301565</v>
      </c>
      <c r="E500" s="2" t="n">
        <v>8.22787780533724E-013</v>
      </c>
    </row>
    <row r="501" customFormat="false" ht="13.8" hidden="false" customHeight="false" outlineLevel="0" collapsed="false">
      <c r="B501" s="2" t="n">
        <v>499</v>
      </c>
      <c r="C501" s="2" t="n">
        <v>0.0921166998585841</v>
      </c>
      <c r="D501" s="2" t="n">
        <v>3.72649798726543E-011</v>
      </c>
      <c r="E501" s="2" t="n">
        <v>0</v>
      </c>
    </row>
    <row r="502" customFormat="false" ht="13.8" hidden="false" customHeight="false" outlineLevel="0" collapsed="false">
      <c r="B502" s="2" t="n">
        <v>500</v>
      </c>
      <c r="C502" s="2" t="n">
        <v>0.0304999998834904</v>
      </c>
      <c r="D502" s="2" t="n">
        <v>0.0130845940897206</v>
      </c>
      <c r="E502" s="2" t="n">
        <v>6.42864683637436E-013</v>
      </c>
    </row>
    <row r="503" customFormat="false" ht="13.8" hidden="false" customHeight="false" outlineLevel="0" collapsed="false">
      <c r="B503" s="2" t="n">
        <v>501</v>
      </c>
      <c r="C503" s="2" t="n">
        <v>0.0920501332356416</v>
      </c>
      <c r="D503" s="2" t="n">
        <v>1.05950034514366E-010</v>
      </c>
      <c r="E503" s="2" t="n">
        <v>0</v>
      </c>
    </row>
    <row r="504" customFormat="false" ht="13.8" hidden="false" customHeight="false" outlineLevel="0" collapsed="false">
      <c r="B504" s="2" t="n">
        <v>502</v>
      </c>
      <c r="C504" s="2" t="n">
        <v>0.0312543842486128</v>
      </c>
      <c r="D504" s="2" t="n">
        <v>0.024701518810681</v>
      </c>
      <c r="E504" s="2" t="n">
        <v>4.63921088641326E-013</v>
      </c>
    </row>
    <row r="505" customFormat="false" ht="13.8" hidden="false" customHeight="false" outlineLevel="0" collapsed="false">
      <c r="B505" s="2" t="n">
        <v>503</v>
      </c>
      <c r="C505" s="2" t="n">
        <v>0.0806840017188544</v>
      </c>
      <c r="D505" s="2" t="n">
        <v>0.0420010004558392</v>
      </c>
      <c r="E505" s="2" t="n">
        <v>2.11238669546345E-013</v>
      </c>
    </row>
    <row r="506" customFormat="false" ht="13.8" hidden="false" customHeight="false" outlineLevel="0" collapsed="false">
      <c r="B506" s="2" t="n">
        <v>504</v>
      </c>
      <c r="C506" s="2" t="n">
        <v>0.0299630196071877</v>
      </c>
      <c r="D506" s="2" t="n">
        <v>2.61915480577449E-013</v>
      </c>
      <c r="E506" s="2" t="n">
        <v>2.59632910163543E-013</v>
      </c>
    </row>
    <row r="507" customFormat="false" ht="13.8" hidden="false" customHeight="false" outlineLevel="0" collapsed="false">
      <c r="B507" s="2" t="n">
        <v>505</v>
      </c>
      <c r="C507" s="2" t="n">
        <v>0.0549577868775086</v>
      </c>
      <c r="D507" s="2" t="n">
        <v>1.93614881279361E-013</v>
      </c>
      <c r="E507" s="2" t="n">
        <v>1.90606785449038E-013</v>
      </c>
    </row>
    <row r="508" customFormat="false" ht="13.8" hidden="false" customHeight="false" outlineLevel="0" collapsed="false">
      <c r="B508" s="2" t="n">
        <v>506</v>
      </c>
      <c r="C508" s="2" t="n">
        <v>0.0210661571010375</v>
      </c>
      <c r="D508" s="2" t="n">
        <v>1.96449565877228E-013</v>
      </c>
      <c r="E508" s="2" t="n">
        <v>1.91861472201305E-013</v>
      </c>
    </row>
    <row r="509" customFormat="false" ht="13.8" hidden="false" customHeight="false" outlineLevel="0" collapsed="false">
      <c r="B509" s="2" t="n">
        <v>507</v>
      </c>
      <c r="C509" s="2" t="n">
        <v>0.0452123931185052</v>
      </c>
      <c r="D509" s="2" t="n">
        <v>1.99262681430087E-013</v>
      </c>
      <c r="E509" s="2" t="n">
        <v>1.93100789179239E-013</v>
      </c>
    </row>
    <row r="510" customFormat="false" ht="13.8" hidden="false" customHeight="false" outlineLevel="0" collapsed="false">
      <c r="B510" s="2" t="n">
        <v>508</v>
      </c>
      <c r="C510" s="2" t="n">
        <v>0.014152301041055</v>
      </c>
      <c r="D510" s="2" t="n">
        <v>2.02105785397543E-013</v>
      </c>
      <c r="E510" s="2" t="n">
        <v>1.94119494728815E-013</v>
      </c>
    </row>
    <row r="511" customFormat="false" ht="13.8" hidden="false" customHeight="false" outlineLevel="0" collapsed="false">
      <c r="B511" s="2" t="n">
        <v>509</v>
      </c>
      <c r="C511" s="2" t="n">
        <v>0.0479488069438737</v>
      </c>
      <c r="D511" s="2" t="n">
        <v>2.04988891511269E-013</v>
      </c>
      <c r="E511" s="2" t="n">
        <v>4.93552779811462E-013</v>
      </c>
    </row>
    <row r="512" customFormat="false" ht="13.8" hidden="false" customHeight="false" outlineLevel="0" collapsed="false">
      <c r="B512" s="2" t="n">
        <v>510</v>
      </c>
      <c r="C512" s="2" t="n">
        <v>0.031005966127939</v>
      </c>
      <c r="D512" s="2" t="n">
        <v>2.74588872845939E-013</v>
      </c>
      <c r="E512" s="2" t="n">
        <v>0</v>
      </c>
    </row>
    <row r="513" customFormat="false" ht="13.8" hidden="false" customHeight="false" outlineLevel="0" collapsed="false">
      <c r="B513" s="2" t="n">
        <v>511</v>
      </c>
      <c r="C513" s="2" t="n">
        <v>0.0848505276572387</v>
      </c>
      <c r="D513" s="2" t="n">
        <v>1.15920644951933E-013</v>
      </c>
      <c r="E513" s="2" t="n">
        <v>6.51435076612863E-014</v>
      </c>
    </row>
    <row r="514" customFormat="false" ht="13.8" hidden="false" customHeight="false" outlineLevel="0" collapsed="false">
      <c r="B514" s="2" t="n">
        <v>512</v>
      </c>
      <c r="C514" s="2" t="n">
        <v>0.0121865233950832</v>
      </c>
      <c r="D514" s="2" t="n">
        <v>1.07647497021666E-013</v>
      </c>
      <c r="E514" s="2" t="n">
        <v>6.57451267048983E-014</v>
      </c>
    </row>
    <row r="515" customFormat="false" ht="13.8" hidden="false" customHeight="false" outlineLevel="0" collapsed="false">
      <c r="B515" s="2" t="n">
        <v>513</v>
      </c>
      <c r="C515" s="2" t="n">
        <v>0.065773269132916</v>
      </c>
      <c r="D515" s="2" t="n">
        <v>9.81965201827454E-014</v>
      </c>
      <c r="E515" s="2" t="n">
        <v>6.6321752704163E-014</v>
      </c>
    </row>
    <row r="516" customFormat="false" ht="13.8" hidden="false" customHeight="false" outlineLevel="0" collapsed="false">
      <c r="B516" s="2" t="n">
        <v>514</v>
      </c>
      <c r="C516" s="2" t="n">
        <v>0</v>
      </c>
      <c r="D516" s="2" t="n">
        <v>0.0398987239687874</v>
      </c>
      <c r="E516" s="2" t="n">
        <v>2.83887148155831E-013</v>
      </c>
    </row>
    <row r="517" customFormat="false" ht="13.8" hidden="false" customHeight="false" outlineLevel="0" collapsed="false">
      <c r="B517" s="2" t="n">
        <v>515</v>
      </c>
      <c r="C517" s="2" t="n">
        <v>0.0518450032023892</v>
      </c>
      <c r="D517" s="2" t="n">
        <v>0.0630347615239299</v>
      </c>
      <c r="E517" s="2" t="n">
        <v>6.66041409823391E-014</v>
      </c>
    </row>
    <row r="518" customFormat="false" ht="13.8" hidden="false" customHeight="false" outlineLevel="0" collapsed="false">
      <c r="B518" s="2" t="n">
        <v>516</v>
      </c>
      <c r="C518" s="2" t="n">
        <v>0</v>
      </c>
      <c r="D518" s="2" t="n">
        <v>0.0952565241002014</v>
      </c>
      <c r="E518" s="2" t="n">
        <v>2.81495768166867E-013</v>
      </c>
    </row>
    <row r="519" customFormat="false" ht="13.8" hidden="false" customHeight="false" outlineLevel="0" collapsed="false">
      <c r="B519" s="2" t="n">
        <v>517</v>
      </c>
      <c r="C519" s="2" t="n">
        <v>0</v>
      </c>
      <c r="D519" s="2" t="n">
        <v>0.122735638601387</v>
      </c>
      <c r="E519" s="2" t="n">
        <v>2.79863287348906E-013</v>
      </c>
    </row>
    <row r="520" customFormat="false" ht="13.8" hidden="false" customHeight="false" outlineLevel="0" collapsed="false">
      <c r="B520" s="2" t="n">
        <v>518</v>
      </c>
      <c r="C520" s="2" t="n">
        <v>0.0254344805182126</v>
      </c>
      <c r="D520" s="2" t="n">
        <v>0.101241882565991</v>
      </c>
      <c r="E520" s="2" t="n">
        <v>6.44544515742111E-014</v>
      </c>
    </row>
    <row r="521" customFormat="false" ht="13.8" hidden="false" customHeight="false" outlineLevel="0" collapsed="false">
      <c r="B521" s="2" t="n">
        <v>519</v>
      </c>
      <c r="C521" s="2" t="n">
        <v>0.00226962376446865</v>
      </c>
      <c r="D521" s="2" t="n">
        <v>0.086266893912938</v>
      </c>
      <c r="E521" s="2" t="n">
        <v>6.313639765366E-014</v>
      </c>
    </row>
    <row r="522" customFormat="false" ht="13.8" hidden="false" customHeight="false" outlineLevel="0" collapsed="false">
      <c r="B522" s="2" t="n">
        <v>520</v>
      </c>
      <c r="C522" s="2" t="n">
        <v>0.0119380336773914</v>
      </c>
      <c r="D522" s="2" t="n">
        <v>0.0552375457914079</v>
      </c>
      <c r="E522" s="2" t="n">
        <v>6.11032130226463E-014</v>
      </c>
    </row>
    <row r="523" customFormat="false" ht="13.8" hidden="false" customHeight="false" outlineLevel="0" collapsed="false">
      <c r="B523" s="2" t="n">
        <v>521</v>
      </c>
      <c r="C523" s="2" t="n">
        <v>0.00313944349237527</v>
      </c>
      <c r="D523" s="2" t="n">
        <v>1.13874856850403E-009</v>
      </c>
      <c r="E523" s="2" t="n">
        <v>0</v>
      </c>
    </row>
    <row r="524" customFormat="false" ht="13.8" hidden="false" customHeight="false" outlineLevel="0" collapsed="false">
      <c r="B524" s="2" t="n">
        <v>522</v>
      </c>
      <c r="C524" s="2" t="n">
        <v>0.00180119433058879</v>
      </c>
      <c r="D524" s="2" t="n">
        <v>1.67881432498745E-009</v>
      </c>
      <c r="E524" s="2" t="n">
        <v>0</v>
      </c>
    </row>
    <row r="525" customFormat="false" ht="13.8" hidden="false" customHeight="false" outlineLevel="0" collapsed="false">
      <c r="B525" s="2" t="n">
        <v>523</v>
      </c>
      <c r="C525" s="2" t="n">
        <v>0</v>
      </c>
      <c r="D525" s="2" t="n">
        <v>2.22545894286298E-009</v>
      </c>
      <c r="E525" s="2" t="n">
        <v>0</v>
      </c>
    </row>
    <row r="526" customFormat="false" ht="13.8" hidden="false" customHeight="false" outlineLevel="0" collapsed="false">
      <c r="B526" s="2" t="n">
        <v>524</v>
      </c>
      <c r="C526" s="2" t="n">
        <v>0</v>
      </c>
      <c r="D526" s="2" t="n">
        <v>2.76702523313785E-009</v>
      </c>
      <c r="E526" s="2" t="n">
        <v>0</v>
      </c>
    </row>
    <row r="527" customFormat="false" ht="13.8" hidden="false" customHeight="false" outlineLevel="0" collapsed="false">
      <c r="B527" s="2" t="n">
        <v>525</v>
      </c>
      <c r="C527" s="2" t="n">
        <v>2.75294233363139E-010</v>
      </c>
      <c r="D527" s="2" t="n">
        <v>4.70093398658907E-009</v>
      </c>
      <c r="E527" s="2" t="n">
        <v>5.61530635318616E-010</v>
      </c>
    </row>
    <row r="528" customFormat="false" ht="13.8" hidden="false" customHeight="false" outlineLevel="0" collapsed="false">
      <c r="B528" s="2" t="n">
        <v>526</v>
      </c>
      <c r="C528" s="2" t="n">
        <v>0</v>
      </c>
      <c r="D528" s="2" t="n">
        <v>3.85017392961067E-009</v>
      </c>
      <c r="E528" s="2" t="n">
        <v>0</v>
      </c>
    </row>
    <row r="529" customFormat="false" ht="13.8" hidden="false" customHeight="false" outlineLevel="0" collapsed="false">
      <c r="B529" s="2" t="n">
        <v>527</v>
      </c>
      <c r="C529" s="2" t="n">
        <v>0</v>
      </c>
      <c r="D529" s="2" t="n">
        <v>4.39175626535761E-009</v>
      </c>
      <c r="E529" s="2" t="n">
        <v>0</v>
      </c>
    </row>
    <row r="530" customFormat="false" ht="13.8" hidden="false" customHeight="false" outlineLevel="0" collapsed="false">
      <c r="B530" s="2" t="n">
        <v>528</v>
      </c>
      <c r="C530" s="2" t="n">
        <v>4.10922243831628E-010</v>
      </c>
      <c r="D530" s="2" t="n">
        <v>7.00940199214938E-009</v>
      </c>
      <c r="E530" s="2" t="n">
        <v>8.37297267866937E-010</v>
      </c>
    </row>
    <row r="531" customFormat="false" ht="13.8" hidden="false" customHeight="false" outlineLevel="0" collapsed="false">
      <c r="B531" s="2" t="n">
        <v>529</v>
      </c>
      <c r="C531" s="2" t="n">
        <v>0</v>
      </c>
      <c r="D531" s="2" t="n">
        <v>5.47493687606056E-009</v>
      </c>
      <c r="E531" s="2" t="n">
        <v>0</v>
      </c>
    </row>
    <row r="532" customFormat="false" ht="13.8" hidden="false" customHeight="false" outlineLevel="0" collapsed="false">
      <c r="B532" s="2" t="n">
        <v>530</v>
      </c>
      <c r="C532" s="2" t="n">
        <v>0</v>
      </c>
      <c r="D532" s="2" t="n">
        <v>6.01653514399271E-009</v>
      </c>
      <c r="E532" s="2" t="n">
        <v>0</v>
      </c>
    </row>
    <row r="533" customFormat="false" ht="13.8" hidden="false" customHeight="false" outlineLevel="0" collapsed="false">
      <c r="B533" s="2" t="n">
        <v>531</v>
      </c>
      <c r="C533" s="2" t="n">
        <v>0.022601140026362</v>
      </c>
      <c r="D533" s="2" t="n">
        <v>6.53963128646883E-009</v>
      </c>
      <c r="E533" s="2" t="n">
        <v>0</v>
      </c>
    </row>
    <row r="534" customFormat="false" ht="13.8" hidden="false" customHeight="false" outlineLevel="0" collapsed="false">
      <c r="B534" s="2" t="n">
        <v>532</v>
      </c>
      <c r="C534" s="2" t="n">
        <v>0</v>
      </c>
      <c r="D534" s="2" t="n">
        <v>7.09974757308766E-009</v>
      </c>
      <c r="E534" s="2" t="n">
        <v>0</v>
      </c>
    </row>
    <row r="535" customFormat="false" ht="13.8" hidden="false" customHeight="false" outlineLevel="0" collapsed="false">
      <c r="B535" s="2" t="n">
        <v>533</v>
      </c>
      <c r="C535" s="2" t="n">
        <v>0.00212132206055902</v>
      </c>
      <c r="D535" s="2" t="n">
        <v>7.61986797314211E-009</v>
      </c>
      <c r="E535" s="2" t="n">
        <v>0</v>
      </c>
    </row>
    <row r="536" customFormat="false" ht="13.8" hidden="false" customHeight="false" outlineLevel="0" collapsed="false">
      <c r="B536" s="2" t="n">
        <v>534</v>
      </c>
      <c r="C536" s="2" t="n">
        <v>0.0206067642276053</v>
      </c>
      <c r="D536" s="2" t="n">
        <v>8.15999409606623E-009</v>
      </c>
      <c r="E536" s="2" t="n">
        <v>0</v>
      </c>
    </row>
    <row r="537" customFormat="false" ht="13.8" hidden="false" customHeight="false" outlineLevel="0" collapsed="false">
      <c r="B537" s="2" t="n">
        <v>535</v>
      </c>
      <c r="C537" s="2" t="n">
        <v>0</v>
      </c>
      <c r="D537" s="2" t="n">
        <v>8.72460622406861E-009</v>
      </c>
      <c r="E537" s="2" t="n">
        <v>0</v>
      </c>
    </row>
    <row r="538" customFormat="false" ht="13.8" hidden="false" customHeight="false" outlineLevel="0" collapsed="false">
      <c r="B538" s="2" t="n">
        <v>536</v>
      </c>
      <c r="C538" s="2" t="n">
        <v>0.0360796164086199</v>
      </c>
      <c r="D538" s="2" t="n">
        <v>9.24026297410062E-009</v>
      </c>
      <c r="E538" s="2" t="n">
        <v>0</v>
      </c>
    </row>
    <row r="539" customFormat="false" ht="13.8" hidden="false" customHeight="false" outlineLevel="0" collapsed="false">
      <c r="B539" s="2" t="n">
        <v>537</v>
      </c>
      <c r="C539" s="2" t="n">
        <v>0.040948608596118</v>
      </c>
      <c r="D539" s="2" t="n">
        <v>9.78040488017112E-009</v>
      </c>
      <c r="E539" s="2" t="n">
        <v>0</v>
      </c>
    </row>
    <row r="540" customFormat="false" ht="13.8" hidden="false" customHeight="false" outlineLevel="0" collapsed="false">
      <c r="B540" s="2" t="n">
        <v>538</v>
      </c>
      <c r="C540" s="2" t="n">
        <v>0.0526810727097933</v>
      </c>
      <c r="D540" s="2" t="n">
        <v>1.03205521088964E-008</v>
      </c>
      <c r="E540" s="2" t="n">
        <v>0</v>
      </c>
    </row>
    <row r="541" customFormat="false" ht="13.8" hidden="false" customHeight="false" outlineLevel="0" collapsed="false">
      <c r="B541" s="2" t="n">
        <v>539</v>
      </c>
      <c r="C541" s="2" t="n">
        <v>0.0496801368234636</v>
      </c>
      <c r="D541" s="2" t="n">
        <v>1.08607045419077E-008</v>
      </c>
      <c r="E541" s="2" t="n">
        <v>0</v>
      </c>
    </row>
    <row r="542" customFormat="false" ht="13.8" hidden="false" customHeight="false" outlineLevel="0" collapsed="false">
      <c r="B542" s="2" t="n">
        <v>540</v>
      </c>
      <c r="C542" s="2" t="n">
        <v>0.0339458175783312</v>
      </c>
      <c r="D542" s="2" t="n">
        <v>1.14008632741465E-008</v>
      </c>
      <c r="E542" s="2" t="n">
        <v>0</v>
      </c>
    </row>
    <row r="543" customFormat="false" ht="13.8" hidden="false" customHeight="false" outlineLevel="0" collapsed="false">
      <c r="B543" s="2" t="n">
        <v>541</v>
      </c>
      <c r="C543" s="2" t="n">
        <v>0.0250431795875875</v>
      </c>
      <c r="D543" s="2" t="n">
        <v>7.98843744924184E-012</v>
      </c>
      <c r="E543" s="2" t="n">
        <v>8.44685066470401E-012</v>
      </c>
    </row>
    <row r="544" customFormat="false" ht="13.8" hidden="false" customHeight="false" outlineLevel="0" collapsed="false">
      <c r="B544" s="2" t="n">
        <v>542</v>
      </c>
      <c r="C544" s="2" t="n">
        <v>0.0591180700821484</v>
      </c>
      <c r="D544" s="2" t="n">
        <v>7.81117403460948E-012</v>
      </c>
      <c r="E544" s="2" t="n">
        <v>8.27202458763261E-012</v>
      </c>
    </row>
    <row r="545" customFormat="false" ht="13.8" hidden="false" customHeight="false" outlineLevel="0" collapsed="false">
      <c r="B545" s="2" t="n">
        <v>543</v>
      </c>
      <c r="C545" s="2" t="n">
        <v>0.0660265772433739</v>
      </c>
      <c r="D545" s="2" t="n">
        <v>7.63303311279257E-012</v>
      </c>
      <c r="E545" s="2" t="n">
        <v>8.09541423870102E-012</v>
      </c>
    </row>
    <row r="546" customFormat="false" ht="13.8" hidden="false" customHeight="false" outlineLevel="0" collapsed="false">
      <c r="B546" s="2" t="n">
        <v>544</v>
      </c>
      <c r="C546" s="2" t="n">
        <v>0.0334350344045992</v>
      </c>
      <c r="D546" s="2" t="n">
        <v>7.45487689991526E-012</v>
      </c>
      <c r="E546" s="2" t="n">
        <v>7.91883764149475E-012</v>
      </c>
    </row>
    <row r="547" customFormat="false" ht="13.8" hidden="false" customHeight="false" outlineLevel="0" collapsed="false">
      <c r="B547" s="2" t="n">
        <v>545</v>
      </c>
      <c r="C547" s="2" t="n">
        <v>0.0615097248991576</v>
      </c>
      <c r="D547" s="2" t="n">
        <v>7.27671163318437E-012</v>
      </c>
      <c r="E547" s="2" t="n">
        <v>7.74225031013212E-012</v>
      </c>
    </row>
    <row r="548" customFormat="false" ht="13.8" hidden="false" customHeight="false" outlineLevel="0" collapsed="false">
      <c r="B548" s="2" t="n">
        <v>546</v>
      </c>
      <c r="C548" s="2" t="n">
        <v>0.0688919525290731</v>
      </c>
      <c r="D548" s="2" t="n">
        <v>7.09856713131529E-012</v>
      </c>
      <c r="E548" s="2" t="n">
        <v>7.56564204979085E-012</v>
      </c>
    </row>
    <row r="549" customFormat="false" ht="13.8" hidden="false" customHeight="false" outlineLevel="0" collapsed="false">
      <c r="B549" s="2" t="n">
        <v>547</v>
      </c>
      <c r="C549" s="2" t="n">
        <v>0.0615245301589881</v>
      </c>
      <c r="D549" s="2" t="n">
        <v>6.92040067828053E-012</v>
      </c>
      <c r="E549" s="2" t="n">
        <v>7.38904647470288E-012</v>
      </c>
    </row>
    <row r="550" customFormat="false" ht="13.8" hidden="false" customHeight="false" outlineLevel="0" collapsed="false">
      <c r="B550" s="2" t="n">
        <v>548</v>
      </c>
      <c r="C550" s="2" t="n">
        <v>0.0694066577889028</v>
      </c>
      <c r="D550" s="2" t="n">
        <v>6.74224446522549E-012</v>
      </c>
      <c r="E550" s="2" t="n">
        <v>7.21245880399657E-012</v>
      </c>
    </row>
    <row r="551" customFormat="false" ht="13.8" hidden="false" customHeight="false" outlineLevel="0" collapsed="false">
      <c r="B551" s="2" t="n">
        <v>549</v>
      </c>
      <c r="C551" s="2" t="n">
        <v>0.063289035418817</v>
      </c>
      <c r="D551" s="2" t="n">
        <v>6.56408020100844E-012</v>
      </c>
      <c r="E551" s="2" t="n">
        <v>7.03585266349446E-012</v>
      </c>
    </row>
    <row r="552" customFormat="false" ht="13.8" hidden="false" customHeight="false" outlineLevel="0" collapsed="false">
      <c r="B552" s="2" t="n">
        <v>550</v>
      </c>
      <c r="C552" s="2" t="n">
        <v>0.0731417887137281</v>
      </c>
      <c r="D552" s="2" t="n">
        <v>6.38591708159022E-012</v>
      </c>
      <c r="E552" s="2" t="n">
        <v>6.85926893248033E-012</v>
      </c>
    </row>
    <row r="553" customFormat="false" ht="13.8" hidden="false" customHeight="false" outlineLevel="0" collapsed="false">
      <c r="B553" s="2" t="n">
        <v>551</v>
      </c>
      <c r="C553" s="2" t="n">
        <v>0.0662447586753052</v>
      </c>
      <c r="D553" s="2" t="n">
        <v>6.2077464012099E-012</v>
      </c>
      <c r="E553" s="2" t="n">
        <v>6.68263738397364E-012</v>
      </c>
    </row>
    <row r="554" customFormat="false" ht="13.8" hidden="false" customHeight="false" outlineLevel="0" collapsed="false">
      <c r="B554" s="2" t="n">
        <v>552</v>
      </c>
      <c r="C554" s="2" t="n">
        <v>0.0747808619735421</v>
      </c>
      <c r="D554" s="2" t="n">
        <v>0.0127984360198096</v>
      </c>
      <c r="E554" s="2" t="n">
        <v>9.81118866479793E-012</v>
      </c>
    </row>
    <row r="555" customFormat="false" ht="13.8" hidden="false" customHeight="false" outlineLevel="0" collapsed="false">
      <c r="B555" s="2" t="n">
        <v>553</v>
      </c>
      <c r="C555" s="2" t="n">
        <v>0.0684508485781961</v>
      </c>
      <c r="D555" s="2" t="n">
        <v>0.0999999992391348</v>
      </c>
      <c r="E555" s="2" t="n">
        <v>9.4584637957018E-012</v>
      </c>
    </row>
    <row r="556" customFormat="false" ht="13.8" hidden="false" customHeight="false" outlineLevel="0" collapsed="false">
      <c r="B556" s="2" t="n">
        <v>554</v>
      </c>
      <c r="C556" s="2" t="n">
        <v>0.0974007152913649</v>
      </c>
      <c r="D556" s="2" t="n">
        <v>0.0999999992856159</v>
      </c>
      <c r="E556" s="2" t="n">
        <v>9.10373734824545E-012</v>
      </c>
    </row>
    <row r="557" customFormat="false" ht="13.8" hidden="false" customHeight="false" outlineLevel="0" collapsed="false">
      <c r="B557" s="2" t="n">
        <v>555</v>
      </c>
      <c r="C557" s="2" t="n">
        <v>0.0954513153378674</v>
      </c>
      <c r="D557" s="2" t="n">
        <v>0.0999999993320973</v>
      </c>
      <c r="E557" s="2" t="n">
        <v>8.74901888016763E-012</v>
      </c>
    </row>
    <row r="558" customFormat="false" ht="13.8" hidden="false" customHeight="false" outlineLevel="0" collapsed="false">
      <c r="B558" s="2" t="n">
        <v>556</v>
      </c>
      <c r="C558" s="2" t="n">
        <v>0.110118882051037</v>
      </c>
      <c r="D558" s="2" t="n">
        <v>0.0999999993785793</v>
      </c>
      <c r="E558" s="2" t="n">
        <v>8.39427859193426E-012</v>
      </c>
    </row>
    <row r="559" customFormat="false" ht="13.8" hidden="false" customHeight="false" outlineLevel="0" collapsed="false">
      <c r="B559" s="2" t="n">
        <v>557</v>
      </c>
      <c r="C559" s="2" t="n">
        <v>0.114819182097541</v>
      </c>
      <c r="D559" s="2" t="n">
        <v>0.0999999994250616</v>
      </c>
      <c r="E559" s="2" t="n">
        <v>8.03954070038591E-012</v>
      </c>
    </row>
    <row r="560" customFormat="false" ht="13.8" hidden="false" customHeight="false" outlineLevel="0" collapsed="false">
      <c r="B560" s="2" t="n">
        <v>558</v>
      </c>
      <c r="C560" s="2" t="n">
        <v>0.108886465477378</v>
      </c>
      <c r="D560" s="2" t="n">
        <v>0.0999999994715444</v>
      </c>
      <c r="E560" s="2" t="n">
        <v>7.68479361143797E-012</v>
      </c>
    </row>
    <row r="561" customFormat="false" ht="13.8" hidden="false" customHeight="false" outlineLevel="0" collapsed="false">
      <c r="B561" s="2" t="n">
        <v>559</v>
      </c>
      <c r="C561" s="2" t="n">
        <v>0.0562206321905489</v>
      </c>
      <c r="D561" s="2" t="n">
        <v>0.0999999995180276</v>
      </c>
      <c r="E561" s="2" t="n">
        <v>7.3300449098073E-012</v>
      </c>
    </row>
    <row r="562" customFormat="false" ht="13.8" hidden="false" customHeight="false" outlineLevel="0" collapsed="false">
      <c r="B562" s="2" t="n">
        <v>560</v>
      </c>
      <c r="C562" s="2" t="n">
        <v>0.0799371989037204</v>
      </c>
      <c r="D562" s="2" t="n">
        <v>0.0999999995645112</v>
      </c>
      <c r="E562" s="2" t="n">
        <v>6.97529029146014E-012</v>
      </c>
    </row>
    <row r="563" customFormat="false" ht="13.8" hidden="false" customHeight="false" outlineLevel="0" collapsed="false">
      <c r="B563" s="2" t="n">
        <v>561</v>
      </c>
      <c r="C563" s="2" t="n">
        <v>0.100870665616892</v>
      </c>
      <c r="D563" s="2" t="n">
        <v>0.0999999996109952</v>
      </c>
      <c r="E563" s="2" t="n">
        <v>6.62051543798095E-012</v>
      </c>
    </row>
    <row r="564" customFormat="false" ht="13.8" hidden="false" customHeight="false" outlineLevel="0" collapsed="false">
      <c r="B564" s="2" t="n">
        <v>562</v>
      </c>
      <c r="C564" s="2" t="n">
        <v>0.0698882156633981</v>
      </c>
      <c r="D564" s="2" t="n">
        <v>0.0999999996574795</v>
      </c>
      <c r="E564" s="2" t="n">
        <v>6.26579618657013E-012</v>
      </c>
    </row>
    <row r="565" customFormat="false" ht="13.8" hidden="false" customHeight="false" outlineLevel="0" collapsed="false">
      <c r="B565" s="2" t="n">
        <v>563</v>
      </c>
      <c r="C565" s="2" t="n">
        <v>0.074704132376571</v>
      </c>
      <c r="D565" s="2" t="n">
        <v>0.0999999997039641</v>
      </c>
      <c r="E565" s="2" t="n">
        <v>5.911025607739E-012</v>
      </c>
    </row>
    <row r="566" customFormat="false" ht="13.8" hidden="false" customHeight="false" outlineLevel="0" collapsed="false">
      <c r="B566" s="2" t="n">
        <v>564</v>
      </c>
      <c r="C566" s="2" t="n">
        <v>0.109936782423078</v>
      </c>
      <c r="D566" s="2" t="n">
        <v>0.099999999750449</v>
      </c>
      <c r="E566" s="2" t="n">
        <v>5.55627389722397E-012</v>
      </c>
    </row>
    <row r="567" customFormat="false" ht="13.8" hidden="false" customHeight="false" outlineLevel="0" collapsed="false">
      <c r="B567" s="2" t="n">
        <v>565</v>
      </c>
      <c r="C567" s="2" t="n">
        <v>0.119786932469585</v>
      </c>
      <c r="D567" s="2" t="n">
        <v>0.0999999997969338</v>
      </c>
      <c r="E567" s="2" t="n">
        <v>5.20149436685936E-012</v>
      </c>
    </row>
    <row r="568" customFormat="false" ht="13.8" hidden="false" customHeight="false" outlineLevel="0" collapsed="false">
      <c r="B568" s="2" t="n">
        <v>566</v>
      </c>
      <c r="C568" s="2" t="n">
        <v>0.0930704658494257</v>
      </c>
      <c r="D568" s="2" t="n">
        <v>0.0999999998434182</v>
      </c>
      <c r="E568" s="2" t="n">
        <v>4.84678565679753E-012</v>
      </c>
    </row>
    <row r="569" customFormat="false" ht="13.8" hidden="false" customHeight="false" outlineLevel="0" collapsed="false">
      <c r="B569" s="2" t="n">
        <v>567</v>
      </c>
      <c r="C569" s="2" t="n">
        <v>0.0827201492292671</v>
      </c>
      <c r="D569" s="2" t="n">
        <v>0.0999999998899009</v>
      </c>
      <c r="E569" s="2" t="n">
        <v>4.49195591358541E-012</v>
      </c>
    </row>
    <row r="570" customFormat="false" ht="13.8" hidden="false" customHeight="false" outlineLevel="0" collapsed="false">
      <c r="B570" s="2" t="n">
        <v>568</v>
      </c>
      <c r="C570" s="2" t="n">
        <v>0.0910877659424423</v>
      </c>
      <c r="D570" s="2" t="n">
        <v>0.0999999999363819</v>
      </c>
      <c r="E570" s="2" t="n">
        <v>4.13719497216248E-012</v>
      </c>
    </row>
    <row r="571" customFormat="false" ht="13.8" hidden="false" customHeight="false" outlineLevel="0" collapsed="false">
      <c r="B571" s="2" t="n">
        <v>569</v>
      </c>
      <c r="C571" s="2" t="n">
        <v>0.0627878826757214</v>
      </c>
      <c r="D571" s="2" t="n">
        <v>0.0900162111544132</v>
      </c>
      <c r="E571" s="2" t="n">
        <v>3.55132749884579E-012</v>
      </c>
    </row>
    <row r="572" customFormat="false" ht="13.8" hidden="false" customHeight="false" outlineLevel="0" collapsed="false">
      <c r="B572" s="2" t="n">
        <v>570</v>
      </c>
      <c r="C572" s="2" t="n">
        <v>0.0860378660323907</v>
      </c>
      <c r="D572" s="2" t="n">
        <v>0.0424944589711408</v>
      </c>
      <c r="E572" s="2" t="n">
        <v>3.46294588648186E-012</v>
      </c>
    </row>
    <row r="573" customFormat="false" ht="13.8" hidden="false" customHeight="false" outlineLevel="0" collapsed="false">
      <c r="B573" s="2" t="n">
        <v>571</v>
      </c>
      <c r="C573" s="2" t="n">
        <v>0.0955209827223937</v>
      </c>
      <c r="D573" s="2" t="n">
        <v>0.013600141624742</v>
      </c>
      <c r="E573" s="2" t="n">
        <v>3.37455575248051E-012</v>
      </c>
    </row>
    <row r="574" customFormat="false" ht="13.8" hidden="false" customHeight="false" outlineLevel="0" collapsed="false">
      <c r="B574" s="2" t="n">
        <v>572</v>
      </c>
      <c r="C574" s="2" t="n">
        <v>0.0731370827457302</v>
      </c>
      <c r="D574" s="2" t="n">
        <v>0.0171379147282468</v>
      </c>
      <c r="E574" s="2" t="n">
        <v>3.28616863654216E-012</v>
      </c>
    </row>
    <row r="575" customFormat="false" ht="13.8" hidden="false" customHeight="false" outlineLevel="0" collapsed="false">
      <c r="B575" s="2" t="n">
        <v>573</v>
      </c>
      <c r="C575" s="2" t="n">
        <v>0.0593541661024003</v>
      </c>
      <c r="D575" s="2" t="n">
        <v>0.0122412792600615</v>
      </c>
      <c r="E575" s="2" t="n">
        <v>3.19780217539635E-012</v>
      </c>
    </row>
    <row r="576" customFormat="false" ht="13.8" hidden="false" customHeight="false" outlineLevel="0" collapsed="false">
      <c r="B576" s="2" t="n">
        <v>574</v>
      </c>
      <c r="C576" s="2" t="n">
        <v>0.0501201994590707</v>
      </c>
      <c r="D576" s="2" t="n">
        <v>0.0130315276142463</v>
      </c>
      <c r="E576" s="2" t="n">
        <v>3.10942049069607E-012</v>
      </c>
    </row>
    <row r="577" customFormat="false" ht="13.8" hidden="false" customHeight="false" outlineLevel="0" collapsed="false">
      <c r="B577" s="2" t="n">
        <v>575</v>
      </c>
      <c r="C577" s="2" t="n">
        <v>0.0454029494824079</v>
      </c>
      <c r="D577" s="2" t="n">
        <v>0.00703671575261199</v>
      </c>
      <c r="E577" s="2" t="n">
        <v>3.02104165717948E-012</v>
      </c>
    </row>
    <row r="578" customFormat="false" ht="13.8" hidden="false" customHeight="false" outlineLevel="0" collapsed="false">
      <c r="B578" s="2" t="n">
        <v>576</v>
      </c>
      <c r="C578" s="2" t="n">
        <v>0.0520034328387174</v>
      </c>
      <c r="D578" s="2" t="n">
        <v>1.57934220447514E-011</v>
      </c>
      <c r="E578" s="2" t="n">
        <v>2.80843249476672E-012</v>
      </c>
    </row>
    <row r="579" customFormat="false" ht="13.8" hidden="false" customHeight="false" outlineLevel="0" collapsed="false">
      <c r="B579" s="2" t="n">
        <v>577</v>
      </c>
      <c r="C579" s="2" t="n">
        <v>0.0454856495287553</v>
      </c>
      <c r="D579" s="2" t="n">
        <v>1.53866009132812E-011</v>
      </c>
      <c r="E579" s="2" t="n">
        <v>2.71982717023281E-012</v>
      </c>
    </row>
    <row r="580" customFormat="false" ht="13.8" hidden="false" customHeight="false" outlineLevel="0" collapsed="false">
      <c r="B580" s="2" t="n">
        <v>578</v>
      </c>
      <c r="C580" s="2" t="n">
        <v>0.028318949552127</v>
      </c>
      <c r="D580" s="2" t="n">
        <v>1.49825075742874E-011</v>
      </c>
      <c r="E580" s="2" t="n">
        <v>2.63120492520495E-012</v>
      </c>
    </row>
    <row r="581" customFormat="false" ht="13.8" hidden="false" customHeight="false" outlineLevel="0" collapsed="false">
      <c r="B581" s="2" t="n">
        <v>579</v>
      </c>
      <c r="C581" s="2" t="n">
        <v>0.0844180662421658</v>
      </c>
      <c r="D581" s="2" t="n">
        <v>1.45811413820363E-011</v>
      </c>
      <c r="E581" s="2" t="n">
        <v>2.54258971131871E-012</v>
      </c>
    </row>
    <row r="582" customFormat="false" ht="13.8" hidden="false" customHeight="false" outlineLevel="0" collapsed="false">
      <c r="B582" s="2" t="n">
        <v>580</v>
      </c>
      <c r="C582" s="2" t="n">
        <v>0.0140843329322051</v>
      </c>
      <c r="D582" s="2" t="n">
        <v>1.41824452582838E-011</v>
      </c>
      <c r="E582" s="2" t="n">
        <v>2.45397112523181E-012</v>
      </c>
    </row>
    <row r="583" customFormat="false" ht="13.8" hidden="false" customHeight="false" outlineLevel="0" collapsed="false">
      <c r="B583" s="2" t="n">
        <v>581</v>
      </c>
      <c r="C583" s="2" t="n">
        <v>0.0769670662889116</v>
      </c>
      <c r="D583" s="2" t="n">
        <v>1.37865108210871E-011</v>
      </c>
      <c r="E583" s="2" t="n">
        <v>2.365350990422E-012</v>
      </c>
    </row>
    <row r="584" customFormat="false" ht="13.8" hidden="false" customHeight="false" outlineLevel="0" collapsed="false">
      <c r="B584" s="2" t="n">
        <v>582</v>
      </c>
      <c r="C584" s="2" t="n">
        <v>0.0269168163124416</v>
      </c>
      <c r="D584" s="2" t="n">
        <v>0.01012048144956</v>
      </c>
      <c r="E584" s="2" t="n">
        <v>2.40238556932884E-012</v>
      </c>
    </row>
    <row r="585" customFormat="false" ht="13.8" hidden="false" customHeight="false" outlineLevel="0" collapsed="false">
      <c r="B585" s="2" t="n">
        <v>583</v>
      </c>
      <c r="C585" s="2" t="n">
        <v>0.0417001330024474</v>
      </c>
      <c r="D585" s="2" t="n">
        <v>0.0110900001250431</v>
      </c>
      <c r="E585" s="2" t="n">
        <v>2.31399250037368E-012</v>
      </c>
    </row>
    <row r="586" customFormat="false" ht="13.8" hidden="false" customHeight="false" outlineLevel="0" collapsed="false">
      <c r="B586" s="2" t="n">
        <v>584</v>
      </c>
      <c r="C586" s="2" t="n">
        <v>0.0666502996924533</v>
      </c>
      <c r="D586" s="2" t="n">
        <v>0.00547156811641079</v>
      </c>
      <c r="E586" s="2" t="n">
        <v>2.22560710363182E-012</v>
      </c>
    </row>
    <row r="587" customFormat="false" ht="13.8" hidden="false" customHeight="false" outlineLevel="0" collapsed="false">
      <c r="B587" s="2" t="n">
        <v>585</v>
      </c>
      <c r="C587" s="2" t="n">
        <v>0.0277668997157929</v>
      </c>
      <c r="D587" s="2" t="n">
        <v>0.0300896385249105</v>
      </c>
      <c r="E587" s="2" t="n">
        <v>2.13722517825357E-012</v>
      </c>
    </row>
    <row r="588" customFormat="false" ht="13.8" hidden="false" customHeight="false" outlineLevel="0" collapsed="false">
      <c r="B588" s="2" t="n">
        <v>586</v>
      </c>
      <c r="C588" s="2" t="n">
        <v>0.0314834997391326</v>
      </c>
      <c r="D588" s="2" t="n">
        <v>0.0244359066824407</v>
      </c>
      <c r="E588" s="2" t="n">
        <v>2.04883701649384E-012</v>
      </c>
    </row>
    <row r="589" customFormat="false" ht="13.8" hidden="false" customHeight="false" outlineLevel="0" collapsed="false">
      <c r="B589" s="2" t="n">
        <v>587</v>
      </c>
      <c r="C589" s="2" t="n">
        <v>0.0712000664291393</v>
      </c>
      <c r="D589" s="2" t="n">
        <v>0.00689799873650365</v>
      </c>
      <c r="E589" s="2" t="n">
        <v>1.96044763006262E-012</v>
      </c>
    </row>
    <row r="590" customFormat="false" ht="13.8" hidden="false" customHeight="false" outlineLevel="0" collapsed="false">
      <c r="B590" s="2" t="n">
        <v>588</v>
      </c>
      <c r="C590" s="2" t="n">
        <v>0.0193500331191462</v>
      </c>
      <c r="D590" s="2" t="n">
        <v>0.0339147045849773</v>
      </c>
      <c r="E590" s="2" t="n">
        <v>1.87206121980947E-012</v>
      </c>
    </row>
    <row r="591" customFormat="false" ht="13.8" hidden="false" customHeight="false" outlineLevel="0" collapsed="false">
      <c r="B591" s="2" t="n">
        <v>589</v>
      </c>
      <c r="C591" s="2" t="n">
        <v>0.05133346647582</v>
      </c>
      <c r="D591" s="2" t="n">
        <v>0.0146108587111465</v>
      </c>
      <c r="E591" s="2" t="n">
        <v>1.78366587916341E-012</v>
      </c>
    </row>
    <row r="592" customFormat="false" ht="13.8" hidden="false" customHeight="false" outlineLevel="0" collapsed="false">
      <c r="B592" s="2" t="n">
        <v>590</v>
      </c>
      <c r="C592" s="2" t="n">
        <v>0.042249999832494</v>
      </c>
      <c r="D592" s="2" t="n">
        <v>0.0259106156608705</v>
      </c>
      <c r="E592" s="2" t="n">
        <v>1.69527747406565E-012</v>
      </c>
    </row>
    <row r="593" customFormat="false" ht="13.8" hidden="false" customHeight="false" outlineLevel="0" collapsed="false">
      <c r="B593" s="2" t="n">
        <v>591</v>
      </c>
      <c r="C593" s="2" t="n">
        <v>0.0484833998558348</v>
      </c>
      <c r="D593" s="2" t="n">
        <v>0.0189199479371471</v>
      </c>
      <c r="E593" s="2" t="n">
        <v>1.6068843479337E-012</v>
      </c>
    </row>
    <row r="594" customFormat="false" ht="13.8" hidden="false" customHeight="false" outlineLevel="0" collapsed="false">
      <c r="B594" s="2" t="n">
        <v>592</v>
      </c>
      <c r="C594" s="2" t="n">
        <v>0.041816699879176</v>
      </c>
      <c r="D594" s="2" t="n">
        <v>0.0203480559013168</v>
      </c>
      <c r="E594" s="2" t="n">
        <v>1.51849710634033E-012</v>
      </c>
    </row>
    <row r="595" customFormat="false" ht="13.8" hidden="false" customHeight="false" outlineLevel="0" collapsed="false">
      <c r="B595" s="2" t="n">
        <v>593</v>
      </c>
      <c r="C595" s="2" t="n">
        <v>0.0248502332358507</v>
      </c>
      <c r="D595" s="2" t="n">
        <v>0.0343445388562959</v>
      </c>
      <c r="E595" s="2" t="n">
        <v>1.43010190744276E-012</v>
      </c>
    </row>
    <row r="596" customFormat="false" ht="13.8" hidden="false" customHeight="false" outlineLevel="0" collapsed="false">
      <c r="B596" s="2" t="n">
        <v>594</v>
      </c>
      <c r="C596" s="2" t="n">
        <v>0.0466834332591923</v>
      </c>
      <c r="D596" s="2" t="n">
        <v>0.0196660744601789</v>
      </c>
      <c r="E596" s="2" t="n">
        <v>1.34170717421289E-012</v>
      </c>
    </row>
    <row r="597" customFormat="false" ht="13.8" hidden="false" customHeight="false" outlineLevel="0" collapsed="false">
      <c r="B597" s="2" t="n">
        <v>595</v>
      </c>
      <c r="C597" s="2" t="n">
        <v>0.0387168332825358</v>
      </c>
      <c r="D597" s="2" t="n">
        <v>0.0182866406976202</v>
      </c>
      <c r="E597" s="2" t="n">
        <v>1.25335818836987E-012</v>
      </c>
    </row>
    <row r="598" customFormat="false" ht="13.8" hidden="false" customHeight="false" outlineLevel="0" collapsed="false">
      <c r="B598" s="2" t="n">
        <v>596</v>
      </c>
      <c r="C598" s="2" t="n">
        <v>0.0246669666392213</v>
      </c>
      <c r="D598" s="2" t="n">
        <v>0.0261933478071846</v>
      </c>
      <c r="E598" s="2" t="n">
        <v>1.16521799208026E-012</v>
      </c>
    </row>
    <row r="599" customFormat="false" ht="13.8" hidden="false" customHeight="false" outlineLevel="0" collapsed="false">
      <c r="B599" s="2" t="n">
        <v>597</v>
      </c>
      <c r="C599" s="2" t="n">
        <v>0.0195291077100258</v>
      </c>
      <c r="D599" s="2" t="n">
        <v>0.0194430585322422</v>
      </c>
      <c r="E599" s="2" t="n">
        <v>9.79995099737832E-013</v>
      </c>
    </row>
    <row r="600" customFormat="false" ht="13.8" hidden="false" customHeight="false" outlineLevel="0" collapsed="false">
      <c r="B600" s="2" t="n">
        <v>598</v>
      </c>
      <c r="C600" s="2" t="n">
        <v>0.0100874952041049</v>
      </c>
      <c r="D600" s="2" t="n">
        <v>0.0186526137351634</v>
      </c>
      <c r="E600" s="2" t="n">
        <v>9.77884690812172E-013</v>
      </c>
    </row>
    <row r="601" customFormat="false" ht="13.8" hidden="false" customHeight="false" outlineLevel="0" collapsed="false">
      <c r="B601" s="2" t="n">
        <v>599</v>
      </c>
      <c r="C601" s="2" t="n">
        <v>0.00179451632097869</v>
      </c>
      <c r="D601" s="2" t="n">
        <v>6.54822587510927E-012</v>
      </c>
      <c r="E601" s="2" t="n">
        <v>1.33358540310488E-011</v>
      </c>
    </row>
    <row r="602" customFormat="false" ht="13.8" hidden="false" customHeight="false" outlineLevel="0" collapsed="false">
      <c r="B602" s="2" t="n">
        <v>600</v>
      </c>
      <c r="C602" s="2" t="n">
        <v>0.0228800150332667</v>
      </c>
      <c r="D602" s="2" t="n">
        <v>9.35192021320894E-013</v>
      </c>
      <c r="E602" s="2" t="n">
        <v>8.50933500043157E-013</v>
      </c>
    </row>
    <row r="603" customFormat="false" ht="13.8" hidden="false" customHeight="false" outlineLevel="0" collapsed="false">
      <c r="B603" s="2" t="n">
        <v>601</v>
      </c>
      <c r="C603" s="2" t="n">
        <v>0.0149555542762491</v>
      </c>
      <c r="D603" s="2" t="n">
        <v>5.95938066585468E-013</v>
      </c>
      <c r="E603" s="2" t="n">
        <v>8.50937791112874E-013</v>
      </c>
    </row>
    <row r="604" customFormat="false" ht="13.8" hidden="false" customHeight="false" outlineLevel="0" collapsed="false">
      <c r="B604" s="2" t="n">
        <v>602</v>
      </c>
      <c r="C604" s="2" t="n">
        <v>0.0396760454757245</v>
      </c>
      <c r="D604" s="2" t="n">
        <v>4.76467439052226E-014</v>
      </c>
      <c r="E604" s="2" t="n">
        <v>0</v>
      </c>
    </row>
    <row r="605" customFormat="false" ht="13.8" hidden="false" customHeight="false" outlineLevel="0" collapsed="false">
      <c r="B605" s="2" t="n">
        <v>603</v>
      </c>
      <c r="C605" s="2" t="n">
        <v>0.0583437381779695</v>
      </c>
      <c r="D605" s="2" t="n">
        <v>4.76083853311881E-014</v>
      </c>
      <c r="E605" s="2" t="n">
        <v>0</v>
      </c>
    </row>
    <row r="606" customFormat="false" ht="13.8" hidden="false" customHeight="false" outlineLevel="0" collapsed="false">
      <c r="B606" s="2" t="n">
        <v>604</v>
      </c>
      <c r="C606" s="2" t="n">
        <v>0.0409780975468812</v>
      </c>
      <c r="D606" s="2" t="n">
        <v>4.75523830061695E-014</v>
      </c>
      <c r="E606" s="2" t="n">
        <v>0</v>
      </c>
    </row>
    <row r="607" customFormat="false" ht="13.8" hidden="false" customHeight="false" outlineLevel="0" collapsed="false">
      <c r="B607" s="2" t="n">
        <v>605</v>
      </c>
      <c r="C607" s="2" t="n">
        <v>0.0508798902491262</v>
      </c>
      <c r="D607" s="2" t="n">
        <v>4.74770303259008E-014</v>
      </c>
      <c r="E607" s="2" t="n">
        <v>0</v>
      </c>
    </row>
    <row r="608" customFormat="false" ht="13.8" hidden="false" customHeight="false" outlineLevel="0" collapsed="false">
      <c r="B608" s="2" t="n">
        <v>606</v>
      </c>
      <c r="C608" s="2" t="n">
        <v>0.0372607620919266</v>
      </c>
      <c r="D608" s="2" t="n">
        <v>4.73548816132158E-014</v>
      </c>
      <c r="E608" s="2" t="n">
        <v>0</v>
      </c>
    </row>
    <row r="609" customFormat="false" ht="13.8" hidden="false" customHeight="false" outlineLevel="0" collapsed="false">
      <c r="B609" s="2" t="n">
        <v>607</v>
      </c>
      <c r="C609" s="2" t="n">
        <v>0.0165247839347269</v>
      </c>
      <c r="D609" s="2" t="n">
        <v>4.71964303909406E-014</v>
      </c>
      <c r="E609" s="2" t="n">
        <v>0</v>
      </c>
    </row>
    <row r="610" customFormat="false" ht="13.8" hidden="false" customHeight="false" outlineLevel="0" collapsed="false">
      <c r="B610" s="2" t="n">
        <v>608</v>
      </c>
      <c r="C610" s="2" t="n">
        <v>0.00637208911086057</v>
      </c>
      <c r="D610" s="2" t="n">
        <v>4.69931105443454E-014</v>
      </c>
      <c r="E610" s="2" t="n">
        <v>0</v>
      </c>
    </row>
    <row r="611" customFormat="false" ht="13.8" hidden="false" customHeight="false" outlineLevel="0" collapsed="false">
      <c r="B611" s="2" t="n">
        <v>609</v>
      </c>
      <c r="C611" s="2" t="n">
        <v>4.57669621027599E-011</v>
      </c>
      <c r="D611" s="2" t="n">
        <v>4.58178189797987E-011</v>
      </c>
      <c r="E611" s="2" t="n">
        <v>9.17133296256335E-011</v>
      </c>
    </row>
    <row r="612" customFormat="false" ht="13.8" hidden="false" customHeight="false" outlineLevel="0" collapsed="false">
      <c r="B612" s="2" t="n">
        <v>610</v>
      </c>
      <c r="C612" s="2" t="n">
        <v>0.0323179390360139</v>
      </c>
      <c r="D612" s="2" t="n">
        <v>4.64281541184225E-014</v>
      </c>
      <c r="E612" s="2" t="n">
        <v>0</v>
      </c>
    </row>
    <row r="613" customFormat="false" ht="13.8" hidden="false" customHeight="false" outlineLevel="0" collapsed="false">
      <c r="B613" s="2" t="n">
        <v>611</v>
      </c>
      <c r="C613" s="2" t="n">
        <v>0</v>
      </c>
      <c r="D613" s="2" t="n">
        <v>1.65345317122565E-013</v>
      </c>
      <c r="E613" s="2" t="n">
        <v>0</v>
      </c>
    </row>
    <row r="614" customFormat="false" ht="13.8" hidden="false" customHeight="false" outlineLevel="0" collapsed="false">
      <c r="B614" s="2" t="n">
        <v>612</v>
      </c>
      <c r="C614" s="2" t="n">
        <v>0</v>
      </c>
      <c r="D614" s="2" t="n">
        <v>4.62003205147504E-014</v>
      </c>
      <c r="E614" s="2" t="n">
        <v>0</v>
      </c>
    </row>
    <row r="615" customFormat="false" ht="13.8" hidden="false" customHeight="false" outlineLevel="0" collapsed="false">
      <c r="B615" s="2" t="n">
        <v>613</v>
      </c>
      <c r="C615" s="2" t="n">
        <v>0</v>
      </c>
      <c r="D615" s="2" t="n">
        <v>4.57057984708167E-014</v>
      </c>
      <c r="E615" s="2" t="n">
        <v>0</v>
      </c>
    </row>
    <row r="616" customFormat="false" ht="13.8" hidden="false" customHeight="false" outlineLevel="0" collapsed="false">
      <c r="B616" s="2" t="n">
        <v>614</v>
      </c>
      <c r="C616" s="2" t="n">
        <v>0.0080903212013596</v>
      </c>
      <c r="D616" s="2" t="n">
        <v>4.45551370895042E-014</v>
      </c>
      <c r="E616" s="2" t="n">
        <v>0</v>
      </c>
    </row>
    <row r="617" customFormat="false" ht="13.8" hidden="false" customHeight="false" outlineLevel="0" collapsed="false">
      <c r="B617" s="2" t="n">
        <v>615</v>
      </c>
      <c r="C617" s="2" t="n">
        <v>0</v>
      </c>
      <c r="D617" s="2" t="n">
        <v>4.44349177712999E-014</v>
      </c>
      <c r="E617" s="2" t="n">
        <v>0</v>
      </c>
    </row>
    <row r="618" customFormat="false" ht="13.8" hidden="false" customHeight="false" outlineLevel="0" collapsed="false">
      <c r="B618" s="2" t="n">
        <v>616</v>
      </c>
      <c r="C618" s="2" t="n">
        <v>0.000108450371259268</v>
      </c>
      <c r="D618" s="2" t="n">
        <v>4.2847813381753E-014</v>
      </c>
      <c r="E618" s="2" t="n">
        <v>0</v>
      </c>
    </row>
    <row r="619" customFormat="false" ht="13.8" hidden="false" customHeight="false" outlineLevel="0" collapsed="false">
      <c r="B619" s="2" t="n">
        <v>617</v>
      </c>
      <c r="C619" s="2" t="n">
        <v>0</v>
      </c>
      <c r="D619" s="2" t="n">
        <v>4.27355642497939E-014</v>
      </c>
      <c r="E619" s="2" t="n">
        <v>0</v>
      </c>
    </row>
    <row r="620" customFormat="false" ht="13.8" hidden="false" customHeight="false" outlineLevel="0" collapsed="false">
      <c r="B620" s="2" t="n">
        <v>618</v>
      </c>
      <c r="C620" s="2" t="n">
        <v>3.89090107443545E-012</v>
      </c>
      <c r="D620" s="2" t="n">
        <v>3.42644817458845E-014</v>
      </c>
      <c r="E620" s="2" t="n">
        <v>0</v>
      </c>
    </row>
    <row r="621" customFormat="false" ht="13.8" hidden="false" customHeight="false" outlineLevel="0" collapsed="false">
      <c r="B621" s="2" t="n">
        <v>619</v>
      </c>
      <c r="C621" s="2" t="n">
        <v>0</v>
      </c>
      <c r="D621" s="2" t="n">
        <v>4.05488214626734E-014</v>
      </c>
      <c r="E621" s="2" t="n">
        <v>0</v>
      </c>
    </row>
    <row r="622" customFormat="false" ht="13.8" hidden="false" customHeight="false" outlineLevel="0" collapsed="false">
      <c r="B622" s="2" t="n">
        <v>620</v>
      </c>
      <c r="C622" s="2" t="n">
        <v>0</v>
      </c>
      <c r="D622" s="2" t="n">
        <v>3.92610580867941E-014</v>
      </c>
      <c r="E622" s="2" t="n">
        <v>0</v>
      </c>
    </row>
    <row r="623" customFormat="false" ht="13.8" hidden="false" customHeight="false" outlineLevel="0" collapsed="false">
      <c r="B623" s="2" t="n">
        <v>621</v>
      </c>
      <c r="C623" s="2" t="n">
        <v>0</v>
      </c>
      <c r="D623" s="2" t="n">
        <v>1.33252310667556E-013</v>
      </c>
      <c r="E623" s="2" t="n">
        <v>0</v>
      </c>
    </row>
    <row r="624" customFormat="false" ht="13.8" hidden="false" customHeight="false" outlineLevel="0" collapsed="false">
      <c r="B624" s="2" t="n">
        <v>622</v>
      </c>
      <c r="C624" s="2" t="n">
        <v>0.012839144813359</v>
      </c>
      <c r="D624" s="2" t="n">
        <v>3.55962040690206E-014</v>
      </c>
      <c r="E624" s="2" t="n">
        <v>0</v>
      </c>
    </row>
    <row r="625" customFormat="false" ht="13.8" hidden="false" customHeight="false" outlineLevel="0" collapsed="false">
      <c r="B625" s="2" t="n">
        <v>623</v>
      </c>
      <c r="C625" s="2" t="n">
        <v>7.80830081678526E-011</v>
      </c>
      <c r="D625" s="2" t="n">
        <v>7.81168387337262E-011</v>
      </c>
      <c r="E625" s="2" t="n">
        <v>1.56311352790956E-010</v>
      </c>
    </row>
    <row r="626" customFormat="false" ht="13.8" hidden="false" customHeight="false" outlineLevel="0" collapsed="false">
      <c r="B626" s="2" t="n">
        <v>624</v>
      </c>
      <c r="C626" s="2" t="n">
        <v>0.00493565466226286</v>
      </c>
      <c r="D626" s="2" t="n">
        <v>3.22089605887228E-014</v>
      </c>
      <c r="E626" s="2" t="n">
        <v>0</v>
      </c>
    </row>
    <row r="627" customFormat="false" ht="13.8" hidden="false" customHeight="false" outlineLevel="0" collapsed="false">
      <c r="B627" s="2" t="n">
        <v>625</v>
      </c>
      <c r="C627" s="2" t="n">
        <v>0</v>
      </c>
      <c r="D627" s="2" t="n">
        <v>1.08625362978104E-013</v>
      </c>
      <c r="E627" s="2" t="n">
        <v>0</v>
      </c>
    </row>
    <row r="628" customFormat="false" ht="13.8" hidden="false" customHeight="false" outlineLevel="0" collapsed="false">
      <c r="B628" s="2" t="n">
        <v>626</v>
      </c>
      <c r="C628" s="2" t="n">
        <v>0.00753147548758935</v>
      </c>
      <c r="D628" s="2" t="n">
        <v>2.85585112107472E-014</v>
      </c>
      <c r="E628" s="2" t="n">
        <v>0</v>
      </c>
    </row>
    <row r="629" customFormat="false" ht="13.8" hidden="false" customHeight="false" outlineLevel="0" collapsed="false">
      <c r="B629" s="2" t="n">
        <v>627</v>
      </c>
      <c r="C629" s="2" t="n">
        <v>0</v>
      </c>
      <c r="D629" s="2" t="n">
        <v>9.38750215574322E-014</v>
      </c>
      <c r="E629" s="2" t="n">
        <v>0</v>
      </c>
    </row>
    <row r="630" customFormat="false" ht="13.8" hidden="false" customHeight="false" outlineLevel="0" collapsed="false">
      <c r="B630" s="2" t="n">
        <v>628</v>
      </c>
      <c r="C630" s="2" t="n">
        <v>0.0324600906227007</v>
      </c>
      <c r="D630" s="2" t="n">
        <v>2.64911255933681E-014</v>
      </c>
      <c r="E630" s="2" t="n">
        <v>0</v>
      </c>
    </row>
    <row r="631" customFormat="false" ht="13.8" hidden="false" customHeight="false" outlineLevel="0" collapsed="false">
      <c r="B631" s="2" t="n">
        <v>629</v>
      </c>
      <c r="C631" s="2" t="n">
        <v>1.61478218240102E-010</v>
      </c>
      <c r="D631" s="2" t="n">
        <v>8.0684934252982E-011</v>
      </c>
      <c r="E631" s="2" t="n">
        <v>8.06604546740641E-011</v>
      </c>
    </row>
    <row r="632" customFormat="false" ht="13.8" hidden="false" customHeight="false" outlineLevel="0" collapsed="false">
      <c r="B632" s="2" t="n">
        <v>630</v>
      </c>
      <c r="C632" s="2" t="n">
        <v>0.0442471420027752</v>
      </c>
      <c r="D632" s="2" t="n">
        <v>2.52897193933234E-014</v>
      </c>
      <c r="E632" s="2" t="n">
        <v>0</v>
      </c>
    </row>
    <row r="633" customFormat="false" ht="13.8" hidden="false" customHeight="false" outlineLevel="0" collapsed="false">
      <c r="B633" s="2" t="n">
        <v>631</v>
      </c>
      <c r="C633" s="2" t="n">
        <v>0</v>
      </c>
      <c r="D633" s="2" t="n">
        <v>1.8138639276408E-014</v>
      </c>
      <c r="E633" s="2" t="n">
        <v>0</v>
      </c>
    </row>
    <row r="634" customFormat="false" ht="13.8" hidden="false" customHeight="false" outlineLevel="0" collapsed="false">
      <c r="B634" s="2" t="n">
        <v>632</v>
      </c>
      <c r="C634" s="2" t="n">
        <v>2.50113238131607E-016</v>
      </c>
      <c r="D634" s="2" t="n">
        <v>1.58177067032958E-014</v>
      </c>
      <c r="E634" s="2" t="n">
        <v>0</v>
      </c>
    </row>
    <row r="635" customFormat="false" ht="13.8" hidden="false" customHeight="false" outlineLevel="0" collapsed="false">
      <c r="B635" s="2" t="n">
        <v>633</v>
      </c>
      <c r="C635" s="2" t="n">
        <v>0</v>
      </c>
      <c r="D635" s="2" t="n">
        <v>4.37142284736343E-014</v>
      </c>
      <c r="E635" s="2" t="n">
        <v>0</v>
      </c>
    </row>
    <row r="636" customFormat="false" ht="13.8" hidden="false" customHeight="false" outlineLevel="0" collapsed="false">
      <c r="B636" s="2" t="n">
        <v>634</v>
      </c>
      <c r="C636" s="2" t="n">
        <v>0.0514511672084622</v>
      </c>
      <c r="D636" s="2" t="n">
        <v>2.31142274409956E-014</v>
      </c>
      <c r="E636" s="2" t="n">
        <v>0</v>
      </c>
    </row>
    <row r="637" customFormat="false" ht="13.8" hidden="false" customHeight="false" outlineLevel="0" collapsed="false">
      <c r="B637" s="2" t="n">
        <v>635</v>
      </c>
      <c r="C637" s="2" t="n">
        <v>5.04289106924216E-016</v>
      </c>
      <c r="D637" s="2" t="n">
        <v>2.52509594663773E-014</v>
      </c>
      <c r="E637" s="2" t="n">
        <v>0</v>
      </c>
    </row>
    <row r="638" customFormat="false" ht="13.8" hidden="false" customHeight="false" outlineLevel="0" collapsed="false">
      <c r="B638" s="2" t="n">
        <v>636</v>
      </c>
      <c r="C638" s="2" t="n">
        <v>0.0596228214114061</v>
      </c>
      <c r="D638" s="2" t="n">
        <v>2.0647602158115E-014</v>
      </c>
      <c r="E638" s="2" t="n">
        <v>4.79914204234939E-016</v>
      </c>
    </row>
    <row r="639" customFormat="false" ht="13.8" hidden="false" customHeight="false" outlineLevel="0" collapsed="false">
      <c r="B639" s="2" t="n">
        <v>637</v>
      </c>
      <c r="C639" s="2" t="n">
        <v>1.73811266310689E-015</v>
      </c>
      <c r="D639" s="2" t="n">
        <v>3.7507885328114E-015</v>
      </c>
      <c r="E639" s="2" t="n">
        <v>0</v>
      </c>
    </row>
    <row r="640" customFormat="false" ht="13.8" hidden="false" customHeight="false" outlineLevel="0" collapsed="false">
      <c r="B640" s="2" t="n">
        <v>638</v>
      </c>
      <c r="C640" s="2" t="n">
        <v>0.0508581064312994</v>
      </c>
      <c r="D640" s="2" t="n">
        <v>1.72465745472851E-014</v>
      </c>
      <c r="E640" s="2" t="n">
        <v>9.67850350625536E-016</v>
      </c>
    </row>
    <row r="641" customFormat="false" ht="13.8" hidden="false" customHeight="false" outlineLevel="0" collapsed="false">
      <c r="B641" s="2" t="n">
        <v>639</v>
      </c>
      <c r="C641" s="2" t="n">
        <v>0.0385072880169736</v>
      </c>
      <c r="D641" s="2" t="n">
        <v>5.10810638272557E-012</v>
      </c>
      <c r="E641" s="2" t="n">
        <v>5.11473430194842E-012</v>
      </c>
    </row>
    <row r="642" customFormat="false" ht="13.8" hidden="false" customHeight="false" outlineLevel="0" collapsed="false">
      <c r="B642" s="2" t="n">
        <v>640</v>
      </c>
      <c r="C642" s="2" t="n">
        <v>0.072156487648599</v>
      </c>
      <c r="D642" s="2" t="n">
        <v>4.93005001310438E-012</v>
      </c>
      <c r="E642" s="2" t="n">
        <v>4.93685812674462E-012</v>
      </c>
    </row>
    <row r="643" customFormat="false" ht="13.8" hidden="false" customHeight="false" outlineLevel="0" collapsed="false">
      <c r="B643" s="2" t="n">
        <v>641</v>
      </c>
      <c r="C643" s="2" t="n">
        <v>0.0538056872802264</v>
      </c>
      <c r="D643" s="2" t="n">
        <v>4.75198653884215E-012</v>
      </c>
      <c r="E643" s="2" t="n">
        <v>4.75902195653826E-012</v>
      </c>
    </row>
    <row r="644" customFormat="false" ht="13.8" hidden="false" customHeight="false" outlineLevel="0" collapsed="false">
      <c r="B644" s="2" t="n">
        <v>642</v>
      </c>
      <c r="C644" s="2" t="n">
        <v>0.0309926622946898</v>
      </c>
      <c r="D644" s="2" t="n">
        <v>4.5739152172736E-012</v>
      </c>
      <c r="E644" s="2" t="n">
        <v>4.58113212272856E-012</v>
      </c>
    </row>
    <row r="645" customFormat="false" ht="13.8" hidden="false" customHeight="false" outlineLevel="0" collapsed="false">
      <c r="B645" s="2" t="n">
        <v>643</v>
      </c>
      <c r="C645" s="2" t="n">
        <v>0.080846070642484</v>
      </c>
      <c r="D645" s="2" t="n">
        <v>4.39586059939211E-012</v>
      </c>
      <c r="E645" s="2" t="n">
        <v>4.40325868887383E-012</v>
      </c>
    </row>
    <row r="646" customFormat="false" ht="13.8" hidden="false" customHeight="false" outlineLevel="0" collapsed="false">
      <c r="B646" s="2" t="n">
        <v>644</v>
      </c>
      <c r="C646" s="2" t="n">
        <v>0.0553664123236143</v>
      </c>
      <c r="D646" s="2" t="n">
        <v>4.21778978553988E-012</v>
      </c>
      <c r="E646" s="2" t="n">
        <v>4.22536285710131E-012</v>
      </c>
    </row>
    <row r="647" customFormat="false" ht="13.8" hidden="false" customHeight="false" outlineLevel="0" collapsed="false">
      <c r="B647" s="2" t="n">
        <v>645</v>
      </c>
      <c r="C647" s="2" t="n">
        <v>0.0865531373380774</v>
      </c>
      <c r="D647" s="2" t="n">
        <v>4.0397228393026E-012</v>
      </c>
      <c r="E647" s="2" t="n">
        <v>4.04748210726717E-012</v>
      </c>
    </row>
    <row r="648" customFormat="false" ht="13.8" hidden="false" customHeight="false" outlineLevel="0" collapsed="false">
      <c r="B648" s="2" t="n">
        <v>646</v>
      </c>
      <c r="C648" s="2" t="n">
        <v>0.0617898402869019</v>
      </c>
      <c r="D648" s="2" t="n">
        <v>3.86166026862023E-012</v>
      </c>
      <c r="E648" s="2" t="n">
        <v>3.86957650126231E-012</v>
      </c>
    </row>
    <row r="649" customFormat="false" ht="13.8" hidden="false" customHeight="false" outlineLevel="0" collapsed="false">
      <c r="B649" s="2" t="n">
        <v>647</v>
      </c>
      <c r="C649" s="2" t="n">
        <v>0.0860270765690593</v>
      </c>
      <c r="D649" s="2" t="n">
        <v>3.68357374633612E-012</v>
      </c>
      <c r="E649" s="2" t="n">
        <v>3.69171202453007E-012</v>
      </c>
    </row>
    <row r="650" customFormat="false" ht="13.8" hidden="false" customHeight="false" outlineLevel="0" collapsed="false">
      <c r="B650" s="2" t="n">
        <v>648</v>
      </c>
      <c r="C650" s="2" t="n">
        <v>0.0691803961845512</v>
      </c>
      <c r="D650" s="2" t="n">
        <v>3.50551334079581E-012</v>
      </c>
      <c r="E650" s="2" t="n">
        <v>3.51381141188657E-012</v>
      </c>
    </row>
    <row r="651" customFormat="false" ht="13.8" hidden="false" customHeight="false" outlineLevel="0" collapsed="false">
      <c r="B651" s="2" t="n">
        <v>649</v>
      </c>
      <c r="C651" s="2" t="n">
        <v>0.0949676491314346</v>
      </c>
      <c r="D651" s="2" t="n">
        <v>3.42118083698513E-012</v>
      </c>
      <c r="E651" s="2" t="n">
        <v>3.35994837009572E-012</v>
      </c>
    </row>
    <row r="652" customFormat="false" ht="13.8" hidden="false" customHeight="false" outlineLevel="0" collapsed="false">
      <c r="B652" s="2" t="n">
        <v>650</v>
      </c>
      <c r="C652" s="2" t="n">
        <v>0.0744679658447588</v>
      </c>
      <c r="D652" s="2" t="n">
        <v>3.24651960830043E-012</v>
      </c>
      <c r="E652" s="2" t="n">
        <v>3.18291420716532E-012</v>
      </c>
    </row>
    <row r="653" customFormat="false" ht="13.8" hidden="false" customHeight="false" outlineLevel="0" collapsed="false">
      <c r="B653" s="2" t="n">
        <v>651</v>
      </c>
      <c r="C653" s="2" t="n">
        <v>0.107651315891607</v>
      </c>
      <c r="D653" s="2" t="n">
        <v>0.0933333332721674</v>
      </c>
      <c r="E653" s="2" t="n">
        <v>3.22877914703771E-012</v>
      </c>
    </row>
    <row r="654" customFormat="false" ht="13.8" hidden="false" customHeight="false" outlineLevel="0" collapsed="false">
      <c r="B654" s="2" t="n">
        <v>652</v>
      </c>
      <c r="C654" s="2" t="n">
        <v>0.0779190659469143</v>
      </c>
      <c r="D654" s="2" t="n">
        <v>0.0605744495697264</v>
      </c>
      <c r="E654" s="2" t="n">
        <v>2.76951856813255E-012</v>
      </c>
    </row>
    <row r="655" customFormat="false" ht="13.8" hidden="false" customHeight="false" outlineLevel="0" collapsed="false">
      <c r="B655" s="2" t="n">
        <v>653</v>
      </c>
      <c r="C655" s="2" t="n">
        <v>0.0826531826369162</v>
      </c>
      <c r="D655" s="2" t="n">
        <v>0.0116205422921756</v>
      </c>
      <c r="E655" s="2" t="n">
        <v>2.68115605957443E-012</v>
      </c>
    </row>
    <row r="656" customFormat="false" ht="13.8" hidden="false" customHeight="false" outlineLevel="0" collapsed="false">
      <c r="B656" s="2" t="n">
        <v>654</v>
      </c>
      <c r="C656" s="2" t="n">
        <v>0.111936265961534</v>
      </c>
      <c r="D656" s="2" t="n">
        <v>7.49095501867513E-010</v>
      </c>
      <c r="E656" s="2" t="n">
        <v>0</v>
      </c>
    </row>
    <row r="657" customFormat="false" ht="13.8" hidden="false" customHeight="false" outlineLevel="0" collapsed="false">
      <c r="B657" s="2" t="n">
        <v>655</v>
      </c>
      <c r="C657" s="2" t="n">
        <v>0.117602515961672</v>
      </c>
      <c r="D657" s="2" t="n">
        <v>1.28894254031044E-009</v>
      </c>
      <c r="E657" s="2" t="n">
        <v>0</v>
      </c>
    </row>
    <row r="658" customFormat="false" ht="13.8" hidden="false" customHeight="false" outlineLevel="0" collapsed="false">
      <c r="B658" s="2" t="n">
        <v>656</v>
      </c>
      <c r="C658" s="2" t="n">
        <v>0.123253249295142</v>
      </c>
      <c r="D658" s="2" t="n">
        <v>1.8287965565286E-009</v>
      </c>
      <c r="E658" s="2" t="n">
        <v>0</v>
      </c>
    </row>
    <row r="659" customFormat="false" ht="13.8" hidden="false" customHeight="false" outlineLevel="0" collapsed="false">
      <c r="B659" s="2" t="n">
        <v>657</v>
      </c>
      <c r="C659" s="2" t="n">
        <v>0.0943036326286122</v>
      </c>
      <c r="D659" s="2" t="n">
        <v>2.36865650503136E-009</v>
      </c>
      <c r="E659" s="2" t="n">
        <v>0</v>
      </c>
    </row>
    <row r="660" customFormat="false" ht="13.8" hidden="false" customHeight="false" outlineLevel="0" collapsed="false">
      <c r="B660" s="2" t="n">
        <v>658</v>
      </c>
      <c r="C660" s="2" t="n">
        <v>0.117403482628749</v>
      </c>
      <c r="D660" s="2" t="n">
        <v>2.9085220640799E-009</v>
      </c>
      <c r="E660" s="2" t="n">
        <v>0</v>
      </c>
    </row>
    <row r="661" customFormat="false" ht="13.8" hidden="false" customHeight="false" outlineLevel="0" collapsed="false">
      <c r="B661" s="2" t="n">
        <v>659</v>
      </c>
      <c r="C661" s="2" t="n">
        <v>0.0893202326288858</v>
      </c>
      <c r="D661" s="2" t="n">
        <v>3.44839316914403E-009</v>
      </c>
      <c r="E661" s="2" t="n">
        <v>0</v>
      </c>
    </row>
    <row r="662" customFormat="false" ht="13.8" hidden="false" customHeight="false" outlineLevel="0" collapsed="false">
      <c r="B662" s="2" t="n">
        <v>660</v>
      </c>
      <c r="C662" s="2" t="n">
        <v>0.111270199295689</v>
      </c>
      <c r="D662" s="2" t="n">
        <v>3.98826972216155E-009</v>
      </c>
      <c r="E662" s="2" t="n">
        <v>0</v>
      </c>
    </row>
    <row r="663" customFormat="false" ht="13.8" hidden="false" customHeight="false" outlineLevel="0" collapsed="false">
      <c r="B663" s="2" t="n">
        <v>661</v>
      </c>
      <c r="C663" s="2" t="n">
        <v>0.107920299295826</v>
      </c>
      <c r="D663" s="2" t="n">
        <v>4.52815171013823E-009</v>
      </c>
      <c r="E663" s="2" t="n">
        <v>0</v>
      </c>
    </row>
    <row r="664" customFormat="false" ht="13.8" hidden="false" customHeight="false" outlineLevel="0" collapsed="false">
      <c r="B664" s="2" t="n">
        <v>662</v>
      </c>
      <c r="C664" s="2" t="n">
        <v>0.126637132629296</v>
      </c>
      <c r="D664" s="2" t="n">
        <v>5.06803921178804E-009</v>
      </c>
      <c r="E664" s="2" t="n">
        <v>0</v>
      </c>
    </row>
    <row r="665" customFormat="false" ht="13.8" hidden="false" customHeight="false" outlineLevel="0" collapsed="false">
      <c r="B665" s="2" t="n">
        <v>663</v>
      </c>
      <c r="C665" s="2" t="n">
        <v>0.0764712326294334</v>
      </c>
      <c r="D665" s="2" t="n">
        <v>5.60793246093031E-009</v>
      </c>
      <c r="E665" s="2" t="n">
        <v>0</v>
      </c>
    </row>
    <row r="666" customFormat="false" ht="13.8" hidden="false" customHeight="false" outlineLevel="0" collapsed="false">
      <c r="B666" s="2" t="n">
        <v>664</v>
      </c>
      <c r="C666" s="2" t="n">
        <v>0.102704382629571</v>
      </c>
      <c r="D666" s="2" t="n">
        <v>6.1478311114414E-009</v>
      </c>
      <c r="E666" s="2" t="n">
        <v>0</v>
      </c>
    </row>
    <row r="667" customFormat="false" ht="13.8" hidden="false" customHeight="false" outlineLevel="0" collapsed="false">
      <c r="B667" s="2" t="n">
        <v>665</v>
      </c>
      <c r="C667" s="2" t="n">
        <v>0.0672212492963743</v>
      </c>
      <c r="D667" s="2" t="n">
        <v>6.68773516387007E-009</v>
      </c>
      <c r="E667" s="2" t="n">
        <v>0</v>
      </c>
    </row>
    <row r="668" customFormat="false" ht="13.8" hidden="false" customHeight="false" outlineLevel="0" collapsed="false">
      <c r="B668" s="2" t="n">
        <v>666</v>
      </c>
      <c r="C668" s="2" t="n">
        <v>0.0953546159631867</v>
      </c>
      <c r="D668" s="2" t="n">
        <v>7.22764544851217E-009</v>
      </c>
      <c r="E668" s="2" t="n">
        <v>0</v>
      </c>
    </row>
    <row r="669" customFormat="false" ht="13.8" hidden="false" customHeight="false" outlineLevel="0" collapsed="false">
      <c r="B669" s="2" t="n">
        <v>667</v>
      </c>
      <c r="C669" s="2" t="n">
        <v>0.0741963976685544</v>
      </c>
      <c r="D669" s="2" t="n">
        <v>7.96879451388241E-009</v>
      </c>
      <c r="E669" s="2" t="n">
        <v>0</v>
      </c>
    </row>
    <row r="670" customFormat="false" ht="13.8" hidden="false" customHeight="false" outlineLevel="0" collapsed="false">
      <c r="B670" s="2" t="n">
        <v>668</v>
      </c>
      <c r="C670" s="2" t="n">
        <v>0.0497268791823802</v>
      </c>
      <c r="D670" s="2" t="n">
        <v>8.23889237008151E-009</v>
      </c>
      <c r="E670" s="2" t="n">
        <v>0</v>
      </c>
    </row>
    <row r="671" customFormat="false" ht="13.8" hidden="false" customHeight="false" outlineLevel="0" collapsed="false">
      <c r="B671" s="2" t="n">
        <v>669</v>
      </c>
      <c r="C671" s="2" t="n">
        <v>0.0298594678968588</v>
      </c>
      <c r="D671" s="2" t="n">
        <v>8.5089929741444E-009</v>
      </c>
      <c r="E671" s="2" t="n">
        <v>0</v>
      </c>
    </row>
    <row r="672" customFormat="false" ht="13.8" hidden="false" customHeight="false" outlineLevel="0" collapsed="false">
      <c r="B672" s="2" t="n">
        <v>670</v>
      </c>
      <c r="C672" s="2" t="n">
        <v>0.0150223595379572</v>
      </c>
      <c r="D672" s="2" t="n">
        <v>8.7790963149001E-009</v>
      </c>
      <c r="E672" s="2" t="n">
        <v>0</v>
      </c>
    </row>
    <row r="673" customFormat="false" ht="13.8" hidden="false" customHeight="false" outlineLevel="0" collapsed="false">
      <c r="B673" s="2" t="n">
        <v>671</v>
      </c>
      <c r="C673" s="2" t="n">
        <v>0.0755704158462982</v>
      </c>
      <c r="D673" s="2" t="n">
        <v>9.5206000363242E-009</v>
      </c>
      <c r="E673" s="2" t="n">
        <v>0</v>
      </c>
    </row>
    <row r="674" customFormat="false" ht="13.8" hidden="false" customHeight="false" outlineLevel="0" collapsed="false">
      <c r="B674" s="2" t="n">
        <v>672</v>
      </c>
      <c r="C674" s="2" t="n">
        <v>0</v>
      </c>
      <c r="D674" s="2" t="n">
        <v>0</v>
      </c>
      <c r="E674" s="2" t="n">
        <v>9.2691573274706E-015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6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C2" s="4" t="n">
        <f aca="false">SUM(C3:C674)</f>
        <v>3.14683554433338E-007</v>
      </c>
      <c r="D2" s="4" t="n">
        <f aca="false">SUM(D3:D674)</f>
        <v>0.748651104004694</v>
      </c>
      <c r="E2" s="4" t="n">
        <f aca="false">SUM(E3:E674)</f>
        <v>41.1315333967694</v>
      </c>
      <c r="F2" s="4" t="n">
        <f aca="false">SUM(C2:E2)</f>
        <v>41.8801848154577</v>
      </c>
    </row>
    <row r="3" customFormat="false" ht="13.8" hidden="false" customHeight="false" outlineLevel="0" collapsed="false">
      <c r="B3" s="2" t="n">
        <v>1</v>
      </c>
      <c r="C3" s="2" t="n">
        <v>1.06171699571676E-009</v>
      </c>
      <c r="D3" s="2" t="n">
        <v>1.55152755376754E-011</v>
      </c>
      <c r="E3" s="2" t="n">
        <v>0.0120024666065381</v>
      </c>
    </row>
    <row r="4" customFormat="false" ht="13.8" hidden="false" customHeight="false" outlineLevel="0" collapsed="false">
      <c r="B4" s="2" t="n">
        <v>2</v>
      </c>
      <c r="C4" s="2" t="n">
        <v>1.00752482769956E-009</v>
      </c>
      <c r="D4" s="2" t="n">
        <v>1.56744435883994E-011</v>
      </c>
      <c r="E4" s="2" t="n">
        <v>0.0483854832734624</v>
      </c>
    </row>
    <row r="5" customFormat="false" ht="13.8" hidden="false" customHeight="false" outlineLevel="0" collapsed="false">
      <c r="B5" s="2" t="n">
        <v>3</v>
      </c>
      <c r="C5" s="2" t="n">
        <v>9.60970798741176E-010</v>
      </c>
      <c r="D5" s="2" t="n">
        <v>1.58338367992106E-011</v>
      </c>
      <c r="E5" s="2" t="n">
        <v>0.055185266607053</v>
      </c>
    </row>
    <row r="6" customFormat="false" ht="13.8" hidden="false" customHeight="false" outlineLevel="0" collapsed="false">
      <c r="B6" s="2" t="n">
        <v>4</v>
      </c>
      <c r="C6" s="2" t="n">
        <v>8.21671195295555E-010</v>
      </c>
      <c r="D6" s="2" t="n">
        <v>0</v>
      </c>
      <c r="E6" s="2" t="n">
        <v>0.086500933274231</v>
      </c>
    </row>
    <row r="7" customFormat="false" ht="13.8" hidden="false" customHeight="false" outlineLevel="0" collapsed="false">
      <c r="B7" s="2" t="n">
        <v>5</v>
      </c>
      <c r="C7" s="2" t="n">
        <v>9.61692217004798E-010</v>
      </c>
      <c r="D7" s="2" t="n">
        <v>0</v>
      </c>
      <c r="E7" s="2" t="n">
        <v>0.15151188413997</v>
      </c>
    </row>
    <row r="8" customFormat="false" ht="13.8" hidden="false" customHeight="false" outlineLevel="0" collapsed="false">
      <c r="B8" s="2" t="n">
        <v>6</v>
      </c>
      <c r="C8" s="2" t="n">
        <v>9.38419329025701E-010</v>
      </c>
      <c r="D8" s="2" t="n">
        <v>0</v>
      </c>
      <c r="E8" s="2" t="n">
        <v>0.127001802102853</v>
      </c>
    </row>
    <row r="9" customFormat="false" ht="13.8" hidden="false" customHeight="false" outlineLevel="0" collapsed="false">
      <c r="B9" s="2" t="n">
        <v>7</v>
      </c>
      <c r="C9" s="2" t="n">
        <v>9.15147060253894E-010</v>
      </c>
      <c r="D9" s="2" t="n">
        <v>0</v>
      </c>
      <c r="E9" s="2" t="n">
        <v>0.123449350113015</v>
      </c>
    </row>
    <row r="10" customFormat="false" ht="13.8" hidden="false" customHeight="false" outlineLevel="0" collapsed="false">
      <c r="B10" s="2" t="n">
        <v>8</v>
      </c>
      <c r="C10" s="2" t="n">
        <v>9.45000614329476E-010</v>
      </c>
      <c r="D10" s="2" t="n">
        <v>2.1160658978745E-010</v>
      </c>
      <c r="E10" s="2" t="n">
        <v>0.0411168334029366</v>
      </c>
    </row>
    <row r="11" customFormat="false" ht="13.8" hidden="false" customHeight="false" outlineLevel="0" collapsed="false">
      <c r="B11" s="2" t="n">
        <v>9</v>
      </c>
      <c r="C11" s="2" t="n">
        <v>9.44903520354134E-010</v>
      </c>
      <c r="D11" s="2" t="n">
        <v>3.05126022266908E-010</v>
      </c>
      <c r="E11" s="2" t="n">
        <v>0.0552501167834229</v>
      </c>
    </row>
    <row r="12" customFormat="false" ht="13.8" hidden="false" customHeight="false" outlineLevel="0" collapsed="false">
      <c r="B12" s="2" t="n">
        <v>10</v>
      </c>
      <c r="C12" s="2" t="n">
        <v>9.44809148954372E-010</v>
      </c>
      <c r="D12" s="2" t="n">
        <v>3.9863823529511E-010</v>
      </c>
      <c r="E12" s="2" t="n">
        <v>0.0400502668308071</v>
      </c>
    </row>
    <row r="13" customFormat="false" ht="13.8" hidden="false" customHeight="false" outlineLevel="0" collapsed="false">
      <c r="B13" s="2" t="n">
        <v>11</v>
      </c>
      <c r="C13" s="2" t="n">
        <v>9.44717209927193E-010</v>
      </c>
      <c r="D13" s="2" t="n">
        <v>4.92144535319654E-010</v>
      </c>
      <c r="E13" s="2" t="n">
        <v>0.0211667835450517</v>
      </c>
    </row>
    <row r="14" customFormat="false" ht="13.8" hidden="false" customHeight="false" outlineLevel="0" collapsed="false">
      <c r="B14" s="2" t="n">
        <v>12</v>
      </c>
      <c r="C14" s="2" t="n">
        <v>9.4462979844801E-010</v>
      </c>
      <c r="D14" s="2" t="n">
        <v>5.8564532399538E-010</v>
      </c>
      <c r="E14" s="2" t="n">
        <v>0.0516000002594869</v>
      </c>
    </row>
    <row r="15" customFormat="false" ht="13.8" hidden="false" customHeight="false" outlineLevel="0" collapsed="false">
      <c r="B15" s="2" t="n">
        <v>13</v>
      </c>
      <c r="C15" s="2" t="n">
        <v>9.44538625688163E-010</v>
      </c>
      <c r="D15" s="2" t="n">
        <v>6.7915303041441E-010</v>
      </c>
      <c r="E15" s="2" t="n">
        <v>0.0730501169737312</v>
      </c>
    </row>
    <row r="16" customFormat="false" ht="13.8" hidden="false" customHeight="false" outlineLevel="0" collapsed="false">
      <c r="B16" s="2" t="n">
        <v>14</v>
      </c>
      <c r="C16" s="2" t="n">
        <v>9.44447487861689E-010</v>
      </c>
      <c r="D16" s="2" t="n">
        <v>7.72661286150736E-010</v>
      </c>
      <c r="E16" s="2" t="n">
        <v>0.0839666836879888</v>
      </c>
    </row>
    <row r="17" customFormat="false" ht="13.8" hidden="false" customHeight="false" outlineLevel="0" collapsed="false">
      <c r="B17" s="2" t="n">
        <v>15</v>
      </c>
      <c r="C17" s="2" t="n">
        <v>9.44356076322474E-010</v>
      </c>
      <c r="D17" s="2" t="n">
        <v>8.6617047878373E-010</v>
      </c>
      <c r="E17" s="2" t="n">
        <v>0.0473166837355801</v>
      </c>
    </row>
    <row r="18" customFormat="false" ht="13.8" hidden="false" customHeight="false" outlineLevel="0" collapsed="false">
      <c r="B18" s="2" t="n">
        <v>16</v>
      </c>
      <c r="C18" s="2" t="n">
        <v>9.44265048556598E-010</v>
      </c>
      <c r="D18" s="2" t="n">
        <v>9.59680606920253E-010</v>
      </c>
      <c r="E18" s="2" t="n">
        <v>0.0769001337831719</v>
      </c>
    </row>
    <row r="19" customFormat="false" ht="13.8" hidden="false" customHeight="false" outlineLevel="0" collapsed="false">
      <c r="B19" s="2" t="n">
        <v>17</v>
      </c>
      <c r="C19" s="2" t="n">
        <v>9.44173682475932E-010</v>
      </c>
      <c r="D19" s="2" t="n">
        <v>1.05319167103702E-009</v>
      </c>
      <c r="E19" s="2" t="n">
        <v>0.0432002171640975</v>
      </c>
    </row>
    <row r="20" customFormat="false" ht="13.8" hidden="false" customHeight="false" outlineLevel="0" collapsed="false">
      <c r="B20" s="2" t="n">
        <v>18</v>
      </c>
      <c r="C20" s="2" t="n">
        <v>9.44082597315998E-010</v>
      </c>
      <c r="D20" s="2" t="n">
        <v>1.14670367449675E-009</v>
      </c>
      <c r="E20" s="2" t="n">
        <v>0.0728669005450235</v>
      </c>
    </row>
    <row r="21" customFormat="false" ht="13.8" hidden="false" customHeight="false" outlineLevel="0" collapsed="false">
      <c r="B21" s="2" t="n">
        <v>19</v>
      </c>
      <c r="C21" s="2" t="n">
        <v>9.43991275629587E-010</v>
      </c>
      <c r="D21" s="2" t="n">
        <v>1.24021661397397E-009</v>
      </c>
      <c r="E21" s="2" t="n">
        <v>0.0409835172592834</v>
      </c>
    </row>
    <row r="22" customFormat="false" ht="13.8" hidden="false" customHeight="false" outlineLevel="0" collapsed="false">
      <c r="B22" s="2" t="n">
        <v>20</v>
      </c>
      <c r="C22" s="2" t="n">
        <v>9.43900097500973E-010</v>
      </c>
      <c r="D22" s="2" t="n">
        <v>1.33373048647003E-009</v>
      </c>
      <c r="E22" s="2" t="n">
        <v>0.0536836506402104</v>
      </c>
    </row>
    <row r="23" customFormat="false" ht="13.8" hidden="false" customHeight="false" outlineLevel="0" collapsed="false">
      <c r="B23" s="2" t="n">
        <v>21</v>
      </c>
      <c r="C23" s="2" t="n">
        <v>9.43808871830037E-010</v>
      </c>
      <c r="D23" s="2" t="n">
        <v>1.42724339811531E-009</v>
      </c>
      <c r="E23" s="2" t="n">
        <v>0.0643004340211379</v>
      </c>
    </row>
    <row r="24" customFormat="false" ht="13.8" hidden="false" customHeight="false" outlineLevel="0" collapsed="false">
      <c r="B24" s="2" t="n">
        <v>22</v>
      </c>
      <c r="C24" s="2" t="n">
        <v>1.86236235103224E-010</v>
      </c>
      <c r="D24" s="2" t="n">
        <v>4.41904747105998E-005</v>
      </c>
      <c r="E24" s="2" t="n">
        <v>0.0701935104723228</v>
      </c>
    </row>
    <row r="25" customFormat="false" ht="13.8" hidden="false" customHeight="false" outlineLevel="0" collapsed="false">
      <c r="B25" s="2" t="n">
        <v>23</v>
      </c>
      <c r="C25" s="2" t="n">
        <v>1.39757272507289E-010</v>
      </c>
      <c r="D25" s="2" t="n">
        <v>8.83809199028824E-005</v>
      </c>
      <c r="E25" s="2" t="n">
        <v>0.0378871543509272</v>
      </c>
    </row>
    <row r="26" customFormat="false" ht="13.8" hidden="false" customHeight="false" outlineLevel="0" collapsed="false">
      <c r="B26" s="2" t="n">
        <v>24</v>
      </c>
      <c r="C26" s="2" t="n">
        <v>9.3277903149643E-011</v>
      </c>
      <c r="D26" s="2" t="n">
        <v>0.000132571365096264</v>
      </c>
      <c r="E26" s="2" t="n">
        <v>0.095413964896198</v>
      </c>
    </row>
    <row r="27" customFormat="false" ht="13.8" hidden="false" customHeight="false" outlineLevel="0" collapsed="false">
      <c r="B27" s="2" t="n">
        <v>25</v>
      </c>
      <c r="C27" s="2" t="n">
        <v>4.67979861923172E-011</v>
      </c>
      <c r="D27" s="2" t="n">
        <v>0.000176761810289608</v>
      </c>
      <c r="E27" s="2" t="n">
        <v>0.037257425441469</v>
      </c>
    </row>
    <row r="28" customFormat="false" ht="13.8" hidden="false" customHeight="false" outlineLevel="0" collapsed="false">
      <c r="B28" s="2" t="n">
        <v>26</v>
      </c>
      <c r="C28" s="2" t="n">
        <v>3.16358927647132E-013</v>
      </c>
      <c r="D28" s="2" t="n">
        <v>0.00160238402241308</v>
      </c>
      <c r="E28" s="2" t="n">
        <v>0.0837905320738024</v>
      </c>
    </row>
    <row r="29" customFormat="false" ht="13.8" hidden="false" customHeight="false" outlineLevel="0" collapsed="false">
      <c r="B29" s="2" t="n">
        <v>27</v>
      </c>
      <c r="C29" s="2" t="n">
        <v>0</v>
      </c>
      <c r="D29" s="2" t="n">
        <v>0.00302800618875224</v>
      </c>
      <c r="E29" s="2" t="n">
        <v>5.39431236271119E-010</v>
      </c>
    </row>
    <row r="30" customFormat="false" ht="13.8" hidden="false" customHeight="false" outlineLevel="0" collapsed="false">
      <c r="B30" s="2" t="n">
        <v>28</v>
      </c>
      <c r="C30" s="2" t="n">
        <v>6.05137356756313E-014</v>
      </c>
      <c r="D30" s="2" t="n">
        <v>0.00445362844801221</v>
      </c>
      <c r="E30" s="2" t="n">
        <v>0.0250491412053028</v>
      </c>
    </row>
    <row r="31" customFormat="false" ht="13.8" hidden="false" customHeight="false" outlineLevel="0" collapsed="false">
      <c r="B31" s="2" t="n">
        <v>29</v>
      </c>
      <c r="C31" s="2" t="n">
        <v>0</v>
      </c>
      <c r="D31" s="2" t="n">
        <v>0.00587925066088439</v>
      </c>
      <c r="E31" s="2" t="n">
        <v>0.0160482623417132</v>
      </c>
    </row>
    <row r="32" customFormat="false" ht="13.8" hidden="false" customHeight="false" outlineLevel="0" collapsed="false">
      <c r="B32" s="2" t="n">
        <v>30</v>
      </c>
      <c r="C32" s="2" t="n">
        <v>8.22742205478705E-013</v>
      </c>
      <c r="D32" s="2" t="n">
        <v>0.000906041829003594</v>
      </c>
      <c r="E32" s="2" t="n">
        <v>0.0812123306794549</v>
      </c>
    </row>
    <row r="33" customFormat="false" ht="13.8" hidden="false" customHeight="false" outlineLevel="0" collapsed="false">
      <c r="B33" s="2" t="n">
        <v>31</v>
      </c>
      <c r="C33" s="2" t="n">
        <v>0</v>
      </c>
      <c r="D33" s="2" t="n">
        <v>2.16156551879305E-012</v>
      </c>
      <c r="E33" s="2" t="n">
        <v>0.016360532234835</v>
      </c>
    </row>
    <row r="34" customFormat="false" ht="13.8" hidden="false" customHeight="false" outlineLevel="0" collapsed="false">
      <c r="B34" s="2" t="n">
        <v>32</v>
      </c>
      <c r="C34" s="2" t="n">
        <v>0</v>
      </c>
      <c r="D34" s="2" t="n">
        <v>2.09446766291493E-012</v>
      </c>
      <c r="E34" s="2" t="n">
        <v>0.0453702753275807</v>
      </c>
    </row>
    <row r="35" customFormat="false" ht="13.8" hidden="false" customHeight="false" outlineLevel="0" collapsed="false">
      <c r="B35" s="2" t="n">
        <v>33</v>
      </c>
      <c r="C35" s="2" t="n">
        <v>0</v>
      </c>
      <c r="D35" s="2" t="n">
        <v>2.02740475987021E-012</v>
      </c>
      <c r="E35" s="2" t="n">
        <v>0.00029636842032637</v>
      </c>
    </row>
    <row r="36" customFormat="false" ht="13.8" hidden="false" customHeight="false" outlineLevel="0" collapsed="false">
      <c r="B36" s="2" t="n">
        <v>34</v>
      </c>
      <c r="C36" s="2" t="n">
        <v>0</v>
      </c>
      <c r="D36" s="2" t="n">
        <v>1.9603555895643E-012</v>
      </c>
      <c r="E36" s="2" t="n">
        <v>0.0585782762517366</v>
      </c>
    </row>
    <row r="37" customFormat="false" ht="13.8" hidden="false" customHeight="false" outlineLevel="0" collapsed="false">
      <c r="B37" s="2" t="n">
        <v>35</v>
      </c>
      <c r="C37" s="2" t="n">
        <v>0</v>
      </c>
      <c r="D37" s="2" t="n">
        <v>1.89335550548813E-012</v>
      </c>
      <c r="E37" s="2" t="n">
        <v>0.00991043408314686</v>
      </c>
    </row>
    <row r="38" customFormat="false" ht="13.8" hidden="false" customHeight="false" outlineLevel="0" collapsed="false">
      <c r="B38" s="2" t="n">
        <v>36</v>
      </c>
      <c r="C38" s="2" t="n">
        <v>0</v>
      </c>
      <c r="D38" s="2" t="n">
        <v>1.82640112796408E-012</v>
      </c>
      <c r="E38" s="2" t="n">
        <v>0.0351426252478904</v>
      </c>
    </row>
    <row r="39" customFormat="false" ht="13.8" hidden="false" customHeight="false" outlineLevel="0" collapsed="false">
      <c r="B39" s="2" t="n">
        <v>37</v>
      </c>
      <c r="C39" s="2" t="n">
        <v>0</v>
      </c>
      <c r="D39" s="2" t="n">
        <v>1.75949716115223E-012</v>
      </c>
      <c r="E39" s="2" t="n">
        <v>0.0349245497459674</v>
      </c>
    </row>
    <row r="40" customFormat="false" ht="13.8" hidden="false" customHeight="false" outlineLevel="0" collapsed="false">
      <c r="B40" s="2" t="n">
        <v>38</v>
      </c>
      <c r="C40" s="2" t="n">
        <v>0</v>
      </c>
      <c r="D40" s="2" t="n">
        <v>1.69272529729547E-012</v>
      </c>
      <c r="E40" s="2" t="n">
        <v>0.0153045348882141</v>
      </c>
    </row>
    <row r="41" customFormat="false" ht="13.8" hidden="false" customHeight="false" outlineLevel="0" collapsed="false">
      <c r="B41" s="2" t="n">
        <v>39</v>
      </c>
      <c r="C41" s="2" t="n">
        <v>0</v>
      </c>
      <c r="D41" s="2" t="n">
        <v>1.62602505695943E-012</v>
      </c>
      <c r="E41" s="2" t="n">
        <v>0.00860125336379414</v>
      </c>
    </row>
    <row r="42" customFormat="false" ht="13.8" hidden="false" customHeight="false" outlineLevel="0" collapsed="false">
      <c r="B42" s="2" t="n">
        <v>40</v>
      </c>
      <c r="C42" s="2" t="n">
        <v>0</v>
      </c>
      <c r="D42" s="2" t="n">
        <v>1.5587022224799E-012</v>
      </c>
      <c r="E42" s="2" t="n">
        <v>0</v>
      </c>
    </row>
    <row r="43" customFormat="false" ht="13.8" hidden="false" customHeight="false" outlineLevel="0" collapsed="false">
      <c r="B43" s="2" t="n">
        <v>41</v>
      </c>
      <c r="C43" s="2" t="n">
        <v>0</v>
      </c>
      <c r="D43" s="2" t="n">
        <v>1.49223685779577E-012</v>
      </c>
      <c r="E43" s="2" t="n">
        <v>0</v>
      </c>
    </row>
    <row r="44" customFormat="false" ht="13.8" hidden="false" customHeight="false" outlineLevel="0" collapsed="false">
      <c r="B44" s="2" t="n">
        <v>42</v>
      </c>
      <c r="C44" s="2" t="n">
        <v>0</v>
      </c>
      <c r="D44" s="2" t="n">
        <v>1.64904109542077E-012</v>
      </c>
      <c r="E44" s="2" t="n">
        <v>2.00740002974352E-013</v>
      </c>
    </row>
    <row r="45" customFormat="false" ht="13.8" hidden="false" customHeight="false" outlineLevel="0" collapsed="false">
      <c r="B45" s="2" t="n">
        <v>43</v>
      </c>
      <c r="C45" s="2" t="n">
        <v>0</v>
      </c>
      <c r="D45" s="2" t="n">
        <v>1.80530836869513E-012</v>
      </c>
      <c r="E45" s="2" t="n">
        <v>4.22267893914339E-013</v>
      </c>
    </row>
    <row r="46" customFormat="false" ht="13.8" hidden="false" customHeight="false" outlineLevel="0" collapsed="false">
      <c r="B46" s="2" t="n">
        <v>44</v>
      </c>
      <c r="C46" s="2" t="n">
        <v>0</v>
      </c>
      <c r="D46" s="2" t="n">
        <v>1.29415978282479E-012</v>
      </c>
      <c r="E46" s="2" t="n">
        <v>0</v>
      </c>
    </row>
    <row r="47" customFormat="false" ht="13.8" hidden="false" customHeight="false" outlineLevel="0" collapsed="false">
      <c r="B47" s="2" t="n">
        <v>45</v>
      </c>
      <c r="C47" s="2" t="n">
        <v>0</v>
      </c>
      <c r="D47" s="2" t="n">
        <v>1.8420225883525E-012</v>
      </c>
      <c r="E47" s="2" t="n">
        <v>0</v>
      </c>
    </row>
    <row r="48" customFormat="false" ht="13.8" hidden="false" customHeight="false" outlineLevel="0" collapsed="false">
      <c r="B48" s="2" t="n">
        <v>46</v>
      </c>
      <c r="C48" s="2" t="n">
        <v>0</v>
      </c>
      <c r="D48" s="2" t="n">
        <v>1.16281751282843E-012</v>
      </c>
      <c r="E48" s="2" t="n">
        <v>0</v>
      </c>
    </row>
    <row r="49" customFormat="false" ht="13.8" hidden="false" customHeight="false" outlineLevel="0" collapsed="false">
      <c r="B49" s="2" t="n">
        <v>47</v>
      </c>
      <c r="C49" s="2" t="n">
        <v>0</v>
      </c>
      <c r="D49" s="2" t="n">
        <v>1.09730117250809E-012</v>
      </c>
      <c r="E49" s="2" t="n">
        <v>0</v>
      </c>
    </row>
    <row r="50" customFormat="false" ht="13.8" hidden="false" customHeight="false" outlineLevel="0" collapsed="false">
      <c r="B50" s="2" t="n">
        <v>48</v>
      </c>
      <c r="C50" s="2" t="n">
        <v>0</v>
      </c>
      <c r="D50" s="2" t="n">
        <v>2.5907940653247E-012</v>
      </c>
      <c r="E50" s="2" t="n">
        <v>1.5318066158107E-012</v>
      </c>
    </row>
    <row r="51" customFormat="false" ht="13.8" hidden="false" customHeight="false" outlineLevel="0" collapsed="false">
      <c r="B51" s="2" t="n">
        <v>49</v>
      </c>
      <c r="C51" s="2" t="n">
        <v>0</v>
      </c>
      <c r="D51" s="2" t="n">
        <v>0</v>
      </c>
      <c r="E51" s="2" t="n">
        <v>1.07962596920085E-008</v>
      </c>
    </row>
    <row r="52" customFormat="false" ht="13.8" hidden="false" customHeight="false" outlineLevel="0" collapsed="false">
      <c r="B52" s="2" t="n">
        <v>50</v>
      </c>
      <c r="C52" s="2" t="n">
        <v>0</v>
      </c>
      <c r="D52" s="2" t="n">
        <v>1.34844962770551E-012</v>
      </c>
      <c r="E52" s="2" t="n">
        <v>0</v>
      </c>
    </row>
    <row r="53" customFormat="false" ht="13.8" hidden="false" customHeight="false" outlineLevel="0" collapsed="false">
      <c r="B53" s="2" t="n">
        <v>51</v>
      </c>
      <c r="C53" s="2" t="n">
        <v>0</v>
      </c>
      <c r="D53" s="2" t="n">
        <v>1.25044819147443E-012</v>
      </c>
      <c r="E53" s="2" t="n">
        <v>0</v>
      </c>
    </row>
    <row r="54" customFormat="false" ht="13.8" hidden="false" customHeight="false" outlineLevel="0" collapsed="false">
      <c r="B54" s="2" t="n">
        <v>52</v>
      </c>
      <c r="C54" s="2" t="n">
        <v>0</v>
      </c>
      <c r="D54" s="2" t="n">
        <v>1.15282520330448E-012</v>
      </c>
      <c r="E54" s="2" t="n">
        <v>0</v>
      </c>
    </row>
    <row r="55" customFormat="false" ht="13.8" hidden="false" customHeight="false" outlineLevel="0" collapsed="false">
      <c r="B55" s="2" t="n">
        <v>53</v>
      </c>
      <c r="C55" s="2" t="n">
        <v>0</v>
      </c>
      <c r="D55" s="2" t="n">
        <v>1.05543026045803E-012</v>
      </c>
      <c r="E55" s="2" t="n">
        <v>0</v>
      </c>
    </row>
    <row r="56" customFormat="false" ht="13.8" hidden="false" customHeight="false" outlineLevel="0" collapsed="false">
      <c r="B56" s="2" t="n">
        <v>54</v>
      </c>
      <c r="C56" s="2" t="n">
        <v>0</v>
      </c>
      <c r="D56" s="2" t="n">
        <v>9.60202664818451E-013</v>
      </c>
      <c r="E56" s="2" t="n">
        <v>0</v>
      </c>
    </row>
    <row r="57" customFormat="false" ht="13.8" hidden="false" customHeight="false" outlineLevel="0" collapsed="false">
      <c r="B57" s="2" t="n">
        <v>55</v>
      </c>
      <c r="C57" s="2" t="n">
        <v>0</v>
      </c>
      <c r="D57" s="2" t="n">
        <v>8.6182581573518E-013</v>
      </c>
      <c r="E57" s="2" t="n">
        <v>0</v>
      </c>
    </row>
    <row r="58" customFormat="false" ht="13.8" hidden="false" customHeight="false" outlineLevel="0" collapsed="false">
      <c r="B58" s="2" t="n">
        <v>56</v>
      </c>
      <c r="C58" s="2" t="n">
        <v>0</v>
      </c>
      <c r="D58" s="2" t="n">
        <v>7.63337411527939E-013</v>
      </c>
      <c r="E58" s="2" t="n">
        <v>0</v>
      </c>
    </row>
    <row r="59" customFormat="false" ht="13.8" hidden="false" customHeight="false" outlineLevel="0" collapsed="false">
      <c r="B59" s="2" t="n">
        <v>57</v>
      </c>
      <c r="C59" s="2" t="n">
        <v>0</v>
      </c>
      <c r="D59" s="2" t="n">
        <v>6.64196109911089E-013</v>
      </c>
      <c r="E59" s="2" t="n">
        <v>1.43710962587303E-014</v>
      </c>
    </row>
    <row r="60" customFormat="false" ht="13.8" hidden="false" customHeight="false" outlineLevel="0" collapsed="false">
      <c r="B60" s="2" t="n">
        <v>58</v>
      </c>
      <c r="C60" s="2" t="n">
        <v>0</v>
      </c>
      <c r="D60" s="2" t="n">
        <v>5.54744096280022E-013</v>
      </c>
      <c r="E60" s="2" t="n">
        <v>5.77697976252454E-014</v>
      </c>
    </row>
    <row r="61" customFormat="false" ht="13.8" hidden="false" customHeight="false" outlineLevel="0" collapsed="false">
      <c r="B61" s="2" t="n">
        <v>59</v>
      </c>
      <c r="C61" s="2" t="n">
        <v>0</v>
      </c>
      <c r="D61" s="2" t="n">
        <v>4.55569308789842E-013</v>
      </c>
      <c r="E61" s="2" t="n">
        <v>9.99621561297507E-014</v>
      </c>
    </row>
    <row r="62" customFormat="false" ht="13.8" hidden="false" customHeight="false" outlineLevel="0" collapsed="false">
      <c r="B62" s="2" t="n">
        <v>60</v>
      </c>
      <c r="C62" s="2" t="n">
        <v>0</v>
      </c>
      <c r="D62" s="2" t="n">
        <v>1.4996409070406E-013</v>
      </c>
      <c r="E62" s="2" t="n">
        <v>0.0111175674275384</v>
      </c>
    </row>
    <row r="63" customFormat="false" ht="13.8" hidden="false" customHeight="false" outlineLevel="0" collapsed="false">
      <c r="B63" s="2" t="n">
        <v>61</v>
      </c>
      <c r="C63" s="2" t="n">
        <v>1.64046579513596E-014</v>
      </c>
      <c r="D63" s="2" t="n">
        <v>9.05652030428102E-014</v>
      </c>
      <c r="E63" s="2" t="n">
        <v>0.00781513860417402</v>
      </c>
    </row>
    <row r="64" customFormat="false" ht="13.8" hidden="false" customHeight="false" outlineLevel="0" collapsed="false">
      <c r="B64" s="2" t="n">
        <v>62</v>
      </c>
      <c r="C64" s="2" t="n">
        <v>3.58545499894728E-014</v>
      </c>
      <c r="D64" s="2" t="n">
        <v>3.36856946111233E-014</v>
      </c>
      <c r="E64" s="2" t="n">
        <v>0.0266818647495283</v>
      </c>
    </row>
    <row r="65" customFormat="false" ht="13.8" hidden="false" customHeight="false" outlineLevel="0" collapsed="false">
      <c r="B65" s="2" t="n">
        <v>63</v>
      </c>
      <c r="C65" s="2" t="n">
        <v>4.86845550297785E-014</v>
      </c>
      <c r="D65" s="2" t="n">
        <v>0</v>
      </c>
      <c r="E65" s="2" t="n">
        <v>0.0189652908946897</v>
      </c>
    </row>
    <row r="66" customFormat="false" ht="13.8" hidden="false" customHeight="false" outlineLevel="0" collapsed="false">
      <c r="B66" s="2" t="n">
        <v>64</v>
      </c>
      <c r="C66" s="2" t="n">
        <v>6.37585140863574E-014</v>
      </c>
      <c r="D66" s="2" t="n">
        <v>0</v>
      </c>
      <c r="E66" s="2" t="n">
        <v>0.03691545037326</v>
      </c>
    </row>
    <row r="67" customFormat="false" ht="13.8" hidden="false" customHeight="false" outlineLevel="0" collapsed="false">
      <c r="B67" s="2" t="n">
        <v>65</v>
      </c>
      <c r="C67" s="2" t="n">
        <v>7.22407094463081E-014</v>
      </c>
      <c r="D67" s="2" t="n">
        <v>0</v>
      </c>
      <c r="E67" s="2" t="n">
        <v>0.0288656098516404</v>
      </c>
    </row>
    <row r="68" customFormat="false" ht="13.8" hidden="false" customHeight="false" outlineLevel="0" collapsed="false">
      <c r="B68" s="2" t="n">
        <v>66</v>
      </c>
      <c r="C68" s="2" t="n">
        <v>7.92899527979938E-014</v>
      </c>
      <c r="D68" s="2" t="n">
        <v>0</v>
      </c>
      <c r="E68" s="2" t="n">
        <v>0.0456577477785113</v>
      </c>
    </row>
    <row r="69" customFormat="false" ht="13.8" hidden="false" customHeight="false" outlineLevel="0" collapsed="false">
      <c r="B69" s="2" t="n">
        <v>67</v>
      </c>
      <c r="C69" s="2" t="n">
        <v>8.40385951084197E-014</v>
      </c>
      <c r="D69" s="2" t="n">
        <v>0</v>
      </c>
      <c r="E69" s="2" t="n">
        <v>0.0376996357053159</v>
      </c>
    </row>
    <row r="70" customFormat="false" ht="13.8" hidden="false" customHeight="false" outlineLevel="0" collapsed="false">
      <c r="B70" s="2" t="n">
        <v>68</v>
      </c>
      <c r="C70" s="2" t="n">
        <v>0</v>
      </c>
      <c r="D70" s="2" t="n">
        <v>0.00778466100876455</v>
      </c>
      <c r="E70" s="2" t="n">
        <v>0.0479568626201334</v>
      </c>
    </row>
    <row r="71" customFormat="false" ht="13.8" hidden="false" customHeight="false" outlineLevel="0" collapsed="false">
      <c r="B71" s="2" t="n">
        <v>69</v>
      </c>
      <c r="C71" s="2" t="n">
        <v>1.70161772760548E-009</v>
      </c>
      <c r="D71" s="2" t="n">
        <v>0.0127898678423075</v>
      </c>
      <c r="E71" s="2" t="n">
        <v>0.0349935437046138</v>
      </c>
    </row>
    <row r="72" customFormat="false" ht="13.8" hidden="false" customHeight="false" outlineLevel="0" collapsed="false">
      <c r="B72" s="2" t="n">
        <v>70</v>
      </c>
      <c r="C72" s="2" t="n">
        <v>1.65520518037738E-009</v>
      </c>
      <c r="D72" s="2" t="n">
        <v>0.00959240087904438</v>
      </c>
      <c r="E72" s="2" t="n">
        <v>0.05449530361323</v>
      </c>
    </row>
    <row r="73" customFormat="false" ht="13.8" hidden="false" customHeight="false" outlineLevel="0" collapsed="false">
      <c r="B73" s="2" t="n">
        <v>71</v>
      </c>
      <c r="C73" s="2" t="n">
        <v>1.60879173957846E-009</v>
      </c>
      <c r="D73" s="2" t="n">
        <v>0.0063949339157813</v>
      </c>
      <c r="E73" s="2" t="n">
        <v>0.04799714685518</v>
      </c>
    </row>
    <row r="74" customFormat="false" ht="13.8" hidden="false" customHeight="false" outlineLevel="0" collapsed="false">
      <c r="B74" s="2" t="n">
        <v>72</v>
      </c>
      <c r="C74" s="2" t="n">
        <v>1.56238024373726E-009</v>
      </c>
      <c r="D74" s="2" t="n">
        <v>0.00319746695251822</v>
      </c>
      <c r="E74" s="2" t="n">
        <v>0.067498823430463</v>
      </c>
    </row>
    <row r="75" customFormat="false" ht="13.8" hidden="false" customHeight="false" outlineLevel="0" collapsed="false">
      <c r="B75" s="2" t="n">
        <v>73</v>
      </c>
      <c r="C75" s="2" t="n">
        <v>1.51684177006135E-009</v>
      </c>
      <c r="D75" s="2" t="n">
        <v>9.68647787422605E-010</v>
      </c>
      <c r="E75" s="2" t="n">
        <v>0.0705839166652871</v>
      </c>
    </row>
    <row r="76" customFormat="false" ht="13.8" hidden="false" customHeight="false" outlineLevel="0" collapsed="false">
      <c r="B76" s="2" t="n">
        <v>74</v>
      </c>
      <c r="C76" s="2" t="n">
        <v>1.47039045943823E-009</v>
      </c>
      <c r="D76" s="2" t="n">
        <v>9.22119613084175E-010</v>
      </c>
      <c r="E76" s="2" t="n">
        <v>0.0869178166656646</v>
      </c>
    </row>
    <row r="77" customFormat="false" ht="13.8" hidden="false" customHeight="false" outlineLevel="0" collapsed="false">
      <c r="B77" s="2" t="n">
        <v>75</v>
      </c>
      <c r="C77" s="2" t="n">
        <v>1.42393016975925E-009</v>
      </c>
      <c r="D77" s="2" t="n">
        <v>8.75590928975918E-010</v>
      </c>
      <c r="E77" s="2" t="n">
        <v>0.0778351833327089</v>
      </c>
    </row>
    <row r="78" customFormat="false" ht="13.8" hidden="false" customHeight="false" outlineLevel="0" collapsed="false">
      <c r="B78" s="2" t="n">
        <v>76</v>
      </c>
      <c r="C78" s="2" t="n">
        <v>1.37746819640943E-009</v>
      </c>
      <c r="D78" s="2" t="n">
        <v>8.29061720262008E-010</v>
      </c>
      <c r="E78" s="2" t="n">
        <v>0.0454528499997531</v>
      </c>
    </row>
    <row r="79" customFormat="false" ht="13.8" hidden="false" customHeight="false" outlineLevel="0" collapsed="false">
      <c r="B79" s="2" t="n">
        <v>77</v>
      </c>
      <c r="C79" s="2" t="n">
        <v>1.33100922746937E-009</v>
      </c>
      <c r="D79" s="2" t="n">
        <v>7.82531971567974E-010</v>
      </c>
      <c r="E79" s="2" t="n">
        <v>0.102569800000131</v>
      </c>
    </row>
    <row r="80" customFormat="false" ht="13.8" hidden="false" customHeight="false" outlineLevel="0" collapsed="false">
      <c r="B80" s="2" t="n">
        <v>78</v>
      </c>
      <c r="C80" s="2" t="n">
        <v>1.28330603260863E-009</v>
      </c>
      <c r="D80" s="2" t="n">
        <v>7.33527373186399E-010</v>
      </c>
      <c r="E80" s="2" t="n">
        <v>0.0980363666659341</v>
      </c>
    </row>
    <row r="81" customFormat="false" ht="13.8" hidden="false" customHeight="false" outlineLevel="0" collapsed="false">
      <c r="B81" s="2" t="n">
        <v>79</v>
      </c>
      <c r="C81" s="2" t="n">
        <v>1.23693725439626E-009</v>
      </c>
      <c r="D81" s="2" t="n">
        <v>6.8718045802151E-010</v>
      </c>
      <c r="E81" s="2" t="n">
        <v>0.23150333333307</v>
      </c>
    </row>
    <row r="82" customFormat="false" ht="13.8" hidden="false" customHeight="false" outlineLevel="0" collapsed="false">
      <c r="B82" s="2" t="n">
        <v>80</v>
      </c>
      <c r="C82" s="2" t="n">
        <v>1.19056529030927E-009</v>
      </c>
      <c r="D82" s="2" t="n">
        <v>6.40832218173494E-010</v>
      </c>
      <c r="E82" s="2" t="n">
        <v>0.150821150000207</v>
      </c>
    </row>
    <row r="83" customFormat="false" ht="13.8" hidden="false" customHeight="false" outlineLevel="0" collapsed="false">
      <c r="B83" s="2" t="n">
        <v>81</v>
      </c>
      <c r="C83" s="2" t="n">
        <v>1.14419570966604E-009</v>
      </c>
      <c r="D83" s="2" t="n">
        <v>5.94483514071647E-010</v>
      </c>
      <c r="E83" s="2" t="n">
        <v>0.207037566667343</v>
      </c>
    </row>
    <row r="84" customFormat="false" ht="13.8" hidden="false" customHeight="false" outlineLevel="0" collapsed="false">
      <c r="B84" s="2" t="n">
        <v>82</v>
      </c>
      <c r="C84" s="2" t="n">
        <v>1.09782366440736E-009</v>
      </c>
      <c r="D84" s="2" t="n">
        <v>5.48134377767215E-010</v>
      </c>
      <c r="E84" s="2" t="n">
        <v>0.163720683334479</v>
      </c>
    </row>
    <row r="85" customFormat="false" ht="13.8" hidden="false" customHeight="false" outlineLevel="0" collapsed="false">
      <c r="B85" s="2" t="n">
        <v>83</v>
      </c>
      <c r="C85" s="2" t="n">
        <v>1.05145246996845E-009</v>
      </c>
      <c r="D85" s="2" t="n">
        <v>5.01784813746681E-010</v>
      </c>
      <c r="E85" s="2" t="n">
        <v>0.199553616668282</v>
      </c>
    </row>
    <row r="86" customFormat="false" ht="13.8" hidden="false" customHeight="false" outlineLevel="0" collapsed="false">
      <c r="B86" s="2" t="n">
        <v>84</v>
      </c>
      <c r="C86" s="2" t="n">
        <v>1.00508025686934E-009</v>
      </c>
      <c r="D86" s="2" t="n">
        <v>4.55434856277018E-010</v>
      </c>
      <c r="E86" s="2" t="n">
        <v>0.205836916668752</v>
      </c>
    </row>
    <row r="87" customFormat="false" ht="13.8" hidden="false" customHeight="false" outlineLevel="0" collapsed="false">
      <c r="B87" s="2" t="n">
        <v>85</v>
      </c>
      <c r="C87" s="2" t="n">
        <v>9.58707360950092E-010</v>
      </c>
      <c r="D87" s="2" t="n">
        <v>4.09084480906467E-010</v>
      </c>
      <c r="E87" s="2" t="n">
        <v>0.190220733335888</v>
      </c>
    </row>
    <row r="88" customFormat="false" ht="13.8" hidden="false" customHeight="false" outlineLevel="0" collapsed="false">
      <c r="B88" s="2" t="n">
        <v>86</v>
      </c>
      <c r="C88" s="2" t="n">
        <v>9.1233403016808E-010</v>
      </c>
      <c r="D88" s="2" t="n">
        <v>3.62733779432249E-010</v>
      </c>
      <c r="E88" s="2" t="n">
        <v>0.178037300003024</v>
      </c>
    </row>
    <row r="89" customFormat="false" ht="13.8" hidden="false" customHeight="false" outlineLevel="0" collapsed="false">
      <c r="B89" s="2" t="n">
        <v>87</v>
      </c>
      <c r="C89" s="2" t="n">
        <v>8.65960311035104E-010</v>
      </c>
      <c r="D89" s="2" t="n">
        <v>3.16382763302078E-010</v>
      </c>
      <c r="E89" s="2" t="n">
        <v>0.172170133336827</v>
      </c>
    </row>
    <row r="90" customFormat="false" ht="13.8" hidden="false" customHeight="false" outlineLevel="0" collapsed="false">
      <c r="B90" s="2" t="n">
        <v>88</v>
      </c>
      <c r="C90" s="2" t="n">
        <v>8.19586382487354E-010</v>
      </c>
      <c r="D90" s="2" t="n">
        <v>2.70031530163633E-010</v>
      </c>
      <c r="E90" s="2" t="n">
        <v>0.194686400003963</v>
      </c>
    </row>
    <row r="91" customFormat="false" ht="13.8" hidden="false" customHeight="false" outlineLevel="0" collapsed="false">
      <c r="B91" s="2" t="n">
        <v>89</v>
      </c>
      <c r="C91" s="2" t="n">
        <v>7.73211670251445E-010</v>
      </c>
      <c r="D91" s="2" t="n">
        <v>2.23680329060912E-010</v>
      </c>
      <c r="E91" s="2" t="n">
        <v>0.179019850004433</v>
      </c>
    </row>
    <row r="92" customFormat="false" ht="13.8" hidden="false" customHeight="false" outlineLevel="0" collapsed="false">
      <c r="B92" s="2" t="n">
        <v>90</v>
      </c>
      <c r="C92" s="2" t="n">
        <v>7.26836102073492E-010</v>
      </c>
      <c r="D92" s="2" t="n">
        <v>1.77329525399761E-010</v>
      </c>
      <c r="E92" s="2" t="n">
        <v>0.142020616671569</v>
      </c>
    </row>
    <row r="93" customFormat="false" ht="13.8" hidden="false" customHeight="false" outlineLevel="0" collapsed="false">
      <c r="B93" s="2" t="n">
        <v>91</v>
      </c>
      <c r="C93" s="2" t="n">
        <v>6.80460542471894E-010</v>
      </c>
      <c r="D93" s="2" t="n">
        <v>1.30980428054315E-010</v>
      </c>
      <c r="E93" s="2" t="n">
        <v>0.138003583338706</v>
      </c>
    </row>
    <row r="94" customFormat="false" ht="13.8" hidden="false" customHeight="false" outlineLevel="0" collapsed="false">
      <c r="B94" s="2" t="n">
        <v>92</v>
      </c>
      <c r="C94" s="2" t="n">
        <v>6.34085159315474E-010</v>
      </c>
      <c r="D94" s="2" t="n">
        <v>8.46330071476183E-011</v>
      </c>
      <c r="E94" s="2" t="n">
        <v>0.199169850005842</v>
      </c>
    </row>
    <row r="95" customFormat="false" ht="13.8" hidden="false" customHeight="false" outlineLevel="0" collapsed="false">
      <c r="B95" s="2" t="n">
        <v>93</v>
      </c>
      <c r="C95" s="2" t="n">
        <v>5.67659691018757E-010</v>
      </c>
      <c r="D95" s="2" t="n">
        <v>0</v>
      </c>
      <c r="E95" s="2" t="n">
        <v>0.13619842414242</v>
      </c>
    </row>
    <row r="96" customFormat="false" ht="13.8" hidden="false" customHeight="false" outlineLevel="0" collapsed="false">
      <c r="B96" s="2" t="n">
        <v>94</v>
      </c>
      <c r="C96" s="2" t="n">
        <v>5.44385257435176E-010</v>
      </c>
      <c r="D96" s="2" t="n">
        <v>0</v>
      </c>
      <c r="E96" s="2" t="n">
        <v>0.145321120685613</v>
      </c>
    </row>
    <row r="97" customFormat="false" ht="13.8" hidden="false" customHeight="false" outlineLevel="0" collapsed="false">
      <c r="B97" s="2" t="n">
        <v>95</v>
      </c>
      <c r="C97" s="2" t="n">
        <v>5.2110990299502E-010</v>
      </c>
      <c r="D97" s="2" t="n">
        <v>0</v>
      </c>
      <c r="E97" s="2" t="n">
        <v>0.0793022042037964</v>
      </c>
    </row>
    <row r="98" customFormat="false" ht="13.8" hidden="false" customHeight="false" outlineLevel="0" collapsed="false">
      <c r="B98" s="2" t="n">
        <v>96</v>
      </c>
      <c r="C98" s="2" t="n">
        <v>4.97834636716803E-010</v>
      </c>
      <c r="D98" s="2" t="n">
        <v>0</v>
      </c>
      <c r="E98" s="2" t="n">
        <v>0.0676754880570181</v>
      </c>
    </row>
    <row r="99" customFormat="false" ht="13.8" hidden="false" customHeight="false" outlineLevel="0" collapsed="false">
      <c r="B99" s="2" t="n">
        <v>97</v>
      </c>
      <c r="C99" s="2" t="n">
        <v>4.74559131018773E-010</v>
      </c>
      <c r="D99" s="2" t="n">
        <v>0</v>
      </c>
      <c r="E99" s="2" t="n">
        <v>0.0574665814663244</v>
      </c>
    </row>
    <row r="100" customFormat="false" ht="13.8" hidden="false" customHeight="false" outlineLevel="0" collapsed="false">
      <c r="B100" s="2" t="n">
        <v>98</v>
      </c>
      <c r="C100" s="2" t="n">
        <v>4.51993609960109E-010</v>
      </c>
      <c r="D100" s="2" t="n">
        <v>0</v>
      </c>
      <c r="E100" s="2" t="n">
        <v>0.110585000003745</v>
      </c>
    </row>
    <row r="101" customFormat="false" ht="13.8" hidden="false" customHeight="false" outlineLevel="0" collapsed="false">
      <c r="B101" s="2" t="n">
        <v>99</v>
      </c>
      <c r="C101" s="2" t="n">
        <v>4.28007649081522E-010</v>
      </c>
      <c r="D101" s="2" t="n">
        <v>0</v>
      </c>
      <c r="E101" s="2" t="n">
        <v>0.0574590239950317</v>
      </c>
    </row>
    <row r="102" customFormat="false" ht="13.8" hidden="false" customHeight="false" outlineLevel="0" collapsed="false">
      <c r="B102" s="2" t="n">
        <v>100</v>
      </c>
      <c r="C102" s="2" t="n">
        <v>4.04731510120872E-010</v>
      </c>
      <c r="D102" s="2" t="n">
        <v>0</v>
      </c>
      <c r="E102" s="2" t="n">
        <v>0.0514797862247208</v>
      </c>
    </row>
    <row r="103" customFormat="false" ht="13.8" hidden="false" customHeight="false" outlineLevel="0" collapsed="false">
      <c r="B103" s="2" t="n">
        <v>101</v>
      </c>
      <c r="C103" s="2" t="n">
        <v>3.81455179097368E-010</v>
      </c>
      <c r="D103" s="2" t="n">
        <v>0</v>
      </c>
      <c r="E103" s="2" t="n">
        <v>0.0667868118049923</v>
      </c>
    </row>
    <row r="104" customFormat="false" ht="13.8" hidden="false" customHeight="false" outlineLevel="0" collapsed="false">
      <c r="B104" s="2" t="n">
        <v>102</v>
      </c>
      <c r="C104" s="2" t="n">
        <v>3.58178212384777E-010</v>
      </c>
      <c r="D104" s="2" t="n">
        <v>0</v>
      </c>
      <c r="E104" s="2" t="n">
        <v>0.0499844268963371</v>
      </c>
    </row>
    <row r="105" customFormat="false" ht="13.8" hidden="false" customHeight="false" outlineLevel="0" collapsed="false">
      <c r="B105" s="2" t="n">
        <v>103</v>
      </c>
      <c r="C105" s="2" t="n">
        <v>3.34901726200279E-010</v>
      </c>
      <c r="D105" s="2" t="n">
        <v>0</v>
      </c>
      <c r="E105" s="2" t="n">
        <v>0.0844052647053593</v>
      </c>
    </row>
    <row r="106" customFormat="false" ht="13.8" hidden="false" customHeight="false" outlineLevel="0" collapsed="false">
      <c r="B106" s="2" t="n">
        <v>104</v>
      </c>
      <c r="C106" s="2" t="n">
        <v>3.11624195410078E-010</v>
      </c>
      <c r="D106" s="2" t="n">
        <v>0</v>
      </c>
      <c r="E106" s="2" t="n">
        <v>0.042423748402541</v>
      </c>
    </row>
    <row r="107" customFormat="false" ht="13.8" hidden="false" customHeight="false" outlineLevel="0" collapsed="false">
      <c r="B107" s="2" t="n">
        <v>105</v>
      </c>
      <c r="C107" s="2" t="n">
        <v>2.88347229906985E-010</v>
      </c>
      <c r="D107" s="2" t="n">
        <v>0</v>
      </c>
      <c r="E107" s="2" t="n">
        <v>0.065837608390618</v>
      </c>
    </row>
    <row r="108" customFormat="false" ht="13.8" hidden="false" customHeight="false" outlineLevel="0" collapsed="false">
      <c r="B108" s="2" t="n">
        <v>106</v>
      </c>
      <c r="C108" s="2" t="n">
        <v>2.65069428015656E-010</v>
      </c>
      <c r="D108" s="2" t="n">
        <v>0</v>
      </c>
      <c r="E108" s="2" t="n">
        <v>0.049073465244422</v>
      </c>
    </row>
    <row r="109" customFormat="false" ht="13.8" hidden="false" customHeight="false" outlineLevel="0" collapsed="false">
      <c r="B109" s="2" t="n">
        <v>107</v>
      </c>
      <c r="C109" s="2" t="n">
        <v>2.41791889202351E-010</v>
      </c>
      <c r="D109" s="2" t="n">
        <v>0</v>
      </c>
      <c r="E109" s="2" t="n">
        <v>0.0843221605850326</v>
      </c>
    </row>
    <row r="110" customFormat="false" ht="13.8" hidden="false" customHeight="false" outlineLevel="0" collapsed="false">
      <c r="B110" s="2" t="n">
        <v>108</v>
      </c>
      <c r="C110" s="2" t="n">
        <v>2.18513684615108E-010</v>
      </c>
      <c r="D110" s="2" t="n">
        <v>0</v>
      </c>
      <c r="E110" s="2" t="n">
        <v>0.0466344926346843</v>
      </c>
    </row>
    <row r="111" customFormat="false" ht="13.8" hidden="false" customHeight="false" outlineLevel="0" collapsed="false">
      <c r="B111" s="2" t="n">
        <v>109</v>
      </c>
      <c r="C111" s="2" t="n">
        <v>1.95235550739566E-010</v>
      </c>
      <c r="D111" s="2" t="n">
        <v>0</v>
      </c>
      <c r="E111" s="2" t="n">
        <v>0.077389165800354</v>
      </c>
    </row>
    <row r="112" customFormat="false" ht="13.8" hidden="false" customHeight="false" outlineLevel="0" collapsed="false">
      <c r="B112" s="2" t="n">
        <v>110</v>
      </c>
      <c r="C112" s="2" t="n">
        <v>1.71957006806069E-010</v>
      </c>
      <c r="D112" s="2" t="n">
        <v>0</v>
      </c>
      <c r="E112" s="2" t="n">
        <v>0.0534886201180567</v>
      </c>
    </row>
    <row r="113" customFormat="false" ht="13.8" hidden="false" customHeight="false" outlineLevel="0" collapsed="false">
      <c r="B113" s="2" t="n">
        <v>111</v>
      </c>
      <c r="C113" s="2" t="n">
        <v>1.48678288623774E-010</v>
      </c>
      <c r="D113" s="2" t="n">
        <v>0</v>
      </c>
      <c r="E113" s="2" t="n">
        <v>0.0674821339489937</v>
      </c>
    </row>
    <row r="114" customFormat="false" ht="13.8" hidden="false" customHeight="false" outlineLevel="0" collapsed="false">
      <c r="B114" s="2" t="n">
        <v>112</v>
      </c>
      <c r="C114" s="2" t="n">
        <v>1.25399313137301E-010</v>
      </c>
      <c r="D114" s="2" t="n">
        <v>0</v>
      </c>
      <c r="E114" s="2" t="n">
        <v>0.0580378089541458</v>
      </c>
    </row>
    <row r="115" customFormat="false" ht="13.8" hidden="false" customHeight="false" outlineLevel="0" collapsed="false">
      <c r="B115" s="2" t="n">
        <v>113</v>
      </c>
      <c r="C115" s="2" t="n">
        <v>1.02120099123236E-010</v>
      </c>
      <c r="D115" s="2" t="n">
        <v>0</v>
      </c>
      <c r="E115" s="2" t="n">
        <v>0.0645357617758242</v>
      </c>
    </row>
    <row r="116" customFormat="false" ht="13.8" hidden="false" customHeight="false" outlineLevel="0" collapsed="false">
      <c r="B116" s="2" t="n">
        <v>114</v>
      </c>
      <c r="C116" s="2" t="n">
        <v>7.88406601251394E-011</v>
      </c>
      <c r="D116" s="2" t="n">
        <v>0</v>
      </c>
      <c r="E116" s="2" t="n">
        <v>0.0568205383248991</v>
      </c>
    </row>
    <row r="117" customFormat="false" ht="13.8" hidden="false" customHeight="false" outlineLevel="0" collapsed="false">
      <c r="B117" s="2" t="n">
        <v>115</v>
      </c>
      <c r="C117" s="2" t="n">
        <v>5.5560982068173E-011</v>
      </c>
      <c r="D117" s="2" t="n">
        <v>0</v>
      </c>
      <c r="E117" s="2" t="n">
        <v>0.072792272499612</v>
      </c>
    </row>
    <row r="118" customFormat="false" ht="13.8" hidden="false" customHeight="false" outlineLevel="0" collapsed="false">
      <c r="B118" s="2" t="n">
        <v>116</v>
      </c>
      <c r="C118" s="2" t="n">
        <v>3.228106385438E-011</v>
      </c>
      <c r="D118" s="2" t="n">
        <v>0</v>
      </c>
      <c r="E118" s="2" t="n">
        <v>0.0564369255823334</v>
      </c>
    </row>
    <row r="119" customFormat="false" ht="13.8" hidden="false" customHeight="false" outlineLevel="0" collapsed="false">
      <c r="B119" s="2" t="n">
        <v>117</v>
      </c>
      <c r="C119" s="2" t="n">
        <v>1.09340294455868E-013</v>
      </c>
      <c r="D119" s="2" t="n">
        <v>1.05732879462421E-013</v>
      </c>
      <c r="E119" s="2" t="n">
        <v>0.0508181999811167</v>
      </c>
    </row>
    <row r="120" customFormat="false" ht="13.8" hidden="false" customHeight="false" outlineLevel="0" collapsed="false">
      <c r="B120" s="2" t="n">
        <v>118</v>
      </c>
      <c r="C120" s="2" t="n">
        <v>1.08877817373681E-013</v>
      </c>
      <c r="D120" s="2" t="n">
        <v>1.06675125489249E-013</v>
      </c>
      <c r="E120" s="2" t="n">
        <v>0.0561628818873007</v>
      </c>
    </row>
    <row r="121" customFormat="false" ht="13.8" hidden="false" customHeight="false" outlineLevel="0" collapsed="false">
      <c r="B121" s="2" t="n">
        <v>119</v>
      </c>
      <c r="C121" s="2" t="n">
        <v>6.45581382255038E-011</v>
      </c>
      <c r="D121" s="2" t="n">
        <v>3.22063110902273E-011</v>
      </c>
      <c r="E121" s="2" t="n">
        <v>0.0385918924027058</v>
      </c>
    </row>
    <row r="122" customFormat="false" ht="13.8" hidden="false" customHeight="false" outlineLevel="0" collapsed="false">
      <c r="B122" s="2" t="n">
        <v>120</v>
      </c>
      <c r="C122" s="2" t="n">
        <v>1.11189322198673E-010</v>
      </c>
      <c r="D122" s="2" t="n">
        <v>5.54327211191276E-011</v>
      </c>
      <c r="E122" s="2" t="n">
        <v>0.0334970231844418</v>
      </c>
    </row>
    <row r="123" customFormat="false" ht="13.8" hidden="false" customHeight="false" outlineLevel="0" collapsed="false">
      <c r="B123" s="2" t="n">
        <v>121</v>
      </c>
      <c r="C123" s="2" t="n">
        <v>1.54266008141898E-013</v>
      </c>
      <c r="D123" s="2" t="n">
        <v>1.54290982178338E-013</v>
      </c>
      <c r="E123" s="2" t="n">
        <v>0.0275810405294781</v>
      </c>
    </row>
    <row r="124" customFormat="false" ht="13.8" hidden="false" customHeight="false" outlineLevel="0" collapsed="false">
      <c r="B124" s="2" t="n">
        <v>122</v>
      </c>
      <c r="C124" s="2" t="n">
        <v>1.30745716082421E-013</v>
      </c>
      <c r="D124" s="2" t="n">
        <v>0.00885499683843738</v>
      </c>
      <c r="E124" s="2" t="n">
        <v>0.034847959745479</v>
      </c>
    </row>
    <row r="125" customFormat="false" ht="13.8" hidden="false" customHeight="false" outlineLevel="0" collapsed="false">
      <c r="B125" s="2" t="n">
        <v>123</v>
      </c>
      <c r="C125" s="2" t="n">
        <v>0</v>
      </c>
      <c r="D125" s="2" t="n">
        <v>4.15640893669299E-017</v>
      </c>
      <c r="E125" s="2" t="n">
        <v>0</v>
      </c>
    </row>
    <row r="126" customFormat="false" ht="13.8" hidden="false" customHeight="false" outlineLevel="0" collapsed="false">
      <c r="B126" s="2" t="n">
        <v>124</v>
      </c>
      <c r="C126" s="2" t="n">
        <v>0</v>
      </c>
      <c r="D126" s="2" t="n">
        <v>1.71420466772162E-016</v>
      </c>
      <c r="E126" s="2" t="n">
        <v>0.0620340017098112</v>
      </c>
    </row>
    <row r="127" customFormat="false" ht="13.8" hidden="false" customHeight="false" outlineLevel="0" collapsed="false">
      <c r="B127" s="2" t="n">
        <v>125</v>
      </c>
      <c r="C127" s="2" t="n">
        <v>0</v>
      </c>
      <c r="D127" s="2" t="n">
        <v>2.128720669356E-016</v>
      </c>
      <c r="E127" s="2" t="n">
        <v>0.00250100639169002</v>
      </c>
    </row>
    <row r="128" customFormat="false" ht="13.8" hidden="false" customHeight="false" outlineLevel="0" collapsed="false">
      <c r="B128" s="2" t="n">
        <v>126</v>
      </c>
      <c r="C128" s="2" t="n">
        <v>0</v>
      </c>
      <c r="D128" s="2" t="n">
        <v>2.94276577611542E-016</v>
      </c>
      <c r="E128" s="2" t="n">
        <v>0.0543125706155482</v>
      </c>
    </row>
    <row r="129" customFormat="false" ht="13.8" hidden="false" customHeight="false" outlineLevel="0" collapsed="false">
      <c r="B129" s="2" t="n">
        <v>127</v>
      </c>
      <c r="C129" s="2" t="n">
        <v>0</v>
      </c>
      <c r="D129" s="2" t="n">
        <v>6.80229674986253E-019</v>
      </c>
      <c r="E129" s="2" t="n">
        <v>0</v>
      </c>
    </row>
    <row r="130" customFormat="false" ht="13.8" hidden="false" customHeight="false" outlineLevel="0" collapsed="false">
      <c r="B130" s="2" t="n">
        <v>128</v>
      </c>
      <c r="C130" s="2" t="n">
        <v>0</v>
      </c>
      <c r="D130" s="2" t="n">
        <v>6.72060349628812E-016</v>
      </c>
      <c r="E130" s="2" t="n">
        <v>0.00208661572992549</v>
      </c>
    </row>
    <row r="131" customFormat="false" ht="13.8" hidden="false" customHeight="false" outlineLevel="0" collapsed="false">
      <c r="B131" s="2" t="n">
        <v>129</v>
      </c>
      <c r="C131" s="2" t="n">
        <v>0</v>
      </c>
      <c r="D131" s="2" t="n">
        <v>4.8208460434839E-016</v>
      </c>
      <c r="E131" s="2" t="n">
        <v>0.0178314632871226</v>
      </c>
    </row>
    <row r="132" customFormat="false" ht="13.8" hidden="false" customHeight="false" outlineLevel="0" collapsed="false">
      <c r="B132" s="2" t="n">
        <v>130</v>
      </c>
      <c r="C132" s="2" t="n">
        <v>0</v>
      </c>
      <c r="D132" s="2" t="n">
        <v>1.51644302162757E-017</v>
      </c>
      <c r="E132" s="2" t="n">
        <v>0</v>
      </c>
    </row>
    <row r="133" customFormat="false" ht="13.8" hidden="false" customHeight="false" outlineLevel="0" collapsed="false">
      <c r="B133" s="2" t="n">
        <v>131</v>
      </c>
      <c r="C133" s="2" t="n">
        <v>9.66622073537122E-010</v>
      </c>
      <c r="D133" s="2" t="n">
        <v>0</v>
      </c>
      <c r="E133" s="2" t="n">
        <v>0</v>
      </c>
    </row>
    <row r="134" customFormat="false" ht="13.8" hidden="false" customHeight="false" outlineLevel="0" collapsed="false">
      <c r="B134" s="2" t="n">
        <v>132</v>
      </c>
      <c r="C134" s="2" t="n">
        <v>0</v>
      </c>
      <c r="D134" s="2" t="n">
        <v>7.13609046200834E-016</v>
      </c>
      <c r="E134" s="2" t="n">
        <v>0.017702803516582</v>
      </c>
    </row>
    <row r="135" customFormat="false" ht="13.8" hidden="false" customHeight="false" outlineLevel="0" collapsed="false">
      <c r="B135" s="2" t="n">
        <v>133</v>
      </c>
      <c r="C135" s="2" t="n">
        <v>3.9988986127272E-010</v>
      </c>
      <c r="D135" s="2" t="n">
        <v>0</v>
      </c>
      <c r="E135" s="2" t="n">
        <v>0</v>
      </c>
    </row>
    <row r="136" customFormat="false" ht="13.8" hidden="false" customHeight="false" outlineLevel="0" collapsed="false">
      <c r="B136" s="2" t="n">
        <v>134</v>
      </c>
      <c r="C136" s="2" t="n">
        <v>0</v>
      </c>
      <c r="D136" s="2" t="n">
        <v>6.64381613253297E-016</v>
      </c>
      <c r="E136" s="2" t="n">
        <v>0.00499104774130815</v>
      </c>
    </row>
    <row r="137" customFormat="false" ht="13.8" hidden="false" customHeight="false" outlineLevel="0" collapsed="false">
      <c r="B137" s="2" t="n">
        <v>135</v>
      </c>
      <c r="C137" s="2" t="n">
        <v>1.57044679843937E-010</v>
      </c>
      <c r="D137" s="2" t="n">
        <v>0</v>
      </c>
      <c r="E137" s="2" t="n">
        <v>0</v>
      </c>
    </row>
    <row r="138" customFormat="false" ht="13.8" hidden="false" customHeight="false" outlineLevel="0" collapsed="false">
      <c r="B138" s="2" t="n">
        <v>136</v>
      </c>
      <c r="C138" s="2" t="n">
        <v>6.27762652209665E-011</v>
      </c>
      <c r="D138" s="2" t="n">
        <v>4.7668908071545E-011</v>
      </c>
      <c r="E138" s="2" t="n">
        <v>4.75779318904455E-011</v>
      </c>
    </row>
    <row r="139" customFormat="false" ht="13.8" hidden="false" customHeight="false" outlineLevel="0" collapsed="false">
      <c r="B139" s="2" t="n">
        <v>137</v>
      </c>
      <c r="C139" s="2" t="n">
        <v>0</v>
      </c>
      <c r="D139" s="2" t="n">
        <v>0</v>
      </c>
      <c r="E139" s="2" t="n">
        <v>3.33468392044124E-010</v>
      </c>
    </row>
    <row r="140" customFormat="false" ht="13.8" hidden="false" customHeight="false" outlineLevel="0" collapsed="false">
      <c r="B140" s="2" t="n">
        <v>138</v>
      </c>
      <c r="C140" s="2" t="n">
        <v>7.12184623444874E-011</v>
      </c>
      <c r="D140" s="2" t="n">
        <v>4.75572586555809E-011</v>
      </c>
      <c r="E140" s="2" t="n">
        <v>4.74665482742711E-011</v>
      </c>
    </row>
    <row r="141" customFormat="false" ht="13.8" hidden="false" customHeight="false" outlineLevel="0" collapsed="false">
      <c r="B141" s="2" t="n">
        <v>139</v>
      </c>
      <c r="C141" s="2" t="n">
        <v>0</v>
      </c>
      <c r="D141" s="2" t="n">
        <v>4.04170329527002E-011</v>
      </c>
      <c r="E141" s="2" t="n">
        <v>3.68997097393574E-011</v>
      </c>
    </row>
    <row r="142" customFormat="false" ht="13.8" hidden="false" customHeight="false" outlineLevel="0" collapsed="false">
      <c r="B142" s="2" t="n">
        <v>140</v>
      </c>
      <c r="C142" s="2" t="n">
        <v>7.71059452041776E-011</v>
      </c>
      <c r="D142" s="2" t="n">
        <v>4.57527369310582E-011</v>
      </c>
      <c r="E142" s="2" t="n">
        <v>4.56654000057975E-011</v>
      </c>
    </row>
    <row r="143" customFormat="false" ht="13.8" hidden="false" customHeight="false" outlineLevel="0" collapsed="false">
      <c r="B143" s="2" t="n">
        <v>141</v>
      </c>
      <c r="C143" s="2" t="n">
        <v>1.86228440874017E-016</v>
      </c>
      <c r="D143" s="2" t="n">
        <v>4.87498568852241E-017</v>
      </c>
      <c r="E143" s="2" t="n">
        <v>1.29425440458346E-016</v>
      </c>
    </row>
    <row r="144" customFormat="false" ht="13.8" hidden="false" customHeight="false" outlineLevel="0" collapsed="false">
      <c r="B144" s="2" t="n">
        <v>142</v>
      </c>
      <c r="C144" s="2" t="n">
        <v>0</v>
      </c>
      <c r="D144" s="2" t="n">
        <v>9.14867090933E-014</v>
      </c>
      <c r="E144" s="2" t="n">
        <v>9.15849178589145E-014</v>
      </c>
    </row>
    <row r="145" customFormat="false" ht="13.8" hidden="false" customHeight="false" outlineLevel="0" collapsed="false">
      <c r="B145" s="2" t="n">
        <v>143</v>
      </c>
      <c r="C145" s="2" t="n">
        <v>0</v>
      </c>
      <c r="D145" s="2" t="n">
        <v>1.31412728176777E-013</v>
      </c>
      <c r="E145" s="2" t="n">
        <v>1.31507258323882E-013</v>
      </c>
    </row>
    <row r="146" customFormat="false" ht="13.8" hidden="false" customHeight="false" outlineLevel="0" collapsed="false">
      <c r="B146" s="2" t="n">
        <v>144</v>
      </c>
      <c r="C146" s="2" t="n">
        <v>0</v>
      </c>
      <c r="D146" s="2" t="n">
        <v>4.77193470964758E-012</v>
      </c>
      <c r="E146" s="2" t="n">
        <v>0</v>
      </c>
    </row>
    <row r="147" customFormat="false" ht="13.8" hidden="false" customHeight="false" outlineLevel="0" collapsed="false">
      <c r="B147" s="2" t="n">
        <v>145</v>
      </c>
      <c r="C147" s="2" t="n">
        <v>0</v>
      </c>
      <c r="D147" s="2" t="n">
        <v>7.15815161131722E-010</v>
      </c>
      <c r="E147" s="2" t="n">
        <v>7.42575330965844E-010</v>
      </c>
    </row>
    <row r="148" customFormat="false" ht="13.8" hidden="false" customHeight="false" outlineLevel="0" collapsed="false">
      <c r="B148" s="2" t="n">
        <v>146</v>
      </c>
      <c r="C148" s="2" t="n">
        <v>2.4240189060948E-016</v>
      </c>
      <c r="D148" s="2" t="n">
        <v>1.05852543881167E-016</v>
      </c>
      <c r="E148" s="2" t="n">
        <v>6.29633593691578E-016</v>
      </c>
    </row>
    <row r="149" customFormat="false" ht="13.8" hidden="false" customHeight="false" outlineLevel="0" collapsed="false">
      <c r="B149" s="2" t="n">
        <v>147</v>
      </c>
      <c r="C149" s="2" t="n">
        <v>0</v>
      </c>
      <c r="D149" s="2" t="n">
        <v>0</v>
      </c>
      <c r="E149" s="2" t="n">
        <v>9.16995927070494E-016</v>
      </c>
    </row>
    <row r="150" customFormat="false" ht="13.8" hidden="false" customHeight="false" outlineLevel="0" collapsed="false">
      <c r="B150" s="2" t="n">
        <v>148</v>
      </c>
      <c r="C150" s="2" t="n">
        <v>0</v>
      </c>
      <c r="D150" s="2" t="n">
        <v>0</v>
      </c>
      <c r="E150" s="2" t="n">
        <v>2.69405355634856E-015</v>
      </c>
    </row>
    <row r="151" customFormat="false" ht="13.8" hidden="false" customHeight="false" outlineLevel="0" collapsed="false">
      <c r="B151" s="2" t="n">
        <v>149</v>
      </c>
      <c r="C151" s="2" t="n">
        <v>2.22633967972316E-013</v>
      </c>
      <c r="D151" s="2" t="n">
        <v>0</v>
      </c>
      <c r="E151" s="2" t="n">
        <v>3.20223701315142E-015</v>
      </c>
    </row>
    <row r="152" customFormat="false" ht="13.8" hidden="false" customHeight="false" outlineLevel="0" collapsed="false">
      <c r="B152" s="2" t="n">
        <v>150</v>
      </c>
      <c r="C152" s="2" t="n">
        <v>6.69272295574265E-011</v>
      </c>
      <c r="D152" s="2" t="n">
        <v>6.7055600912692E-011</v>
      </c>
      <c r="E152" s="2" t="n">
        <v>1.34118098480374E-010</v>
      </c>
    </row>
    <row r="153" customFormat="false" ht="13.8" hidden="false" customHeight="false" outlineLevel="0" collapsed="false">
      <c r="B153" s="2" t="n">
        <v>151</v>
      </c>
      <c r="C153" s="2" t="n">
        <v>4.440254625556E-013</v>
      </c>
      <c r="D153" s="2" t="n">
        <v>0</v>
      </c>
      <c r="E153" s="2" t="n">
        <v>2.68067463416151E-014</v>
      </c>
    </row>
    <row r="154" customFormat="false" ht="13.8" hidden="false" customHeight="false" outlineLevel="0" collapsed="false">
      <c r="B154" s="2" t="n">
        <v>152</v>
      </c>
      <c r="C154" s="2" t="n">
        <v>0</v>
      </c>
      <c r="D154" s="2" t="n">
        <v>0.00384803889584905</v>
      </c>
      <c r="E154" s="2" t="n">
        <v>3.97732667265664E-014</v>
      </c>
    </row>
    <row r="155" customFormat="false" ht="13.8" hidden="false" customHeight="false" outlineLevel="0" collapsed="false">
      <c r="B155" s="2" t="n">
        <v>153</v>
      </c>
      <c r="C155" s="2" t="n">
        <v>5.31144946708179E-011</v>
      </c>
      <c r="D155" s="2" t="n">
        <v>0</v>
      </c>
      <c r="E155" s="2" t="n">
        <v>0</v>
      </c>
    </row>
    <row r="156" customFormat="false" ht="13.8" hidden="false" customHeight="false" outlineLevel="0" collapsed="false">
      <c r="B156" s="2" t="n">
        <v>154</v>
      </c>
      <c r="C156" s="2" t="n">
        <v>0</v>
      </c>
      <c r="D156" s="2" t="n">
        <v>0</v>
      </c>
      <c r="E156" s="2" t="n">
        <v>8.81815583726862E-014</v>
      </c>
    </row>
    <row r="157" customFormat="false" ht="13.8" hidden="false" customHeight="false" outlineLevel="0" collapsed="false">
      <c r="B157" s="2" t="n">
        <v>155</v>
      </c>
      <c r="C157" s="2" t="n">
        <v>0</v>
      </c>
      <c r="D157" s="2" t="n">
        <v>0</v>
      </c>
      <c r="E157" s="2" t="n">
        <v>1.02321827654758E-013</v>
      </c>
    </row>
    <row r="158" customFormat="false" ht="13.8" hidden="false" customHeight="false" outlineLevel="0" collapsed="false">
      <c r="B158" s="2" t="n">
        <v>156</v>
      </c>
      <c r="C158" s="2" t="n">
        <v>0</v>
      </c>
      <c r="D158" s="2" t="n">
        <v>0</v>
      </c>
      <c r="E158" s="2" t="n">
        <v>1.15641957180256E-013</v>
      </c>
    </row>
    <row r="159" customFormat="false" ht="13.8" hidden="false" customHeight="false" outlineLevel="0" collapsed="false">
      <c r="B159" s="2" t="n">
        <v>157</v>
      </c>
      <c r="C159" s="2" t="n">
        <v>0</v>
      </c>
      <c r="D159" s="2" t="n">
        <v>0.00735968566892216</v>
      </c>
      <c r="E159" s="2" t="n">
        <v>8.58223848954028E-014</v>
      </c>
    </row>
    <row r="160" customFormat="false" ht="13.8" hidden="false" customHeight="false" outlineLevel="0" collapsed="false">
      <c r="B160" s="2" t="n">
        <v>158</v>
      </c>
      <c r="C160" s="2" t="n">
        <v>0</v>
      </c>
      <c r="D160" s="2" t="n">
        <v>0.0384881398370654</v>
      </c>
      <c r="E160" s="2" t="n">
        <v>9.38037609936421E-014</v>
      </c>
    </row>
    <row r="161" customFormat="false" ht="13.8" hidden="false" customHeight="false" outlineLevel="0" collapsed="false">
      <c r="B161" s="2" t="n">
        <v>159</v>
      </c>
      <c r="C161" s="2" t="n">
        <v>0</v>
      </c>
      <c r="D161" s="2" t="n">
        <v>0</v>
      </c>
      <c r="E161" s="2" t="n">
        <v>1.51736977014258E-013</v>
      </c>
    </row>
    <row r="162" customFormat="false" ht="13.8" hidden="false" customHeight="false" outlineLevel="0" collapsed="false">
      <c r="B162" s="2" t="n">
        <v>160</v>
      </c>
      <c r="C162" s="2" t="n">
        <v>0</v>
      </c>
      <c r="D162" s="2" t="n">
        <v>0.0422450481733272</v>
      </c>
      <c r="E162" s="2" t="n">
        <v>1.09723510387286E-013</v>
      </c>
    </row>
    <row r="163" customFormat="false" ht="13.8" hidden="false" customHeight="false" outlineLevel="0" collapsed="false">
      <c r="B163" s="2" t="n">
        <v>161</v>
      </c>
      <c r="C163" s="2" t="n">
        <v>0</v>
      </c>
      <c r="D163" s="2" t="n">
        <v>0</v>
      </c>
      <c r="E163" s="2" t="n">
        <v>1.73011566006358E-013</v>
      </c>
    </row>
    <row r="164" customFormat="false" ht="13.8" hidden="false" customHeight="false" outlineLevel="0" collapsed="false">
      <c r="B164" s="2" t="n">
        <v>162</v>
      </c>
      <c r="C164" s="2" t="n">
        <v>0</v>
      </c>
      <c r="D164" s="2" t="n">
        <v>0.0201506218661684</v>
      </c>
      <c r="E164" s="2" t="n">
        <v>1.22239456290089E-013</v>
      </c>
    </row>
    <row r="165" customFormat="false" ht="13.8" hidden="false" customHeight="false" outlineLevel="0" collapsed="false">
      <c r="B165" s="2" t="n">
        <v>163</v>
      </c>
      <c r="C165" s="2" t="n">
        <v>5.16881617671686E-015</v>
      </c>
      <c r="D165" s="2" t="n">
        <v>0.029156326463666</v>
      </c>
      <c r="E165" s="2" t="n">
        <v>0.00918769826239955</v>
      </c>
    </row>
    <row r="166" customFormat="false" ht="13.8" hidden="false" customHeight="false" outlineLevel="0" collapsed="false">
      <c r="B166" s="2" t="n">
        <v>164</v>
      </c>
      <c r="C166" s="2" t="n">
        <v>1.80464598454185E-009</v>
      </c>
      <c r="D166" s="2" t="n">
        <v>0.0230270649809574</v>
      </c>
      <c r="E166" s="2" t="n">
        <v>0.0220939625897988</v>
      </c>
    </row>
    <row r="167" customFormat="false" ht="13.8" hidden="false" customHeight="false" outlineLevel="0" collapsed="false">
      <c r="B167" s="2" t="n">
        <v>165</v>
      </c>
      <c r="C167" s="2" t="n">
        <v>1.04768892832728E-014</v>
      </c>
      <c r="D167" s="2" t="n">
        <v>0.0168212828182293</v>
      </c>
      <c r="E167" s="2" t="n">
        <v>0.0350765309573743</v>
      </c>
    </row>
    <row r="168" customFormat="false" ht="13.8" hidden="false" customHeight="false" outlineLevel="0" collapsed="false">
      <c r="B168" s="2" t="n">
        <v>166</v>
      </c>
      <c r="C168" s="2" t="n">
        <v>1.71181764773958E-009</v>
      </c>
      <c r="D168" s="2" t="n">
        <v>0.0126553751832768</v>
      </c>
      <c r="E168" s="2" t="n">
        <v>0.036350268857819</v>
      </c>
    </row>
    <row r="169" customFormat="false" ht="13.8" hidden="false" customHeight="false" outlineLevel="0" collapsed="false">
      <c r="B169" s="2" t="n">
        <v>167</v>
      </c>
      <c r="C169" s="2" t="n">
        <v>1.66540424308253E-009</v>
      </c>
      <c r="D169" s="2" t="n">
        <v>0.00843845384508474</v>
      </c>
      <c r="E169" s="2" t="n">
        <v>0.0445086204745495</v>
      </c>
    </row>
    <row r="170" customFormat="false" ht="13.8" hidden="false" customHeight="false" outlineLevel="0" collapsed="false">
      <c r="B170" s="2" t="n">
        <v>168</v>
      </c>
      <c r="C170" s="2" t="n">
        <v>1.61899251315347E-009</v>
      </c>
      <c r="D170" s="2" t="n">
        <v>0.00422153250689276</v>
      </c>
      <c r="E170" s="2" t="n">
        <v>0.0794997054246131</v>
      </c>
    </row>
    <row r="171" customFormat="false" ht="13.8" hidden="false" customHeight="false" outlineLevel="0" collapsed="false">
      <c r="B171" s="2" t="n">
        <v>169</v>
      </c>
      <c r="C171" s="2" t="n">
        <v>1.57257846633128E-009</v>
      </c>
      <c r="D171" s="2" t="n">
        <v>4.6111687007875E-006</v>
      </c>
      <c r="E171" s="2" t="n">
        <v>0.0554911903746768</v>
      </c>
    </row>
    <row r="172" customFormat="false" ht="13.8" hidden="false" customHeight="false" outlineLevel="0" collapsed="false">
      <c r="B172" s="2" t="n">
        <v>170</v>
      </c>
      <c r="C172" s="2" t="n">
        <v>1.52616824285063E-009</v>
      </c>
      <c r="D172" s="2" t="n">
        <v>3.4583745515301E-006</v>
      </c>
      <c r="E172" s="2" t="n">
        <v>0.0944942844478517</v>
      </c>
    </row>
    <row r="173" customFormat="false" ht="13.8" hidden="false" customHeight="false" outlineLevel="0" collapsed="false">
      <c r="B173" s="2" t="n">
        <v>171</v>
      </c>
      <c r="C173" s="2" t="n">
        <v>1.47972672462445E-009</v>
      </c>
      <c r="D173" s="2" t="n">
        <v>2.30558040228229E-006</v>
      </c>
      <c r="E173" s="2" t="n">
        <v>0.0442304451876933</v>
      </c>
    </row>
    <row r="174" customFormat="false" ht="13.8" hidden="false" customHeight="false" outlineLevel="0" collapsed="false">
      <c r="B174" s="2" t="n">
        <v>172</v>
      </c>
      <c r="C174" s="2" t="n">
        <v>1.43326908850754E-009</v>
      </c>
      <c r="D174" s="2" t="n">
        <v>1.15278625301383E-006</v>
      </c>
      <c r="E174" s="2" t="n">
        <v>0.0718003725942018</v>
      </c>
    </row>
    <row r="175" customFormat="false" ht="13.8" hidden="false" customHeight="false" outlineLevel="0" collapsed="false">
      <c r="B175" s="2" t="n">
        <v>173</v>
      </c>
      <c r="C175" s="2" t="n">
        <v>1.38787960078507E-009</v>
      </c>
      <c r="D175" s="2" t="n">
        <v>7.83114791628055E-010</v>
      </c>
      <c r="E175" s="2" t="n">
        <v>0.0731201999964578</v>
      </c>
    </row>
    <row r="176" customFormat="false" ht="13.8" hidden="false" customHeight="false" outlineLevel="0" collapsed="false">
      <c r="B176" s="2" t="n">
        <v>174</v>
      </c>
      <c r="C176" s="2" t="n">
        <v>1.34008928299893E-009</v>
      </c>
      <c r="D176" s="2" t="n">
        <v>7.33932490270799E-010</v>
      </c>
      <c r="E176" s="2" t="n">
        <v>0.175620249995505</v>
      </c>
    </row>
    <row r="177" customFormat="false" ht="13.8" hidden="false" customHeight="false" outlineLevel="0" collapsed="false">
      <c r="B177" s="2" t="n">
        <v>175</v>
      </c>
      <c r="C177" s="2" t="n">
        <v>1.29371937945193E-009</v>
      </c>
      <c r="D177" s="2" t="n">
        <v>6.87584874282408E-010</v>
      </c>
      <c r="E177" s="2" t="n">
        <v>0.175704183329308</v>
      </c>
    </row>
    <row r="178" customFormat="false" ht="13.8" hidden="false" customHeight="false" outlineLevel="0" collapsed="false">
      <c r="B178" s="2" t="n">
        <v>176</v>
      </c>
      <c r="C178" s="2" t="n">
        <v>1.24735012934803E-009</v>
      </c>
      <c r="D178" s="2" t="n">
        <v>6.41236590315705E-010</v>
      </c>
      <c r="E178" s="2" t="n">
        <v>0.207136849996444</v>
      </c>
    </row>
    <row r="179" customFormat="false" ht="13.8" hidden="false" customHeight="false" outlineLevel="0" collapsed="false">
      <c r="B179" s="2" t="n">
        <v>177</v>
      </c>
      <c r="C179" s="2" t="n">
        <v>1.20097956078808E-009</v>
      </c>
      <c r="D179" s="2" t="n">
        <v>5.94887891939222E-010</v>
      </c>
      <c r="E179" s="2" t="n">
        <v>0.189687416663581</v>
      </c>
    </row>
    <row r="180" customFormat="false" ht="13.8" hidden="false" customHeight="false" outlineLevel="0" collapsed="false">
      <c r="B180" s="2" t="n">
        <v>178</v>
      </c>
      <c r="C180" s="2" t="n">
        <v>1.1546090391761E-009</v>
      </c>
      <c r="D180" s="2" t="n">
        <v>5.48538753555785E-010</v>
      </c>
      <c r="E180" s="2" t="n">
        <v>0.208454449997384</v>
      </c>
    </row>
    <row r="181" customFormat="false" ht="13.8" hidden="false" customHeight="false" outlineLevel="0" collapsed="false">
      <c r="B181" s="2" t="n">
        <v>179</v>
      </c>
      <c r="C181" s="2" t="n">
        <v>1.10823751982969E-009</v>
      </c>
      <c r="D181" s="2" t="n">
        <v>5.02189204633812E-010</v>
      </c>
      <c r="E181" s="2" t="n">
        <v>0.18715436666452</v>
      </c>
    </row>
    <row r="182" customFormat="false" ht="13.8" hidden="false" customHeight="false" outlineLevel="0" collapsed="false">
      <c r="B182" s="2" t="n">
        <v>180</v>
      </c>
      <c r="C182" s="2" t="n">
        <v>1.06186594901972E-009</v>
      </c>
      <c r="D182" s="2" t="n">
        <v>4.55839213791023E-010</v>
      </c>
      <c r="E182" s="2" t="n">
        <v>0.196921083331656</v>
      </c>
    </row>
    <row r="183" customFormat="false" ht="13.8" hidden="false" customHeight="false" outlineLevel="0" collapsed="false">
      <c r="B183" s="2" t="n">
        <v>181</v>
      </c>
      <c r="C183" s="2" t="n">
        <v>1.01549352387952E-009</v>
      </c>
      <c r="D183" s="2" t="n">
        <v>4.09488868799597E-010</v>
      </c>
      <c r="E183" s="2" t="n">
        <v>0.176987366665459</v>
      </c>
    </row>
    <row r="184" customFormat="false" ht="13.8" hidden="false" customHeight="false" outlineLevel="0" collapsed="false">
      <c r="B184" s="2" t="n">
        <v>182</v>
      </c>
      <c r="C184" s="2" t="n">
        <v>9.69120877083279E-010</v>
      </c>
      <c r="D184" s="2" t="n">
        <v>3.63138134023692E-010</v>
      </c>
      <c r="E184" s="2" t="n">
        <v>0.175670516665929</v>
      </c>
    </row>
    <row r="185" customFormat="false" ht="13.8" hidden="false" customHeight="false" outlineLevel="0" collapsed="false">
      <c r="B185" s="2" t="n">
        <v>183</v>
      </c>
      <c r="C185" s="2" t="n">
        <v>9.22747595305563E-010</v>
      </c>
      <c r="D185" s="2" t="n">
        <v>3.16787121679785E-010</v>
      </c>
      <c r="E185" s="2" t="n">
        <v>0.162786716666398</v>
      </c>
    </row>
    <row r="186" customFormat="false" ht="13.8" hidden="false" customHeight="false" outlineLevel="0" collapsed="false">
      <c r="B186" s="2" t="n">
        <v>184</v>
      </c>
      <c r="C186" s="2" t="n">
        <v>8.76373626358707E-010</v>
      </c>
      <c r="D186" s="2" t="n">
        <v>2.70435907716549E-010</v>
      </c>
      <c r="E186" s="2" t="n">
        <v>0.144237300000201</v>
      </c>
    </row>
    <row r="187" customFormat="false" ht="13.8" hidden="false" customHeight="false" outlineLevel="0" collapsed="false">
      <c r="B187" s="2" t="n">
        <v>185</v>
      </c>
      <c r="C187" s="2" t="n">
        <v>8.30000461805005E-010</v>
      </c>
      <c r="D187" s="2" t="n">
        <v>2.24084668618764E-010</v>
      </c>
      <c r="E187" s="2" t="n">
        <v>0.207970583334004</v>
      </c>
    </row>
    <row r="188" customFormat="false" ht="13.8" hidden="false" customHeight="false" outlineLevel="0" collapsed="false">
      <c r="B188" s="2" t="n">
        <v>186</v>
      </c>
      <c r="C188" s="2" t="n">
        <v>7.83625335223731E-010</v>
      </c>
      <c r="D188" s="2" t="n">
        <v>1.77733879789437E-010</v>
      </c>
      <c r="E188" s="2" t="n">
        <v>0.148537533334473</v>
      </c>
    </row>
    <row r="189" customFormat="false" ht="13.8" hidden="false" customHeight="false" outlineLevel="0" collapsed="false">
      <c r="B189" s="2" t="n">
        <v>187</v>
      </c>
      <c r="C189" s="2" t="n">
        <v>7.37250749448107E-010</v>
      </c>
      <c r="D189" s="2" t="n">
        <v>1.31384729230138E-010</v>
      </c>
      <c r="E189" s="2" t="n">
        <v>0.17375330000161</v>
      </c>
    </row>
    <row r="190" customFormat="false" ht="13.8" hidden="false" customHeight="false" outlineLevel="0" collapsed="false">
      <c r="B190" s="2" t="n">
        <v>188</v>
      </c>
      <c r="C190" s="2" t="n">
        <v>6.90875564666407E-010</v>
      </c>
      <c r="D190" s="2" t="n">
        <v>8.50381702048662E-011</v>
      </c>
      <c r="E190" s="2" t="n">
        <v>0.194836366668754</v>
      </c>
    </row>
    <row r="191" customFormat="false" ht="13.8" hidden="false" customHeight="false" outlineLevel="0" collapsed="false">
      <c r="B191" s="2" t="n">
        <v>189</v>
      </c>
      <c r="C191" s="2" t="n">
        <v>6.24122705316999E-010</v>
      </c>
      <c r="D191" s="2" t="n">
        <v>0</v>
      </c>
      <c r="E191" s="2" t="n">
        <v>0.125020605996564</v>
      </c>
    </row>
    <row r="192" customFormat="false" ht="13.8" hidden="false" customHeight="false" outlineLevel="0" collapsed="false">
      <c r="B192" s="2" t="n">
        <v>190</v>
      </c>
      <c r="C192" s="2" t="n">
        <v>6.00848486315266E-010</v>
      </c>
      <c r="D192" s="2" t="n">
        <v>0</v>
      </c>
      <c r="E192" s="2" t="n">
        <v>0.0864189595690084</v>
      </c>
    </row>
    <row r="193" customFormat="false" ht="13.8" hidden="false" customHeight="false" outlineLevel="0" collapsed="false">
      <c r="B193" s="2" t="n">
        <v>191</v>
      </c>
      <c r="C193" s="2" t="n">
        <v>5.77573220734899E-010</v>
      </c>
      <c r="D193" s="2" t="n">
        <v>0</v>
      </c>
      <c r="E193" s="2" t="n">
        <v>0.0406787692851944</v>
      </c>
    </row>
    <row r="194" customFormat="false" ht="13.8" hidden="false" customHeight="false" outlineLevel="0" collapsed="false">
      <c r="B194" s="2" t="n">
        <v>192</v>
      </c>
      <c r="C194" s="2" t="n">
        <v>5.58605925068807E-010</v>
      </c>
      <c r="D194" s="2" t="n">
        <v>6.59768575186729E-012</v>
      </c>
      <c r="E194" s="2" t="n">
        <v>0.0445024833365106</v>
      </c>
    </row>
    <row r="195" customFormat="false" ht="13.8" hidden="false" customHeight="false" outlineLevel="0" collapsed="false">
      <c r="B195" s="2" t="n">
        <v>193</v>
      </c>
      <c r="C195" s="2" t="n">
        <v>5.34226358247296E-010</v>
      </c>
      <c r="D195" s="2" t="n">
        <v>4.46781542980353E-012</v>
      </c>
      <c r="E195" s="2" t="n">
        <v>0.00926920000332732</v>
      </c>
    </row>
    <row r="196" customFormat="false" ht="13.8" hidden="false" customHeight="false" outlineLevel="0" collapsed="false">
      <c r="B196" s="2" t="n">
        <v>194</v>
      </c>
      <c r="C196" s="2" t="n">
        <v>5.0984872077684E-010</v>
      </c>
      <c r="D196" s="2" t="n">
        <v>2.33746434966684E-012</v>
      </c>
      <c r="E196" s="2" t="n">
        <v>0.0289523833368107</v>
      </c>
    </row>
    <row r="197" customFormat="false" ht="13.8" hidden="false" customHeight="false" outlineLevel="0" collapsed="false">
      <c r="B197" s="2" t="n">
        <v>195</v>
      </c>
      <c r="C197" s="2" t="n">
        <v>4.84474145506107E-010</v>
      </c>
      <c r="D197" s="2" t="n">
        <v>0</v>
      </c>
      <c r="E197" s="2" t="n">
        <v>0.0837308195283107</v>
      </c>
    </row>
    <row r="198" customFormat="false" ht="13.8" hidden="false" customHeight="false" outlineLevel="0" collapsed="false">
      <c r="B198" s="2" t="n">
        <v>196</v>
      </c>
      <c r="C198" s="2" t="n">
        <v>4.61197652778398E-010</v>
      </c>
      <c r="D198" s="2" t="n">
        <v>0</v>
      </c>
      <c r="E198" s="2" t="n">
        <v>0.0318362616616964</v>
      </c>
    </row>
    <row r="199" customFormat="false" ht="13.8" hidden="false" customHeight="false" outlineLevel="0" collapsed="false">
      <c r="B199" s="2" t="n">
        <v>197</v>
      </c>
      <c r="C199" s="2" t="n">
        <v>4.38268404835771E-010</v>
      </c>
      <c r="D199" s="2" t="n">
        <v>0</v>
      </c>
      <c r="E199" s="2" t="n">
        <v>0.0776168833350539</v>
      </c>
    </row>
    <row r="200" customFormat="false" ht="13.8" hidden="false" customHeight="false" outlineLevel="0" collapsed="false">
      <c r="B200" s="2" t="n">
        <v>198</v>
      </c>
      <c r="C200" s="2" t="n">
        <v>4.14645926351007E-010</v>
      </c>
      <c r="D200" s="2" t="n">
        <v>0</v>
      </c>
      <c r="E200" s="2" t="n">
        <v>0.0424170627561893</v>
      </c>
    </row>
    <row r="201" customFormat="false" ht="13.8" hidden="false" customHeight="false" outlineLevel="0" collapsed="false">
      <c r="B201" s="2" t="n">
        <v>199</v>
      </c>
      <c r="C201" s="2" t="n">
        <v>3.91370184425834E-010</v>
      </c>
      <c r="D201" s="2" t="n">
        <v>0</v>
      </c>
      <c r="E201" s="2" t="n">
        <v>0.0660943155465659</v>
      </c>
    </row>
    <row r="202" customFormat="false" ht="13.8" hidden="false" customHeight="false" outlineLevel="0" collapsed="false">
      <c r="B202" s="2" t="n">
        <v>200</v>
      </c>
      <c r="C202" s="2" t="n">
        <v>3.68093264707679E-010</v>
      </c>
      <c r="D202" s="2" t="n">
        <v>0</v>
      </c>
      <c r="E202" s="2" t="n">
        <v>0.0459046822418175</v>
      </c>
    </row>
    <row r="203" customFormat="false" ht="13.8" hidden="false" customHeight="false" outlineLevel="0" collapsed="false">
      <c r="B203" s="2" t="n">
        <v>201</v>
      </c>
      <c r="C203" s="2" t="n">
        <v>3.44816975816773E-010</v>
      </c>
      <c r="D203" s="2" t="n">
        <v>0</v>
      </c>
      <c r="E203" s="2" t="n">
        <v>0.084639081046688</v>
      </c>
    </row>
    <row r="204" customFormat="false" ht="13.8" hidden="false" customHeight="false" outlineLevel="0" collapsed="false">
      <c r="B204" s="2" t="n">
        <v>202</v>
      </c>
      <c r="C204" s="2" t="n">
        <v>3.2153958082519E-010</v>
      </c>
      <c r="D204" s="2" t="n">
        <v>0</v>
      </c>
      <c r="E204" s="2" t="n">
        <v>0.0542008947758123</v>
      </c>
    </row>
    <row r="205" customFormat="false" ht="13.8" hidden="false" customHeight="false" outlineLevel="0" collapsed="false">
      <c r="B205" s="2" t="n">
        <v>203</v>
      </c>
      <c r="C205" s="2" t="n">
        <v>2.98262380794875E-010</v>
      </c>
      <c r="D205" s="2" t="n">
        <v>0</v>
      </c>
      <c r="E205" s="2" t="n">
        <v>0.0482136405726233</v>
      </c>
    </row>
    <row r="206" customFormat="false" ht="13.8" hidden="false" customHeight="false" outlineLevel="0" collapsed="false">
      <c r="B206" s="2" t="n">
        <v>204</v>
      </c>
      <c r="C206" s="2" t="n">
        <v>2.74985239186852E-010</v>
      </c>
      <c r="D206" s="2" t="n">
        <v>0</v>
      </c>
      <c r="E206" s="2" t="n">
        <v>0.0777379375973043</v>
      </c>
    </row>
    <row r="207" customFormat="false" ht="13.8" hidden="false" customHeight="false" outlineLevel="0" collapsed="false">
      <c r="B207" s="2" t="n">
        <v>205</v>
      </c>
      <c r="C207" s="2" t="n">
        <v>2.51707049146351E-010</v>
      </c>
      <c r="D207" s="2" t="n">
        <v>0</v>
      </c>
      <c r="E207" s="2" t="n">
        <v>0.0519713789127716</v>
      </c>
    </row>
    <row r="208" customFormat="false" ht="13.8" hidden="false" customHeight="false" outlineLevel="0" collapsed="false">
      <c r="B208" s="2" t="n">
        <v>206</v>
      </c>
      <c r="C208" s="2" t="n">
        <v>2.28429252811618E-010</v>
      </c>
      <c r="D208" s="2" t="n">
        <v>0</v>
      </c>
      <c r="E208" s="2" t="n">
        <v>0.0785112179652868</v>
      </c>
    </row>
    <row r="209" customFormat="false" ht="13.8" hidden="false" customHeight="false" outlineLevel="0" collapsed="false">
      <c r="B209" s="2" t="n">
        <v>207</v>
      </c>
      <c r="C209" s="2" t="n">
        <v>2.05150964463715E-010</v>
      </c>
      <c r="D209" s="2" t="n">
        <v>0</v>
      </c>
      <c r="E209" s="2" t="n">
        <v>0.0564934922996151</v>
      </c>
    </row>
    <row r="210" customFormat="false" ht="13.8" hidden="false" customHeight="false" outlineLevel="0" collapsed="false">
      <c r="B210" s="2" t="n">
        <v>208</v>
      </c>
      <c r="C210" s="2" t="n">
        <v>1.81872672134122E-010</v>
      </c>
      <c r="D210" s="2" t="n">
        <v>0</v>
      </c>
      <c r="E210" s="2" t="n">
        <v>0.0841053902947555</v>
      </c>
    </row>
    <row r="211" customFormat="false" ht="13.8" hidden="false" customHeight="false" outlineLevel="0" collapsed="false">
      <c r="B211" s="2" t="n">
        <v>209</v>
      </c>
      <c r="C211" s="2" t="n">
        <v>1.58593953556329E-010</v>
      </c>
      <c r="D211" s="2" t="n">
        <v>0</v>
      </c>
      <c r="E211" s="2" t="n">
        <v>0.0568451533944339</v>
      </c>
    </row>
    <row r="212" customFormat="false" ht="13.8" hidden="false" customHeight="false" outlineLevel="0" collapsed="false">
      <c r="B212" s="2" t="n">
        <v>210</v>
      </c>
      <c r="C212" s="2" t="n">
        <v>1.35315137468081E-010</v>
      </c>
      <c r="D212" s="2" t="n">
        <v>0</v>
      </c>
      <c r="E212" s="2" t="n">
        <v>0.059996189583866</v>
      </c>
    </row>
    <row r="213" customFormat="false" ht="13.8" hidden="false" customHeight="false" outlineLevel="0" collapsed="false">
      <c r="B213" s="2" t="n">
        <v>211</v>
      </c>
      <c r="C213" s="2" t="n">
        <v>1.12036026763214E-010</v>
      </c>
      <c r="D213" s="2" t="n">
        <v>0</v>
      </c>
      <c r="E213" s="2" t="n">
        <v>0.0678761505367743</v>
      </c>
    </row>
    <row r="214" customFormat="false" ht="13.8" hidden="false" customHeight="false" outlineLevel="0" collapsed="false">
      <c r="B214" s="2" t="n">
        <v>212</v>
      </c>
      <c r="C214" s="2" t="n">
        <v>8.87566900474418E-011</v>
      </c>
      <c r="D214" s="2" t="n">
        <v>0</v>
      </c>
      <c r="E214" s="2" t="n">
        <v>0.0812883603052981</v>
      </c>
    </row>
    <row r="215" customFormat="false" ht="13.8" hidden="false" customHeight="false" outlineLevel="0" collapsed="false">
      <c r="B215" s="2" t="n">
        <v>213</v>
      </c>
      <c r="C215" s="2" t="n">
        <v>6.54771148229952E-011</v>
      </c>
      <c r="D215" s="2" t="n">
        <v>0</v>
      </c>
      <c r="E215" s="2" t="n">
        <v>0.0879088838865504</v>
      </c>
    </row>
    <row r="216" customFormat="false" ht="13.8" hidden="false" customHeight="false" outlineLevel="0" collapsed="false">
      <c r="B216" s="2" t="n">
        <v>214</v>
      </c>
      <c r="C216" s="2" t="n">
        <v>4.2118322587988E-011</v>
      </c>
      <c r="D216" s="2" t="n">
        <v>0</v>
      </c>
      <c r="E216" s="2" t="n">
        <v>0.0678615205688355</v>
      </c>
    </row>
    <row r="217" customFormat="false" ht="13.8" hidden="false" customHeight="false" outlineLevel="0" collapsed="false">
      <c r="B217" s="2" t="n">
        <v>215</v>
      </c>
      <c r="C217" s="2" t="n">
        <v>7.11677689057812E-014</v>
      </c>
      <c r="D217" s="2" t="n">
        <v>6.88956381664145E-014</v>
      </c>
      <c r="E217" s="2" t="n">
        <v>0.0574535453207894</v>
      </c>
    </row>
    <row r="218" customFormat="false" ht="13.8" hidden="false" customHeight="false" outlineLevel="0" collapsed="false">
      <c r="B218" s="2" t="n">
        <v>216</v>
      </c>
      <c r="C218" s="2" t="n">
        <v>7.03533442417516E-014</v>
      </c>
      <c r="D218" s="2" t="n">
        <v>6.92458810660161E-014</v>
      </c>
      <c r="E218" s="2" t="n">
        <v>0.0483983292976996</v>
      </c>
    </row>
    <row r="219" customFormat="false" ht="13.8" hidden="false" customHeight="false" outlineLevel="0" collapsed="false">
      <c r="B219" s="2" t="n">
        <v>217</v>
      </c>
      <c r="C219" s="2" t="n">
        <v>6.99591548133228E-014</v>
      </c>
      <c r="D219" s="2" t="n">
        <v>6.948008638463E-014</v>
      </c>
      <c r="E219" s="2" t="n">
        <v>0.048831446406737</v>
      </c>
    </row>
    <row r="220" customFormat="false" ht="13.8" hidden="false" customHeight="false" outlineLevel="0" collapsed="false">
      <c r="B220" s="2" t="n">
        <v>218</v>
      </c>
      <c r="C220" s="2" t="n">
        <v>6.97773705528629E-014</v>
      </c>
      <c r="D220" s="2" t="n">
        <v>6.95393294022648E-014</v>
      </c>
      <c r="E220" s="2" t="n">
        <v>0.0507363572452889</v>
      </c>
    </row>
    <row r="221" customFormat="false" ht="13.8" hidden="false" customHeight="false" outlineLevel="0" collapsed="false">
      <c r="B221" s="2" t="n">
        <v>219</v>
      </c>
      <c r="C221" s="2" t="n">
        <v>6.96988547535415E-014</v>
      </c>
      <c r="D221" s="2" t="n">
        <v>6.95885263284672E-014</v>
      </c>
      <c r="E221" s="2" t="n">
        <v>0.0920000132660238</v>
      </c>
    </row>
    <row r="222" customFormat="false" ht="13.8" hidden="false" customHeight="false" outlineLevel="0" collapsed="false">
      <c r="B222" s="2" t="n">
        <v>220</v>
      </c>
      <c r="C222" s="2" t="n">
        <v>0</v>
      </c>
      <c r="D222" s="2" t="n">
        <v>1.70943629613959E-016</v>
      </c>
      <c r="E222" s="2" t="n">
        <v>0.0391366755602992</v>
      </c>
    </row>
    <row r="223" customFormat="false" ht="13.8" hidden="false" customHeight="false" outlineLevel="0" collapsed="false">
      <c r="B223" s="2" t="n">
        <v>221</v>
      </c>
      <c r="C223" s="2" t="n">
        <v>0</v>
      </c>
      <c r="D223" s="2" t="n">
        <v>2.15905959446256E-016</v>
      </c>
      <c r="E223" s="2" t="n">
        <v>0.0524915739680623</v>
      </c>
    </row>
    <row r="224" customFormat="false" ht="13.8" hidden="false" customHeight="false" outlineLevel="0" collapsed="false">
      <c r="B224" s="2" t="n">
        <v>222</v>
      </c>
      <c r="C224" s="2" t="n">
        <v>0</v>
      </c>
      <c r="D224" s="2" t="n">
        <v>2.89074922584623E-016</v>
      </c>
      <c r="E224" s="2" t="n">
        <v>0.0245273134515222</v>
      </c>
    </row>
    <row r="225" customFormat="false" ht="13.8" hidden="false" customHeight="false" outlineLevel="0" collapsed="false">
      <c r="B225" s="2" t="n">
        <v>223</v>
      </c>
      <c r="C225" s="2" t="n">
        <v>0</v>
      </c>
      <c r="D225" s="2" t="n">
        <v>3.60265242966611E-016</v>
      </c>
      <c r="E225" s="2" t="n">
        <v>0.0343631862683154</v>
      </c>
    </row>
    <row r="226" customFormat="false" ht="13.8" hidden="false" customHeight="false" outlineLevel="0" collapsed="false">
      <c r="B226" s="2" t="n">
        <v>224</v>
      </c>
      <c r="C226" s="2" t="n">
        <v>0</v>
      </c>
      <c r="D226" s="2" t="n">
        <v>4.3246686212461E-016</v>
      </c>
      <c r="E226" s="2" t="n">
        <v>0.00319907575177539</v>
      </c>
    </row>
    <row r="227" customFormat="false" ht="13.8" hidden="false" customHeight="false" outlineLevel="0" collapsed="false">
      <c r="B227" s="2" t="n">
        <v>225</v>
      </c>
      <c r="C227" s="2" t="n">
        <v>0</v>
      </c>
      <c r="D227" s="2" t="n">
        <v>5.05310166849527E-016</v>
      </c>
      <c r="E227" s="2" t="n">
        <v>0.0203186652352353</v>
      </c>
    </row>
    <row r="228" customFormat="false" ht="13.8" hidden="false" customHeight="false" outlineLevel="0" collapsed="false">
      <c r="B228" s="2" t="n">
        <v>226</v>
      </c>
      <c r="C228" s="2" t="n">
        <v>9.86517382220218E-016</v>
      </c>
      <c r="D228" s="2" t="n">
        <v>9.28512681524803E-017</v>
      </c>
      <c r="E228" s="2" t="n">
        <v>0</v>
      </c>
    </row>
    <row r="229" customFormat="false" ht="13.8" hidden="false" customHeight="false" outlineLevel="0" collapsed="false">
      <c r="B229" s="2" t="n">
        <v>227</v>
      </c>
      <c r="C229" s="2" t="n">
        <v>0</v>
      </c>
      <c r="D229" s="2" t="n">
        <v>8.70194759746657E-016</v>
      </c>
      <c r="E229" s="2" t="n">
        <v>0.00226686406774365</v>
      </c>
    </row>
    <row r="230" customFormat="false" ht="13.8" hidden="false" customHeight="false" outlineLevel="0" collapsed="false">
      <c r="B230" s="2" t="n">
        <v>228</v>
      </c>
      <c r="C230" s="2" t="n">
        <v>7.75108283830224E-010</v>
      </c>
      <c r="D230" s="2" t="n">
        <v>0</v>
      </c>
      <c r="E230" s="2" t="n">
        <v>0</v>
      </c>
    </row>
    <row r="231" customFormat="false" ht="13.8" hidden="false" customHeight="false" outlineLevel="0" collapsed="false">
      <c r="B231" s="2" t="n">
        <v>229</v>
      </c>
      <c r="C231" s="2" t="n">
        <v>4.14179909113618E-010</v>
      </c>
      <c r="D231" s="2" t="n">
        <v>0</v>
      </c>
      <c r="E231" s="2" t="n">
        <v>0</v>
      </c>
    </row>
    <row r="232" customFormat="false" ht="13.8" hidden="false" customHeight="false" outlineLevel="0" collapsed="false">
      <c r="B232" s="2" t="n">
        <v>230</v>
      </c>
      <c r="C232" s="2" t="n">
        <v>2.20989318514794E-010</v>
      </c>
      <c r="D232" s="2" t="n">
        <v>0</v>
      </c>
      <c r="E232" s="2" t="n">
        <v>0</v>
      </c>
    </row>
    <row r="233" customFormat="false" ht="13.8" hidden="false" customHeight="false" outlineLevel="0" collapsed="false">
      <c r="B233" s="2" t="n">
        <v>231</v>
      </c>
      <c r="C233" s="2" t="n">
        <v>1.17293555073434E-010</v>
      </c>
      <c r="D233" s="2" t="n">
        <v>0</v>
      </c>
      <c r="E233" s="2" t="n">
        <v>0</v>
      </c>
    </row>
    <row r="234" customFormat="false" ht="13.8" hidden="false" customHeight="false" outlineLevel="0" collapsed="false">
      <c r="B234" s="2" t="n">
        <v>232</v>
      </c>
      <c r="C234" s="2" t="n">
        <v>9.34551710238415E-018</v>
      </c>
      <c r="D234" s="2" t="n">
        <v>5.43082435195854E-018</v>
      </c>
      <c r="E234" s="2" t="n">
        <v>0</v>
      </c>
    </row>
    <row r="235" customFormat="false" ht="13.8" hidden="false" customHeight="false" outlineLevel="0" collapsed="false">
      <c r="B235" s="2" t="n">
        <v>233</v>
      </c>
      <c r="C235" s="2" t="n">
        <v>0</v>
      </c>
      <c r="D235" s="2" t="n">
        <v>0</v>
      </c>
      <c r="E235" s="2" t="n">
        <v>1.7847362029758E-016</v>
      </c>
    </row>
    <row r="236" customFormat="false" ht="13.8" hidden="false" customHeight="false" outlineLevel="0" collapsed="false">
      <c r="B236" s="2" t="n">
        <v>234</v>
      </c>
      <c r="C236" s="2" t="n">
        <v>0</v>
      </c>
      <c r="D236" s="2" t="n">
        <v>0</v>
      </c>
      <c r="E236" s="2" t="n">
        <v>5.03689064695683E-010</v>
      </c>
    </row>
    <row r="237" customFormat="false" ht="13.8" hidden="false" customHeight="false" outlineLevel="0" collapsed="false">
      <c r="B237" s="2" t="n">
        <v>235</v>
      </c>
      <c r="C237" s="2" t="n">
        <v>0</v>
      </c>
      <c r="D237" s="2" t="n">
        <v>0</v>
      </c>
      <c r="E237" s="2" t="n">
        <v>2.67857253722181E-010</v>
      </c>
    </row>
    <row r="238" customFormat="false" ht="13.8" hidden="false" customHeight="false" outlineLevel="0" collapsed="false">
      <c r="B238" s="2" t="n">
        <v>236</v>
      </c>
      <c r="C238" s="2" t="n">
        <v>1.74989102725916E-017</v>
      </c>
      <c r="D238" s="2" t="n">
        <v>0</v>
      </c>
      <c r="E238" s="2" t="n">
        <v>1.53321826457664E-016</v>
      </c>
    </row>
    <row r="239" customFormat="false" ht="13.8" hidden="false" customHeight="false" outlineLevel="0" collapsed="false">
      <c r="B239" s="2" t="n">
        <v>237</v>
      </c>
      <c r="C239" s="2" t="n">
        <v>3.90252664631605E-017</v>
      </c>
      <c r="D239" s="2" t="n">
        <v>2.81435852173122E-018</v>
      </c>
      <c r="E239" s="2" t="n">
        <v>1.87937255357825E-016</v>
      </c>
    </row>
    <row r="240" customFormat="false" ht="13.8" hidden="false" customHeight="false" outlineLevel="0" collapsed="false">
      <c r="B240" s="2" t="n">
        <v>238</v>
      </c>
      <c r="C240" s="2" t="n">
        <v>0</v>
      </c>
      <c r="D240" s="2" t="n">
        <v>0</v>
      </c>
      <c r="E240" s="2" t="n">
        <v>2.32750555680985E-011</v>
      </c>
    </row>
    <row r="241" customFormat="false" ht="13.8" hidden="false" customHeight="false" outlineLevel="0" collapsed="false">
      <c r="B241" s="2" t="n">
        <v>239</v>
      </c>
      <c r="C241" s="2" t="n">
        <v>1.5679605703923E-016</v>
      </c>
      <c r="D241" s="2" t="n">
        <v>2.85898787720943E-017</v>
      </c>
      <c r="E241" s="2" t="n">
        <v>3.3747101593775E-016</v>
      </c>
    </row>
    <row r="242" customFormat="false" ht="13.8" hidden="false" customHeight="false" outlineLevel="0" collapsed="false">
      <c r="B242" s="2" t="n">
        <v>240</v>
      </c>
      <c r="C242" s="2" t="n">
        <v>0</v>
      </c>
      <c r="D242" s="2" t="n">
        <v>2.90457499555027E-010</v>
      </c>
      <c r="E242" s="2" t="n">
        <v>2.56806256126875E-010</v>
      </c>
    </row>
    <row r="243" customFormat="false" ht="13.8" hidden="false" customHeight="false" outlineLevel="0" collapsed="false">
      <c r="B243" s="2" t="n">
        <v>241</v>
      </c>
      <c r="C243" s="2" t="n">
        <v>0</v>
      </c>
      <c r="D243" s="2" t="n">
        <v>2.10444172025454E-013</v>
      </c>
      <c r="E243" s="2" t="n">
        <v>2.11459887983359E-013</v>
      </c>
    </row>
    <row r="244" customFormat="false" ht="13.8" hidden="false" customHeight="false" outlineLevel="0" collapsed="false">
      <c r="B244" s="2" t="n">
        <v>242</v>
      </c>
      <c r="C244" s="2" t="n">
        <v>1.23844004862963E-010</v>
      </c>
      <c r="D244" s="2" t="n">
        <v>6.14898440792109E-011</v>
      </c>
      <c r="E244" s="2" t="n">
        <v>6.1807005899131E-011</v>
      </c>
    </row>
    <row r="245" customFormat="false" ht="13.8" hidden="false" customHeight="false" outlineLevel="0" collapsed="false">
      <c r="B245" s="2" t="n">
        <v>243</v>
      </c>
      <c r="C245" s="2" t="n">
        <v>7.39352496507288E-016</v>
      </c>
      <c r="D245" s="2" t="n">
        <v>1.02203553080015E-015</v>
      </c>
      <c r="E245" s="2" t="n">
        <v>4.35258497259606E-015</v>
      </c>
    </row>
    <row r="246" customFormat="false" ht="13.8" hidden="false" customHeight="false" outlineLevel="0" collapsed="false">
      <c r="B246" s="2" t="n">
        <v>244</v>
      </c>
      <c r="C246" s="2" t="n">
        <v>0</v>
      </c>
      <c r="D246" s="2" t="n">
        <v>0</v>
      </c>
      <c r="E246" s="2" t="n">
        <v>6.41149091810535E-015</v>
      </c>
    </row>
    <row r="247" customFormat="false" ht="13.8" hidden="false" customHeight="false" outlineLevel="0" collapsed="false">
      <c r="B247" s="2" t="n">
        <v>245</v>
      </c>
      <c r="C247" s="2" t="n">
        <v>5.12243250888496E-013</v>
      </c>
      <c r="D247" s="2" t="n">
        <v>0</v>
      </c>
      <c r="E247" s="2" t="n">
        <v>0</v>
      </c>
    </row>
    <row r="248" customFormat="false" ht="13.8" hidden="false" customHeight="false" outlineLevel="0" collapsed="false">
      <c r="B248" s="2" t="n">
        <v>246</v>
      </c>
      <c r="C248" s="2" t="n">
        <v>2.20340024468393E-013</v>
      </c>
      <c r="D248" s="2" t="n">
        <v>0</v>
      </c>
      <c r="E248" s="2" t="n">
        <v>4.06171283747655E-014</v>
      </c>
    </row>
    <row r="249" customFormat="false" ht="13.8" hidden="false" customHeight="false" outlineLevel="0" collapsed="false">
      <c r="B249" s="2" t="n">
        <v>247</v>
      </c>
      <c r="C249" s="2" t="n">
        <v>0</v>
      </c>
      <c r="D249" s="2" t="n">
        <v>0</v>
      </c>
      <c r="E249" s="2" t="n">
        <v>7.77989453503589E-014</v>
      </c>
    </row>
    <row r="250" customFormat="false" ht="13.8" hidden="false" customHeight="false" outlineLevel="0" collapsed="false">
      <c r="B250" s="2" t="n">
        <v>248</v>
      </c>
      <c r="C250" s="2" t="n">
        <v>1.10632953174311E-011</v>
      </c>
      <c r="D250" s="2" t="n">
        <v>0</v>
      </c>
      <c r="E250" s="2" t="n">
        <v>0</v>
      </c>
    </row>
    <row r="251" customFormat="false" ht="13.8" hidden="false" customHeight="false" outlineLevel="0" collapsed="false">
      <c r="B251" s="2" t="n">
        <v>249</v>
      </c>
      <c r="C251" s="2" t="n">
        <v>0</v>
      </c>
      <c r="D251" s="2" t="n">
        <v>0</v>
      </c>
      <c r="E251" s="2" t="n">
        <v>7.24966884188805E-014</v>
      </c>
    </row>
    <row r="252" customFormat="false" ht="13.8" hidden="false" customHeight="false" outlineLevel="0" collapsed="false">
      <c r="B252" s="2" t="n">
        <v>250</v>
      </c>
      <c r="C252" s="2" t="n">
        <v>0</v>
      </c>
      <c r="D252" s="2" t="n">
        <v>0</v>
      </c>
      <c r="E252" s="2" t="n">
        <v>8.18048058212139E-014</v>
      </c>
    </row>
    <row r="253" customFormat="false" ht="13.8" hidden="false" customHeight="false" outlineLevel="0" collapsed="false">
      <c r="B253" s="2" t="n">
        <v>251</v>
      </c>
      <c r="C253" s="2" t="n">
        <v>0</v>
      </c>
      <c r="D253" s="2" t="n">
        <v>0</v>
      </c>
      <c r="E253" s="2" t="n">
        <v>9.03880885676453E-014</v>
      </c>
    </row>
    <row r="254" customFormat="false" ht="13.8" hidden="false" customHeight="false" outlineLevel="0" collapsed="false">
      <c r="B254" s="2" t="n">
        <v>252</v>
      </c>
      <c r="C254" s="2" t="n">
        <v>0</v>
      </c>
      <c r="D254" s="2" t="n">
        <v>0</v>
      </c>
      <c r="E254" s="2" t="n">
        <v>1.47736481391912E-013</v>
      </c>
    </row>
    <row r="255" customFormat="false" ht="13.8" hidden="false" customHeight="false" outlineLevel="0" collapsed="false">
      <c r="B255" s="2" t="n">
        <v>253</v>
      </c>
      <c r="C255" s="2" t="n">
        <v>0</v>
      </c>
      <c r="D255" s="2" t="n">
        <v>0</v>
      </c>
      <c r="E255" s="2" t="n">
        <v>1.06098853284677E-013</v>
      </c>
    </row>
    <row r="256" customFormat="false" ht="13.8" hidden="false" customHeight="false" outlineLevel="0" collapsed="false">
      <c r="B256" s="2" t="n">
        <v>254</v>
      </c>
      <c r="C256" s="2" t="n">
        <v>0</v>
      </c>
      <c r="D256" s="2" t="n">
        <v>0</v>
      </c>
      <c r="E256" s="2" t="n">
        <v>1.69559474619116E-013</v>
      </c>
    </row>
    <row r="257" customFormat="false" ht="13.8" hidden="false" customHeight="false" outlineLevel="0" collapsed="false">
      <c r="B257" s="2" t="n">
        <v>255</v>
      </c>
      <c r="C257" s="2" t="n">
        <v>0</v>
      </c>
      <c r="D257" s="2" t="n">
        <v>0.0130649493899164</v>
      </c>
      <c r="E257" s="2" t="n">
        <v>1.19900462622091E-013</v>
      </c>
    </row>
    <row r="258" customFormat="false" ht="13.8" hidden="false" customHeight="false" outlineLevel="0" collapsed="false">
      <c r="B258" s="2" t="n">
        <v>256</v>
      </c>
      <c r="C258" s="2" t="n">
        <v>4.64746228600622E-015</v>
      </c>
      <c r="D258" s="2" t="n">
        <v>0.0246162384740943</v>
      </c>
      <c r="E258" s="2" t="n">
        <v>0.0304193882841953</v>
      </c>
    </row>
    <row r="259" customFormat="false" ht="13.8" hidden="false" customHeight="false" outlineLevel="0" collapsed="false">
      <c r="B259" s="2" t="n">
        <v>257</v>
      </c>
      <c r="C259" s="2" t="n">
        <v>1.73910359131961E-009</v>
      </c>
      <c r="D259" s="2" t="n">
        <v>0.0091870015730816</v>
      </c>
      <c r="E259" s="2" t="n">
        <v>0.0358193025388923</v>
      </c>
    </row>
    <row r="260" customFormat="false" ht="13.8" hidden="false" customHeight="false" outlineLevel="0" collapsed="false">
      <c r="B260" s="2" t="n">
        <v>258</v>
      </c>
      <c r="C260" s="2" t="n">
        <v>1.69269144024685E-009</v>
      </c>
      <c r="D260" s="2" t="n">
        <v>0.00784130642767847</v>
      </c>
      <c r="E260" s="2" t="n">
        <v>0.0645558501816204</v>
      </c>
    </row>
    <row r="261" customFormat="false" ht="13.8" hidden="false" customHeight="false" outlineLevel="0" collapsed="false">
      <c r="B261" s="2" t="n">
        <v>259</v>
      </c>
      <c r="C261" s="2" t="n">
        <v>1.64627678099036E-009</v>
      </c>
      <c r="D261" s="2" t="n">
        <v>0.00649561128227542</v>
      </c>
      <c r="E261" s="2" t="n">
        <v>0.0412921811576818</v>
      </c>
    </row>
    <row r="262" customFormat="false" ht="13.8" hidden="false" customHeight="false" outlineLevel="0" collapsed="false">
      <c r="B262" s="2" t="n">
        <v>260</v>
      </c>
      <c r="C262" s="2" t="n">
        <v>1.59986520893981E-009</v>
      </c>
      <c r="D262" s="2" t="n">
        <v>0.00514991613687234</v>
      </c>
      <c r="E262" s="2" t="n">
        <v>0.0631952288004099</v>
      </c>
    </row>
    <row r="263" customFormat="false" ht="13.8" hidden="false" customHeight="false" outlineLevel="0" collapsed="false">
      <c r="B263" s="2" t="n">
        <v>261</v>
      </c>
      <c r="C263" s="2" t="n">
        <v>1.55345166318091E-009</v>
      </c>
      <c r="D263" s="2" t="n">
        <v>0.00380422099146928</v>
      </c>
      <c r="E263" s="2" t="n">
        <v>0.0402648097764713</v>
      </c>
    </row>
    <row r="264" customFormat="false" ht="13.8" hidden="false" customHeight="false" outlineLevel="0" collapsed="false">
      <c r="B264" s="2" t="n">
        <v>262</v>
      </c>
      <c r="C264" s="2" t="n">
        <v>1.50704129961015E-009</v>
      </c>
      <c r="D264" s="2" t="n">
        <v>0.00285316574167571</v>
      </c>
      <c r="E264" s="2" t="n">
        <v>0.08119881983248</v>
      </c>
    </row>
    <row r="265" customFormat="false" ht="13.8" hidden="false" customHeight="false" outlineLevel="0" collapsed="false">
      <c r="B265" s="2" t="n">
        <v>263</v>
      </c>
      <c r="C265" s="2" t="n">
        <v>1.46058359142384E-009</v>
      </c>
      <c r="D265" s="2" t="n">
        <v>0.00190211049188216</v>
      </c>
      <c r="E265" s="2" t="n">
        <v>0.0541326632218223</v>
      </c>
    </row>
    <row r="266" customFormat="false" ht="13.8" hidden="false" customHeight="false" outlineLevel="0" collapsed="false">
      <c r="B266" s="2" t="n">
        <v>264</v>
      </c>
      <c r="C266" s="2" t="n">
        <v>1.41093336087723E-009</v>
      </c>
      <c r="D266" s="2" t="n">
        <v>8.24428809139247E-010</v>
      </c>
      <c r="E266" s="2" t="n">
        <v>0.154866723274636</v>
      </c>
    </row>
    <row r="267" customFormat="false" ht="13.8" hidden="false" customHeight="false" outlineLevel="0" collapsed="false">
      <c r="B267" s="2" t="n">
        <v>265</v>
      </c>
      <c r="C267" s="2" t="n">
        <v>1.36727733001302E-009</v>
      </c>
      <c r="D267" s="2" t="n">
        <v>7.79675706713673E-010</v>
      </c>
      <c r="E267" s="2" t="n">
        <v>0.150084816661624</v>
      </c>
    </row>
    <row r="268" customFormat="false" ht="13.8" hidden="false" customHeight="false" outlineLevel="0" collapsed="false">
      <c r="B268" s="2" t="n">
        <v>266</v>
      </c>
      <c r="C268" s="2" t="n">
        <v>1.32090975417744E-009</v>
      </c>
      <c r="D268" s="2" t="n">
        <v>7.33328358916799E-010</v>
      </c>
      <c r="E268" s="2" t="n">
        <v>0.192885399995426</v>
      </c>
    </row>
    <row r="269" customFormat="false" ht="13.8" hidden="false" customHeight="false" outlineLevel="0" collapsed="false">
      <c r="B269" s="2" t="n">
        <v>267</v>
      </c>
      <c r="C269" s="2" t="n">
        <v>1.27453914079022E-009</v>
      </c>
      <c r="D269" s="2" t="n">
        <v>6.86980527349687E-010</v>
      </c>
      <c r="E269" s="2" t="n">
        <v>0.155402949995896</v>
      </c>
    </row>
    <row r="270" customFormat="false" ht="13.8" hidden="false" customHeight="false" outlineLevel="0" collapsed="false">
      <c r="B270" s="2" t="n">
        <v>268</v>
      </c>
      <c r="C270" s="2" t="n">
        <v>1.22817035138993E-009</v>
      </c>
      <c r="D270" s="2" t="n">
        <v>6.4063226549223E-010</v>
      </c>
      <c r="E270" s="2" t="n">
        <v>0.206236566663032</v>
      </c>
    </row>
    <row r="271" customFormat="false" ht="13.8" hidden="false" customHeight="false" outlineLevel="0" collapsed="false">
      <c r="B271" s="2" t="n">
        <v>269</v>
      </c>
      <c r="C271" s="2" t="n">
        <v>1.18179947834448E-009</v>
      </c>
      <c r="D271" s="2" t="n">
        <v>5.94283535993342E-010</v>
      </c>
      <c r="E271" s="2" t="n">
        <v>0.182252733330169</v>
      </c>
    </row>
    <row r="272" customFormat="false" ht="13.8" hidden="false" customHeight="false" outlineLevel="0" collapsed="false">
      <c r="B272" s="2" t="n">
        <v>270</v>
      </c>
      <c r="C272" s="2" t="n">
        <v>1.13542910284315E-009</v>
      </c>
      <c r="D272" s="2" t="n">
        <v>5.47934397696611E-010</v>
      </c>
      <c r="E272" s="2" t="n">
        <v>0.235585333330638</v>
      </c>
    </row>
    <row r="273" customFormat="false" ht="13.8" hidden="false" customHeight="false" outlineLevel="0" collapsed="false">
      <c r="B273" s="2" t="n">
        <v>271</v>
      </c>
      <c r="C273" s="2" t="n">
        <v>1.0890569974411E-009</v>
      </c>
      <c r="D273" s="2" t="n">
        <v>5.01584848771698E-010</v>
      </c>
      <c r="E273" s="2" t="n">
        <v>0.174952983331108</v>
      </c>
    </row>
    <row r="274" customFormat="false" ht="13.8" hidden="false" customHeight="false" outlineLevel="0" collapsed="false">
      <c r="B274" s="2" t="n">
        <v>272</v>
      </c>
      <c r="C274" s="2" t="n">
        <v>1.04268567982204E-009</v>
      </c>
      <c r="D274" s="2" t="n">
        <v>4.55234858225595E-010</v>
      </c>
      <c r="E274" s="2" t="n">
        <v>0.229270249998244</v>
      </c>
    </row>
    <row r="275" customFormat="false" ht="13.8" hidden="false" customHeight="false" outlineLevel="0" collapsed="false">
      <c r="B275" s="2" t="n">
        <v>273</v>
      </c>
      <c r="C275" s="2" t="n">
        <v>9.96313065854899E-010</v>
      </c>
      <c r="D275" s="2" t="n">
        <v>4.0888449676522E-010</v>
      </c>
      <c r="E275" s="2" t="n">
        <v>0.198053983332047</v>
      </c>
    </row>
    <row r="276" customFormat="false" ht="13.8" hidden="false" customHeight="false" outlineLevel="0" collapsed="false">
      <c r="B276" s="2" t="n">
        <v>274</v>
      </c>
      <c r="C276" s="2" t="n">
        <v>9.49940443252597E-010</v>
      </c>
      <c r="D276" s="2" t="n">
        <v>3.62533787861647E-010</v>
      </c>
      <c r="E276" s="2" t="n">
        <v>0.231586949999183</v>
      </c>
    </row>
    <row r="277" customFormat="false" ht="13.8" hidden="false" customHeight="false" outlineLevel="0" collapsed="false">
      <c r="B277" s="2" t="n">
        <v>275</v>
      </c>
      <c r="C277" s="2" t="n">
        <v>9.03566795080076E-010</v>
      </c>
      <c r="D277" s="2" t="n">
        <v>3.16182778835771E-010</v>
      </c>
      <c r="E277" s="2" t="n">
        <v>0.183637116666319</v>
      </c>
    </row>
    <row r="278" customFormat="false" ht="13.8" hidden="false" customHeight="false" outlineLevel="0" collapsed="false">
      <c r="B278" s="2" t="n">
        <v>276</v>
      </c>
      <c r="C278" s="2" t="n">
        <v>8.57193233444513E-010</v>
      </c>
      <c r="D278" s="2" t="n">
        <v>2.69831548326958E-010</v>
      </c>
      <c r="E278" s="2" t="n">
        <v>0.209820216666789</v>
      </c>
    </row>
    <row r="279" customFormat="false" ht="13.8" hidden="false" customHeight="false" outlineLevel="0" collapsed="false">
      <c r="B279" s="2" t="n">
        <v>277</v>
      </c>
      <c r="C279" s="2" t="n">
        <v>8.10818989260808E-010</v>
      </c>
      <c r="D279" s="2" t="n">
        <v>2.23480321176712E-010</v>
      </c>
      <c r="E279" s="2" t="n">
        <v>0.211920716667258</v>
      </c>
    </row>
    <row r="280" customFormat="false" ht="13.8" hidden="false" customHeight="false" outlineLevel="0" collapsed="false">
      <c r="B280" s="2" t="n">
        <v>278</v>
      </c>
      <c r="C280" s="2" t="n">
        <v>7.64444327096465E-010</v>
      </c>
      <c r="D280" s="2" t="n">
        <v>1.7712953536542E-010</v>
      </c>
      <c r="E280" s="2" t="n">
        <v>0.223286750001061</v>
      </c>
    </row>
    <row r="281" customFormat="false" ht="13.8" hidden="false" customHeight="false" outlineLevel="0" collapsed="false">
      <c r="B281" s="2" t="n">
        <v>279</v>
      </c>
      <c r="C281" s="2" t="n">
        <v>7.18069142986783E-010</v>
      </c>
      <c r="D281" s="2" t="n">
        <v>1.30780446901464E-010</v>
      </c>
      <c r="E281" s="2" t="n">
        <v>0.225603033334864</v>
      </c>
    </row>
    <row r="282" customFormat="false" ht="13.8" hidden="false" customHeight="false" outlineLevel="0" collapsed="false">
      <c r="B282" s="2" t="n">
        <v>280</v>
      </c>
      <c r="C282" s="2" t="n">
        <v>6.71693496570571E-010</v>
      </c>
      <c r="D282" s="2" t="n">
        <v>8.44330077035658E-011</v>
      </c>
      <c r="E282" s="2" t="n">
        <v>0.227503033335334</v>
      </c>
    </row>
    <row r="283" customFormat="false" ht="13.8" hidden="false" customHeight="false" outlineLevel="0" collapsed="false">
      <c r="B283" s="2" t="n">
        <v>281</v>
      </c>
      <c r="C283" s="2" t="n">
        <v>6.05276390419225E-010</v>
      </c>
      <c r="D283" s="2" t="n">
        <v>0</v>
      </c>
      <c r="E283" s="2" t="n">
        <v>0.189212412613758</v>
      </c>
    </row>
    <row r="284" customFormat="false" ht="13.8" hidden="false" customHeight="false" outlineLevel="0" collapsed="false">
      <c r="B284" s="2" t="n">
        <v>282</v>
      </c>
      <c r="C284" s="2" t="n">
        <v>5.82001997426411E-010</v>
      </c>
      <c r="D284" s="2" t="n">
        <v>0</v>
      </c>
      <c r="E284" s="2" t="n">
        <v>0.123801819124844</v>
      </c>
    </row>
    <row r="285" customFormat="false" ht="13.8" hidden="false" customHeight="false" outlineLevel="0" collapsed="false">
      <c r="B285" s="2" t="n">
        <v>283</v>
      </c>
      <c r="C285" s="2" t="n">
        <v>5.58726842925013E-010</v>
      </c>
      <c r="D285" s="2" t="n">
        <v>0</v>
      </c>
      <c r="E285" s="2" t="n">
        <v>0.0503914252276947</v>
      </c>
    </row>
    <row r="286" customFormat="false" ht="13.8" hidden="false" customHeight="false" outlineLevel="0" collapsed="false">
      <c r="B286" s="2" t="n">
        <v>284</v>
      </c>
      <c r="C286" s="2" t="n">
        <v>5.35452248545811E-010</v>
      </c>
      <c r="D286" s="2" t="n">
        <v>0</v>
      </c>
      <c r="E286" s="2" t="n">
        <v>0.0561903709365185</v>
      </c>
    </row>
    <row r="287" customFormat="false" ht="13.8" hidden="false" customHeight="false" outlineLevel="0" collapsed="false">
      <c r="B287" s="2" t="n">
        <v>285</v>
      </c>
      <c r="C287" s="2" t="n">
        <v>5.12177321729094E-010</v>
      </c>
      <c r="D287" s="2" t="n">
        <v>0</v>
      </c>
      <c r="E287" s="2" t="n">
        <v>0.0692995657436651</v>
      </c>
    </row>
    <row r="288" customFormat="false" ht="13.8" hidden="false" customHeight="false" outlineLevel="0" collapsed="false">
      <c r="B288" s="2" t="n">
        <v>286</v>
      </c>
      <c r="C288" s="2" t="n">
        <v>4.8890196158649E-010</v>
      </c>
      <c r="D288" s="2" t="n">
        <v>0</v>
      </c>
      <c r="E288" s="2" t="n">
        <v>0.0638775880535022</v>
      </c>
    </row>
    <row r="289" customFormat="false" ht="13.8" hidden="false" customHeight="false" outlineLevel="0" collapsed="false">
      <c r="B289" s="2" t="n">
        <v>287</v>
      </c>
      <c r="C289" s="2" t="n">
        <v>4.65626389365301E-010</v>
      </c>
      <c r="D289" s="2" t="n">
        <v>0</v>
      </c>
      <c r="E289" s="2" t="n">
        <v>0.0654718301426016</v>
      </c>
    </row>
    <row r="290" customFormat="false" ht="13.8" hidden="false" customHeight="false" outlineLevel="0" collapsed="false">
      <c r="B290" s="2" t="n">
        <v>288</v>
      </c>
      <c r="C290" s="2" t="n">
        <v>4.42350764676158E-010</v>
      </c>
      <c r="D290" s="2" t="n">
        <v>0</v>
      </c>
      <c r="E290" s="2" t="n">
        <v>0.0849878216127143</v>
      </c>
    </row>
    <row r="291" customFormat="false" ht="13.8" hidden="false" customHeight="false" outlineLevel="0" collapsed="false">
      <c r="B291" s="2" t="n">
        <v>289</v>
      </c>
      <c r="C291" s="2" t="n">
        <v>4.19156075786828E-010</v>
      </c>
      <c r="D291" s="2" t="n">
        <v>0</v>
      </c>
      <c r="E291" s="2" t="n">
        <v>0.0143862000017042</v>
      </c>
    </row>
    <row r="292" customFormat="false" ht="13.8" hidden="false" customHeight="false" outlineLevel="0" collapsed="false">
      <c r="B292" s="2" t="n">
        <v>290</v>
      </c>
      <c r="C292" s="2" t="n">
        <v>3.95798140213913E-010</v>
      </c>
      <c r="D292" s="2" t="n">
        <v>0</v>
      </c>
      <c r="E292" s="2" t="n">
        <v>0.0317600817885831</v>
      </c>
    </row>
    <row r="293" customFormat="false" ht="13.8" hidden="false" customHeight="false" outlineLevel="0" collapsed="false">
      <c r="B293" s="2" t="n">
        <v>291</v>
      </c>
      <c r="C293" s="2" t="n">
        <v>3.7252185700198E-010</v>
      </c>
      <c r="D293" s="2" t="n">
        <v>0</v>
      </c>
      <c r="E293" s="2" t="n">
        <v>0.0618608942155343</v>
      </c>
    </row>
    <row r="294" customFormat="false" ht="13.8" hidden="false" customHeight="false" outlineLevel="0" collapsed="false">
      <c r="B294" s="2" t="n">
        <v>292</v>
      </c>
      <c r="C294" s="2" t="n">
        <v>3.49245090155994E-010</v>
      </c>
      <c r="D294" s="2" t="n">
        <v>0</v>
      </c>
      <c r="E294" s="2" t="n">
        <v>0.0632356599537541</v>
      </c>
    </row>
    <row r="295" customFormat="false" ht="13.8" hidden="false" customHeight="false" outlineLevel="0" collapsed="false">
      <c r="B295" s="2" t="n">
        <v>293</v>
      </c>
      <c r="C295" s="2" t="n">
        <v>3.25968144271866E-010</v>
      </c>
      <c r="D295" s="2" t="n">
        <v>0</v>
      </c>
      <c r="E295" s="2" t="n">
        <v>0.0576729739289173</v>
      </c>
    </row>
    <row r="296" customFormat="false" ht="13.8" hidden="false" customHeight="false" outlineLevel="0" collapsed="false">
      <c r="B296" s="2" t="n">
        <v>294</v>
      </c>
      <c r="C296" s="2" t="n">
        <v>3.02690966952738E-010</v>
      </c>
      <c r="D296" s="2" t="n">
        <v>0</v>
      </c>
      <c r="E296" s="2" t="n">
        <v>0.0666100030808945</v>
      </c>
    </row>
    <row r="297" customFormat="false" ht="13.8" hidden="false" customHeight="false" outlineLevel="0" collapsed="false">
      <c r="B297" s="2" t="n">
        <v>295</v>
      </c>
      <c r="C297" s="2" t="n">
        <v>2.79413446571447E-010</v>
      </c>
      <c r="D297" s="2" t="n">
        <v>0</v>
      </c>
      <c r="E297" s="2" t="n">
        <v>0.0496958003055452</v>
      </c>
    </row>
    <row r="298" customFormat="false" ht="13.8" hidden="false" customHeight="false" outlineLevel="0" collapsed="false">
      <c r="B298" s="2" t="n">
        <v>296</v>
      </c>
      <c r="C298" s="2" t="n">
        <v>2.56135868928059E-010</v>
      </c>
      <c r="D298" s="2" t="n">
        <v>0</v>
      </c>
      <c r="E298" s="2" t="n">
        <v>0.0632868311142129</v>
      </c>
    </row>
    <row r="299" customFormat="false" ht="13.8" hidden="false" customHeight="false" outlineLevel="0" collapsed="false">
      <c r="B299" s="2" t="n">
        <v>297</v>
      </c>
      <c r="C299" s="2" t="n">
        <v>2.32857932108883E-010</v>
      </c>
      <c r="D299" s="2" t="n">
        <v>0</v>
      </c>
      <c r="E299" s="2" t="n">
        <v>0.0499025369051201</v>
      </c>
    </row>
    <row r="300" customFormat="false" ht="13.8" hidden="false" customHeight="false" outlineLevel="0" collapsed="false">
      <c r="B300" s="2" t="n">
        <v>298</v>
      </c>
      <c r="C300" s="2" t="n">
        <v>2.09579886908922E-010</v>
      </c>
      <c r="D300" s="2" t="n">
        <v>0</v>
      </c>
      <c r="E300" s="2" t="n">
        <v>0.0690546803333528</v>
      </c>
    </row>
    <row r="301" customFormat="false" ht="13.8" hidden="false" customHeight="false" outlineLevel="0" collapsed="false">
      <c r="B301" s="2" t="n">
        <v>299</v>
      </c>
      <c r="C301" s="2" t="n">
        <v>1.86301407264756E-010</v>
      </c>
      <c r="D301" s="2" t="n">
        <v>0</v>
      </c>
      <c r="E301" s="2" t="n">
        <v>0.0443712792734254</v>
      </c>
    </row>
    <row r="302" customFormat="false" ht="13.8" hidden="false" customHeight="false" outlineLevel="0" collapsed="false">
      <c r="B302" s="2" t="n">
        <v>300</v>
      </c>
      <c r="C302" s="2" t="n">
        <v>1.63022917959802E-010</v>
      </c>
      <c r="D302" s="2" t="n">
        <v>0</v>
      </c>
      <c r="E302" s="2" t="n">
        <v>0.0657419146483155</v>
      </c>
    </row>
    <row r="303" customFormat="false" ht="13.8" hidden="false" customHeight="false" outlineLevel="0" collapsed="false">
      <c r="B303" s="2" t="n">
        <v>301</v>
      </c>
      <c r="C303" s="2" t="n">
        <v>1.39744028837119E-010</v>
      </c>
      <c r="D303" s="2" t="n">
        <v>0</v>
      </c>
      <c r="E303" s="2" t="n">
        <v>0.0435998303419324</v>
      </c>
    </row>
    <row r="304" customFormat="false" ht="13.8" hidden="false" customHeight="false" outlineLevel="0" collapsed="false">
      <c r="B304" s="2" t="n">
        <v>302</v>
      </c>
      <c r="C304" s="2" t="n">
        <v>1.16465011454443E-010</v>
      </c>
      <c r="D304" s="2" t="n">
        <v>0</v>
      </c>
      <c r="E304" s="2" t="n">
        <v>0.0587750135957858</v>
      </c>
    </row>
    <row r="305" customFormat="false" ht="13.8" hidden="false" customHeight="false" outlineLevel="0" collapsed="false">
      <c r="B305" s="2" t="n">
        <v>303</v>
      </c>
      <c r="C305" s="2" t="n">
        <v>9.31857345914504E-011</v>
      </c>
      <c r="D305" s="2" t="n">
        <v>0</v>
      </c>
      <c r="E305" s="2" t="n">
        <v>0.0611769972081806</v>
      </c>
    </row>
    <row r="306" customFormat="false" ht="13.8" hidden="false" customHeight="false" outlineLevel="0" collapsed="false">
      <c r="B306" s="2" t="n">
        <v>304</v>
      </c>
      <c r="C306" s="2" t="n">
        <v>6.99061989147349E-011</v>
      </c>
      <c r="D306" s="2" t="n">
        <v>0</v>
      </c>
      <c r="E306" s="2" t="n">
        <v>0.06356805717417</v>
      </c>
    </row>
    <row r="307" customFormat="false" ht="13.8" hidden="false" customHeight="false" outlineLevel="0" collapsed="false">
      <c r="B307" s="2" t="n">
        <v>305</v>
      </c>
      <c r="C307" s="2" t="n">
        <v>4.66264329931002E-011</v>
      </c>
      <c r="D307" s="2" t="n">
        <v>0</v>
      </c>
      <c r="E307" s="2" t="n">
        <v>0.0612619229324635</v>
      </c>
    </row>
    <row r="308" customFormat="false" ht="13.8" hidden="false" customHeight="false" outlineLevel="0" collapsed="false">
      <c r="B308" s="2" t="n">
        <v>306</v>
      </c>
      <c r="C308" s="2" t="n">
        <v>2.33474750868561E-011</v>
      </c>
      <c r="D308" s="2" t="n">
        <v>0</v>
      </c>
      <c r="E308" s="2" t="n">
        <v>0.0620443238234546</v>
      </c>
    </row>
    <row r="309" customFormat="false" ht="13.8" hidden="false" customHeight="false" outlineLevel="0" collapsed="false">
      <c r="B309" s="2" t="n">
        <v>307</v>
      </c>
      <c r="C309" s="2" t="n">
        <v>7.12748522173235E-014</v>
      </c>
      <c r="D309" s="2" t="n">
        <v>6.64685242357611E-014</v>
      </c>
      <c r="E309" s="2" t="n">
        <v>0.0531597418692677</v>
      </c>
    </row>
    <row r="310" customFormat="false" ht="13.8" hidden="false" customHeight="false" outlineLevel="0" collapsed="false">
      <c r="B310" s="2" t="n">
        <v>308</v>
      </c>
      <c r="C310" s="2" t="n">
        <v>4.67519224015893E-011</v>
      </c>
      <c r="D310" s="2" t="n">
        <v>2.32917956245257E-011</v>
      </c>
      <c r="E310" s="2" t="n">
        <v>0.0348750692729416</v>
      </c>
    </row>
    <row r="311" customFormat="false" ht="13.8" hidden="false" customHeight="false" outlineLevel="0" collapsed="false">
      <c r="B311" s="2" t="n">
        <v>309</v>
      </c>
      <c r="C311" s="2" t="n">
        <v>9.34274489090332E-011</v>
      </c>
      <c r="D311" s="2" t="n">
        <v>4.65181314354051E-011</v>
      </c>
      <c r="E311" s="2" t="n">
        <v>0.00930917581140399</v>
      </c>
    </row>
    <row r="312" customFormat="false" ht="13.8" hidden="false" customHeight="false" outlineLevel="0" collapsed="false">
      <c r="B312" s="2" t="n">
        <v>310</v>
      </c>
      <c r="C312" s="2" t="n">
        <v>1.39122011767872E-013</v>
      </c>
      <c r="D312" s="2" t="n">
        <v>0.00120198012659458</v>
      </c>
      <c r="E312" s="2" t="n">
        <v>0.00943969677525122</v>
      </c>
    </row>
    <row r="313" customFormat="false" ht="13.8" hidden="false" customHeight="false" outlineLevel="0" collapsed="false">
      <c r="B313" s="2" t="n">
        <v>311</v>
      </c>
      <c r="C313" s="2" t="n">
        <v>0</v>
      </c>
      <c r="D313" s="2" t="n">
        <v>0.00240396009656335</v>
      </c>
      <c r="E313" s="2" t="n">
        <v>1.85389166917387E-009</v>
      </c>
    </row>
    <row r="314" customFormat="false" ht="13.8" hidden="false" customHeight="false" outlineLevel="0" collapsed="false">
      <c r="B314" s="2" t="n">
        <v>312</v>
      </c>
      <c r="C314" s="2" t="n">
        <v>8.38110526681308E-014</v>
      </c>
      <c r="D314" s="2" t="n">
        <v>0.00360594038499063</v>
      </c>
      <c r="E314" s="2" t="n">
        <v>0.0256395341315847</v>
      </c>
    </row>
    <row r="315" customFormat="false" ht="13.8" hidden="false" customHeight="false" outlineLevel="0" collapsed="false">
      <c r="B315" s="2" t="n">
        <v>313</v>
      </c>
      <c r="C315" s="2" t="n">
        <v>8.40373586844782E-014</v>
      </c>
      <c r="D315" s="2" t="n">
        <v>0.00480792051494829</v>
      </c>
      <c r="E315" s="2" t="n">
        <v>0.0341583566227991</v>
      </c>
    </row>
    <row r="316" customFormat="false" ht="13.8" hidden="false" customHeight="false" outlineLevel="0" collapsed="false">
      <c r="B316" s="2" t="n">
        <v>314</v>
      </c>
      <c r="C316" s="2" t="n">
        <v>8.42410644640078E-014</v>
      </c>
      <c r="D316" s="2" t="n">
        <v>0.00874932403745607</v>
      </c>
      <c r="E316" s="2" t="n">
        <v>0.0306851719898898</v>
      </c>
    </row>
    <row r="317" customFormat="false" ht="13.8" hidden="false" customHeight="false" outlineLevel="0" collapsed="false">
      <c r="B317" s="2" t="n">
        <v>315</v>
      </c>
      <c r="C317" s="2" t="n">
        <v>0</v>
      </c>
      <c r="D317" s="2" t="n">
        <v>1.13847814725061E-016</v>
      </c>
      <c r="E317" s="2" t="n">
        <v>0.0600362948426535</v>
      </c>
    </row>
    <row r="318" customFormat="false" ht="13.8" hidden="false" customHeight="false" outlineLevel="0" collapsed="false">
      <c r="B318" s="2" t="n">
        <v>316</v>
      </c>
      <c r="C318" s="2" t="n">
        <v>0</v>
      </c>
      <c r="D318" s="2" t="n">
        <v>1.60632137238252E-016</v>
      </c>
      <c r="E318" s="2" t="n">
        <v>0.0248966134719483</v>
      </c>
    </row>
    <row r="319" customFormat="false" ht="13.8" hidden="false" customHeight="false" outlineLevel="0" collapsed="false">
      <c r="B319" s="2" t="n">
        <v>317</v>
      </c>
      <c r="C319" s="2" t="n">
        <v>0</v>
      </c>
      <c r="D319" s="2" t="n">
        <v>1.97917904706122E-016</v>
      </c>
      <c r="E319" s="2" t="n">
        <v>0.0459073987679098</v>
      </c>
    </row>
    <row r="320" customFormat="false" ht="13.8" hidden="false" customHeight="false" outlineLevel="0" collapsed="false">
      <c r="B320" s="2" t="n">
        <v>318</v>
      </c>
      <c r="C320" s="2" t="n">
        <v>0</v>
      </c>
      <c r="D320" s="2" t="n">
        <v>2.75798263940405E-016</v>
      </c>
      <c r="E320" s="2" t="n">
        <v>0.0345761179260224</v>
      </c>
    </row>
    <row r="321" customFormat="false" ht="13.8" hidden="false" customHeight="false" outlineLevel="0" collapsed="false">
      <c r="B321" s="2" t="n">
        <v>319</v>
      </c>
      <c r="C321" s="2" t="n">
        <v>2.52818468507684E-009</v>
      </c>
      <c r="D321" s="2" t="n">
        <v>1.89856448032282E-009</v>
      </c>
      <c r="E321" s="2" t="n">
        <v>2.5281738119392E-009</v>
      </c>
    </row>
    <row r="322" customFormat="false" ht="13.8" hidden="false" customHeight="false" outlineLevel="0" collapsed="false">
      <c r="B322" s="2" t="n">
        <v>320</v>
      </c>
      <c r="C322" s="2" t="n">
        <v>2.06291844146145E-009</v>
      </c>
      <c r="D322" s="2" t="n">
        <v>1.54916852293911E-009</v>
      </c>
      <c r="E322" s="2" t="n">
        <v>2.06275219529521E-009</v>
      </c>
    </row>
    <row r="323" customFormat="false" ht="13.8" hidden="false" customHeight="false" outlineLevel="0" collapsed="false">
      <c r="B323" s="2" t="n">
        <v>321</v>
      </c>
      <c r="C323" s="2" t="n">
        <v>0</v>
      </c>
      <c r="D323" s="2" t="n">
        <v>5.06974460379515E-016</v>
      </c>
      <c r="E323" s="2" t="n">
        <v>0.0110501420670266</v>
      </c>
    </row>
    <row r="324" customFormat="false" ht="13.8" hidden="false" customHeight="false" outlineLevel="0" collapsed="false">
      <c r="B324" s="2" t="n">
        <v>322</v>
      </c>
      <c r="C324" s="2" t="n">
        <v>0</v>
      </c>
      <c r="D324" s="2" t="n">
        <v>0.00844012054316485</v>
      </c>
      <c r="E324" s="2" t="n">
        <v>0.00192591963493868</v>
      </c>
    </row>
    <row r="325" customFormat="false" ht="13.8" hidden="false" customHeight="false" outlineLevel="0" collapsed="false">
      <c r="B325" s="2" t="n">
        <v>323</v>
      </c>
      <c r="C325" s="2" t="n">
        <v>6.57725629608642E-016</v>
      </c>
      <c r="D325" s="2" t="n">
        <v>1.31099459184388E-016</v>
      </c>
      <c r="E325" s="2" t="n">
        <v>0</v>
      </c>
    </row>
    <row r="326" customFormat="false" ht="13.8" hidden="false" customHeight="false" outlineLevel="0" collapsed="false">
      <c r="B326" s="2" t="n">
        <v>324</v>
      </c>
      <c r="C326" s="2" t="n">
        <v>4.84987020165732E-017</v>
      </c>
      <c r="D326" s="2" t="n">
        <v>0</v>
      </c>
      <c r="E326" s="2" t="n">
        <v>0</v>
      </c>
    </row>
    <row r="327" customFormat="false" ht="13.8" hidden="false" customHeight="false" outlineLevel="0" collapsed="false">
      <c r="B327" s="2" t="n">
        <v>325</v>
      </c>
      <c r="C327" s="2" t="n">
        <v>9.6201704080327E-010</v>
      </c>
      <c r="D327" s="2" t="n">
        <v>0</v>
      </c>
      <c r="E327" s="2" t="n">
        <v>0</v>
      </c>
    </row>
    <row r="328" customFormat="false" ht="13.8" hidden="false" customHeight="false" outlineLevel="0" collapsed="false">
      <c r="B328" s="2" t="n">
        <v>326</v>
      </c>
      <c r="C328" s="2" t="n">
        <v>0</v>
      </c>
      <c r="D328" s="2" t="n">
        <v>5.6180529990091E-016</v>
      </c>
      <c r="E328" s="2" t="n">
        <v>0.00669348260265638</v>
      </c>
    </row>
    <row r="329" customFormat="false" ht="13.8" hidden="false" customHeight="false" outlineLevel="0" collapsed="false">
      <c r="B329" s="2" t="n">
        <v>327</v>
      </c>
      <c r="C329" s="2" t="n">
        <v>2.27592254286358E-011</v>
      </c>
      <c r="D329" s="2" t="n">
        <v>0</v>
      </c>
      <c r="E329" s="2" t="n">
        <v>0</v>
      </c>
    </row>
    <row r="330" customFormat="false" ht="13.8" hidden="false" customHeight="false" outlineLevel="0" collapsed="false">
      <c r="B330" s="2" t="n">
        <v>328</v>
      </c>
      <c r="C330" s="2" t="n">
        <v>4.50291133697423E-017</v>
      </c>
      <c r="D330" s="2" t="n">
        <v>0</v>
      </c>
      <c r="E330" s="2" t="n">
        <v>1.30037150127558E-016</v>
      </c>
    </row>
    <row r="331" customFormat="false" ht="13.8" hidden="false" customHeight="false" outlineLevel="0" collapsed="false">
      <c r="B331" s="2" t="n">
        <v>329</v>
      </c>
      <c r="C331" s="2" t="n">
        <v>3.46843455484025E-011</v>
      </c>
      <c r="D331" s="2" t="n">
        <v>0</v>
      </c>
      <c r="E331" s="2" t="n">
        <v>0</v>
      </c>
    </row>
    <row r="332" customFormat="false" ht="13.8" hidden="false" customHeight="false" outlineLevel="0" collapsed="false">
      <c r="B332" s="2" t="n">
        <v>330</v>
      </c>
      <c r="C332" s="2" t="n">
        <v>0</v>
      </c>
      <c r="D332" s="2" t="n">
        <v>1.02262978971184E-015</v>
      </c>
      <c r="E332" s="2" t="n">
        <v>0</v>
      </c>
    </row>
    <row r="333" customFormat="false" ht="13.8" hidden="false" customHeight="false" outlineLevel="0" collapsed="false">
      <c r="B333" s="2" t="n">
        <v>331</v>
      </c>
      <c r="C333" s="2" t="n">
        <v>1.2043976961213E-012</v>
      </c>
      <c r="D333" s="2" t="n">
        <v>0</v>
      </c>
      <c r="E333" s="2" t="n">
        <v>0</v>
      </c>
    </row>
    <row r="334" customFormat="false" ht="13.8" hidden="false" customHeight="false" outlineLevel="0" collapsed="false">
      <c r="B334" s="2" t="n">
        <v>332</v>
      </c>
      <c r="C334" s="2" t="n">
        <v>0</v>
      </c>
      <c r="D334" s="2" t="n">
        <v>4.00420008323488E-015</v>
      </c>
      <c r="E334" s="2" t="n">
        <v>0</v>
      </c>
    </row>
    <row r="335" customFormat="false" ht="13.8" hidden="false" customHeight="false" outlineLevel="0" collapsed="false">
      <c r="B335" s="2" t="n">
        <v>333</v>
      </c>
      <c r="C335" s="2" t="n">
        <v>0</v>
      </c>
      <c r="D335" s="2" t="n">
        <v>0</v>
      </c>
      <c r="E335" s="2" t="n">
        <v>3.01267523109938E-011</v>
      </c>
    </row>
    <row r="336" customFormat="false" ht="13.8" hidden="false" customHeight="false" outlineLevel="0" collapsed="false">
      <c r="B336" s="2" t="n">
        <v>334</v>
      </c>
      <c r="C336" s="2" t="n">
        <v>0</v>
      </c>
      <c r="D336" s="2" t="n">
        <v>3.88989002574114E-014</v>
      </c>
      <c r="E336" s="2" t="n">
        <v>3.38451948973017E-014</v>
      </c>
    </row>
    <row r="337" customFormat="false" ht="13.8" hidden="false" customHeight="false" outlineLevel="0" collapsed="false">
      <c r="B337" s="2" t="n">
        <v>335</v>
      </c>
      <c r="C337" s="2" t="n">
        <v>0</v>
      </c>
      <c r="D337" s="2" t="n">
        <v>0</v>
      </c>
      <c r="E337" s="2" t="n">
        <v>7.34966667875949E-011</v>
      </c>
    </row>
    <row r="338" customFormat="false" ht="13.8" hidden="false" customHeight="false" outlineLevel="0" collapsed="false">
      <c r="B338" s="2" t="n">
        <v>336</v>
      </c>
      <c r="C338" s="2" t="n">
        <v>0</v>
      </c>
      <c r="D338" s="2" t="n">
        <v>0</v>
      </c>
      <c r="E338" s="2" t="n">
        <v>3.96385783676857E-010</v>
      </c>
    </row>
    <row r="339" customFormat="false" ht="13.8" hidden="false" customHeight="false" outlineLevel="0" collapsed="false">
      <c r="B339" s="2" t="n">
        <v>337</v>
      </c>
      <c r="C339" s="2" t="n">
        <v>0</v>
      </c>
      <c r="D339" s="2" t="n">
        <v>0</v>
      </c>
      <c r="E339" s="2" t="n">
        <v>9.28557206236702E-011</v>
      </c>
    </row>
    <row r="340" customFormat="false" ht="13.8" hidden="false" customHeight="false" outlineLevel="0" collapsed="false">
      <c r="B340" s="2" t="n">
        <v>338</v>
      </c>
      <c r="C340" s="2" t="n">
        <v>0</v>
      </c>
      <c r="D340" s="2" t="n">
        <v>2.36930158935386E-013</v>
      </c>
      <c r="E340" s="2" t="n">
        <v>2.26766809980939E-013</v>
      </c>
    </row>
    <row r="341" customFormat="false" ht="13.8" hidden="false" customHeight="false" outlineLevel="0" collapsed="false">
      <c r="B341" s="2" t="n">
        <v>339</v>
      </c>
      <c r="C341" s="2" t="n">
        <v>4.3725820406697E-013</v>
      </c>
      <c r="D341" s="2" t="n">
        <v>1.30768499621457E-014</v>
      </c>
      <c r="E341" s="2" t="n">
        <v>2.22832401892576E-015</v>
      </c>
    </row>
    <row r="342" customFormat="false" ht="13.8" hidden="false" customHeight="false" outlineLevel="0" collapsed="false">
      <c r="B342" s="2" t="n">
        <v>340</v>
      </c>
      <c r="C342" s="2" t="n">
        <v>0</v>
      </c>
      <c r="D342" s="2" t="n">
        <v>1.41245245656071E-014</v>
      </c>
      <c r="E342" s="2" t="n">
        <v>1.16230293055959E-014</v>
      </c>
    </row>
    <row r="343" customFormat="false" ht="13.8" hidden="false" customHeight="false" outlineLevel="0" collapsed="false">
      <c r="B343" s="2" t="n">
        <v>341</v>
      </c>
      <c r="C343" s="2" t="n">
        <v>0</v>
      </c>
      <c r="D343" s="2" t="n">
        <v>2.45745237853814E-014</v>
      </c>
      <c r="E343" s="2" t="n">
        <v>1.55884364806256E-014</v>
      </c>
    </row>
    <row r="344" customFormat="false" ht="13.8" hidden="false" customHeight="false" outlineLevel="0" collapsed="false">
      <c r="B344" s="2" t="n">
        <v>342</v>
      </c>
      <c r="C344" s="2" t="n">
        <v>0</v>
      </c>
      <c r="D344" s="2" t="n">
        <v>1.80639199811609E-014</v>
      </c>
      <c r="E344" s="2" t="n">
        <v>2.00192653438475E-014</v>
      </c>
    </row>
    <row r="345" customFormat="false" ht="13.8" hidden="false" customHeight="false" outlineLevel="0" collapsed="false">
      <c r="B345" s="2" t="n">
        <v>343</v>
      </c>
      <c r="C345" s="2" t="n">
        <v>3.09562209343893E-010</v>
      </c>
      <c r="D345" s="2" t="n">
        <v>5.71722094660334E-010</v>
      </c>
      <c r="E345" s="2" t="n">
        <v>3.0960193699417E-010</v>
      </c>
    </row>
    <row r="346" customFormat="false" ht="13.8" hidden="false" customHeight="false" outlineLevel="0" collapsed="false">
      <c r="B346" s="2" t="n">
        <v>344</v>
      </c>
      <c r="C346" s="2" t="n">
        <v>0</v>
      </c>
      <c r="D346" s="2" t="n">
        <v>2.26741726985942E-014</v>
      </c>
      <c r="E346" s="2" t="n">
        <v>2.58263593951268E-014</v>
      </c>
    </row>
    <row r="347" customFormat="false" ht="13.8" hidden="false" customHeight="false" outlineLevel="0" collapsed="false">
      <c r="B347" s="2" t="n">
        <v>345</v>
      </c>
      <c r="C347" s="2" t="n">
        <v>0</v>
      </c>
      <c r="D347" s="2" t="n">
        <v>9.06546382076371E-015</v>
      </c>
      <c r="E347" s="2" t="n">
        <v>0.00755129812871028</v>
      </c>
    </row>
    <row r="348" customFormat="false" ht="13.8" hidden="false" customHeight="false" outlineLevel="0" collapsed="false">
      <c r="B348" s="2" t="n">
        <v>346</v>
      </c>
      <c r="C348" s="2" t="n">
        <v>0</v>
      </c>
      <c r="D348" s="2" t="n">
        <v>0.00144230378673034</v>
      </c>
      <c r="E348" s="2" t="n">
        <v>0.0111591791439855</v>
      </c>
    </row>
    <row r="349" customFormat="false" ht="13.8" hidden="false" customHeight="false" outlineLevel="0" collapsed="false">
      <c r="B349" s="2" t="n">
        <v>347</v>
      </c>
      <c r="C349" s="2" t="n">
        <v>0</v>
      </c>
      <c r="D349" s="2" t="n">
        <v>8.35452012618412E-015</v>
      </c>
      <c r="E349" s="2" t="n">
        <v>0.0171184510660594</v>
      </c>
    </row>
    <row r="350" customFormat="false" ht="13.8" hidden="false" customHeight="false" outlineLevel="0" collapsed="false">
      <c r="B350" s="2" t="n">
        <v>348</v>
      </c>
      <c r="C350" s="2" t="n">
        <v>0</v>
      </c>
      <c r="D350" s="2" t="n">
        <v>8.32226811143845E-015</v>
      </c>
      <c r="E350" s="2" t="n">
        <v>0.0215023525347293</v>
      </c>
    </row>
    <row r="351" customFormat="false" ht="13.8" hidden="false" customHeight="false" outlineLevel="0" collapsed="false">
      <c r="B351" s="2" t="n">
        <v>349</v>
      </c>
      <c r="C351" s="2" t="n">
        <v>0</v>
      </c>
      <c r="D351" s="2" t="n">
        <v>0.00731457980107365</v>
      </c>
      <c r="E351" s="2" t="n">
        <v>0.0188385242022976</v>
      </c>
    </row>
    <row r="352" customFormat="false" ht="13.8" hidden="false" customHeight="false" outlineLevel="0" collapsed="false">
      <c r="B352" s="2" t="n">
        <v>350</v>
      </c>
      <c r="C352" s="2" t="n">
        <v>0</v>
      </c>
      <c r="D352" s="2" t="n">
        <v>6.60756081379743E-015</v>
      </c>
      <c r="E352" s="2" t="n">
        <v>0.0240969964838077</v>
      </c>
    </row>
    <row r="353" customFormat="false" ht="13.8" hidden="false" customHeight="false" outlineLevel="0" collapsed="false">
      <c r="B353" s="2" t="n">
        <v>351</v>
      </c>
      <c r="C353" s="2" t="n">
        <v>0</v>
      </c>
      <c r="D353" s="2" t="n">
        <v>0.0163712128929227</v>
      </c>
      <c r="E353" s="2" t="n">
        <v>0.025669576071223</v>
      </c>
    </row>
    <row r="354" customFormat="false" ht="13.8" hidden="false" customHeight="false" outlineLevel="0" collapsed="false">
      <c r="B354" s="2" t="n">
        <v>352</v>
      </c>
      <c r="C354" s="2" t="n">
        <v>0</v>
      </c>
      <c r="D354" s="2" t="n">
        <v>0</v>
      </c>
      <c r="E354" s="2" t="n">
        <v>0.0499846314446587</v>
      </c>
    </row>
    <row r="355" customFormat="false" ht="13.8" hidden="false" customHeight="false" outlineLevel="0" collapsed="false">
      <c r="B355" s="2" t="n">
        <v>353</v>
      </c>
      <c r="C355" s="2" t="n">
        <v>0</v>
      </c>
      <c r="D355" s="2" t="n">
        <v>0.00721534964491903</v>
      </c>
      <c r="E355" s="2" t="n">
        <v>0.0507131576131307</v>
      </c>
    </row>
    <row r="356" customFormat="false" ht="13.8" hidden="false" customHeight="false" outlineLevel="0" collapsed="false">
      <c r="B356" s="2" t="n">
        <v>354</v>
      </c>
      <c r="C356" s="2" t="n">
        <v>1.78307452023204E-009</v>
      </c>
      <c r="D356" s="2" t="n">
        <v>0.00784937598795307</v>
      </c>
      <c r="E356" s="2" t="n">
        <v>0.0531226750028649</v>
      </c>
    </row>
    <row r="357" customFormat="false" ht="13.8" hidden="false" customHeight="false" outlineLevel="0" collapsed="false">
      <c r="B357" s="2" t="n">
        <v>355</v>
      </c>
      <c r="C357" s="2" t="n">
        <v>1.73665947263708E-009</v>
      </c>
      <c r="D357" s="2" t="n">
        <v>0.00643643451174988</v>
      </c>
      <c r="E357" s="2" t="n">
        <v>0.0414125102252841</v>
      </c>
    </row>
    <row r="358" customFormat="false" ht="13.8" hidden="false" customHeight="false" outlineLevel="0" collapsed="false">
      <c r="B358" s="2" t="n">
        <v>356</v>
      </c>
      <c r="C358" s="2" t="n">
        <v>1.6902473654498E-009</v>
      </c>
      <c r="D358" s="2" t="n">
        <v>0.00502349303554678</v>
      </c>
      <c r="E358" s="2" t="n">
        <v>0.0701189287810362</v>
      </c>
    </row>
    <row r="359" customFormat="false" ht="13.8" hidden="false" customHeight="false" outlineLevel="0" collapsed="false">
      <c r="B359" s="2" t="n">
        <v>357</v>
      </c>
      <c r="C359" s="2" t="n">
        <v>1.64383223376181E-009</v>
      </c>
      <c r="D359" s="2" t="n">
        <v>0.00361055155934367</v>
      </c>
      <c r="E359" s="2" t="n">
        <v>0.0408586473367885</v>
      </c>
    </row>
    <row r="360" customFormat="false" ht="13.8" hidden="false" customHeight="false" outlineLevel="0" collapsed="false">
      <c r="B360" s="2" t="n">
        <v>358</v>
      </c>
      <c r="C360" s="2" t="n">
        <v>1.59742173987182E-009</v>
      </c>
      <c r="D360" s="2" t="n">
        <v>0.00270791366772616</v>
      </c>
      <c r="E360" s="2" t="n">
        <v>0.0821607730020864</v>
      </c>
    </row>
    <row r="361" customFormat="false" ht="13.8" hidden="false" customHeight="false" outlineLevel="0" collapsed="false">
      <c r="B361" s="2" t="n">
        <v>359</v>
      </c>
      <c r="C361" s="2" t="n">
        <v>1.55100826357014E-009</v>
      </c>
      <c r="D361" s="2" t="n">
        <v>0.00180527577610867</v>
      </c>
      <c r="E361" s="2" t="n">
        <v>0.0508293986673843</v>
      </c>
    </row>
    <row r="362" customFormat="false" ht="13.8" hidden="false" customHeight="false" outlineLevel="0" collapsed="false">
      <c r="B362" s="2" t="n">
        <v>360</v>
      </c>
      <c r="C362" s="2" t="n">
        <v>1.50459523153113E-009</v>
      </c>
      <c r="D362" s="2" t="n">
        <v>0.000902637884491165</v>
      </c>
      <c r="E362" s="2" t="n">
        <v>0.0914981743326822</v>
      </c>
    </row>
    <row r="363" customFormat="false" ht="13.8" hidden="false" customHeight="false" outlineLevel="0" collapsed="false">
      <c r="B363" s="2" t="n">
        <v>361</v>
      </c>
      <c r="C363" s="2" t="n">
        <v>1.45937692401326E-009</v>
      </c>
      <c r="D363" s="2" t="n">
        <v>7.82222333068905E-010</v>
      </c>
      <c r="E363" s="2" t="n">
        <v>0.0510006999948472</v>
      </c>
    </row>
    <row r="364" customFormat="false" ht="13.8" hidden="false" customHeight="false" outlineLevel="0" collapsed="false">
      <c r="B364" s="2" t="n">
        <v>362</v>
      </c>
      <c r="C364" s="2" t="n">
        <v>1.41291836876088E-009</v>
      </c>
      <c r="D364" s="2" t="n">
        <v>7.35692066527101E-010</v>
      </c>
      <c r="E364" s="2" t="n">
        <v>0.0900011999952247</v>
      </c>
    </row>
    <row r="365" customFormat="false" ht="13.8" hidden="false" customHeight="false" outlineLevel="0" collapsed="false">
      <c r="B365" s="2" t="n">
        <v>363</v>
      </c>
      <c r="C365" s="2" t="n">
        <v>1.36645695983487E-009</v>
      </c>
      <c r="D365" s="2" t="n">
        <v>6.8916128866476E-010</v>
      </c>
      <c r="E365" s="2" t="n">
        <v>0.0630181499956022</v>
      </c>
    </row>
    <row r="366" customFormat="false" ht="13.8" hidden="false" customHeight="false" outlineLevel="0" collapsed="false">
      <c r="B366" s="2" t="n">
        <v>364</v>
      </c>
      <c r="C366" s="2" t="n">
        <v>1.31999709769345E-009</v>
      </c>
      <c r="D366" s="2" t="n">
        <v>6.42629990570564E-010</v>
      </c>
      <c r="E366" s="2" t="n">
        <v>0.117152066662646</v>
      </c>
    </row>
    <row r="367" customFormat="false" ht="13.8" hidden="false" customHeight="false" outlineLevel="0" collapsed="false">
      <c r="B367" s="2" t="n">
        <v>365</v>
      </c>
      <c r="C367" s="2" t="n">
        <v>1.27244823921452E-009</v>
      </c>
      <c r="D367" s="2" t="n">
        <v>5.93929854916035E-010</v>
      </c>
      <c r="E367" s="2" t="n">
        <v>0.19123634999527</v>
      </c>
    </row>
    <row r="368" customFormat="false" ht="13.8" hidden="false" customHeight="false" outlineLevel="0" collapsed="false">
      <c r="B368" s="2" t="n">
        <v>366</v>
      </c>
      <c r="C368" s="2" t="n">
        <v>1.2260786161289E-009</v>
      </c>
      <c r="D368" s="2" t="n">
        <v>5.47580699129816E-010</v>
      </c>
      <c r="E368" s="2" t="n">
        <v>0.22375414999574</v>
      </c>
    </row>
    <row r="369" customFormat="false" ht="13.8" hidden="false" customHeight="false" outlineLevel="0" collapsed="false">
      <c r="B369" s="2" t="n">
        <v>367</v>
      </c>
      <c r="C369" s="2" t="n">
        <v>1.17970771127557E-009</v>
      </c>
      <c r="D369" s="2" t="n">
        <v>5.01231151818548E-010</v>
      </c>
      <c r="E369" s="2" t="n">
        <v>0.191020716662876</v>
      </c>
    </row>
    <row r="370" customFormat="false" ht="13.8" hidden="false" customHeight="false" outlineLevel="0" collapsed="false">
      <c r="B370" s="2" t="n">
        <v>368</v>
      </c>
      <c r="C370" s="2" t="n">
        <v>1.13333717261155E-009</v>
      </c>
      <c r="D370" s="2" t="n">
        <v>4.54881191539873E-010</v>
      </c>
      <c r="E370" s="2" t="n">
        <v>0.232520883330012</v>
      </c>
    </row>
    <row r="371" customFormat="false" ht="13.8" hidden="false" customHeight="false" outlineLevel="0" collapsed="false">
      <c r="B371" s="2" t="n">
        <v>369</v>
      </c>
      <c r="C371" s="2" t="n">
        <v>1.08696550651282E-009</v>
      </c>
      <c r="D371" s="2" t="n">
        <v>4.085308330802E-010</v>
      </c>
      <c r="E371" s="2" t="n">
        <v>0.207003866663815</v>
      </c>
    </row>
    <row r="372" customFormat="false" ht="13.8" hidden="false" customHeight="false" outlineLevel="0" collapsed="false">
      <c r="B372" s="2" t="n">
        <v>370</v>
      </c>
      <c r="C372" s="2" t="n">
        <v>1.0405938951658E-009</v>
      </c>
      <c r="D372" s="2" t="n">
        <v>3.62180129725662E-010</v>
      </c>
      <c r="E372" s="2" t="n">
        <v>0.250203283330951</v>
      </c>
    </row>
    <row r="373" customFormat="false" ht="13.8" hidden="false" customHeight="false" outlineLevel="0" collapsed="false">
      <c r="B373" s="2" t="n">
        <v>371</v>
      </c>
      <c r="C373" s="2" t="n">
        <v>9.9422125503396E-010</v>
      </c>
      <c r="D373" s="2" t="n">
        <v>3.15829119088907E-010</v>
      </c>
      <c r="E373" s="2" t="n">
        <v>0.210736633331421</v>
      </c>
    </row>
    <row r="374" customFormat="false" ht="13.8" hidden="false" customHeight="false" outlineLevel="0" collapsed="false">
      <c r="B374" s="2" t="n">
        <v>372</v>
      </c>
      <c r="C374" s="2" t="n">
        <v>9.4784858974681E-010</v>
      </c>
      <c r="D374" s="2" t="n">
        <v>2.69477894780386E-010</v>
      </c>
      <c r="E374" s="2" t="n">
        <v>0.245737283331891</v>
      </c>
    </row>
    <row r="375" customFormat="false" ht="13.8" hidden="false" customHeight="false" outlineLevel="0" collapsed="false">
      <c r="B375" s="2" t="n">
        <v>373</v>
      </c>
      <c r="C375" s="2" t="n">
        <v>9.01474937051074E-010</v>
      </c>
      <c r="D375" s="2" t="n">
        <v>2.23126684684718E-010</v>
      </c>
      <c r="E375" s="2" t="n">
        <v>0.189454416665693</v>
      </c>
    </row>
    <row r="376" customFormat="false" ht="13.8" hidden="false" customHeight="false" outlineLevel="0" collapsed="false">
      <c r="B376" s="2" t="n">
        <v>374</v>
      </c>
      <c r="C376" s="2" t="n">
        <v>8.55101072429689E-010</v>
      </c>
      <c r="D376" s="2" t="n">
        <v>1.76775895877147E-010</v>
      </c>
      <c r="E376" s="2" t="n">
        <v>0.179238266666163</v>
      </c>
    </row>
    <row r="377" customFormat="false" ht="13.8" hidden="false" customHeight="false" outlineLevel="0" collapsed="false">
      <c r="B377" s="2" t="n">
        <v>375</v>
      </c>
      <c r="C377" s="2" t="n">
        <v>8.08726894467731E-010</v>
      </c>
      <c r="D377" s="2" t="n">
        <v>1.30426826086588E-010</v>
      </c>
      <c r="E377" s="2" t="n">
        <v>0.183254183333299</v>
      </c>
    </row>
    <row r="378" customFormat="false" ht="13.8" hidden="false" customHeight="false" outlineLevel="0" collapsed="false">
      <c r="B378" s="2" t="n">
        <v>376</v>
      </c>
      <c r="C378" s="2" t="n">
        <v>7.62352126045145E-010</v>
      </c>
      <c r="D378" s="2" t="n">
        <v>8.40795987054721E-011</v>
      </c>
      <c r="E378" s="2" t="n">
        <v>0.167570783333773</v>
      </c>
    </row>
    <row r="379" customFormat="false" ht="13.8" hidden="false" customHeight="false" outlineLevel="0" collapsed="false">
      <c r="B379" s="2" t="n">
        <v>377</v>
      </c>
      <c r="C379" s="2" t="n">
        <v>6.95932241460766E-010</v>
      </c>
      <c r="D379" s="2" t="n">
        <v>0</v>
      </c>
      <c r="E379" s="2" t="n">
        <v>0.10364021982882</v>
      </c>
    </row>
    <row r="380" customFormat="false" ht="13.8" hidden="false" customHeight="false" outlineLevel="0" collapsed="false">
      <c r="B380" s="2" t="n">
        <v>378</v>
      </c>
      <c r="C380" s="2" t="n">
        <v>6.72658792312714E-010</v>
      </c>
      <c r="D380" s="2" t="n">
        <v>0</v>
      </c>
      <c r="E380" s="2" t="n">
        <v>0.0719021657070538</v>
      </c>
    </row>
    <row r="381" customFormat="false" ht="13.8" hidden="false" customHeight="false" outlineLevel="0" collapsed="false">
      <c r="B381" s="2" t="n">
        <v>379</v>
      </c>
      <c r="C381" s="2" t="n">
        <v>6.49385513048233E-010</v>
      </c>
      <c r="D381" s="2" t="n">
        <v>0</v>
      </c>
      <c r="E381" s="2" t="n">
        <v>0.0881963640957288</v>
      </c>
    </row>
    <row r="382" customFormat="false" ht="13.8" hidden="false" customHeight="false" outlineLevel="0" collapsed="false">
      <c r="B382" s="2" t="n">
        <v>380</v>
      </c>
      <c r="C382" s="2" t="n">
        <v>6.2611154328787E-010</v>
      </c>
      <c r="D382" s="2" t="n">
        <v>0</v>
      </c>
      <c r="E382" s="2" t="n">
        <v>0.075725386714992</v>
      </c>
    </row>
    <row r="383" customFormat="false" ht="13.8" hidden="false" customHeight="false" outlineLevel="0" collapsed="false">
      <c r="B383" s="2" t="n">
        <v>381</v>
      </c>
      <c r="C383" s="2" t="n">
        <v>6.0283740767237E-010</v>
      </c>
      <c r="D383" s="2" t="n">
        <v>0</v>
      </c>
      <c r="E383" s="2" t="n">
        <v>0.0796962163606545</v>
      </c>
    </row>
    <row r="384" customFormat="false" ht="13.8" hidden="false" customHeight="false" outlineLevel="0" collapsed="false">
      <c r="B384" s="2" t="n">
        <v>382</v>
      </c>
      <c r="C384" s="2" t="n">
        <v>5.79562898271805E-010</v>
      </c>
      <c r="D384" s="2" t="n">
        <v>0</v>
      </c>
      <c r="E384" s="2" t="n">
        <v>0.0629361457346501</v>
      </c>
    </row>
    <row r="385" customFormat="false" ht="13.8" hidden="false" customHeight="false" outlineLevel="0" collapsed="false">
      <c r="B385" s="2" t="n">
        <v>383</v>
      </c>
      <c r="C385" s="2" t="n">
        <v>5.56728544348274E-010</v>
      </c>
      <c r="D385" s="2" t="n">
        <v>0</v>
      </c>
      <c r="E385" s="2" t="n">
        <v>0.0286692666686566</v>
      </c>
    </row>
    <row r="386" customFormat="false" ht="13.8" hidden="false" customHeight="false" outlineLevel="0" collapsed="false">
      <c r="B386" s="2" t="n">
        <v>384</v>
      </c>
      <c r="C386" s="2" t="n">
        <v>5.33349948559415E-010</v>
      </c>
      <c r="D386" s="2" t="n">
        <v>0</v>
      </c>
      <c r="E386" s="2" t="n">
        <v>0.0763862166687923</v>
      </c>
    </row>
    <row r="387" customFormat="false" ht="13.8" hidden="false" customHeight="false" outlineLevel="0" collapsed="false">
      <c r="B387" s="2" t="n">
        <v>385</v>
      </c>
      <c r="C387" s="2" t="n">
        <v>5.09981951575522E-010</v>
      </c>
      <c r="D387" s="2" t="n">
        <v>0</v>
      </c>
      <c r="E387" s="2" t="n">
        <v>0.0751863666672788</v>
      </c>
    </row>
    <row r="388" customFormat="false" ht="13.8" hidden="false" customHeight="false" outlineLevel="0" collapsed="false">
      <c r="B388" s="2" t="n">
        <v>386</v>
      </c>
      <c r="C388" s="2" t="n">
        <v>4.86462101006825E-010</v>
      </c>
      <c r="D388" s="2" t="n">
        <v>0</v>
      </c>
      <c r="E388" s="2" t="n">
        <v>0.0142540288372142</v>
      </c>
    </row>
    <row r="389" customFormat="false" ht="13.8" hidden="false" customHeight="false" outlineLevel="0" collapsed="false">
      <c r="B389" s="2" t="n">
        <v>387</v>
      </c>
      <c r="C389" s="2" t="n">
        <v>4.63299258807817E-010</v>
      </c>
      <c r="D389" s="2" t="n">
        <v>0</v>
      </c>
      <c r="E389" s="2" t="n">
        <v>0.090568050000846</v>
      </c>
    </row>
    <row r="390" customFormat="false" ht="13.8" hidden="false" customHeight="false" outlineLevel="0" collapsed="false">
      <c r="B390" s="2" t="n">
        <v>388</v>
      </c>
      <c r="C390" s="2" t="n">
        <v>4.39996361420639E-010</v>
      </c>
      <c r="D390" s="2" t="n">
        <v>0</v>
      </c>
      <c r="E390" s="2" t="n">
        <v>0.0241509500009627</v>
      </c>
    </row>
    <row r="391" customFormat="false" ht="13.8" hidden="false" customHeight="false" outlineLevel="0" collapsed="false">
      <c r="B391" s="2" t="n">
        <v>389</v>
      </c>
      <c r="C391" s="2" t="n">
        <v>4.16693857455634E-010</v>
      </c>
      <c r="D391" s="2" t="n">
        <v>0</v>
      </c>
      <c r="E391" s="2" t="n">
        <v>0.0707169833344128</v>
      </c>
    </row>
    <row r="392" customFormat="false" ht="13.8" hidden="false" customHeight="false" outlineLevel="0" collapsed="false">
      <c r="B392" s="2" t="n">
        <v>390</v>
      </c>
      <c r="C392" s="2" t="n">
        <v>3.93359006594792E-010</v>
      </c>
      <c r="D392" s="2" t="n">
        <v>0</v>
      </c>
      <c r="E392" s="2" t="n">
        <v>0.035514412719247</v>
      </c>
    </row>
    <row r="393" customFormat="false" ht="13.8" hidden="false" customHeight="false" outlineLevel="0" collapsed="false">
      <c r="B393" s="2" t="n">
        <v>391</v>
      </c>
      <c r="C393" s="2" t="n">
        <v>3.70082742104901E-010</v>
      </c>
      <c r="D393" s="2" t="n">
        <v>0</v>
      </c>
      <c r="E393" s="2" t="n">
        <v>0.0509901634179659</v>
      </c>
    </row>
    <row r="394" customFormat="false" ht="13.8" hidden="false" customHeight="false" outlineLevel="0" collapsed="false">
      <c r="B394" s="2" t="n">
        <v>392</v>
      </c>
      <c r="C394" s="2" t="n">
        <v>3.46806064487091E-010</v>
      </c>
      <c r="D394" s="2" t="n">
        <v>0</v>
      </c>
      <c r="E394" s="2" t="n">
        <v>0.0635803848011072</v>
      </c>
    </row>
    <row r="395" customFormat="false" ht="13.8" hidden="false" customHeight="false" outlineLevel="0" collapsed="false">
      <c r="B395" s="2" t="n">
        <v>393</v>
      </c>
      <c r="C395" s="2" t="n">
        <v>3.23529003665048E-010</v>
      </c>
      <c r="D395" s="2" t="n">
        <v>0</v>
      </c>
      <c r="E395" s="2" t="n">
        <v>0.0550307639469944</v>
      </c>
    </row>
    <row r="396" customFormat="false" ht="13.8" hidden="false" customHeight="false" outlineLevel="0" collapsed="false">
      <c r="B396" s="2" t="n">
        <v>394</v>
      </c>
      <c r="C396" s="2" t="n">
        <v>3.00251884860455E-010</v>
      </c>
      <c r="D396" s="2" t="n">
        <v>0</v>
      </c>
      <c r="E396" s="2" t="n">
        <v>0.0641473537566905</v>
      </c>
    </row>
    <row r="397" customFormat="false" ht="13.8" hidden="false" customHeight="false" outlineLevel="0" collapsed="false">
      <c r="B397" s="2" t="n">
        <v>395</v>
      </c>
      <c r="C397" s="2" t="n">
        <v>2.76974393297491E-010</v>
      </c>
      <c r="D397" s="2" t="n">
        <v>0</v>
      </c>
      <c r="E397" s="2" t="n">
        <v>0.0530926315110252</v>
      </c>
    </row>
    <row r="398" customFormat="false" ht="13.8" hidden="false" customHeight="false" outlineLevel="0" collapsed="false">
      <c r="B398" s="2" t="n">
        <v>396</v>
      </c>
      <c r="C398" s="2" t="n">
        <v>2.53696671289861E-010</v>
      </c>
      <c r="D398" s="2" t="n">
        <v>0</v>
      </c>
      <c r="E398" s="2" t="n">
        <v>0.0565980232431116</v>
      </c>
    </row>
    <row r="399" customFormat="false" ht="13.8" hidden="false" customHeight="false" outlineLevel="0" collapsed="false">
      <c r="B399" s="2" t="n">
        <v>397</v>
      </c>
      <c r="C399" s="2" t="n">
        <v>2.3041890687798E-010</v>
      </c>
      <c r="D399" s="2" t="n">
        <v>0</v>
      </c>
      <c r="E399" s="2" t="n">
        <v>0.0771837376790494</v>
      </c>
    </row>
    <row r="400" customFormat="false" ht="13.8" hidden="false" customHeight="false" outlineLevel="0" collapsed="false">
      <c r="B400" s="2" t="n">
        <v>398</v>
      </c>
      <c r="C400" s="2" t="n">
        <v>2.07140638751461E-010</v>
      </c>
      <c r="D400" s="2" t="n">
        <v>0</v>
      </c>
      <c r="E400" s="2" t="n">
        <v>0.0502628021850946</v>
      </c>
    </row>
    <row r="401" customFormat="false" ht="13.8" hidden="false" customHeight="false" outlineLevel="0" collapsed="false">
      <c r="B401" s="2" t="n">
        <v>399</v>
      </c>
      <c r="C401" s="2" t="n">
        <v>1.8386239602427E-010</v>
      </c>
      <c r="D401" s="2" t="n">
        <v>0</v>
      </c>
      <c r="E401" s="2" t="n">
        <v>0.0738676937344836</v>
      </c>
    </row>
    <row r="402" customFormat="false" ht="13.8" hidden="false" customHeight="false" outlineLevel="0" collapsed="false">
      <c r="B402" s="2" t="n">
        <v>400</v>
      </c>
      <c r="C402" s="2" t="n">
        <v>1.60583599708591E-010</v>
      </c>
      <c r="D402" s="2" t="n">
        <v>0</v>
      </c>
      <c r="E402" s="2" t="n">
        <v>0.0421399570165746</v>
      </c>
    </row>
    <row r="403" customFormat="false" ht="13.8" hidden="false" customHeight="false" outlineLevel="0" collapsed="false">
      <c r="B403" s="2" t="n">
        <v>401</v>
      </c>
      <c r="C403" s="2" t="n">
        <v>1.37304962820067E-010</v>
      </c>
      <c r="D403" s="2" t="n">
        <v>0</v>
      </c>
      <c r="E403" s="2" t="n">
        <v>0.0683059428107348</v>
      </c>
    </row>
    <row r="404" customFormat="false" ht="13.8" hidden="false" customHeight="false" outlineLevel="0" collapsed="false">
      <c r="B404" s="2" t="n">
        <v>402</v>
      </c>
      <c r="C404" s="2" t="n">
        <v>1.1402586557282E-010</v>
      </c>
      <c r="D404" s="2" t="n">
        <v>0</v>
      </c>
      <c r="E404" s="2" t="n">
        <v>0.0436034723004379</v>
      </c>
    </row>
    <row r="405" customFormat="false" ht="13.8" hidden="false" customHeight="false" outlineLevel="0" collapsed="false">
      <c r="B405" s="2" t="n">
        <v>403</v>
      </c>
      <c r="C405" s="2" t="n">
        <v>1.10356898262681E-010</v>
      </c>
      <c r="D405" s="2" t="n">
        <v>2.21706794725159E-010</v>
      </c>
      <c r="E405" s="2" t="n">
        <v>0.0546273838724094</v>
      </c>
    </row>
    <row r="406" customFormat="false" ht="13.8" hidden="false" customHeight="false" outlineLevel="0" collapsed="false">
      <c r="B406" s="2" t="n">
        <v>404</v>
      </c>
      <c r="C406" s="2" t="n">
        <v>1.48516410849212E-010</v>
      </c>
      <c r="D406" s="2" t="n">
        <v>2.38402116280511E-010</v>
      </c>
      <c r="E406" s="2" t="n">
        <v>0.0211169334554375</v>
      </c>
    </row>
    <row r="407" customFormat="false" ht="13.8" hidden="false" customHeight="false" outlineLevel="0" collapsed="false">
      <c r="B407" s="2" t="n">
        <v>405</v>
      </c>
      <c r="C407" s="2" t="n">
        <v>1.56810231289372E-010</v>
      </c>
      <c r="D407" s="2" t="n">
        <v>3.15060509138384E-010</v>
      </c>
      <c r="E407" s="2" t="n">
        <v>0.0103439526103254</v>
      </c>
    </row>
    <row r="408" customFormat="false" ht="13.8" hidden="false" customHeight="false" outlineLevel="0" collapsed="false">
      <c r="B408" s="2" t="n">
        <v>406</v>
      </c>
      <c r="C408" s="2" t="n">
        <v>6.73395128774044E-014</v>
      </c>
      <c r="D408" s="2" t="n">
        <v>0.00103713054941087</v>
      </c>
      <c r="E408" s="2" t="n">
        <v>0.00610226971689419</v>
      </c>
    </row>
    <row r="409" customFormat="false" ht="13.8" hidden="false" customHeight="false" outlineLevel="0" collapsed="false">
      <c r="B409" s="2" t="n">
        <v>407</v>
      </c>
      <c r="C409" s="2" t="n">
        <v>6.72303740252168E-014</v>
      </c>
      <c r="D409" s="2" t="n">
        <v>0.00207426110272142</v>
      </c>
      <c r="E409" s="2" t="n">
        <v>0.0210050426523723</v>
      </c>
    </row>
    <row r="410" customFormat="false" ht="13.8" hidden="false" customHeight="false" outlineLevel="0" collapsed="false">
      <c r="B410" s="2" t="n">
        <v>408</v>
      </c>
      <c r="C410" s="2" t="n">
        <v>6.71739360442633E-014</v>
      </c>
      <c r="D410" s="2" t="n">
        <v>0.00311139165603197</v>
      </c>
      <c r="E410" s="2" t="n">
        <v>0.0218380328861905</v>
      </c>
    </row>
    <row r="411" customFormat="false" ht="13.8" hidden="false" customHeight="false" outlineLevel="0" collapsed="false">
      <c r="B411" s="2" t="n">
        <v>409</v>
      </c>
      <c r="C411" s="2" t="n">
        <v>6.73363582262304E-014</v>
      </c>
      <c r="D411" s="2" t="n">
        <v>0.00414852221583649</v>
      </c>
      <c r="E411" s="2" t="n">
        <v>0.0312529592183937</v>
      </c>
    </row>
    <row r="412" customFormat="false" ht="13.8" hidden="false" customHeight="false" outlineLevel="0" collapsed="false">
      <c r="B412" s="2" t="n">
        <v>410</v>
      </c>
      <c r="C412" s="2" t="n">
        <v>0</v>
      </c>
      <c r="D412" s="2" t="n">
        <v>0.003926939738247</v>
      </c>
      <c r="E412" s="2" t="n">
        <v>0.0319135202534284</v>
      </c>
    </row>
    <row r="413" customFormat="false" ht="13.8" hidden="false" customHeight="false" outlineLevel="0" collapsed="false">
      <c r="B413" s="2" t="n">
        <v>411</v>
      </c>
      <c r="C413" s="2" t="n">
        <v>0</v>
      </c>
      <c r="D413" s="2" t="n">
        <v>1.24776881244993E-016</v>
      </c>
      <c r="E413" s="2" t="n">
        <v>0.054683351067312</v>
      </c>
    </row>
    <row r="414" customFormat="false" ht="13.8" hidden="false" customHeight="false" outlineLevel="0" collapsed="false">
      <c r="B414" s="2" t="n">
        <v>412</v>
      </c>
      <c r="C414" s="2" t="n">
        <v>0</v>
      </c>
      <c r="D414" s="2" t="n">
        <v>5.57125758240947E-017</v>
      </c>
      <c r="E414" s="2" t="n">
        <v>0.0233768754762792</v>
      </c>
    </row>
    <row r="415" customFormat="false" ht="13.8" hidden="false" customHeight="false" outlineLevel="0" collapsed="false">
      <c r="B415" s="2" t="n">
        <v>413</v>
      </c>
      <c r="C415" s="2" t="n">
        <v>0</v>
      </c>
      <c r="D415" s="2" t="n">
        <v>1.90342224483418E-016</v>
      </c>
      <c r="E415" s="2" t="n">
        <v>0.0568536665519131</v>
      </c>
    </row>
    <row r="416" customFormat="false" ht="13.8" hidden="false" customHeight="false" outlineLevel="0" collapsed="false">
      <c r="B416" s="2" t="n">
        <v>414</v>
      </c>
      <c r="C416" s="2" t="n">
        <v>0</v>
      </c>
      <c r="D416" s="2" t="n">
        <v>1.77997212209622E-016</v>
      </c>
      <c r="E416" s="2" t="n">
        <v>0.00232275744442376</v>
      </c>
    </row>
    <row r="417" customFormat="false" ht="13.8" hidden="false" customHeight="false" outlineLevel="0" collapsed="false">
      <c r="B417" s="2" t="n">
        <v>415</v>
      </c>
      <c r="C417" s="2" t="n">
        <v>0</v>
      </c>
      <c r="D417" s="2" t="n">
        <v>2.24986175783408E-016</v>
      </c>
      <c r="E417" s="2" t="n">
        <v>0.0498239983369344</v>
      </c>
    </row>
    <row r="418" customFormat="false" ht="13.8" hidden="false" customHeight="false" outlineLevel="0" collapsed="false">
      <c r="B418" s="2" t="n">
        <v>416</v>
      </c>
      <c r="C418" s="2" t="n">
        <v>0</v>
      </c>
      <c r="D418" s="2" t="n">
        <v>1.51465993648502E-016</v>
      </c>
      <c r="E418" s="2" t="n">
        <v>8.41908268524162E-017</v>
      </c>
    </row>
    <row r="419" customFormat="false" ht="13.8" hidden="false" customHeight="false" outlineLevel="0" collapsed="false">
      <c r="B419" s="2" t="n">
        <v>417</v>
      </c>
      <c r="C419" s="2" t="n">
        <v>0</v>
      </c>
      <c r="D419" s="2" t="n">
        <v>2.2834667452284E-016</v>
      </c>
      <c r="E419" s="2" t="n">
        <v>0.0253624967886224</v>
      </c>
    </row>
    <row r="420" customFormat="false" ht="13.8" hidden="false" customHeight="false" outlineLevel="0" collapsed="false">
      <c r="B420" s="2" t="n">
        <v>418</v>
      </c>
      <c r="C420" s="2" t="n">
        <v>8.94231590259427E-017</v>
      </c>
      <c r="D420" s="2" t="n">
        <v>4.70925724756059E-017</v>
      </c>
      <c r="E420" s="2" t="n">
        <v>5.11896732940591E-017</v>
      </c>
    </row>
    <row r="421" customFormat="false" ht="13.8" hidden="false" customHeight="false" outlineLevel="0" collapsed="false">
      <c r="B421" s="2" t="n">
        <v>419</v>
      </c>
      <c r="C421" s="2" t="n">
        <v>4.51114723932214E-009</v>
      </c>
      <c r="D421" s="2" t="n">
        <v>0</v>
      </c>
      <c r="E421" s="2" t="n">
        <v>0</v>
      </c>
    </row>
    <row r="422" customFormat="false" ht="13.8" hidden="false" customHeight="false" outlineLevel="0" collapsed="false">
      <c r="B422" s="2" t="n">
        <v>420</v>
      </c>
      <c r="C422" s="2" t="n">
        <v>0</v>
      </c>
      <c r="D422" s="2" t="n">
        <v>2.11070953478494E-016</v>
      </c>
      <c r="E422" s="2" t="n">
        <v>0.0208966988148425</v>
      </c>
    </row>
    <row r="423" customFormat="false" ht="13.8" hidden="false" customHeight="false" outlineLevel="0" collapsed="false">
      <c r="B423" s="2" t="n">
        <v>421</v>
      </c>
      <c r="C423" s="2" t="n">
        <v>9.28715001775342E-010</v>
      </c>
      <c r="D423" s="2" t="n">
        <v>0</v>
      </c>
      <c r="E423" s="2" t="n">
        <v>0</v>
      </c>
    </row>
    <row r="424" customFormat="false" ht="13.8" hidden="false" customHeight="false" outlineLevel="0" collapsed="false">
      <c r="B424" s="2" t="n">
        <v>422</v>
      </c>
      <c r="C424" s="2" t="n">
        <v>2.43947192495147E-016</v>
      </c>
      <c r="D424" s="2" t="n">
        <v>0</v>
      </c>
      <c r="E424" s="2" t="n">
        <v>3.19409162415329E-016</v>
      </c>
    </row>
    <row r="425" customFormat="false" ht="13.8" hidden="false" customHeight="false" outlineLevel="0" collapsed="false">
      <c r="B425" s="2" t="n">
        <v>423</v>
      </c>
      <c r="C425" s="2" t="n">
        <v>1.7466765996304E-010</v>
      </c>
      <c r="D425" s="2" t="n">
        <v>0</v>
      </c>
      <c r="E425" s="2" t="n">
        <v>0</v>
      </c>
    </row>
    <row r="426" customFormat="false" ht="13.8" hidden="false" customHeight="false" outlineLevel="0" collapsed="false">
      <c r="B426" s="2" t="n">
        <v>424</v>
      </c>
      <c r="C426" s="2" t="n">
        <v>9.45133811232908E-017</v>
      </c>
      <c r="D426" s="2" t="n">
        <v>6.39321050614479E-017</v>
      </c>
      <c r="E426" s="2" t="n">
        <v>3.17721592939242E-016</v>
      </c>
    </row>
    <row r="427" customFormat="false" ht="13.8" hidden="false" customHeight="false" outlineLevel="0" collapsed="false">
      <c r="B427" s="2" t="n">
        <v>425</v>
      </c>
      <c r="C427" s="2" t="n">
        <v>9.03265948260876E-017</v>
      </c>
      <c r="D427" s="2" t="n">
        <v>1.82074088534709E-016</v>
      </c>
      <c r="E427" s="2" t="n">
        <v>2.40485707307851E-016</v>
      </c>
    </row>
    <row r="428" customFormat="false" ht="13.8" hidden="false" customHeight="false" outlineLevel="0" collapsed="false">
      <c r="B428" s="2" t="n">
        <v>426</v>
      </c>
      <c r="C428" s="2" t="n">
        <v>3.0531760395319E-017</v>
      </c>
      <c r="D428" s="2" t="n">
        <v>1.58971768674951E-015</v>
      </c>
      <c r="E428" s="2" t="n">
        <v>5.69891159321409E-017</v>
      </c>
    </row>
    <row r="429" customFormat="false" ht="13.8" hidden="false" customHeight="false" outlineLevel="0" collapsed="false">
      <c r="B429" s="2" t="n">
        <v>427</v>
      </c>
      <c r="C429" s="2" t="n">
        <v>0</v>
      </c>
      <c r="D429" s="2" t="n">
        <v>0</v>
      </c>
      <c r="E429" s="2" t="n">
        <v>4.41953833083452E-010</v>
      </c>
    </row>
    <row r="430" customFormat="false" ht="13.8" hidden="false" customHeight="false" outlineLevel="0" collapsed="false">
      <c r="B430" s="2" t="n">
        <v>428</v>
      </c>
      <c r="C430" s="2" t="n">
        <v>1.33267485206947E-017</v>
      </c>
      <c r="D430" s="2" t="n">
        <v>3.14347514287014E-015</v>
      </c>
      <c r="E430" s="2" t="n">
        <v>3.66531281783677E-016</v>
      </c>
    </row>
    <row r="431" customFormat="false" ht="13.8" hidden="false" customHeight="false" outlineLevel="0" collapsed="false">
      <c r="B431" s="2" t="n">
        <v>429</v>
      </c>
      <c r="C431" s="2" t="n">
        <v>3.35015509961182E-011</v>
      </c>
      <c r="D431" s="2" t="n">
        <v>0</v>
      </c>
      <c r="E431" s="2" t="n">
        <v>0</v>
      </c>
    </row>
    <row r="432" customFormat="false" ht="13.8" hidden="false" customHeight="false" outlineLevel="0" collapsed="false">
      <c r="B432" s="2" t="n">
        <v>430</v>
      </c>
      <c r="C432" s="2" t="n">
        <v>0</v>
      </c>
      <c r="D432" s="2" t="n">
        <v>8.74922242541785E-015</v>
      </c>
      <c r="E432" s="2" t="n">
        <v>5.7499767263635E-016</v>
      </c>
    </row>
    <row r="433" customFormat="false" ht="13.8" hidden="false" customHeight="false" outlineLevel="0" collapsed="false">
      <c r="B433" s="2" t="n">
        <v>431</v>
      </c>
      <c r="C433" s="2" t="n">
        <v>5.79086141678944E-010</v>
      </c>
      <c r="D433" s="2" t="n">
        <v>0</v>
      </c>
      <c r="E433" s="2" t="n">
        <v>0</v>
      </c>
    </row>
    <row r="434" customFormat="false" ht="13.8" hidden="false" customHeight="false" outlineLevel="0" collapsed="false">
      <c r="B434" s="2" t="n">
        <v>432</v>
      </c>
      <c r="C434" s="2" t="n">
        <v>2.22647972057589E-013</v>
      </c>
      <c r="D434" s="2" t="n">
        <v>9.03364059067918E-015</v>
      </c>
      <c r="E434" s="2" t="n">
        <v>3.17732942117635E-015</v>
      </c>
    </row>
    <row r="435" customFormat="false" ht="13.8" hidden="false" customHeight="false" outlineLevel="0" collapsed="false">
      <c r="B435" s="2" t="n">
        <v>433</v>
      </c>
      <c r="C435" s="2" t="n">
        <v>0</v>
      </c>
      <c r="D435" s="2" t="n">
        <v>1.52627808246785E-014</v>
      </c>
      <c r="E435" s="2" t="n">
        <v>1.50917289000106E-014</v>
      </c>
    </row>
    <row r="436" customFormat="false" ht="13.8" hidden="false" customHeight="false" outlineLevel="0" collapsed="false">
      <c r="B436" s="2" t="n">
        <v>434</v>
      </c>
      <c r="C436" s="2" t="n">
        <v>0</v>
      </c>
      <c r="D436" s="2" t="n">
        <v>1.78467061526137E-014</v>
      </c>
      <c r="E436" s="2" t="n">
        <v>2.11492676086985E-014</v>
      </c>
    </row>
    <row r="437" customFormat="false" ht="13.8" hidden="false" customHeight="false" outlineLevel="0" collapsed="false">
      <c r="B437" s="2" t="n">
        <v>435</v>
      </c>
      <c r="C437" s="2" t="n">
        <v>0</v>
      </c>
      <c r="D437" s="2" t="n">
        <v>1.32230923564803E-014</v>
      </c>
      <c r="E437" s="2" t="n">
        <v>2.69038052756134E-014</v>
      </c>
    </row>
    <row r="438" customFormat="false" ht="13.8" hidden="false" customHeight="false" outlineLevel="0" collapsed="false">
      <c r="B438" s="2" t="n">
        <v>436</v>
      </c>
      <c r="C438" s="2" t="n">
        <v>8.15851565495624E-010</v>
      </c>
      <c r="D438" s="2" t="n">
        <v>1.36851549931326E-009</v>
      </c>
      <c r="E438" s="2" t="n">
        <v>8.15903576407137E-010</v>
      </c>
    </row>
    <row r="439" customFormat="false" ht="13.8" hidden="false" customHeight="false" outlineLevel="0" collapsed="false">
      <c r="B439" s="2" t="n">
        <v>437</v>
      </c>
      <c r="C439" s="2" t="n">
        <v>7.19345334434722E-010</v>
      </c>
      <c r="D439" s="2" t="n">
        <v>1.25154442549129E-009</v>
      </c>
      <c r="E439" s="2" t="n">
        <v>7.19403636248285E-010</v>
      </c>
    </row>
    <row r="440" customFormat="false" ht="13.8" hidden="false" customHeight="false" outlineLevel="0" collapsed="false">
      <c r="B440" s="2" t="n">
        <v>438</v>
      </c>
      <c r="C440" s="2" t="n">
        <v>1.10761237505754E-012</v>
      </c>
      <c r="D440" s="2" t="n">
        <v>1.99266933235374E-014</v>
      </c>
      <c r="E440" s="2" t="n">
        <v>3.80257939318248E-014</v>
      </c>
    </row>
    <row r="441" customFormat="false" ht="13.8" hidden="false" customHeight="false" outlineLevel="0" collapsed="false">
      <c r="B441" s="2" t="n">
        <v>439</v>
      </c>
      <c r="C441" s="2" t="n">
        <v>1.39272061226838E-014</v>
      </c>
      <c r="D441" s="2" t="n">
        <v>0</v>
      </c>
      <c r="E441" s="2" t="n">
        <v>0.00411328492257751</v>
      </c>
    </row>
    <row r="442" customFormat="false" ht="13.8" hidden="false" customHeight="false" outlineLevel="0" collapsed="false">
      <c r="B442" s="2" t="n">
        <v>440</v>
      </c>
      <c r="C442" s="2" t="n">
        <v>1.53387002132836E-014</v>
      </c>
      <c r="D442" s="2" t="n">
        <v>0</v>
      </c>
      <c r="E442" s="2" t="n">
        <v>0.00941407356687832</v>
      </c>
    </row>
    <row r="443" customFormat="false" ht="13.8" hidden="false" customHeight="false" outlineLevel="0" collapsed="false">
      <c r="B443" s="2" t="n">
        <v>441</v>
      </c>
      <c r="C443" s="2" t="n">
        <v>1.6745335974916E-014</v>
      </c>
      <c r="D443" s="2" t="n">
        <v>6.65702486429082E-016</v>
      </c>
      <c r="E443" s="2" t="n">
        <v>0.0440644622111778</v>
      </c>
    </row>
    <row r="444" customFormat="false" ht="13.8" hidden="false" customHeight="false" outlineLevel="0" collapsed="false">
      <c r="B444" s="2" t="n">
        <v>442</v>
      </c>
      <c r="C444" s="2" t="n">
        <v>1.43508545491427E-014</v>
      </c>
      <c r="D444" s="2" t="n">
        <v>0.0143293369396581</v>
      </c>
      <c r="E444" s="2" t="n">
        <v>0.0135297638800362</v>
      </c>
    </row>
    <row r="445" customFormat="false" ht="13.8" hidden="false" customHeight="false" outlineLevel="0" collapsed="false">
      <c r="B445" s="2" t="n">
        <v>443</v>
      </c>
      <c r="C445" s="2" t="n">
        <v>2.04548583116151E-014</v>
      </c>
      <c r="D445" s="2" t="n">
        <v>0</v>
      </c>
      <c r="E445" s="2" t="n">
        <v>0.02918702276176</v>
      </c>
    </row>
    <row r="446" customFormat="false" ht="13.8" hidden="false" customHeight="false" outlineLevel="0" collapsed="false">
      <c r="B446" s="2" t="n">
        <v>444</v>
      </c>
      <c r="C446" s="2" t="n">
        <v>8.85710025391736E-013</v>
      </c>
      <c r="D446" s="2" t="n">
        <v>3.05395121716345E-014</v>
      </c>
      <c r="E446" s="2" t="n">
        <v>5.68510290121291E-014</v>
      </c>
    </row>
    <row r="447" customFormat="false" ht="13.8" hidden="false" customHeight="false" outlineLevel="0" collapsed="false">
      <c r="B447" s="2" t="n">
        <v>445</v>
      </c>
      <c r="C447" s="2" t="n">
        <v>2.4059686051982E-014</v>
      </c>
      <c r="D447" s="2" t="n">
        <v>0</v>
      </c>
      <c r="E447" s="2" t="n">
        <v>0.0460923666457133</v>
      </c>
    </row>
    <row r="448" customFormat="false" ht="13.8" hidden="false" customHeight="false" outlineLevel="0" collapsed="false">
      <c r="B448" s="2" t="n">
        <v>446</v>
      </c>
      <c r="C448" s="2" t="n">
        <v>0</v>
      </c>
      <c r="D448" s="2" t="n">
        <v>0.00413876972589533</v>
      </c>
      <c r="E448" s="2" t="n">
        <v>2.7518898201414E-009</v>
      </c>
    </row>
    <row r="449" customFormat="false" ht="13.8" hidden="false" customHeight="false" outlineLevel="0" collapsed="false">
      <c r="B449" s="2" t="n">
        <v>447</v>
      </c>
      <c r="C449" s="2" t="n">
        <v>9.76976306928429E-013</v>
      </c>
      <c r="D449" s="2" t="n">
        <v>0.035464561820721</v>
      </c>
      <c r="E449" s="2" t="n">
        <v>0.0189703612132216</v>
      </c>
    </row>
    <row r="450" customFormat="false" ht="13.8" hidden="false" customHeight="false" outlineLevel="0" collapsed="false">
      <c r="B450" s="2" t="n">
        <v>448</v>
      </c>
      <c r="C450" s="2" t="n">
        <v>0</v>
      </c>
      <c r="D450" s="2" t="n">
        <v>2.79907418153845E-014</v>
      </c>
      <c r="E450" s="2" t="n">
        <v>7.88993221738114E-014</v>
      </c>
    </row>
    <row r="451" customFormat="false" ht="13.8" hidden="false" customHeight="false" outlineLevel="0" collapsed="false">
      <c r="B451" s="2" t="n">
        <v>449</v>
      </c>
      <c r="C451" s="2" t="n">
        <v>2.66416822184352E-014</v>
      </c>
      <c r="D451" s="2" t="n">
        <v>0.0277691307260666</v>
      </c>
      <c r="E451" s="2" t="n">
        <v>0.0347604503899807</v>
      </c>
    </row>
    <row r="452" customFormat="false" ht="13.8" hidden="false" customHeight="false" outlineLevel="0" collapsed="false">
      <c r="B452" s="2" t="n">
        <v>450</v>
      </c>
      <c r="C452" s="2" t="n">
        <v>2.82579732814835E-014</v>
      </c>
      <c r="D452" s="2" t="n">
        <v>0.0243510957979843</v>
      </c>
      <c r="E452" s="2" t="n">
        <v>0.0027108928921369</v>
      </c>
    </row>
    <row r="453" customFormat="false" ht="13.8" hidden="false" customHeight="false" outlineLevel="0" collapsed="false">
      <c r="B453" s="2" t="n">
        <v>451</v>
      </c>
      <c r="C453" s="2" t="n">
        <v>3.02184466524383E-014</v>
      </c>
      <c r="D453" s="2" t="n">
        <v>0.0209330608695791</v>
      </c>
      <c r="E453" s="2" t="n">
        <v>0.0576610520618341</v>
      </c>
    </row>
    <row r="454" customFormat="false" ht="13.8" hidden="false" customHeight="false" outlineLevel="0" collapsed="false">
      <c r="B454" s="2" t="n">
        <v>452</v>
      </c>
      <c r="C454" s="2" t="n">
        <v>3.25915066828783E-014</v>
      </c>
      <c r="D454" s="2" t="n">
        <v>0.0175150259412284</v>
      </c>
      <c r="E454" s="2" t="n">
        <v>0.00911142789806153</v>
      </c>
    </row>
    <row r="455" customFormat="false" ht="13.8" hidden="false" customHeight="false" outlineLevel="0" collapsed="false">
      <c r="B455" s="2" t="n">
        <v>453</v>
      </c>
      <c r="C455" s="2" t="n">
        <v>4.32619122989748E-014</v>
      </c>
      <c r="D455" s="2" t="n">
        <v>0.0141224979960024</v>
      </c>
      <c r="E455" s="2" t="n">
        <v>0.0615340455532554</v>
      </c>
    </row>
    <row r="456" customFormat="false" ht="13.8" hidden="false" customHeight="false" outlineLevel="0" collapsed="false">
      <c r="B456" s="2" t="n">
        <v>454</v>
      </c>
      <c r="C456" s="2" t="n">
        <v>3.62894804700808E-014</v>
      </c>
      <c r="D456" s="2" t="n">
        <v>0.0105696796361758</v>
      </c>
      <c r="E456" s="2" t="n">
        <v>0.0255428901082002</v>
      </c>
    </row>
    <row r="457" customFormat="false" ht="13.8" hidden="false" customHeight="false" outlineLevel="0" collapsed="false">
      <c r="B457" s="2" t="n">
        <v>455</v>
      </c>
      <c r="C457" s="2" t="n">
        <v>1.8051608340191E-009</v>
      </c>
      <c r="D457" s="2" t="n">
        <v>0.00711888871446487</v>
      </c>
      <c r="E457" s="2" t="n">
        <v>0.0741083191035077</v>
      </c>
    </row>
    <row r="458" customFormat="false" ht="13.8" hidden="false" customHeight="false" outlineLevel="0" collapsed="false">
      <c r="B458" s="2" t="n">
        <v>456</v>
      </c>
      <c r="C458" s="2" t="n">
        <v>1.75874312881925E-009</v>
      </c>
      <c r="D458" s="2" t="n">
        <v>0.00361708407123793</v>
      </c>
      <c r="E458" s="2" t="n">
        <v>0.0410958642299256</v>
      </c>
    </row>
    <row r="459" customFormat="false" ht="13.8" hidden="false" customHeight="false" outlineLevel="0" collapsed="false">
      <c r="B459" s="2" t="n">
        <v>457</v>
      </c>
      <c r="C459" s="2" t="n">
        <v>1.70768029357862E-009</v>
      </c>
      <c r="D459" s="2" t="n">
        <v>1.19484977348307E-009</v>
      </c>
      <c r="E459" s="2" t="n">
        <v>0.138517109351698</v>
      </c>
    </row>
    <row r="460" customFormat="false" ht="13.8" hidden="false" customHeight="false" outlineLevel="0" collapsed="false">
      <c r="B460" s="2" t="n">
        <v>458</v>
      </c>
      <c r="C460" s="2" t="n">
        <v>1.66144173846161E-009</v>
      </c>
      <c r="D460" s="2" t="n">
        <v>1.14859286706694E-009</v>
      </c>
      <c r="E460" s="2" t="n">
        <v>0.149309694505458</v>
      </c>
    </row>
    <row r="461" customFormat="false" ht="13.8" hidden="false" customHeight="false" outlineLevel="0" collapsed="false">
      <c r="B461" s="2" t="n">
        <v>459</v>
      </c>
      <c r="C461" s="2" t="n">
        <v>1.61520371142024E-009</v>
      </c>
      <c r="D461" s="2" t="n">
        <v>1.10233549491864E-009</v>
      </c>
      <c r="E461" s="2" t="n">
        <v>0.178901479659218</v>
      </c>
    </row>
    <row r="462" customFormat="false" ht="13.8" hidden="false" customHeight="false" outlineLevel="0" collapsed="false">
      <c r="B462" s="2" t="n">
        <v>460</v>
      </c>
      <c r="C462" s="2" t="n">
        <v>1.56896626933382E-009</v>
      </c>
      <c r="D462" s="2" t="n">
        <v>1.05607765525521E-009</v>
      </c>
      <c r="E462" s="2" t="n">
        <v>0.170944048146311</v>
      </c>
    </row>
    <row r="463" customFormat="false" ht="13.8" hidden="false" customHeight="false" outlineLevel="0" collapsed="false">
      <c r="B463" s="2" t="n">
        <v>461</v>
      </c>
      <c r="C463" s="2" t="n">
        <v>1.52565989274117E-009</v>
      </c>
      <c r="D463" s="2" t="n">
        <v>1.01177007139077E-009</v>
      </c>
      <c r="E463" s="2" t="n">
        <v>0.186052533310378</v>
      </c>
    </row>
    <row r="464" customFormat="false" ht="13.8" hidden="false" customHeight="false" outlineLevel="0" collapsed="false">
      <c r="B464" s="2" t="n">
        <v>462</v>
      </c>
      <c r="C464" s="2" t="n">
        <v>1.47930723980392E-009</v>
      </c>
      <c r="D464" s="2" t="n">
        <v>9.65422136132714E-010</v>
      </c>
      <c r="E464" s="2" t="n">
        <v>0.171119883310849</v>
      </c>
    </row>
    <row r="465" customFormat="false" ht="13.8" hidden="false" customHeight="false" outlineLevel="0" collapsed="false">
      <c r="B465" s="2" t="n">
        <v>463</v>
      </c>
      <c r="C465" s="2" t="n">
        <v>1.43293610880183E-009</v>
      </c>
      <c r="D465" s="2" t="n">
        <v>9.1907373242945E-010</v>
      </c>
      <c r="E465" s="2" t="n">
        <v>0.204519649977986</v>
      </c>
    </row>
    <row r="466" customFormat="false" ht="13.8" hidden="false" customHeight="false" outlineLevel="0" collapsed="false">
      <c r="B466" s="2" t="n">
        <v>464</v>
      </c>
      <c r="C466" s="2" t="n">
        <v>1.38656451864927E-009</v>
      </c>
      <c r="D466" s="2" t="n">
        <v>8.72724868814049E-010</v>
      </c>
      <c r="E466" s="2" t="n">
        <v>0.202652883311789</v>
      </c>
    </row>
    <row r="467" customFormat="false" ht="13.8" hidden="false" customHeight="false" outlineLevel="0" collapsed="false">
      <c r="B467" s="2" t="n">
        <v>465</v>
      </c>
      <c r="C467" s="2" t="n">
        <v>1.34019245151695E-009</v>
      </c>
      <c r="D467" s="2" t="n">
        <v>8.26375560041603E-010</v>
      </c>
      <c r="E467" s="2" t="n">
        <v>0.217420099978926</v>
      </c>
    </row>
    <row r="468" customFormat="false" ht="13.8" hidden="false" customHeight="false" outlineLevel="0" collapsed="false">
      <c r="B468" s="2" t="n">
        <v>466</v>
      </c>
      <c r="C468" s="2" t="n">
        <v>1.29381992115615E-009</v>
      </c>
      <c r="D468" s="2" t="n">
        <v>7.80025787317334E-010</v>
      </c>
      <c r="E468" s="2" t="n">
        <v>0.17740418331273</v>
      </c>
    </row>
    <row r="469" customFormat="false" ht="13.8" hidden="false" customHeight="false" outlineLevel="0" collapsed="false">
      <c r="B469" s="2" t="n">
        <v>467</v>
      </c>
      <c r="C469" s="2" t="n">
        <v>1.24744693367093E-009</v>
      </c>
      <c r="D469" s="2" t="n">
        <v>7.3367556356398E-010</v>
      </c>
      <c r="E469" s="2" t="n">
        <v>0.200970949979867</v>
      </c>
    </row>
    <row r="470" customFormat="false" ht="13.8" hidden="false" customHeight="false" outlineLevel="0" collapsed="false">
      <c r="B470" s="2" t="n">
        <v>468</v>
      </c>
      <c r="C470" s="2" t="n">
        <v>1.20107347181651E-009</v>
      </c>
      <c r="D470" s="2" t="n">
        <v>6.87324898218288E-010</v>
      </c>
      <c r="E470" s="2" t="n">
        <v>0.177770399980337</v>
      </c>
    </row>
    <row r="471" customFormat="false" ht="13.8" hidden="false" customHeight="false" outlineLevel="0" collapsed="false">
      <c r="B471" s="2" t="n">
        <v>469</v>
      </c>
      <c r="C471" s="2" t="n">
        <v>1.15469954212434E-009</v>
      </c>
      <c r="D471" s="2" t="n">
        <v>6.40973788444233E-010</v>
      </c>
      <c r="E471" s="2" t="n">
        <v>0.189387699980808</v>
      </c>
    </row>
    <row r="472" customFormat="false" ht="13.8" hidden="false" customHeight="false" outlineLevel="0" collapsed="false">
      <c r="B472" s="2" t="n">
        <v>470</v>
      </c>
      <c r="C472" s="2" t="n">
        <v>1.10832515535613E-009</v>
      </c>
      <c r="D472" s="2" t="n">
        <v>5.94622225033777E-010</v>
      </c>
      <c r="E472" s="2" t="n">
        <v>0.199703699981278</v>
      </c>
    </row>
    <row r="473" customFormat="false" ht="13.8" hidden="false" customHeight="false" outlineLevel="0" collapsed="false">
      <c r="B473" s="2" t="n">
        <v>471</v>
      </c>
      <c r="C473" s="2" t="n">
        <v>1.06195029555888E-009</v>
      </c>
      <c r="D473" s="2" t="n">
        <v>5.48270239504447E-010</v>
      </c>
      <c r="E473" s="2" t="n">
        <v>0.162754133315082</v>
      </c>
    </row>
    <row r="474" customFormat="false" ht="13.8" hidden="false" customHeight="false" outlineLevel="0" collapsed="false">
      <c r="B474" s="2" t="n">
        <v>472</v>
      </c>
      <c r="C474" s="2" t="n">
        <v>1.01557497345015E-009</v>
      </c>
      <c r="D474" s="2" t="n">
        <v>5.0191781958719E-010</v>
      </c>
      <c r="E474" s="2" t="n">
        <v>0.191504049982219</v>
      </c>
    </row>
    <row r="475" customFormat="false" ht="13.8" hidden="false" customHeight="false" outlineLevel="0" collapsed="false">
      <c r="B475" s="2" t="n">
        <v>473</v>
      </c>
      <c r="C475" s="2" t="n">
        <v>9.69199181825631E-010</v>
      </c>
      <c r="D475" s="2" t="n">
        <v>4.55565013790681E-010</v>
      </c>
      <c r="E475" s="2" t="n">
        <v>0.166103816649356</v>
      </c>
    </row>
    <row r="476" customFormat="false" ht="13.8" hidden="false" customHeight="false" outlineLevel="0" collapsed="false">
      <c r="B476" s="2" t="n">
        <v>474</v>
      </c>
      <c r="C476" s="2" t="n">
        <v>9.2282292629898E-010</v>
      </c>
      <c r="D476" s="2" t="n">
        <v>4.09211800384122E-010</v>
      </c>
      <c r="E476" s="2" t="n">
        <v>0.192170516649826</v>
      </c>
    </row>
    <row r="477" customFormat="false" ht="13.8" hidden="false" customHeight="false" outlineLevel="0" collapsed="false">
      <c r="B477" s="2" t="n">
        <v>475</v>
      </c>
      <c r="C477" s="2" t="n">
        <v>8.76446203950549E-010</v>
      </c>
      <c r="D477" s="2" t="n">
        <v>3.62858242684997E-010</v>
      </c>
      <c r="E477" s="2" t="n">
        <v>0.154420366650296</v>
      </c>
    </row>
    <row r="478" customFormat="false" ht="13.8" hidden="false" customHeight="false" outlineLevel="0" collapsed="false">
      <c r="B478" s="2" t="n">
        <v>476</v>
      </c>
      <c r="C478" s="2" t="n">
        <v>8.30069022314924E-010</v>
      </c>
      <c r="D478" s="2" t="n">
        <v>3.16504388327024E-010</v>
      </c>
      <c r="E478" s="2" t="n">
        <v>0.155704183317433</v>
      </c>
    </row>
    <row r="479" customFormat="false" ht="13.8" hidden="false" customHeight="false" outlineLevel="0" collapsed="false">
      <c r="B479" s="2" t="n">
        <v>477</v>
      </c>
      <c r="C479" s="2" t="n">
        <v>7.83691364714749E-010</v>
      </c>
      <c r="D479" s="2" t="n">
        <v>2.70150336542327E-010</v>
      </c>
      <c r="E479" s="2" t="n">
        <v>0.130336149984571</v>
      </c>
    </row>
    <row r="480" customFormat="false" ht="13.8" hidden="false" customHeight="false" outlineLevel="0" collapsed="false">
      <c r="B480" s="2" t="n">
        <v>478</v>
      </c>
      <c r="C480" s="2" t="n">
        <v>7.37313246137993E-010</v>
      </c>
      <c r="D480" s="2" t="n">
        <v>2.23796271818746E-010</v>
      </c>
      <c r="E480" s="2" t="n">
        <v>0.153219116651708</v>
      </c>
    </row>
    <row r="481" customFormat="false" ht="13.8" hidden="false" customHeight="false" outlineLevel="0" collapsed="false">
      <c r="B481" s="2" t="n">
        <v>479</v>
      </c>
      <c r="C481" s="2" t="n">
        <v>6.90934668128161E-010</v>
      </c>
      <c r="D481" s="2" t="n">
        <v>1.77442659420632E-010</v>
      </c>
      <c r="E481" s="2" t="n">
        <v>0.145319016652178</v>
      </c>
    </row>
    <row r="482" customFormat="false" ht="13.8" hidden="false" customHeight="false" outlineLevel="0" collapsed="false">
      <c r="B482" s="2" t="n">
        <v>480</v>
      </c>
      <c r="C482" s="2" t="n">
        <v>6.44555617798155E-010</v>
      </c>
      <c r="D482" s="2" t="n">
        <v>1.31090748136355E-010</v>
      </c>
      <c r="E482" s="2" t="n">
        <v>0.115119999985982</v>
      </c>
    </row>
    <row r="483" customFormat="false" ht="13.8" hidden="false" customHeight="false" outlineLevel="0" collapsed="false">
      <c r="B483" s="2" t="n">
        <v>481</v>
      </c>
      <c r="C483" s="2" t="n">
        <v>5.98176103227162E-010</v>
      </c>
      <c r="D483" s="2" t="n">
        <v>8.47405259009827E-011</v>
      </c>
      <c r="E483" s="2" t="n">
        <v>0.0751861166531187</v>
      </c>
    </row>
    <row r="484" customFormat="false" ht="13.8" hidden="false" customHeight="false" outlineLevel="0" collapsed="false">
      <c r="B484" s="2" t="n">
        <v>482</v>
      </c>
      <c r="C484" s="2" t="n">
        <v>5.31753770042362E-010</v>
      </c>
      <c r="D484" s="2" t="n">
        <v>0</v>
      </c>
      <c r="E484" s="2" t="n">
        <v>0.132212106214942</v>
      </c>
    </row>
    <row r="485" customFormat="false" ht="13.8" hidden="false" customHeight="false" outlineLevel="0" collapsed="false">
      <c r="B485" s="2" t="n">
        <v>483</v>
      </c>
      <c r="C485" s="2" t="n">
        <v>5.08477069632517E-010</v>
      </c>
      <c r="D485" s="2" t="n">
        <v>0</v>
      </c>
      <c r="E485" s="2" t="n">
        <v>0.107742710197848</v>
      </c>
    </row>
    <row r="486" customFormat="false" ht="13.8" hidden="false" customHeight="false" outlineLevel="0" collapsed="false">
      <c r="B486" s="2" t="n">
        <v>484</v>
      </c>
      <c r="C486" s="2" t="n">
        <v>4.85200173175106E-010</v>
      </c>
      <c r="D486" s="2" t="n">
        <v>0</v>
      </c>
      <c r="E486" s="2" t="n">
        <v>0.0763676117446271</v>
      </c>
    </row>
    <row r="487" customFormat="false" ht="13.8" hidden="false" customHeight="false" outlineLevel="0" collapsed="false">
      <c r="B487" s="2" t="n">
        <v>485</v>
      </c>
      <c r="C487" s="2" t="n">
        <v>4.61923060003508E-010</v>
      </c>
      <c r="D487" s="2" t="n">
        <v>0</v>
      </c>
      <c r="E487" s="2" t="n">
        <v>0.0748502591585351</v>
      </c>
    </row>
    <row r="488" customFormat="false" ht="13.8" hidden="false" customHeight="false" outlineLevel="0" collapsed="false">
      <c r="B488" s="2" t="n">
        <v>486</v>
      </c>
      <c r="C488" s="2" t="n">
        <v>4.38645719069165E-010</v>
      </c>
      <c r="D488" s="2" t="n">
        <v>0</v>
      </c>
      <c r="E488" s="2" t="n">
        <v>0.0510224024060438</v>
      </c>
    </row>
    <row r="489" customFormat="false" ht="13.8" hidden="false" customHeight="false" outlineLevel="0" collapsed="false">
      <c r="B489" s="2" t="n">
        <v>487</v>
      </c>
      <c r="C489" s="2" t="n">
        <v>4.15368150583384E-010</v>
      </c>
      <c r="D489" s="2" t="n">
        <v>0</v>
      </c>
      <c r="E489" s="2" t="n">
        <v>0.0532369821835315</v>
      </c>
    </row>
    <row r="490" customFormat="false" ht="13.8" hidden="false" customHeight="false" outlineLevel="0" collapsed="false">
      <c r="B490" s="2" t="n">
        <v>488</v>
      </c>
      <c r="C490" s="2" t="n">
        <v>3.92090350028743E-010</v>
      </c>
      <c r="D490" s="2" t="n">
        <v>0</v>
      </c>
      <c r="E490" s="2" t="n">
        <v>0.0452242753817428</v>
      </c>
    </row>
    <row r="491" customFormat="false" ht="13.8" hidden="false" customHeight="false" outlineLevel="0" collapsed="false">
      <c r="B491" s="2" t="n">
        <v>489</v>
      </c>
      <c r="C491" s="2" t="n">
        <v>3.68961380978802E-010</v>
      </c>
      <c r="D491" s="2" t="n">
        <v>0</v>
      </c>
      <c r="E491" s="2" t="n">
        <v>0.0940333499922288</v>
      </c>
    </row>
    <row r="492" customFormat="false" ht="13.8" hidden="false" customHeight="false" outlineLevel="0" collapsed="false">
      <c r="B492" s="2" t="n">
        <v>490</v>
      </c>
      <c r="C492" s="2" t="n">
        <v>3.45534053155771E-010</v>
      </c>
      <c r="D492" s="2" t="n">
        <v>0</v>
      </c>
      <c r="E492" s="2" t="n">
        <v>0.0427489459376378</v>
      </c>
    </row>
    <row r="493" customFormat="false" ht="13.8" hidden="false" customHeight="false" outlineLevel="0" collapsed="false">
      <c r="B493" s="2" t="n">
        <v>491</v>
      </c>
      <c r="C493" s="2" t="n">
        <v>3.22287819006894E-010</v>
      </c>
      <c r="D493" s="2" t="n">
        <v>0</v>
      </c>
      <c r="E493" s="2" t="n">
        <v>0.0898666999924628</v>
      </c>
    </row>
    <row r="494" customFormat="false" ht="13.8" hidden="false" customHeight="false" outlineLevel="0" collapsed="false">
      <c r="B494" s="2" t="n">
        <v>492</v>
      </c>
      <c r="C494" s="2" t="n">
        <v>2.98976814533994E-010</v>
      </c>
      <c r="D494" s="2" t="n">
        <v>0</v>
      </c>
      <c r="E494" s="2" t="n">
        <v>0.0418028790078148</v>
      </c>
    </row>
    <row r="495" customFormat="false" ht="13.8" hidden="false" customHeight="false" outlineLevel="0" collapsed="false">
      <c r="B495" s="2" t="n">
        <v>493</v>
      </c>
      <c r="C495" s="2" t="n">
        <v>2.7574310796708E-010</v>
      </c>
      <c r="D495" s="2" t="n">
        <v>0</v>
      </c>
      <c r="E495" s="2" t="n">
        <v>0.100866833326121</v>
      </c>
    </row>
    <row r="496" customFormat="false" ht="13.8" hidden="false" customHeight="false" outlineLevel="0" collapsed="false">
      <c r="B496" s="2" t="n">
        <v>494</v>
      </c>
      <c r="C496" s="2" t="n">
        <v>2.5241864747336E-010</v>
      </c>
      <c r="D496" s="2" t="n">
        <v>0</v>
      </c>
      <c r="E496" s="2" t="n">
        <v>0.0542765340462053</v>
      </c>
    </row>
    <row r="497" customFormat="false" ht="13.8" hidden="false" customHeight="false" outlineLevel="0" collapsed="false">
      <c r="B497" s="2" t="n">
        <v>495</v>
      </c>
      <c r="C497" s="2" t="n">
        <v>2.29318764715159E-010</v>
      </c>
      <c r="D497" s="2" t="n">
        <v>0</v>
      </c>
      <c r="E497" s="2" t="n">
        <v>0.103500083326625</v>
      </c>
    </row>
    <row r="498" customFormat="false" ht="13.8" hidden="false" customHeight="false" outlineLevel="0" collapsed="false">
      <c r="B498" s="2" t="n">
        <v>496</v>
      </c>
      <c r="C498" s="2" t="n">
        <v>2.05859550120019E-010</v>
      </c>
      <c r="D498" s="2" t="n">
        <v>0</v>
      </c>
      <c r="E498" s="2" t="n">
        <v>0.051174599507713</v>
      </c>
    </row>
    <row r="499" customFormat="false" ht="13.8" hidden="false" customHeight="false" outlineLevel="0" collapsed="false">
      <c r="B499" s="2" t="n">
        <v>497</v>
      </c>
      <c r="C499" s="2" t="n">
        <v>1.83116262946537E-010</v>
      </c>
      <c r="D499" s="2" t="n">
        <v>1.54207865545108E-012</v>
      </c>
      <c r="E499" s="2" t="n">
        <v>0.0988167833275765</v>
      </c>
    </row>
    <row r="500" customFormat="false" ht="13.8" hidden="false" customHeight="false" outlineLevel="0" collapsed="false">
      <c r="B500" s="2" t="n">
        <v>498</v>
      </c>
      <c r="C500" s="2" t="n">
        <v>1.59299525254659E-010</v>
      </c>
      <c r="D500" s="2" t="n">
        <v>0</v>
      </c>
      <c r="E500" s="2" t="n">
        <v>0.0478929967892351</v>
      </c>
    </row>
    <row r="501" customFormat="false" ht="13.8" hidden="false" customHeight="false" outlineLevel="0" collapsed="false">
      <c r="B501" s="2" t="n">
        <v>499</v>
      </c>
      <c r="C501" s="2" t="n">
        <v>1.37576433053327E-010</v>
      </c>
      <c r="D501" s="2" t="n">
        <v>5.84837689522349E-012</v>
      </c>
      <c r="E501" s="2" t="n">
        <v>0.0921166999965297</v>
      </c>
    </row>
    <row r="502" customFormat="false" ht="13.8" hidden="false" customHeight="false" outlineLevel="0" collapsed="false">
      <c r="B502" s="2" t="n">
        <v>500</v>
      </c>
      <c r="C502" s="2" t="n">
        <v>1.1273857719726E-010</v>
      </c>
      <c r="D502" s="2" t="n">
        <v>0</v>
      </c>
      <c r="E502" s="2" t="n">
        <v>0.0435845940825469</v>
      </c>
    </row>
    <row r="503" customFormat="false" ht="13.8" hidden="false" customHeight="false" outlineLevel="0" collapsed="false">
      <c r="B503" s="2" t="n">
        <v>501</v>
      </c>
      <c r="C503" s="2" t="n">
        <v>9.39593575586029E-011</v>
      </c>
      <c r="D503" s="2" t="n">
        <v>1.79358902298833E-011</v>
      </c>
      <c r="E503" s="2" t="n">
        <v>0.0920501333360188</v>
      </c>
    </row>
    <row r="504" customFormat="false" ht="13.8" hidden="false" customHeight="false" outlineLevel="0" collapsed="false">
      <c r="B504" s="2" t="n">
        <v>502</v>
      </c>
      <c r="C504" s="2" t="n">
        <v>6.60499015387057E-011</v>
      </c>
      <c r="D504" s="2" t="n">
        <v>0</v>
      </c>
      <c r="E504" s="2" t="n">
        <v>0.0559559031222335</v>
      </c>
    </row>
    <row r="505" customFormat="false" ht="13.8" hidden="false" customHeight="false" outlineLevel="0" collapsed="false">
      <c r="B505" s="2" t="n">
        <v>503</v>
      </c>
      <c r="C505" s="2" t="n">
        <v>6.81950733114116E-014</v>
      </c>
      <c r="D505" s="2" t="n">
        <v>6.89488766557145E-014</v>
      </c>
      <c r="E505" s="2" t="n">
        <v>0.122685002172043</v>
      </c>
    </row>
    <row r="506" customFormat="false" ht="13.8" hidden="false" customHeight="false" outlineLevel="0" collapsed="false">
      <c r="B506" s="2" t="n">
        <v>504</v>
      </c>
      <c r="C506" s="2" t="n">
        <v>1.84488859748297E-011</v>
      </c>
      <c r="D506" s="2" t="n">
        <v>0.000132571345372147</v>
      </c>
      <c r="E506" s="2" t="n">
        <v>0.0298304482774573</v>
      </c>
    </row>
    <row r="507" customFormat="false" ht="13.8" hidden="false" customHeight="false" outlineLevel="0" collapsed="false">
      <c r="B507" s="2" t="n">
        <v>505</v>
      </c>
      <c r="C507" s="2" t="n">
        <v>9.24774372788579E-014</v>
      </c>
      <c r="D507" s="2" t="n">
        <v>0.000176761791441619</v>
      </c>
      <c r="E507" s="2" t="n">
        <v>0.0547810250834406</v>
      </c>
    </row>
    <row r="508" customFormat="false" ht="13.8" hidden="false" customHeight="false" outlineLevel="0" collapsed="false">
      <c r="B508" s="2" t="n">
        <v>506</v>
      </c>
      <c r="C508" s="2" t="n">
        <v>9.31897854356178E-014</v>
      </c>
      <c r="D508" s="2" t="n">
        <v>0.000642106400641589</v>
      </c>
      <c r="E508" s="2" t="n">
        <v>0.020424050697746</v>
      </c>
    </row>
    <row r="509" customFormat="false" ht="13.8" hidden="false" customHeight="false" outlineLevel="0" collapsed="false">
      <c r="B509" s="2" t="n">
        <v>507</v>
      </c>
      <c r="C509" s="2" t="n">
        <v>9.38982188998582E-014</v>
      </c>
      <c r="D509" s="2" t="n">
        <v>0.00110745100984158</v>
      </c>
      <c r="E509" s="2" t="n">
        <v>0.0441049421059902</v>
      </c>
    </row>
    <row r="510" customFormat="false" ht="13.8" hidden="false" customHeight="false" outlineLevel="0" collapsed="false">
      <c r="B510" s="2" t="n">
        <v>508</v>
      </c>
      <c r="C510" s="2" t="n">
        <v>9.45551715613783E-014</v>
      </c>
      <c r="D510" s="2" t="n">
        <v>0.00157279561904155</v>
      </c>
      <c r="E510" s="2" t="n">
        <v>0.0125795054193164</v>
      </c>
    </row>
    <row r="511" customFormat="false" ht="13.8" hidden="false" customHeight="false" outlineLevel="0" collapsed="false">
      <c r="B511" s="2" t="n">
        <v>509</v>
      </c>
      <c r="C511" s="2" t="n">
        <v>9.50738428873702E-014</v>
      </c>
      <c r="D511" s="2" t="n">
        <v>0.00203814022824147</v>
      </c>
      <c r="E511" s="2" t="n">
        <v>0.0459106667126123</v>
      </c>
    </row>
    <row r="512" customFormat="false" ht="13.8" hidden="false" customHeight="false" outlineLevel="0" collapsed="false">
      <c r="B512" s="2" t="n">
        <v>510</v>
      </c>
      <c r="C512" s="2" t="n">
        <v>3.4008817737591E-014</v>
      </c>
      <c r="D512" s="2" t="n">
        <v>0.00851876519374907</v>
      </c>
      <c r="E512" s="2" t="n">
        <v>0.0224872009326483</v>
      </c>
    </row>
    <row r="513" customFormat="false" ht="13.8" hidden="false" customHeight="false" outlineLevel="0" collapsed="false">
      <c r="B513" s="2" t="n">
        <v>511</v>
      </c>
      <c r="C513" s="2" t="n">
        <v>0</v>
      </c>
      <c r="D513" s="2" t="n">
        <v>1.06862182571756E-013</v>
      </c>
      <c r="E513" s="2" t="n">
        <v>0.0848505276555753</v>
      </c>
    </row>
    <row r="514" customFormat="false" ht="13.8" hidden="false" customHeight="false" outlineLevel="0" collapsed="false">
      <c r="B514" s="2" t="n">
        <v>512</v>
      </c>
      <c r="C514" s="2" t="n">
        <v>0</v>
      </c>
      <c r="D514" s="2" t="n">
        <v>1.06700862656556E-013</v>
      </c>
      <c r="E514" s="2" t="n">
        <v>0.0121865233934185</v>
      </c>
    </row>
    <row r="515" customFormat="false" ht="13.8" hidden="false" customHeight="false" outlineLevel="0" collapsed="false">
      <c r="B515" s="2" t="n">
        <v>513</v>
      </c>
      <c r="C515" s="2" t="n">
        <v>0</v>
      </c>
      <c r="D515" s="2" t="n">
        <v>1.06782890420298E-013</v>
      </c>
      <c r="E515" s="2" t="n">
        <v>0.0657732691312469</v>
      </c>
    </row>
    <row r="516" customFormat="false" ht="13.8" hidden="false" customHeight="false" outlineLevel="0" collapsed="false">
      <c r="B516" s="2" t="n">
        <v>514</v>
      </c>
      <c r="C516" s="2" t="n">
        <v>3.16104398612751E-012</v>
      </c>
      <c r="D516" s="2" t="n">
        <v>0</v>
      </c>
      <c r="E516" s="2" t="n">
        <v>0.0398987239669502</v>
      </c>
    </row>
    <row r="517" customFormat="false" ht="13.8" hidden="false" customHeight="false" outlineLevel="0" collapsed="false">
      <c r="B517" s="2" t="n">
        <v>515</v>
      </c>
      <c r="C517" s="2" t="n">
        <v>0</v>
      </c>
      <c r="D517" s="2" t="n">
        <v>1.06458426748939E-013</v>
      </c>
      <c r="E517" s="2" t="n">
        <v>0.114879764724553</v>
      </c>
    </row>
    <row r="518" customFormat="false" ht="13.8" hidden="false" customHeight="false" outlineLevel="0" collapsed="false">
      <c r="B518" s="2" t="n">
        <v>516</v>
      </c>
      <c r="C518" s="2" t="n">
        <v>3.13589067240625E-012</v>
      </c>
      <c r="D518" s="2" t="n">
        <v>0</v>
      </c>
      <c r="E518" s="2" t="n">
        <v>0.0952565240983987</v>
      </c>
    </row>
    <row r="519" customFormat="false" ht="13.8" hidden="false" customHeight="false" outlineLevel="0" collapsed="false">
      <c r="B519" s="2" t="n">
        <v>517</v>
      </c>
      <c r="C519" s="2" t="n">
        <v>3.12359534149031E-012</v>
      </c>
      <c r="D519" s="2" t="n">
        <v>0</v>
      </c>
      <c r="E519" s="2" t="n">
        <v>0.122735638599601</v>
      </c>
    </row>
    <row r="520" customFormat="false" ht="13.8" hidden="false" customHeight="false" outlineLevel="0" collapsed="false">
      <c r="B520" s="2" t="n">
        <v>518</v>
      </c>
      <c r="C520" s="2" t="n">
        <v>0</v>
      </c>
      <c r="D520" s="2" t="n">
        <v>1.03065786971238E-013</v>
      </c>
      <c r="E520" s="2" t="n">
        <v>0.12667636308249</v>
      </c>
    </row>
    <row r="521" customFormat="false" ht="13.8" hidden="false" customHeight="false" outlineLevel="0" collapsed="false">
      <c r="B521" s="2" t="n">
        <v>519</v>
      </c>
      <c r="C521" s="2" t="n">
        <v>0</v>
      </c>
      <c r="D521" s="2" t="n">
        <v>1.02013193248161E-013</v>
      </c>
      <c r="E521" s="2" t="n">
        <v>0.0885365176757093</v>
      </c>
    </row>
    <row r="522" customFormat="false" ht="13.8" hidden="false" customHeight="false" outlineLevel="0" collapsed="false">
      <c r="B522" s="2" t="n">
        <v>520</v>
      </c>
      <c r="C522" s="2" t="n">
        <v>0</v>
      </c>
      <c r="D522" s="2" t="n">
        <v>1.00895657697453E-013</v>
      </c>
      <c r="E522" s="2" t="n">
        <v>0.0671755794671169</v>
      </c>
    </row>
    <row r="523" customFormat="false" ht="13.8" hidden="false" customHeight="false" outlineLevel="0" collapsed="false">
      <c r="B523" s="2" t="n">
        <v>521</v>
      </c>
      <c r="C523" s="2" t="n">
        <v>9.77524512739419E-011</v>
      </c>
      <c r="D523" s="2" t="n">
        <v>1.96834071087396E-010</v>
      </c>
      <c r="E523" s="2" t="n">
        <v>0.00313944368726089</v>
      </c>
    </row>
    <row r="524" customFormat="false" ht="13.8" hidden="false" customHeight="false" outlineLevel="0" collapsed="false">
      <c r="B524" s="2" t="n">
        <v>522</v>
      </c>
      <c r="C524" s="2" t="n">
        <v>1.44207351241822E-010</v>
      </c>
      <c r="D524" s="2" t="n">
        <v>2.90184187131979E-010</v>
      </c>
      <c r="E524" s="2" t="n">
        <v>0.0018011946186926</v>
      </c>
    </row>
    <row r="525" customFormat="false" ht="13.8" hidden="false" customHeight="false" outlineLevel="0" collapsed="false">
      <c r="B525" s="2" t="n">
        <v>523</v>
      </c>
      <c r="C525" s="2" t="n">
        <v>1.88529502586894E-010</v>
      </c>
      <c r="D525" s="2" t="n">
        <v>3.77783363000712E-010</v>
      </c>
      <c r="E525" s="2" t="n">
        <v>3.16082636878326E-009</v>
      </c>
    </row>
    <row r="526" customFormat="false" ht="13.8" hidden="false" customHeight="false" outlineLevel="0" collapsed="false">
      <c r="B526" s="2" t="n">
        <v>524</v>
      </c>
      <c r="C526" s="2" t="n">
        <v>2.33726500782324E-010</v>
      </c>
      <c r="D526" s="2" t="n">
        <v>4.69800092877727E-010</v>
      </c>
      <c r="E526" s="2" t="n">
        <v>3.93028495568854E-009</v>
      </c>
    </row>
    <row r="527" customFormat="false" ht="13.8" hidden="false" customHeight="false" outlineLevel="0" collapsed="false">
      <c r="B527" s="2" t="n">
        <v>525</v>
      </c>
      <c r="C527" s="2" t="n">
        <v>0</v>
      </c>
      <c r="D527" s="2" t="n">
        <v>0</v>
      </c>
      <c r="E527" s="2" t="n">
        <v>3.30849303004231E-009</v>
      </c>
    </row>
    <row r="528" customFormat="false" ht="13.8" hidden="false" customHeight="false" outlineLevel="0" collapsed="false">
      <c r="B528" s="2" t="n">
        <v>526</v>
      </c>
      <c r="C528" s="2" t="n">
        <v>3.24123337502385E-010</v>
      </c>
      <c r="D528" s="2" t="n">
        <v>6.53836255865605E-010</v>
      </c>
      <c r="E528" s="2" t="n">
        <v>5.46922467662082E-009</v>
      </c>
    </row>
    <row r="529" customFormat="false" ht="13.8" hidden="false" customHeight="false" outlineLevel="0" collapsed="false">
      <c r="B529" s="2" t="n">
        <v>527</v>
      </c>
      <c r="C529" s="2" t="n">
        <v>3.6932318753176E-010</v>
      </c>
      <c r="D529" s="2" t="n">
        <v>7.45855684527701E-010</v>
      </c>
      <c r="E529" s="2" t="n">
        <v>6.23870573828212E-009</v>
      </c>
    </row>
    <row r="530" customFormat="false" ht="13.8" hidden="false" customHeight="false" outlineLevel="0" collapsed="false">
      <c r="B530" s="2" t="n">
        <v>528</v>
      </c>
      <c r="C530" s="2" t="n">
        <v>0</v>
      </c>
      <c r="D530" s="2" t="n">
        <v>0</v>
      </c>
      <c r="E530" s="2" t="n">
        <v>4.9335261789898E-009</v>
      </c>
    </row>
    <row r="531" customFormat="false" ht="13.8" hidden="false" customHeight="false" outlineLevel="0" collapsed="false">
      <c r="B531" s="2" t="n">
        <v>529</v>
      </c>
      <c r="C531" s="2" t="n">
        <v>4.59725186360897E-010</v>
      </c>
      <c r="D531" s="2" t="n">
        <v>9.29897283942694E-010</v>
      </c>
      <c r="E531" s="2" t="n">
        <v>7.77769057705833E-009</v>
      </c>
    </row>
    <row r="532" customFormat="false" ht="13.8" hidden="false" customHeight="false" outlineLevel="0" collapsed="false">
      <c r="B532" s="2" t="n">
        <v>530</v>
      </c>
      <c r="C532" s="2" t="n">
        <v>5.04927278719582E-010</v>
      </c>
      <c r="D532" s="2" t="n">
        <v>1.02191945515425E-009</v>
      </c>
      <c r="E532" s="2" t="n">
        <v>8.54719431474085E-009</v>
      </c>
    </row>
    <row r="533" customFormat="false" ht="13.8" hidden="false" customHeight="false" outlineLevel="0" collapsed="false">
      <c r="B533" s="2" t="n">
        <v>531</v>
      </c>
      <c r="C533" s="2" t="n">
        <v>5.62319813069563E-010</v>
      </c>
      <c r="D533" s="2" t="n">
        <v>1.13038158660609E-009</v>
      </c>
      <c r="E533" s="2" t="n">
        <v>0.0226011411533977</v>
      </c>
    </row>
    <row r="534" customFormat="false" ht="13.8" hidden="false" customHeight="false" outlineLevel="0" collapsed="false">
      <c r="B534" s="2" t="n">
        <v>532</v>
      </c>
      <c r="C534" s="2" t="n">
        <v>5.95333584436119E-010</v>
      </c>
      <c r="D534" s="2" t="n">
        <v>1.20596652662717E-009</v>
      </c>
      <c r="E534" s="2" t="n">
        <v>1.00862245372706E-008</v>
      </c>
    </row>
    <row r="535" customFormat="false" ht="13.8" hidden="false" customHeight="false" outlineLevel="0" collapsed="false">
      <c r="B535" s="2" t="n">
        <v>533</v>
      </c>
      <c r="C535" s="2" t="n">
        <v>6.55238204039969E-010</v>
      </c>
      <c r="D535" s="2" t="n">
        <v>1.31710339014022E-009</v>
      </c>
      <c r="E535" s="2" t="n">
        <v>0.00212132337401755</v>
      </c>
    </row>
    <row r="536" customFormat="false" ht="13.8" hidden="false" customHeight="false" outlineLevel="0" collapsed="false">
      <c r="B536" s="2" t="n">
        <v>534</v>
      </c>
      <c r="C536" s="2" t="n">
        <v>7.01698097644308E-010</v>
      </c>
      <c r="D536" s="2" t="n">
        <v>1.410465787071E-009</v>
      </c>
      <c r="E536" s="2" t="n">
        <v>0.0206067656342751</v>
      </c>
    </row>
    <row r="537" customFormat="false" ht="13.8" hidden="false" customHeight="false" outlineLevel="0" collapsed="false">
      <c r="B537" s="2" t="n">
        <v>535</v>
      </c>
      <c r="C537" s="2" t="n">
        <v>7.30948397911569E-010</v>
      </c>
      <c r="D537" s="2" t="n">
        <v>1.48204402226478E-009</v>
      </c>
      <c r="E537" s="2" t="n">
        <v>1.2394826737656E-008</v>
      </c>
    </row>
    <row r="538" customFormat="false" ht="13.8" hidden="false" customHeight="false" outlineLevel="0" collapsed="false">
      <c r="B538" s="2" t="n">
        <v>536</v>
      </c>
      <c r="C538" s="2" t="n">
        <v>7.94850100065828E-010</v>
      </c>
      <c r="D538" s="2" t="n">
        <v>1.59719254958084E-009</v>
      </c>
      <c r="E538" s="2" t="n">
        <v>0.0360796180019447</v>
      </c>
    </row>
    <row r="539" customFormat="false" ht="13.8" hidden="false" customHeight="false" outlineLevel="0" collapsed="false">
      <c r="B539" s="2" t="n">
        <v>537</v>
      </c>
      <c r="C539" s="2" t="n">
        <v>8.41311283043869E-010</v>
      </c>
      <c r="D539" s="2" t="n">
        <v>1.69055784746803E-009</v>
      </c>
      <c r="E539" s="2" t="n">
        <v>0.0409486102826555</v>
      </c>
    </row>
    <row r="540" customFormat="false" ht="13.8" hidden="false" customHeight="false" outlineLevel="0" collapsed="false">
      <c r="B540" s="2" t="n">
        <v>538</v>
      </c>
      <c r="C540" s="2" t="n">
        <v>8.87771169282479E-010</v>
      </c>
      <c r="D540" s="2" t="n">
        <v>1.78392401885129E-009</v>
      </c>
      <c r="E540" s="2" t="n">
        <v>0.0526810744895434</v>
      </c>
    </row>
    <row r="541" customFormat="false" ht="13.8" hidden="false" customHeight="false" outlineLevel="0" collapsed="false">
      <c r="B541" s="2" t="n">
        <v>539</v>
      </c>
      <c r="C541" s="2" t="n">
        <v>9.34231471417692E-010</v>
      </c>
      <c r="D541" s="2" t="n">
        <v>1.87729121454403E-009</v>
      </c>
      <c r="E541" s="2" t="n">
        <v>0.0496801386964259</v>
      </c>
    </row>
    <row r="542" customFormat="false" ht="13.8" hidden="false" customHeight="false" outlineLevel="0" collapsed="false">
      <c r="B542" s="2" t="n">
        <v>540</v>
      </c>
      <c r="C542" s="2" t="n">
        <v>9.80690120933629E-010</v>
      </c>
      <c r="D542" s="2" t="n">
        <v>1.9706584256587E-009</v>
      </c>
      <c r="E542" s="2" t="n">
        <v>0.033945819544503</v>
      </c>
    </row>
    <row r="543" customFormat="false" ht="13.8" hidden="false" customHeight="false" outlineLevel="0" collapsed="false">
      <c r="B543" s="2" t="n">
        <v>541</v>
      </c>
      <c r="C543" s="2" t="n">
        <v>1.99701751567986E-009</v>
      </c>
      <c r="D543" s="2" t="n">
        <v>0.00552265290342904</v>
      </c>
      <c r="E543" s="2" t="n">
        <v>0.0195205286821516</v>
      </c>
    </row>
    <row r="544" customFormat="false" ht="13.8" hidden="false" customHeight="false" outlineLevel="0" collapsed="false">
      <c r="B544" s="2" t="n">
        <v>542</v>
      </c>
      <c r="C544" s="2" t="n">
        <v>1.95060012110477E-009</v>
      </c>
      <c r="D544" s="2" t="n">
        <v>0.00496623754924377</v>
      </c>
      <c r="E544" s="2" t="n">
        <v>0.0541518344847729</v>
      </c>
    </row>
    <row r="545" customFormat="false" ht="13.8" hidden="false" customHeight="false" outlineLevel="0" collapsed="false">
      <c r="B545" s="2" t="n">
        <v>543</v>
      </c>
      <c r="C545" s="2" t="n">
        <v>1.90418481221728E-009</v>
      </c>
      <c r="D545" s="2" t="n">
        <v>0.00440982219505932</v>
      </c>
      <c r="E545" s="2" t="n">
        <v>0.0616167569540634</v>
      </c>
    </row>
    <row r="546" customFormat="false" ht="13.8" hidden="false" customHeight="false" outlineLevel="0" collapsed="false">
      <c r="B546" s="2" t="n">
        <v>544</v>
      </c>
      <c r="C546" s="2" t="n">
        <v>1.85776967643874E-009</v>
      </c>
      <c r="D546" s="2" t="n">
        <v>0.00385340684087488</v>
      </c>
      <c r="E546" s="2" t="n">
        <v>0.0295816294233536</v>
      </c>
    </row>
    <row r="547" customFormat="false" ht="13.8" hidden="false" customHeight="false" outlineLevel="0" collapsed="false">
      <c r="B547" s="2" t="n">
        <v>545</v>
      </c>
      <c r="C547" s="2" t="n">
        <v>1.81135477430497E-009</v>
      </c>
      <c r="D547" s="2" t="n">
        <v>0.00329699148669045</v>
      </c>
      <c r="E547" s="2" t="n">
        <v>0.0582127352259771</v>
      </c>
    </row>
    <row r="548" customFormat="false" ht="13.8" hidden="false" customHeight="false" outlineLevel="0" collapsed="false">
      <c r="B548" s="2" t="n">
        <v>546</v>
      </c>
      <c r="C548" s="2" t="n">
        <v>1.76494014045279E-009</v>
      </c>
      <c r="D548" s="2" t="n">
        <v>0.00300764013196911</v>
      </c>
      <c r="E548" s="2" t="n">
        <v>0.0658843141644951</v>
      </c>
    </row>
    <row r="549" customFormat="false" ht="13.8" hidden="false" customHeight="false" outlineLevel="0" collapsed="false">
      <c r="B549" s="2" t="n">
        <v>547</v>
      </c>
      <c r="C549" s="2" t="n">
        <v>1.71852587111029E-009</v>
      </c>
      <c r="D549" s="2" t="n">
        <v>0.00271828877724779</v>
      </c>
      <c r="E549" s="2" t="n">
        <v>0.0588062431030127</v>
      </c>
    </row>
    <row r="550" customFormat="false" ht="13.8" hidden="false" customHeight="false" outlineLevel="0" collapsed="false">
      <c r="B550" s="2" t="n">
        <v>548</v>
      </c>
      <c r="C550" s="2" t="n">
        <v>1.67211202401015E-009</v>
      </c>
      <c r="D550" s="2" t="n">
        <v>0.00242893742252645</v>
      </c>
      <c r="E550" s="2" t="n">
        <v>0.0669777220415307</v>
      </c>
    </row>
    <row r="551" customFormat="false" ht="13.8" hidden="false" customHeight="false" outlineLevel="0" collapsed="false">
      <c r="B551" s="2" t="n">
        <v>549</v>
      </c>
      <c r="C551" s="2" t="n">
        <v>1.62569870440093E-009</v>
      </c>
      <c r="D551" s="2" t="n">
        <v>0.00213958606780513</v>
      </c>
      <c r="E551" s="2" t="n">
        <v>0.0611494509800485</v>
      </c>
    </row>
    <row r="552" customFormat="false" ht="13.8" hidden="false" customHeight="false" outlineLevel="0" collapsed="false">
      <c r="B552" s="2" t="n">
        <v>550</v>
      </c>
      <c r="C552" s="2" t="n">
        <v>1.57928598283061E-009</v>
      </c>
      <c r="D552" s="2" t="n">
        <v>0.00160468953947671</v>
      </c>
      <c r="E552" s="2" t="n">
        <v>0.071537100757171</v>
      </c>
    </row>
    <row r="553" customFormat="false" ht="13.8" hidden="false" customHeight="false" outlineLevel="0" collapsed="false">
      <c r="B553" s="2" t="n">
        <v>551</v>
      </c>
      <c r="C553" s="2" t="n">
        <v>1.53287397614114E-009</v>
      </c>
      <c r="D553" s="2" t="n">
        <v>0.00106979301114832</v>
      </c>
      <c r="E553" s="2" t="n">
        <v>0.0651749672009601</v>
      </c>
    </row>
    <row r="554" customFormat="false" ht="13.8" hidden="false" customHeight="false" outlineLevel="0" collapsed="false">
      <c r="B554" s="2" t="n">
        <v>552</v>
      </c>
      <c r="C554" s="2" t="n">
        <v>1.48313571734042E-009</v>
      </c>
      <c r="D554" s="2" t="n">
        <v>8.24692196863846E-010</v>
      </c>
      <c r="E554" s="2" t="n">
        <v>0.0875793003081106</v>
      </c>
    </row>
    <row r="555" customFormat="false" ht="13.8" hidden="false" customHeight="false" outlineLevel="0" collapsed="false">
      <c r="B555" s="2" t="n">
        <v>553</v>
      </c>
      <c r="C555" s="2" t="n">
        <v>1.4396171643034E-009</v>
      </c>
      <c r="D555" s="2" t="n">
        <v>7.79936607031591E-010</v>
      </c>
      <c r="E555" s="2" t="n">
        <v>0.168450850044017</v>
      </c>
    </row>
    <row r="556" customFormat="false" ht="13.8" hidden="false" customHeight="false" outlineLevel="0" collapsed="false">
      <c r="B556" s="2" t="n">
        <v>554</v>
      </c>
      <c r="C556" s="2" t="n">
        <v>1.39324859934083E-009</v>
      </c>
      <c r="D556" s="2" t="n">
        <v>7.3358909600155E-010</v>
      </c>
      <c r="E556" s="2" t="n">
        <v>0.197400716711153</v>
      </c>
    </row>
    <row r="557" customFormat="false" ht="13.8" hidden="false" customHeight="false" outlineLevel="0" collapsed="false">
      <c r="B557" s="2" t="n">
        <v>555</v>
      </c>
      <c r="C557" s="2" t="n">
        <v>1.34687959540497E-009</v>
      </c>
      <c r="D557" s="2" t="n">
        <v>6.87241196097873E-010</v>
      </c>
      <c r="E557" s="2" t="n">
        <v>0.195451316711623</v>
      </c>
    </row>
    <row r="558" customFormat="false" ht="13.8" hidden="false" customHeight="false" outlineLevel="0" collapsed="false">
      <c r="B558" s="2" t="n">
        <v>556</v>
      </c>
      <c r="C558" s="2" t="n">
        <v>1.3005101272758E-009</v>
      </c>
      <c r="D558" s="2" t="n">
        <v>6.40892805161957E-010</v>
      </c>
      <c r="E558" s="2" t="n">
        <v>0.21011888337876</v>
      </c>
    </row>
    <row r="559" customFormat="false" ht="13.8" hidden="false" customHeight="false" outlineLevel="0" collapsed="false">
      <c r="B559" s="2" t="n">
        <v>557</v>
      </c>
      <c r="C559" s="2" t="n">
        <v>1.25414018995306E-009</v>
      </c>
      <c r="D559" s="2" t="n">
        <v>5.94544002511164E-010</v>
      </c>
      <c r="E559" s="2" t="n">
        <v>0.21481918337923</v>
      </c>
    </row>
    <row r="560" customFormat="false" ht="13.8" hidden="false" customHeight="false" outlineLevel="0" collapsed="false">
      <c r="B560" s="2" t="n">
        <v>558</v>
      </c>
      <c r="C560" s="2" t="n">
        <v>1.20776981843174E-009</v>
      </c>
      <c r="D560" s="2" t="n">
        <v>5.48194764234285E-010</v>
      </c>
      <c r="E560" s="2" t="n">
        <v>0.208886466713034</v>
      </c>
    </row>
    <row r="561" customFormat="false" ht="13.8" hidden="false" customHeight="false" outlineLevel="0" collapsed="false">
      <c r="B561" s="2" t="n">
        <v>559</v>
      </c>
      <c r="C561" s="2" t="n">
        <v>1.16139897173164E-009</v>
      </c>
      <c r="D561" s="2" t="n">
        <v>5.01845126260153E-010</v>
      </c>
      <c r="E561" s="2" t="n">
        <v>0.15622063338017</v>
      </c>
    </row>
    <row r="562" customFormat="false" ht="13.8" hidden="false" customHeight="false" outlineLevel="0" collapsed="false">
      <c r="B562" s="2" t="n">
        <v>560</v>
      </c>
      <c r="C562" s="2" t="n">
        <v>1.11502767544567E-009</v>
      </c>
      <c r="D562" s="2" t="n">
        <v>4.55495094654508E-010</v>
      </c>
      <c r="E562" s="2" t="n">
        <v>0.179937200047307</v>
      </c>
    </row>
    <row r="563" customFormat="false" ht="13.8" hidden="false" customHeight="false" outlineLevel="0" collapsed="false">
      <c r="B563" s="2" t="n">
        <v>561</v>
      </c>
      <c r="C563" s="2" t="n">
        <v>1.06865592726799E-009</v>
      </c>
      <c r="D563" s="2" t="n">
        <v>4.09144679762934E-010</v>
      </c>
      <c r="E563" s="2" t="n">
        <v>0.200870666714444</v>
      </c>
    </row>
    <row r="564" customFormat="false" ht="13.8" hidden="false" customHeight="false" outlineLevel="0" collapsed="false">
      <c r="B564" s="2" t="n">
        <v>562</v>
      </c>
      <c r="C564" s="2" t="n">
        <v>1.02228372610074E-009</v>
      </c>
      <c r="D564" s="2" t="n">
        <v>3.62793899150109E-010</v>
      </c>
      <c r="E564" s="2" t="n">
        <v>0.169888216714914</v>
      </c>
    </row>
    <row r="565" customFormat="false" ht="13.8" hidden="false" customHeight="false" outlineLevel="0" collapsed="false">
      <c r="B565" s="2" t="n">
        <v>563</v>
      </c>
      <c r="C565" s="2" t="n">
        <v>9.75911055003707E-010</v>
      </c>
      <c r="D565" s="2" t="n">
        <v>3.16442848116198E-010</v>
      </c>
      <c r="E565" s="2" t="n">
        <v>0.174704133382051</v>
      </c>
    </row>
    <row r="566" customFormat="false" ht="13.8" hidden="false" customHeight="false" outlineLevel="0" collapsed="false">
      <c r="B566" s="2" t="n">
        <v>564</v>
      </c>
      <c r="C566" s="2" t="n">
        <v>9.29537945894082E-010</v>
      </c>
      <c r="D566" s="2" t="n">
        <v>2.7009159657684E-010</v>
      </c>
      <c r="E566" s="2" t="n">
        <v>0.209936783382521</v>
      </c>
    </row>
    <row r="567" customFormat="false" ht="13.8" hidden="false" customHeight="false" outlineLevel="0" collapsed="false">
      <c r="B567" s="2" t="n">
        <v>565</v>
      </c>
      <c r="C567" s="2" t="n">
        <v>8.83164363627419E-010</v>
      </c>
      <c r="D567" s="2" t="n">
        <v>2.23740349646523E-010</v>
      </c>
      <c r="E567" s="2" t="n">
        <v>0.219786933382991</v>
      </c>
    </row>
    <row r="568" customFormat="false" ht="13.8" hidden="false" customHeight="false" outlineLevel="0" collapsed="false">
      <c r="B568" s="2" t="n">
        <v>566</v>
      </c>
      <c r="C568" s="2" t="n">
        <v>8.36790331713293E-010</v>
      </c>
      <c r="D568" s="2" t="n">
        <v>1.77389521892297E-010</v>
      </c>
      <c r="E568" s="2" t="n">
        <v>0.193070466716794</v>
      </c>
    </row>
    <row r="569" customFormat="false" ht="13.8" hidden="false" customHeight="false" outlineLevel="0" collapsed="false">
      <c r="B569" s="2" t="n">
        <v>567</v>
      </c>
      <c r="C569" s="2" t="n">
        <v>7.9041584430666E-010</v>
      </c>
      <c r="D569" s="2" t="n">
        <v>1.31040369729828E-010</v>
      </c>
      <c r="E569" s="2" t="n">
        <v>0.182720150050597</v>
      </c>
    </row>
    <row r="570" customFormat="false" ht="13.8" hidden="false" customHeight="false" outlineLevel="0" collapsed="false">
      <c r="B570" s="2" t="n">
        <v>568</v>
      </c>
      <c r="C570" s="2" t="n">
        <v>7.44040907927156E-010</v>
      </c>
      <c r="D570" s="2" t="n">
        <v>8.46928774132689E-011</v>
      </c>
      <c r="E570" s="2" t="n">
        <v>0.191087766717734</v>
      </c>
    </row>
    <row r="571" customFormat="false" ht="13.8" hidden="false" customHeight="false" outlineLevel="0" collapsed="false">
      <c r="B571" s="2" t="n">
        <v>569</v>
      </c>
      <c r="C571" s="2" t="n">
        <v>6.77623706159903E-010</v>
      </c>
      <c r="D571" s="2" t="n">
        <v>0</v>
      </c>
      <c r="E571" s="2" t="n">
        <v>0.15280409451626</v>
      </c>
    </row>
    <row r="572" customFormat="false" ht="13.8" hidden="false" customHeight="false" outlineLevel="0" collapsed="false">
      <c r="B572" s="2" t="n">
        <v>570</v>
      </c>
      <c r="C572" s="2" t="n">
        <v>6.54350091200235E-010</v>
      </c>
      <c r="D572" s="2" t="n">
        <v>0</v>
      </c>
      <c r="E572" s="2" t="n">
        <v>0.128532325666528</v>
      </c>
    </row>
    <row r="573" customFormat="false" ht="13.8" hidden="false" customHeight="false" outlineLevel="0" collapsed="false">
      <c r="B573" s="2" t="n">
        <v>571</v>
      </c>
      <c r="C573" s="2" t="n">
        <v>6.31076208753886E-010</v>
      </c>
      <c r="D573" s="2" t="n">
        <v>0</v>
      </c>
      <c r="E573" s="2" t="n">
        <v>0.109121124987002</v>
      </c>
    </row>
    <row r="574" customFormat="false" ht="13.8" hidden="false" customHeight="false" outlineLevel="0" collapsed="false">
      <c r="B574" s="2" t="n">
        <v>572</v>
      </c>
      <c r="C574" s="2" t="n">
        <v>6.07802101721727E-010</v>
      </c>
      <c r="D574" s="2" t="n">
        <v>0</v>
      </c>
      <c r="E574" s="2" t="n">
        <v>0.0902749980907138</v>
      </c>
    </row>
    <row r="575" customFormat="false" ht="13.8" hidden="false" customHeight="false" outlineLevel="0" collapsed="false">
      <c r="B575" s="2" t="n">
        <v>573</v>
      </c>
      <c r="C575" s="2" t="n">
        <v>5.84527735797055E-010</v>
      </c>
      <c r="D575" s="2" t="n">
        <v>0</v>
      </c>
      <c r="E575" s="2" t="n">
        <v>0.0715954459560684</v>
      </c>
    </row>
    <row r="576" customFormat="false" ht="13.8" hidden="false" customHeight="false" outlineLevel="0" collapsed="false">
      <c r="B576" s="2" t="n">
        <v>574</v>
      </c>
      <c r="C576" s="2" t="n">
        <v>5.61253137871835E-010</v>
      </c>
      <c r="D576" s="2" t="n">
        <v>0</v>
      </c>
      <c r="E576" s="2" t="n">
        <v>0.0631517276437931</v>
      </c>
    </row>
    <row r="577" customFormat="false" ht="13.8" hidden="false" customHeight="false" outlineLevel="0" collapsed="false">
      <c r="B577" s="2" t="n">
        <v>575</v>
      </c>
      <c r="C577" s="2" t="n">
        <v>5.3797830738366E-010</v>
      </c>
      <c r="D577" s="2" t="n">
        <v>0</v>
      </c>
      <c r="E577" s="2" t="n">
        <v>0.0524396657823653</v>
      </c>
    </row>
    <row r="578" customFormat="false" ht="13.8" hidden="false" customHeight="false" outlineLevel="0" collapsed="false">
      <c r="B578" s="2" t="n">
        <v>576</v>
      </c>
      <c r="C578" s="2" t="n">
        <v>5.15063641759082E-010</v>
      </c>
      <c r="D578" s="2" t="n">
        <v>0</v>
      </c>
      <c r="E578" s="2" t="n">
        <v>0.0520034333646698</v>
      </c>
    </row>
    <row r="579" customFormat="false" ht="13.8" hidden="false" customHeight="false" outlineLevel="0" collapsed="false">
      <c r="B579" s="2" t="n">
        <v>577</v>
      </c>
      <c r="C579" s="2" t="n">
        <v>4.9175489894241E-010</v>
      </c>
      <c r="D579" s="2" t="n">
        <v>0</v>
      </c>
      <c r="E579" s="2" t="n">
        <v>0.0454856500314536</v>
      </c>
    </row>
    <row r="580" customFormat="false" ht="13.8" hidden="false" customHeight="false" outlineLevel="0" collapsed="false">
      <c r="B580" s="2" t="n">
        <v>578</v>
      </c>
      <c r="C580" s="2" t="n">
        <v>4.6844569484011E-010</v>
      </c>
      <c r="D580" s="2" t="n">
        <v>0</v>
      </c>
      <c r="E580" s="2" t="n">
        <v>0.0283189500315706</v>
      </c>
    </row>
    <row r="581" customFormat="false" ht="13.8" hidden="false" customHeight="false" outlineLevel="0" collapsed="false">
      <c r="B581" s="2" t="n">
        <v>579</v>
      </c>
      <c r="C581" s="2" t="n">
        <v>4.45136034493195E-010</v>
      </c>
      <c r="D581" s="2" t="n">
        <v>0</v>
      </c>
      <c r="E581" s="2" t="n">
        <v>0.0844180666983544</v>
      </c>
    </row>
    <row r="582" customFormat="false" ht="13.8" hidden="false" customHeight="false" outlineLevel="0" collapsed="false">
      <c r="B582" s="2" t="n">
        <v>580</v>
      </c>
      <c r="C582" s="2" t="n">
        <v>4.21825911685639E-010</v>
      </c>
      <c r="D582" s="2" t="n">
        <v>0</v>
      </c>
      <c r="E582" s="2" t="n">
        <v>0.0140843333651381</v>
      </c>
    </row>
    <row r="583" customFormat="false" ht="13.8" hidden="false" customHeight="false" outlineLevel="0" collapsed="false">
      <c r="B583" s="2" t="n">
        <v>581</v>
      </c>
      <c r="C583" s="2" t="n">
        <v>3.98515326319221E-010</v>
      </c>
      <c r="D583" s="2" t="n">
        <v>0</v>
      </c>
      <c r="E583" s="2" t="n">
        <v>0.0769670666985885</v>
      </c>
    </row>
    <row r="584" customFormat="false" ht="13.8" hidden="false" customHeight="false" outlineLevel="0" collapsed="false">
      <c r="B584" s="2" t="n">
        <v>582</v>
      </c>
      <c r="C584" s="2" t="n">
        <v>3.75048112407806E-010</v>
      </c>
      <c r="D584" s="2" t="n">
        <v>0</v>
      </c>
      <c r="E584" s="2" t="n">
        <v>0.0370372981474258</v>
      </c>
    </row>
    <row r="585" customFormat="false" ht="13.8" hidden="false" customHeight="false" outlineLevel="0" collapsed="false">
      <c r="B585" s="2" t="n">
        <v>583</v>
      </c>
      <c r="C585" s="2" t="n">
        <v>3.51771460159529E-010</v>
      </c>
      <c r="D585" s="2" t="n">
        <v>0</v>
      </c>
      <c r="E585" s="2" t="n">
        <v>0.0527901334897821</v>
      </c>
    </row>
    <row r="586" customFormat="false" ht="13.8" hidden="false" customHeight="false" outlineLevel="0" collapsed="false">
      <c r="B586" s="2" t="n">
        <v>584</v>
      </c>
      <c r="C586" s="2" t="n">
        <v>3.28494575138307E-010</v>
      </c>
      <c r="D586" s="2" t="n">
        <v>0</v>
      </c>
      <c r="E586" s="2" t="n">
        <v>0.072121868148023</v>
      </c>
    </row>
    <row r="587" customFormat="false" ht="13.8" hidden="false" customHeight="false" outlineLevel="0" collapsed="false">
      <c r="B587" s="2" t="n">
        <v>585</v>
      </c>
      <c r="C587" s="2" t="n">
        <v>3.05217462231169E-010</v>
      </c>
      <c r="D587" s="2" t="n">
        <v>0</v>
      </c>
      <c r="E587" s="2" t="n">
        <v>0.0578565385567293</v>
      </c>
    </row>
    <row r="588" customFormat="false" ht="13.8" hidden="false" customHeight="false" outlineLevel="0" collapsed="false">
      <c r="B588" s="2" t="n">
        <v>586</v>
      </c>
      <c r="C588" s="2" t="n">
        <v>2.81940118202025E-010</v>
      </c>
      <c r="D588" s="2" t="n">
        <v>0</v>
      </c>
      <c r="E588" s="2" t="n">
        <v>0.0559194067144661</v>
      </c>
    </row>
    <row r="589" customFormat="false" ht="13.8" hidden="false" customHeight="false" outlineLevel="0" collapsed="false">
      <c r="B589" s="2" t="n">
        <v>587</v>
      </c>
      <c r="C589" s="2" t="n">
        <v>2.58662537873179E-010</v>
      </c>
      <c r="D589" s="2" t="n">
        <v>0</v>
      </c>
      <c r="E589" s="2" t="n">
        <v>0.0780980654354023</v>
      </c>
    </row>
    <row r="590" customFormat="false" ht="13.8" hidden="false" customHeight="false" outlineLevel="0" collapsed="false">
      <c r="B590" s="2" t="n">
        <v>588</v>
      </c>
      <c r="C590" s="2" t="n">
        <v>2.35384739921438E-010</v>
      </c>
      <c r="D590" s="2" t="n">
        <v>0</v>
      </c>
      <c r="E590" s="2" t="n">
        <v>0.0532647379507491</v>
      </c>
    </row>
    <row r="591" customFormat="false" ht="13.8" hidden="false" customHeight="false" outlineLevel="0" collapsed="false">
      <c r="B591" s="2" t="n">
        <v>589</v>
      </c>
      <c r="C591" s="2" t="n">
        <v>2.12106711885791E-010</v>
      </c>
      <c r="D591" s="2" t="n">
        <v>0</v>
      </c>
      <c r="E591" s="2" t="n">
        <v>0.0659443254104583</v>
      </c>
    </row>
    <row r="592" customFormat="false" ht="13.8" hidden="false" customHeight="false" outlineLevel="0" collapsed="false">
      <c r="B592" s="2" t="n">
        <v>590</v>
      </c>
      <c r="C592" s="2" t="n">
        <v>1.88828456660588E-010</v>
      </c>
      <c r="D592" s="2" t="n">
        <v>0</v>
      </c>
      <c r="E592" s="2" t="n">
        <v>0.0681606156937222</v>
      </c>
    </row>
    <row r="593" customFormat="false" ht="13.8" hidden="false" customHeight="false" outlineLevel="0" collapsed="false">
      <c r="B593" s="2" t="n">
        <v>591</v>
      </c>
      <c r="C593" s="2" t="n">
        <v>1.6554997035367E-010</v>
      </c>
      <c r="D593" s="2" t="n">
        <v>0</v>
      </c>
      <c r="E593" s="2" t="n">
        <v>0.0674033479702053</v>
      </c>
    </row>
    <row r="594" customFormat="false" ht="13.8" hidden="false" customHeight="false" outlineLevel="0" collapsed="false">
      <c r="B594" s="2" t="n">
        <v>592</v>
      </c>
      <c r="C594" s="2" t="n">
        <v>1.42271247511536E-010</v>
      </c>
      <c r="D594" s="2" t="n">
        <v>5.67850456406493E-014</v>
      </c>
      <c r="E594" s="2" t="n">
        <v>0.0621647559345815</v>
      </c>
    </row>
    <row r="595" customFormat="false" ht="13.8" hidden="false" customHeight="false" outlineLevel="0" collapsed="false">
      <c r="B595" s="2" t="n">
        <v>593</v>
      </c>
      <c r="C595" s="2" t="n">
        <v>1.18992302066328E-010</v>
      </c>
      <c r="D595" s="2" t="n">
        <v>1.46498739127597E-013</v>
      </c>
      <c r="E595" s="2" t="n">
        <v>0.0591947722231006</v>
      </c>
    </row>
    <row r="596" customFormat="false" ht="13.8" hidden="false" customHeight="false" outlineLevel="0" collapsed="false">
      <c r="B596" s="2" t="n">
        <v>594</v>
      </c>
      <c r="C596" s="2" t="n">
        <v>9.57131379534665E-011</v>
      </c>
      <c r="D596" s="2" t="n">
        <v>2.36184452124572E-013</v>
      </c>
      <c r="E596" s="2" t="n">
        <v>0.0663495078271902</v>
      </c>
    </row>
    <row r="597" customFormat="false" ht="13.8" hidden="false" customHeight="false" outlineLevel="0" collapsed="false">
      <c r="B597" s="2" t="n">
        <v>595</v>
      </c>
      <c r="C597" s="2" t="n">
        <v>7.24339423660837E-011</v>
      </c>
      <c r="D597" s="2" t="n">
        <v>3.25816373823191E-013</v>
      </c>
      <c r="E597" s="2" t="n">
        <v>0.0570034740648404</v>
      </c>
    </row>
    <row r="598" customFormat="false" ht="13.8" hidden="false" customHeight="false" outlineLevel="0" collapsed="false">
      <c r="B598" s="2" t="n">
        <v>596</v>
      </c>
      <c r="C598" s="2" t="n">
        <v>4.9155598671689E-011</v>
      </c>
      <c r="D598" s="2" t="n">
        <v>4.15199442716165E-013</v>
      </c>
      <c r="E598" s="2" t="n">
        <v>0.0508603145079582</v>
      </c>
    </row>
    <row r="599" customFormat="false" ht="13.8" hidden="false" customHeight="false" outlineLevel="0" collapsed="false">
      <c r="B599" s="2" t="n">
        <v>597</v>
      </c>
      <c r="C599" s="2" t="n">
        <v>6.02871462158651E-013</v>
      </c>
      <c r="D599" s="2" t="n">
        <v>6.00402553945988E-013</v>
      </c>
      <c r="E599" s="2" t="n">
        <v>0.0389721662555606</v>
      </c>
    </row>
    <row r="600" customFormat="false" ht="13.8" hidden="false" customHeight="false" outlineLevel="0" collapsed="false">
      <c r="B600" s="2" t="n">
        <v>598</v>
      </c>
      <c r="C600" s="2" t="n">
        <v>6.05468306416708E-013</v>
      </c>
      <c r="D600" s="2" t="n">
        <v>6.04074980661439E-013</v>
      </c>
      <c r="E600" s="2" t="n">
        <v>0.0287401089525646</v>
      </c>
    </row>
    <row r="601" customFormat="false" ht="13.8" hidden="false" customHeight="false" outlineLevel="0" collapsed="false">
      <c r="B601" s="2" t="n">
        <v>599</v>
      </c>
      <c r="C601" s="2" t="n">
        <v>0</v>
      </c>
      <c r="D601" s="2" t="n">
        <v>0.00179451632186997</v>
      </c>
      <c r="E601" s="2" t="n">
        <v>7.32857562573192E-011</v>
      </c>
    </row>
    <row r="602" customFormat="false" ht="13.8" hidden="false" customHeight="false" outlineLevel="0" collapsed="false">
      <c r="B602" s="2" t="n">
        <v>600</v>
      </c>
      <c r="C602" s="2" t="n">
        <v>7.3203586602994E-013</v>
      </c>
      <c r="D602" s="2" t="n">
        <v>0.00269177454830354</v>
      </c>
      <c r="E602" s="2" t="n">
        <v>0.0201882404986887</v>
      </c>
    </row>
    <row r="603" customFormat="false" ht="13.8" hidden="false" customHeight="false" outlineLevel="0" collapsed="false">
      <c r="B603" s="2" t="n">
        <v>601</v>
      </c>
      <c r="C603" s="2" t="n">
        <v>7.31969941567799E-013</v>
      </c>
      <c r="D603" s="2" t="n">
        <v>0.0035890327161129</v>
      </c>
      <c r="E603" s="2" t="n">
        <v>0.0113665215742011</v>
      </c>
    </row>
    <row r="604" customFormat="false" ht="13.8" hidden="false" customHeight="false" outlineLevel="0" collapsed="false">
      <c r="B604" s="2" t="n">
        <v>602</v>
      </c>
      <c r="C604" s="2" t="n">
        <v>3.62323191481391E-015</v>
      </c>
      <c r="D604" s="2" t="n">
        <v>9.80048574629454E-016</v>
      </c>
      <c r="E604" s="2" t="n">
        <v>0.0396760454757314</v>
      </c>
    </row>
    <row r="605" customFormat="false" ht="13.8" hidden="false" customHeight="false" outlineLevel="0" collapsed="false">
      <c r="B605" s="2" t="n">
        <v>603</v>
      </c>
      <c r="C605" s="2" t="n">
        <v>3.60807497984172E-015</v>
      </c>
      <c r="D605" s="2" t="n">
        <v>9.89732660369385E-016</v>
      </c>
      <c r="E605" s="2" t="n">
        <v>0.0583437381779762</v>
      </c>
    </row>
    <row r="606" customFormat="false" ht="13.8" hidden="false" customHeight="false" outlineLevel="0" collapsed="false">
      <c r="B606" s="2" t="n">
        <v>604</v>
      </c>
      <c r="C606" s="2" t="n">
        <v>3.59434855634413E-015</v>
      </c>
      <c r="D606" s="2" t="n">
        <v>1.00055914054449E-015</v>
      </c>
      <c r="E606" s="2" t="n">
        <v>0.0409780975468875</v>
      </c>
    </row>
    <row r="607" customFormat="false" ht="13.8" hidden="false" customHeight="false" outlineLevel="0" collapsed="false">
      <c r="B607" s="2" t="n">
        <v>605</v>
      </c>
      <c r="C607" s="2" t="n">
        <v>3.57675743783854E-015</v>
      </c>
      <c r="D607" s="2" t="n">
        <v>1.00990639474438E-015</v>
      </c>
      <c r="E607" s="2" t="n">
        <v>0.0508798902491323</v>
      </c>
    </row>
    <row r="608" customFormat="false" ht="13.8" hidden="false" customHeight="false" outlineLevel="0" collapsed="false">
      <c r="B608" s="2" t="n">
        <v>606</v>
      </c>
      <c r="C608" s="2" t="n">
        <v>3.54738474277495E-015</v>
      </c>
      <c r="D608" s="2" t="n">
        <v>1.02601360326791E-015</v>
      </c>
      <c r="E608" s="2" t="n">
        <v>0.0372607620919323</v>
      </c>
    </row>
    <row r="609" customFormat="false" ht="13.8" hidden="false" customHeight="false" outlineLevel="0" collapsed="false">
      <c r="B609" s="2" t="n">
        <v>607</v>
      </c>
      <c r="C609" s="2" t="n">
        <v>3.51632436850422E-015</v>
      </c>
      <c r="D609" s="2" t="n">
        <v>1.0421744397729E-015</v>
      </c>
      <c r="E609" s="2" t="n">
        <v>0.0165247839347322</v>
      </c>
    </row>
    <row r="610" customFormat="false" ht="13.8" hidden="false" customHeight="false" outlineLevel="0" collapsed="false">
      <c r="B610" s="2" t="n">
        <v>608</v>
      </c>
      <c r="C610" s="2" t="n">
        <v>3.4807360683114E-015</v>
      </c>
      <c r="D610" s="2" t="n">
        <v>1.05667548539629E-015</v>
      </c>
      <c r="E610" s="2" t="n">
        <v>0.00637208911086544</v>
      </c>
    </row>
    <row r="611" customFormat="false" ht="13.8" hidden="false" customHeight="false" outlineLevel="0" collapsed="false">
      <c r="B611" s="2" t="n">
        <v>609</v>
      </c>
      <c r="C611" s="2" t="n">
        <v>0</v>
      </c>
      <c r="D611" s="2" t="n">
        <v>0</v>
      </c>
      <c r="E611" s="2" t="n">
        <v>5.29270411235047E-010</v>
      </c>
    </row>
    <row r="612" customFormat="false" ht="13.8" hidden="false" customHeight="false" outlineLevel="0" collapsed="false">
      <c r="B612" s="2" t="n">
        <v>610</v>
      </c>
      <c r="C612" s="2" t="n">
        <v>3.4011105995356E-015</v>
      </c>
      <c r="D612" s="2" t="n">
        <v>1.07952177188726E-015</v>
      </c>
      <c r="E612" s="2" t="n">
        <v>0.0323179390360179</v>
      </c>
    </row>
    <row r="613" customFormat="false" ht="13.8" hidden="false" customHeight="false" outlineLevel="0" collapsed="false">
      <c r="B613" s="2" t="n">
        <v>611</v>
      </c>
      <c r="C613" s="2" t="n">
        <v>3.08640627421037E-014</v>
      </c>
      <c r="D613" s="2" t="n">
        <v>4.44925932438187E-015</v>
      </c>
      <c r="E613" s="2" t="n">
        <v>3.07950683090526E-014</v>
      </c>
    </row>
    <row r="614" customFormat="false" ht="13.8" hidden="false" customHeight="false" outlineLevel="0" collapsed="false">
      <c r="B614" s="2" t="n">
        <v>612</v>
      </c>
      <c r="C614" s="2" t="n">
        <v>3.5505573188079E-015</v>
      </c>
      <c r="D614" s="2" t="n">
        <v>9.08076647805309E-016</v>
      </c>
      <c r="E614" s="2" t="n">
        <v>3.53006162388091E-015</v>
      </c>
    </row>
    <row r="615" customFormat="false" ht="13.8" hidden="false" customHeight="false" outlineLevel="0" collapsed="false">
      <c r="B615" s="2" t="n">
        <v>613</v>
      </c>
      <c r="C615" s="2" t="n">
        <v>3.51179891584095E-015</v>
      </c>
      <c r="D615" s="2" t="n">
        <v>8.98360517767855E-016</v>
      </c>
      <c r="E615" s="2" t="n">
        <v>3.52037973052836E-015</v>
      </c>
    </row>
    <row r="616" customFormat="false" ht="13.8" hidden="false" customHeight="false" outlineLevel="0" collapsed="false">
      <c r="B616" s="2" t="n">
        <v>614</v>
      </c>
      <c r="C616" s="2" t="n">
        <v>3.20958578545681E-015</v>
      </c>
      <c r="D616" s="2" t="n">
        <v>1.05515331164056E-015</v>
      </c>
      <c r="E616" s="2" t="n">
        <v>0.00809032120136304</v>
      </c>
    </row>
    <row r="617" customFormat="false" ht="13.8" hidden="false" customHeight="false" outlineLevel="0" collapsed="false">
      <c r="B617" s="2" t="n">
        <v>615</v>
      </c>
      <c r="C617" s="2" t="n">
        <v>3.41416373236811E-015</v>
      </c>
      <c r="D617" s="2" t="n">
        <v>8.64281479648053E-016</v>
      </c>
      <c r="E617" s="2" t="n">
        <v>3.41049523201619E-015</v>
      </c>
    </row>
    <row r="618" customFormat="false" ht="13.8" hidden="false" customHeight="false" outlineLevel="0" collapsed="false">
      <c r="B618" s="2" t="n">
        <v>616</v>
      </c>
      <c r="C618" s="2" t="n">
        <v>3.06139607484294E-015</v>
      </c>
      <c r="D618" s="2" t="n">
        <v>1.09247549048734E-015</v>
      </c>
      <c r="E618" s="2" t="n">
        <v>0.000108450371261067</v>
      </c>
    </row>
    <row r="619" customFormat="false" ht="13.8" hidden="false" customHeight="false" outlineLevel="0" collapsed="false">
      <c r="B619" s="2" t="n">
        <v>617</v>
      </c>
      <c r="C619" s="2" t="n">
        <v>3.29840518658015E-015</v>
      </c>
      <c r="D619" s="2" t="n">
        <v>8.28016909308298E-016</v>
      </c>
      <c r="E619" s="2" t="n">
        <v>3.28594014581365E-015</v>
      </c>
    </row>
    <row r="620" customFormat="false" ht="13.8" hidden="false" customHeight="false" outlineLevel="0" collapsed="false">
      <c r="B620" s="2" t="n">
        <v>618</v>
      </c>
      <c r="C620" s="2" t="n">
        <v>0</v>
      </c>
      <c r="D620" s="2" t="n">
        <v>8.25166904375897E-015</v>
      </c>
      <c r="E620" s="2" t="n">
        <v>1.0642208347335E-014</v>
      </c>
    </row>
    <row r="621" customFormat="false" ht="13.8" hidden="false" customHeight="false" outlineLevel="0" collapsed="false">
      <c r="B621" s="2" t="n">
        <v>619</v>
      </c>
      <c r="C621" s="2" t="n">
        <v>3.17952473767609E-015</v>
      </c>
      <c r="D621" s="2" t="n">
        <v>8.00872779326114E-016</v>
      </c>
      <c r="E621" s="2" t="n">
        <v>3.13252749128486E-015</v>
      </c>
    </row>
    <row r="622" customFormat="false" ht="13.8" hidden="false" customHeight="false" outlineLevel="0" collapsed="false">
      <c r="B622" s="2" t="n">
        <v>620</v>
      </c>
      <c r="C622" s="2" t="n">
        <v>3.13757581714036E-015</v>
      </c>
      <c r="D622" s="2" t="n">
        <v>7.88004643099015E-016</v>
      </c>
      <c r="E622" s="2" t="n">
        <v>3.05134540347622E-015</v>
      </c>
    </row>
    <row r="623" customFormat="false" ht="13.8" hidden="false" customHeight="false" outlineLevel="0" collapsed="false">
      <c r="B623" s="2" t="n">
        <v>621</v>
      </c>
      <c r="C623" s="2" t="n">
        <v>2.44003232309865E-014</v>
      </c>
      <c r="D623" s="2" t="n">
        <v>3.66591736361813E-015</v>
      </c>
      <c r="E623" s="2" t="n">
        <v>2.51155874315065E-014</v>
      </c>
    </row>
    <row r="624" customFormat="false" ht="13.8" hidden="false" customHeight="false" outlineLevel="0" collapsed="false">
      <c r="B624" s="2" t="n">
        <v>622</v>
      </c>
      <c r="C624" s="2" t="n">
        <v>2.78110331534118E-015</v>
      </c>
      <c r="D624" s="2" t="n">
        <v>9.29683786195664E-016</v>
      </c>
      <c r="E624" s="2" t="n">
        <v>0.0128391448133603</v>
      </c>
    </row>
    <row r="625" customFormat="false" ht="13.8" hidden="false" customHeight="false" outlineLevel="0" collapsed="false">
      <c r="B625" s="2" t="n">
        <v>623</v>
      </c>
      <c r="C625" s="2" t="n">
        <v>0</v>
      </c>
      <c r="D625" s="2" t="n">
        <v>0</v>
      </c>
      <c r="E625" s="2" t="n">
        <v>9.04037500158751E-010</v>
      </c>
    </row>
    <row r="626" customFormat="false" ht="13.8" hidden="false" customHeight="false" outlineLevel="0" collapsed="false">
      <c r="B626" s="2" t="n">
        <v>624</v>
      </c>
      <c r="C626" s="2" t="n">
        <v>2.08949907338844E-015</v>
      </c>
      <c r="D626" s="2" t="n">
        <v>8.38522464471045E-016</v>
      </c>
      <c r="E626" s="2" t="n">
        <v>0.0049356546622636</v>
      </c>
    </row>
    <row r="627" customFormat="false" ht="13.8" hidden="false" customHeight="false" outlineLevel="0" collapsed="false">
      <c r="B627" s="2" t="n">
        <v>625</v>
      </c>
      <c r="C627" s="2" t="n">
        <v>1.97417487657644E-014</v>
      </c>
      <c r="D627" s="2" t="n">
        <v>2.98745669714274E-015</v>
      </c>
      <c r="E627" s="2" t="n">
        <v>2.0697537606374E-014</v>
      </c>
    </row>
    <row r="628" customFormat="false" ht="13.8" hidden="false" customHeight="false" outlineLevel="0" collapsed="false">
      <c r="B628" s="2" t="n">
        <v>626</v>
      </c>
      <c r="C628" s="2" t="n">
        <v>1.63505005056079E-015</v>
      </c>
      <c r="D628" s="2" t="n">
        <v>6.64173811560738E-016</v>
      </c>
      <c r="E628" s="2" t="n">
        <v>0.00753147548759119</v>
      </c>
    </row>
    <row r="629" customFormat="false" ht="13.8" hidden="false" customHeight="false" outlineLevel="0" collapsed="false">
      <c r="B629" s="2" t="n">
        <v>627</v>
      </c>
      <c r="C629" s="2" t="n">
        <v>1.76459619405732E-014</v>
      </c>
      <c r="D629" s="2" t="n">
        <v>2.48084379709566E-015</v>
      </c>
      <c r="E629" s="2" t="n">
        <v>1.84463569111917E-014</v>
      </c>
    </row>
    <row r="630" customFormat="false" ht="13.8" hidden="false" customHeight="false" outlineLevel="0" collapsed="false">
      <c r="B630" s="2" t="n">
        <v>628</v>
      </c>
      <c r="C630" s="2" t="n">
        <v>2.36987205042089E-015</v>
      </c>
      <c r="D630" s="2" t="n">
        <v>0</v>
      </c>
      <c r="E630" s="2" t="n">
        <v>0.0324600906227155</v>
      </c>
    </row>
    <row r="631" customFormat="false" ht="13.8" hidden="false" customHeight="false" outlineLevel="0" collapsed="false">
      <c r="B631" s="2" t="n">
        <v>629</v>
      </c>
      <c r="C631" s="2" t="n">
        <v>9.33917313575667E-010</v>
      </c>
      <c r="D631" s="2" t="n">
        <v>0</v>
      </c>
      <c r="E631" s="2" t="n">
        <v>0</v>
      </c>
    </row>
    <row r="632" customFormat="false" ht="13.8" hidden="false" customHeight="false" outlineLevel="0" collapsed="false">
      <c r="B632" s="2" t="n">
        <v>630</v>
      </c>
      <c r="C632" s="2" t="n">
        <v>4.40525339262728E-015</v>
      </c>
      <c r="D632" s="2" t="n">
        <v>0</v>
      </c>
      <c r="E632" s="2" t="n">
        <v>0.0442471420028088</v>
      </c>
    </row>
    <row r="633" customFormat="false" ht="13.8" hidden="false" customHeight="false" outlineLevel="0" collapsed="false">
      <c r="B633" s="2" t="n">
        <v>631</v>
      </c>
      <c r="C633" s="2" t="n">
        <v>4.46228002179793E-013</v>
      </c>
      <c r="D633" s="2" t="n">
        <v>0</v>
      </c>
      <c r="E633" s="2" t="n">
        <v>1.40692466097206E-014</v>
      </c>
    </row>
    <row r="634" customFormat="false" ht="13.8" hidden="false" customHeight="false" outlineLevel="0" collapsed="false">
      <c r="B634" s="2" t="n">
        <v>632</v>
      </c>
      <c r="C634" s="2" t="n">
        <v>0</v>
      </c>
      <c r="D634" s="2" t="n">
        <v>0</v>
      </c>
      <c r="E634" s="2" t="n">
        <v>1.70591514458534E-014</v>
      </c>
    </row>
    <row r="635" customFormat="false" ht="13.8" hidden="false" customHeight="false" outlineLevel="0" collapsed="false">
      <c r="B635" s="2" t="n">
        <v>633</v>
      </c>
      <c r="C635" s="2" t="n">
        <v>6.83372860273765E-015</v>
      </c>
      <c r="D635" s="2" t="n">
        <v>0</v>
      </c>
      <c r="E635" s="2" t="n">
        <v>2.67892554405998E-014</v>
      </c>
    </row>
    <row r="636" customFormat="false" ht="13.8" hidden="false" customHeight="false" outlineLevel="0" collapsed="false">
      <c r="B636" s="2" t="n">
        <v>634</v>
      </c>
      <c r="C636" s="2" t="n">
        <v>8.93501479736324E-015</v>
      </c>
      <c r="D636" s="2" t="n">
        <v>0</v>
      </c>
      <c r="E636" s="2" t="n">
        <v>0.0514511672085389</v>
      </c>
    </row>
    <row r="637" customFormat="false" ht="13.8" hidden="false" customHeight="false" outlineLevel="0" collapsed="false">
      <c r="B637" s="2" t="n">
        <v>635</v>
      </c>
      <c r="C637" s="2" t="n">
        <v>2.9702480988208E-015</v>
      </c>
      <c r="D637" s="2" t="n">
        <v>0</v>
      </c>
      <c r="E637" s="2" t="n">
        <v>2.80195384149347E-014</v>
      </c>
    </row>
    <row r="638" customFormat="false" ht="13.8" hidden="false" customHeight="false" outlineLevel="0" collapsed="false">
      <c r="B638" s="2" t="n">
        <v>636</v>
      </c>
      <c r="C638" s="2" t="n">
        <v>1.05594130050719E-014</v>
      </c>
      <c r="D638" s="2" t="n">
        <v>0</v>
      </c>
      <c r="E638" s="2" t="n">
        <v>0.0596228214114986</v>
      </c>
    </row>
    <row r="639" customFormat="false" ht="13.8" hidden="false" customHeight="false" outlineLevel="0" collapsed="false">
      <c r="B639" s="2" t="n">
        <v>637</v>
      </c>
      <c r="C639" s="2" t="n">
        <v>0</v>
      </c>
      <c r="D639" s="2" t="n">
        <v>0</v>
      </c>
      <c r="E639" s="2" t="n">
        <v>2.77053818192523E-014</v>
      </c>
    </row>
    <row r="640" customFormat="false" ht="13.8" hidden="false" customHeight="false" outlineLevel="0" collapsed="false">
      <c r="B640" s="2" t="n">
        <v>638</v>
      </c>
      <c r="C640" s="2" t="n">
        <v>0</v>
      </c>
      <c r="D640" s="2" t="n">
        <v>0</v>
      </c>
      <c r="E640" s="2" t="n">
        <v>0.0508581064313874</v>
      </c>
    </row>
    <row r="641" customFormat="false" ht="13.8" hidden="false" customHeight="false" outlineLevel="0" collapsed="false">
      <c r="B641" s="2" t="n">
        <v>639</v>
      </c>
      <c r="C641" s="2" t="n">
        <v>1.33025110874787E-009</v>
      </c>
      <c r="D641" s="2" t="n">
        <v>0.0203145401320623</v>
      </c>
      <c r="E641" s="2" t="n">
        <v>0.0181927492076354</v>
      </c>
    </row>
    <row r="642" customFormat="false" ht="13.8" hidden="false" customHeight="false" outlineLevel="0" collapsed="false">
      <c r="B642" s="2" t="n">
        <v>640</v>
      </c>
      <c r="C642" s="2" t="n">
        <v>1.2837917583377E-009</v>
      </c>
      <c r="D642" s="2" t="n">
        <v>0.0129124483024936</v>
      </c>
      <c r="E642" s="2" t="n">
        <v>0.0592440406226453</v>
      </c>
    </row>
    <row r="643" customFormat="false" ht="13.8" hidden="false" customHeight="false" outlineLevel="0" collapsed="false">
      <c r="B643" s="2" t="n">
        <v>641</v>
      </c>
      <c r="C643" s="2" t="n">
        <v>1.23733044568666E-009</v>
      </c>
      <c r="D643" s="2" t="n">
        <v>0.00551035647292495</v>
      </c>
      <c r="E643" s="2" t="n">
        <v>0.0482953320376551</v>
      </c>
    </row>
    <row r="644" customFormat="false" ht="13.8" hidden="false" customHeight="false" outlineLevel="0" collapsed="false">
      <c r="B644" s="2" t="n">
        <v>642</v>
      </c>
      <c r="C644" s="2" t="n">
        <v>1.19086811578407E-009</v>
      </c>
      <c r="D644" s="2" t="n">
        <v>0.00500696965394777</v>
      </c>
      <c r="E644" s="2" t="n">
        <v>0.0259856938249084</v>
      </c>
    </row>
    <row r="645" customFormat="false" ht="13.8" hidden="false" customHeight="false" outlineLevel="0" collapsed="false">
      <c r="B645" s="2" t="n">
        <v>643</v>
      </c>
      <c r="C645" s="2" t="n">
        <v>1.14440837399548E-009</v>
      </c>
      <c r="D645" s="2" t="n">
        <v>0.00450358283497057</v>
      </c>
      <c r="E645" s="2" t="n">
        <v>0.076342488945495</v>
      </c>
    </row>
    <row r="646" customFormat="false" ht="13.8" hidden="false" customHeight="false" outlineLevel="0" collapsed="false">
      <c r="B646" s="2" t="n">
        <v>644</v>
      </c>
      <c r="C646" s="2" t="n">
        <v>1.09794574857088E-009</v>
      </c>
      <c r="D646" s="2" t="n">
        <v>0.00400019601599338</v>
      </c>
      <c r="E646" s="2" t="n">
        <v>0.051366217399415</v>
      </c>
    </row>
    <row r="647" customFormat="false" ht="13.8" hidden="false" customHeight="false" outlineLevel="0" collapsed="false">
      <c r="B647" s="2" t="n">
        <v>645</v>
      </c>
      <c r="C647" s="2" t="n">
        <v>1.05148380110728E-009</v>
      </c>
      <c r="D647" s="2" t="n">
        <v>0.00349680919701618</v>
      </c>
      <c r="E647" s="2" t="n">
        <v>0.0830563291866683</v>
      </c>
    </row>
    <row r="648" customFormat="false" ht="13.8" hidden="false" customHeight="false" outlineLevel="0" collapsed="false">
      <c r="B648" s="2" t="n">
        <v>646</v>
      </c>
      <c r="C648" s="2" t="n">
        <v>1.00502038449192E-009</v>
      </c>
      <c r="D648" s="2" t="n">
        <v>0.00262260689677008</v>
      </c>
      <c r="E648" s="2" t="n">
        <v>0.0591672343895505</v>
      </c>
    </row>
    <row r="649" customFormat="false" ht="13.8" hidden="false" customHeight="false" outlineLevel="0" collapsed="false">
      <c r="B649" s="2" t="n">
        <v>647</v>
      </c>
      <c r="C649" s="2" t="n">
        <v>9.58557287768688E-010</v>
      </c>
      <c r="D649" s="2" t="n">
        <v>0.001748404596524</v>
      </c>
      <c r="E649" s="2" t="n">
        <v>0.0842786729257658</v>
      </c>
    </row>
    <row r="650" customFormat="false" ht="13.8" hidden="false" customHeight="false" outlineLevel="0" collapsed="false">
      <c r="B650" s="2" t="n">
        <v>648</v>
      </c>
      <c r="C650" s="2" t="n">
        <v>9.12093110185722E-010</v>
      </c>
      <c r="D650" s="2" t="n">
        <v>0.000874202296277894</v>
      </c>
      <c r="E650" s="2" t="n">
        <v>0.0683061947953148</v>
      </c>
    </row>
    <row r="651" customFormat="false" ht="13.8" hidden="false" customHeight="false" outlineLevel="0" collapsed="false">
      <c r="B651" s="2" t="n">
        <v>649</v>
      </c>
      <c r="C651" s="2" t="n">
        <v>8.67266417496018E-010</v>
      </c>
      <c r="D651" s="2" t="n">
        <v>0</v>
      </c>
      <c r="E651" s="2" t="n">
        <v>0.0949676499974741</v>
      </c>
    </row>
    <row r="652" customFormat="false" ht="13.8" hidden="false" customHeight="false" outlineLevel="0" collapsed="false">
      <c r="B652" s="2" t="n">
        <v>650</v>
      </c>
      <c r="C652" s="2" t="n">
        <v>8.20711284439717E-010</v>
      </c>
      <c r="D652" s="2" t="n">
        <v>0</v>
      </c>
      <c r="E652" s="2" t="n">
        <v>0.0744679666643482</v>
      </c>
    </row>
    <row r="653" customFormat="false" ht="13.8" hidden="false" customHeight="false" outlineLevel="0" collapsed="false">
      <c r="B653" s="2" t="n">
        <v>651</v>
      </c>
      <c r="C653" s="2" t="n">
        <v>7.73933222055797E-010</v>
      </c>
      <c r="D653" s="2" t="n">
        <v>6.13993165971098E-011</v>
      </c>
      <c r="E653" s="2" t="n">
        <v>0.200984649997698</v>
      </c>
    </row>
    <row r="654" customFormat="false" ht="13.8" hidden="false" customHeight="false" outlineLevel="0" collapsed="false">
      <c r="B654" s="2" t="n">
        <v>652</v>
      </c>
      <c r="C654" s="2" t="n">
        <v>7.18728297354888E-010</v>
      </c>
      <c r="D654" s="2" t="n">
        <v>0</v>
      </c>
      <c r="E654" s="2" t="n">
        <v>0.138493516231444</v>
      </c>
    </row>
    <row r="655" customFormat="false" ht="13.8" hidden="false" customHeight="false" outlineLevel="0" collapsed="false">
      <c r="B655" s="2" t="n">
        <v>653</v>
      </c>
      <c r="C655" s="2" t="n">
        <v>6.95455152955482E-010</v>
      </c>
      <c r="D655" s="2" t="n">
        <v>0</v>
      </c>
      <c r="E655" s="2" t="n">
        <v>0.0942737256207657</v>
      </c>
    </row>
    <row r="656" customFormat="false" ht="13.8" hidden="false" customHeight="false" outlineLevel="0" collapsed="false">
      <c r="B656" s="2" t="n">
        <v>654</v>
      </c>
      <c r="C656" s="2" t="n">
        <v>7.04207933437644E-010</v>
      </c>
      <c r="D656" s="2" t="n">
        <v>1.26566642426171E-010</v>
      </c>
      <c r="E656" s="2" t="n">
        <v>0.111936266729321</v>
      </c>
    </row>
    <row r="657" customFormat="false" ht="13.8" hidden="false" customHeight="false" outlineLevel="0" collapsed="false">
      <c r="B657" s="2" t="n">
        <v>655</v>
      </c>
      <c r="C657" s="2" t="n">
        <v>7.04106389540473E-010</v>
      </c>
      <c r="D657" s="2" t="n">
        <v>2.20092740958303E-010</v>
      </c>
      <c r="E657" s="2" t="n">
        <v>0.117602516776187</v>
      </c>
    </row>
    <row r="658" customFormat="false" ht="13.8" hidden="false" customHeight="false" outlineLevel="0" collapsed="false">
      <c r="B658" s="2" t="n">
        <v>656</v>
      </c>
      <c r="C658" s="2" t="n">
        <v>7.04004772847761E-010</v>
      </c>
      <c r="D658" s="2" t="n">
        <v>3.13619913390468E-010</v>
      </c>
      <c r="E658" s="2" t="n">
        <v>0.123253250156386</v>
      </c>
    </row>
    <row r="659" customFormat="false" ht="13.8" hidden="false" customHeight="false" outlineLevel="0" collapsed="false">
      <c r="B659" s="2" t="n">
        <v>657</v>
      </c>
      <c r="C659" s="2" t="n">
        <v>7.03903080214426E-010</v>
      </c>
      <c r="D659" s="2" t="n">
        <v>4.07148011821151E-010</v>
      </c>
      <c r="E659" s="2" t="n">
        <v>0.0943036335365851</v>
      </c>
    </row>
    <row r="660" customFormat="false" ht="13.8" hidden="false" customHeight="false" outlineLevel="0" collapsed="false">
      <c r="B660" s="2" t="n">
        <v>658</v>
      </c>
      <c r="C660" s="2" t="n">
        <v>7.038014923404E-010</v>
      </c>
      <c r="D660" s="2" t="n">
        <v>5.00677055953841E-010</v>
      </c>
      <c r="E660" s="2" t="n">
        <v>0.117403483583451</v>
      </c>
    </row>
    <row r="661" customFormat="false" ht="13.8" hidden="false" customHeight="false" outlineLevel="0" collapsed="false">
      <c r="B661" s="2" t="n">
        <v>659</v>
      </c>
      <c r="C661" s="2" t="n">
        <v>7.03699806221026E-010</v>
      </c>
      <c r="D661" s="2" t="n">
        <v>5.94207000896069E-010</v>
      </c>
      <c r="E661" s="2" t="n">
        <v>0.0893202336303182</v>
      </c>
    </row>
    <row r="662" customFormat="false" ht="13.8" hidden="false" customHeight="false" outlineLevel="0" collapsed="false">
      <c r="B662" s="2" t="n">
        <v>660</v>
      </c>
      <c r="C662" s="2" t="n">
        <v>7.03598195355418E-010</v>
      </c>
      <c r="D662" s="2" t="n">
        <v>6.87737891490055E-010</v>
      </c>
      <c r="E662" s="2" t="n">
        <v>0.111270200343852</v>
      </c>
    </row>
    <row r="663" customFormat="false" ht="13.8" hidden="false" customHeight="false" outlineLevel="0" collapsed="false">
      <c r="B663" s="2" t="n">
        <v>661</v>
      </c>
      <c r="C663" s="2" t="n">
        <v>7.03496538493371E-010</v>
      </c>
      <c r="D663" s="2" t="n">
        <v>7.81269714285849E-010</v>
      </c>
      <c r="E663" s="2" t="n">
        <v>0.10792030039072</v>
      </c>
    </row>
    <row r="664" customFormat="false" ht="13.8" hidden="false" customHeight="false" outlineLevel="0" collapsed="false">
      <c r="B664" s="2" t="n">
        <v>662</v>
      </c>
      <c r="C664" s="2" t="n">
        <v>7.03394862418234E-010</v>
      </c>
      <c r="D664" s="2" t="n">
        <v>8.74802909930061E-010</v>
      </c>
      <c r="E664" s="2" t="n">
        <v>0.126637133770921</v>
      </c>
    </row>
    <row r="665" customFormat="false" ht="13.8" hidden="false" customHeight="false" outlineLevel="0" collapsed="false">
      <c r="B665" s="2" t="n">
        <v>663</v>
      </c>
      <c r="C665" s="2" t="n">
        <v>7.03292967745868E-010</v>
      </c>
      <c r="D665" s="2" t="n">
        <v>9.68338927650706E-010</v>
      </c>
      <c r="E665" s="2" t="n">
        <v>0.0764712338177899</v>
      </c>
    </row>
    <row r="666" customFormat="false" ht="13.8" hidden="false" customHeight="false" outlineLevel="0" collapsed="false">
      <c r="B666" s="2" t="n">
        <v>664</v>
      </c>
      <c r="C666" s="2" t="n">
        <v>7.03191118407277E-010</v>
      </c>
      <c r="D666" s="2" t="n">
        <v>1.06187588180107E-009</v>
      </c>
      <c r="E666" s="2" t="n">
        <v>0.102704383864659</v>
      </c>
    </row>
    <row r="667" customFormat="false" ht="13.8" hidden="false" customHeight="false" outlineLevel="0" collapsed="false">
      <c r="B667" s="2" t="n">
        <v>665</v>
      </c>
      <c r="C667" s="2" t="n">
        <v>7.03089247675679E-010</v>
      </c>
      <c r="D667" s="2" t="n">
        <v>1.15541376640899E-009</v>
      </c>
      <c r="E667" s="2" t="n">
        <v>0.067221250578195</v>
      </c>
    </row>
    <row r="668" customFormat="false" ht="13.8" hidden="false" customHeight="false" outlineLevel="0" collapsed="false">
      <c r="B668" s="2" t="n">
        <v>666</v>
      </c>
      <c r="C668" s="2" t="n">
        <v>7.02988342855251E-010</v>
      </c>
      <c r="D668" s="2" t="n">
        <v>1.2489522714099E-009</v>
      </c>
      <c r="E668" s="2" t="n">
        <v>0.0953546172917443</v>
      </c>
    </row>
    <row r="669" customFormat="false" ht="13.8" hidden="false" customHeight="false" outlineLevel="0" collapsed="false">
      <c r="B669" s="2" t="n">
        <v>667</v>
      </c>
      <c r="C669" s="2" t="n">
        <v>6.85483643990761E-010</v>
      </c>
      <c r="D669" s="2" t="n">
        <v>1.37743461502822E-009</v>
      </c>
      <c r="E669" s="2" t="n">
        <v>0.0741963990439387</v>
      </c>
    </row>
    <row r="670" customFormat="false" ht="13.8" hidden="false" customHeight="false" outlineLevel="0" collapsed="false">
      <c r="B670" s="2" t="n">
        <v>668</v>
      </c>
      <c r="C670" s="2" t="n">
        <v>7.08715733931635E-010</v>
      </c>
      <c r="D670" s="2" t="n">
        <v>1.42412362188695E-009</v>
      </c>
      <c r="E670" s="2" t="n">
        <v>0.0497268806043645</v>
      </c>
    </row>
    <row r="671" customFormat="false" ht="13.8" hidden="false" customHeight="false" outlineLevel="0" collapsed="false">
      <c r="B671" s="2" t="n">
        <v>669</v>
      </c>
      <c r="C671" s="2" t="n">
        <v>7.31948505116528E-010</v>
      </c>
      <c r="D671" s="2" t="n">
        <v>1.47081305644759E-009</v>
      </c>
      <c r="E671" s="2" t="n">
        <v>0.0298594693654434</v>
      </c>
    </row>
    <row r="672" customFormat="false" ht="13.8" hidden="false" customHeight="false" outlineLevel="0" collapsed="false">
      <c r="B672" s="2" t="n">
        <v>670</v>
      </c>
      <c r="C672" s="2" t="n">
        <v>7.55181747135221E-010</v>
      </c>
      <c r="D672" s="2" t="n">
        <v>1.51750293024078E-009</v>
      </c>
      <c r="E672" s="2" t="n">
        <v>0.0150223610531425</v>
      </c>
    </row>
    <row r="673" customFormat="false" ht="13.8" hidden="false" customHeight="false" outlineLevel="0" collapsed="false">
      <c r="B673" s="2" t="n">
        <v>671</v>
      </c>
      <c r="C673" s="2" t="n">
        <v>8.18963091789431E-010</v>
      </c>
      <c r="D673" s="2" t="n">
        <v>1.64567897622139E-009</v>
      </c>
      <c r="E673" s="2" t="n">
        <v>0.0755704174894122</v>
      </c>
    </row>
    <row r="674" customFormat="false" ht="13.8" hidden="false" customHeight="false" outlineLevel="0" collapsed="false">
      <c r="B674" s="2" t="n">
        <v>672</v>
      </c>
      <c r="C674" s="2" t="n">
        <v>5.21039804891464E-015</v>
      </c>
      <c r="D674" s="2" t="n">
        <v>1.46196770057164E-015</v>
      </c>
      <c r="E674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674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0" sqref="C3"/>
    </sheetView>
  </sheetViews>
  <sheetFormatPr defaultColWidth="8.5429687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B3" s="2" t="n">
        <v>1</v>
      </c>
      <c r="C3" s="2" t="n">
        <v>2.13315586361267E-009</v>
      </c>
      <c r="D3" s="2" t="n">
        <v>0</v>
      </c>
      <c r="E3" s="2" t="n">
        <v>0</v>
      </c>
    </row>
    <row r="4" customFormat="false" ht="13.8" hidden="false" customHeight="false" outlineLevel="0" collapsed="false">
      <c r="B4" s="2" t="n">
        <v>2</v>
      </c>
      <c r="C4" s="2" t="n">
        <v>2.0252234844835E-009</v>
      </c>
      <c r="D4" s="2" t="n">
        <v>0</v>
      </c>
      <c r="E4" s="2" t="n">
        <v>0</v>
      </c>
    </row>
    <row r="5" customFormat="false" ht="13.8" hidden="false" customHeight="false" outlineLevel="0" collapsed="false">
      <c r="B5" s="2" t="n">
        <v>3</v>
      </c>
      <c r="C5" s="2" t="n">
        <v>1.93136902342865E-009</v>
      </c>
      <c r="D5" s="2" t="n">
        <v>0</v>
      </c>
      <c r="E5" s="2" t="n">
        <v>0</v>
      </c>
    </row>
    <row r="6" customFormat="false" ht="13.8" hidden="false" customHeight="false" outlineLevel="0" collapsed="false">
      <c r="B6" s="2" t="n">
        <v>4</v>
      </c>
      <c r="C6" s="2" t="n">
        <v>1.65203547250313E-009</v>
      </c>
      <c r="D6" s="2" t="n">
        <v>0</v>
      </c>
      <c r="E6" s="2" t="n">
        <v>0</v>
      </c>
    </row>
    <row r="7" customFormat="false" ht="13.8" hidden="false" customHeight="false" outlineLevel="0" collapsed="false">
      <c r="B7" s="2" t="n">
        <v>5</v>
      </c>
      <c r="C7" s="2" t="n">
        <v>1.93294082312345E-009</v>
      </c>
      <c r="D7" s="2" t="n">
        <v>0</v>
      </c>
      <c r="E7" s="2" t="n">
        <v>0</v>
      </c>
    </row>
    <row r="8" customFormat="false" ht="13.8" hidden="false" customHeight="false" outlineLevel="0" collapsed="false">
      <c r="B8" s="2" t="n">
        <v>6</v>
      </c>
      <c r="C8" s="2" t="n">
        <v>1.88642327493578E-009</v>
      </c>
      <c r="D8" s="2" t="n">
        <v>0</v>
      </c>
      <c r="E8" s="2" t="n">
        <v>0</v>
      </c>
    </row>
    <row r="9" customFormat="false" ht="13.8" hidden="false" customHeight="false" outlineLevel="0" collapsed="false">
      <c r="B9" s="2" t="n">
        <v>7</v>
      </c>
      <c r="C9" s="2" t="n">
        <v>1.83949087782344E-009</v>
      </c>
      <c r="D9" s="2" t="n">
        <v>0</v>
      </c>
      <c r="E9" s="2" t="n">
        <v>0</v>
      </c>
    </row>
    <row r="10" customFormat="false" ht="13.8" hidden="false" customHeight="false" outlineLevel="0" collapsed="false">
      <c r="B10" s="2" t="n">
        <v>8</v>
      </c>
      <c r="C10" s="2" t="n">
        <v>1.68473444969571E-009</v>
      </c>
      <c r="D10" s="2" t="n">
        <v>1.05386036424154E-010</v>
      </c>
      <c r="E10" s="2" t="n">
        <v>0</v>
      </c>
    </row>
    <row r="11" customFormat="false" ht="13.8" hidden="false" customHeight="false" outlineLevel="0" collapsed="false">
      <c r="B11" s="2" t="n">
        <v>9</v>
      </c>
      <c r="C11" s="2" t="n">
        <v>1.5908254178204E-009</v>
      </c>
      <c r="D11" s="2" t="n">
        <v>1.5193428462936E-010</v>
      </c>
      <c r="E11" s="2" t="n">
        <v>0</v>
      </c>
    </row>
    <row r="12" customFormat="false" ht="13.8" hidden="false" customHeight="false" outlineLevel="0" collapsed="false">
      <c r="B12" s="2" t="n">
        <v>10</v>
      </c>
      <c r="C12" s="2" t="n">
        <v>1.4969786087892E-009</v>
      </c>
      <c r="D12" s="2" t="n">
        <v>1.98475449853817E-010</v>
      </c>
      <c r="E12" s="2" t="n">
        <v>0</v>
      </c>
    </row>
    <row r="13" customFormat="false" ht="13.8" hidden="false" customHeight="false" outlineLevel="0" collapsed="false">
      <c r="B13" s="2" t="n">
        <v>11</v>
      </c>
      <c r="C13" s="2" t="n">
        <v>1.40313541002173E-009</v>
      </c>
      <c r="D13" s="2" t="n">
        <v>2.4501080885968E-010</v>
      </c>
      <c r="E13" s="2" t="n">
        <v>0</v>
      </c>
    </row>
    <row r="14" customFormat="false" ht="13.8" hidden="false" customHeight="false" outlineLevel="0" collapsed="false">
      <c r="B14" s="2" t="n">
        <v>12</v>
      </c>
      <c r="C14" s="2" t="n">
        <v>1.30929793282109E-009</v>
      </c>
      <c r="D14" s="2" t="n">
        <v>2.91542332534355E-010</v>
      </c>
      <c r="E14" s="2" t="n">
        <v>0</v>
      </c>
    </row>
    <row r="15" customFormat="false" ht="13.8" hidden="false" customHeight="false" outlineLevel="0" collapsed="false">
      <c r="B15" s="2" t="n">
        <v>13</v>
      </c>
      <c r="C15" s="2" t="n">
        <v>1.21545353387598E-009</v>
      </c>
      <c r="D15" s="2" t="n">
        <v>3.38075301384434E-010</v>
      </c>
      <c r="E15" s="2" t="n">
        <v>0</v>
      </c>
    </row>
    <row r="16" customFormat="false" ht="13.8" hidden="false" customHeight="false" outlineLevel="0" collapsed="false">
      <c r="B16" s="2" t="n">
        <v>14</v>
      </c>
      <c r="C16" s="2" t="n">
        <v>1.12160837407203E-009</v>
      </c>
      <c r="D16" s="2" t="n">
        <v>3.84608677309693E-010</v>
      </c>
      <c r="E16" s="2" t="n">
        <v>0</v>
      </c>
    </row>
    <row r="17" customFormat="false" ht="13.8" hidden="false" customHeight="false" outlineLevel="0" collapsed="false">
      <c r="B17" s="2" t="n">
        <v>15</v>
      </c>
      <c r="C17" s="2" t="n">
        <v>1.02776199707921E-009</v>
      </c>
      <c r="D17" s="2" t="n">
        <v>4.31142521061168E-010</v>
      </c>
      <c r="E17" s="2" t="n">
        <v>0</v>
      </c>
    </row>
    <row r="18" customFormat="false" ht="13.8" hidden="false" customHeight="false" outlineLevel="0" collapsed="false">
      <c r="B18" s="2" t="n">
        <v>16</v>
      </c>
      <c r="C18" s="2" t="n">
        <v>9.33915059095566E-010</v>
      </c>
      <c r="D18" s="2" t="n">
        <v>4.77676829057743E-010</v>
      </c>
      <c r="E18" s="2" t="n">
        <v>0</v>
      </c>
    </row>
    <row r="19" customFormat="false" ht="13.8" hidden="false" customHeight="false" outlineLevel="0" collapsed="false">
      <c r="B19" s="2" t="n">
        <v>17</v>
      </c>
      <c r="C19" s="2" t="n">
        <v>8.40066839207765E-010</v>
      </c>
      <c r="D19" s="2" t="n">
        <v>5.24211598701027E-010</v>
      </c>
      <c r="E19" s="2" t="n">
        <v>0</v>
      </c>
    </row>
    <row r="20" customFormat="false" ht="13.8" hidden="false" customHeight="false" outlineLevel="0" collapsed="false">
      <c r="B20" s="2" t="n">
        <v>18</v>
      </c>
      <c r="C20" s="2" t="n">
        <v>7.46217952841997E-010</v>
      </c>
      <c r="D20" s="2" t="n">
        <v>5.70746840840748E-010</v>
      </c>
      <c r="E20" s="2" t="n">
        <v>0</v>
      </c>
    </row>
    <row r="21" customFormat="false" ht="13.8" hidden="false" customHeight="false" outlineLevel="0" collapsed="false">
      <c r="B21" s="2" t="n">
        <v>19</v>
      </c>
      <c r="C21" s="2" t="n">
        <v>6.52367887150818E-010</v>
      </c>
      <c r="D21" s="2" t="n">
        <v>6.17282543333265E-010</v>
      </c>
      <c r="E21" s="2" t="n">
        <v>0</v>
      </c>
    </row>
    <row r="22" customFormat="false" ht="13.8" hidden="false" customHeight="false" outlineLevel="0" collapsed="false">
      <c r="B22" s="2" t="n">
        <v>20</v>
      </c>
      <c r="C22" s="2" t="n">
        <v>5.58517023360412E-010</v>
      </c>
      <c r="D22" s="2" t="n">
        <v>6.63819555717276E-010</v>
      </c>
      <c r="E22" s="2" t="n">
        <v>0</v>
      </c>
    </row>
    <row r="23" customFormat="false" ht="13.8" hidden="false" customHeight="false" outlineLevel="0" collapsed="false">
      <c r="B23" s="2" t="n">
        <v>21</v>
      </c>
      <c r="C23" s="2" t="n">
        <v>4.64665164197146E-010</v>
      </c>
      <c r="D23" s="2" t="n">
        <v>7.10802803278828E-010</v>
      </c>
      <c r="E23" s="2" t="n">
        <v>0</v>
      </c>
    </row>
    <row r="24" customFormat="false" ht="13.8" hidden="false" customHeight="false" outlineLevel="0" collapsed="false">
      <c r="B24" s="2" t="n">
        <v>22</v>
      </c>
      <c r="C24" s="2" t="n">
        <v>3.73362943606269E-010</v>
      </c>
      <c r="D24" s="2" t="n">
        <v>0</v>
      </c>
      <c r="E24" s="2" t="n">
        <v>0</v>
      </c>
    </row>
    <row r="25" customFormat="false" ht="13.8" hidden="false" customHeight="false" outlineLevel="0" collapsed="false">
      <c r="B25" s="2" t="n">
        <v>23</v>
      </c>
      <c r="C25" s="2" t="n">
        <v>2.79776838197579E-010</v>
      </c>
      <c r="D25" s="2" t="n">
        <v>2.20457286404136E-013</v>
      </c>
      <c r="E25" s="2" t="n">
        <v>0</v>
      </c>
    </row>
    <row r="26" customFormat="false" ht="13.8" hidden="false" customHeight="false" outlineLevel="0" collapsed="false">
      <c r="B26" s="2" t="n">
        <v>24</v>
      </c>
      <c r="C26" s="2" t="n">
        <v>1.86189813262633E-010</v>
      </c>
      <c r="D26" s="2" t="n">
        <v>2.3871095182966E-013</v>
      </c>
      <c r="E26" s="2" t="n">
        <v>0</v>
      </c>
    </row>
    <row r="27" customFormat="false" ht="13.8" hidden="false" customHeight="false" outlineLevel="0" collapsed="false">
      <c r="B27" s="2" t="n">
        <v>25</v>
      </c>
      <c r="C27" s="2" t="n">
        <v>9.26017997798328E-011</v>
      </c>
      <c r="D27" s="2" t="n">
        <v>2.56114604344273E-013</v>
      </c>
      <c r="E27" s="2" t="n">
        <v>0</v>
      </c>
    </row>
    <row r="28" customFormat="false" ht="13.8" hidden="false" customHeight="false" outlineLevel="0" collapsed="false">
      <c r="B28" s="2" t="n">
        <v>26</v>
      </c>
      <c r="C28" s="2" t="n">
        <v>0</v>
      </c>
      <c r="D28" s="2" t="n">
        <v>2.81219217350474E-013</v>
      </c>
      <c r="E28" s="2" t="n">
        <v>0</v>
      </c>
    </row>
    <row r="29" customFormat="false" ht="13.8" hidden="false" customHeight="false" outlineLevel="0" collapsed="false">
      <c r="B29" s="2" t="n">
        <v>27</v>
      </c>
      <c r="C29" s="2" t="n">
        <v>0</v>
      </c>
      <c r="D29" s="2" t="n">
        <v>3.90338027647822E-013</v>
      </c>
      <c r="E29" s="2" t="n">
        <v>0</v>
      </c>
    </row>
    <row r="30" customFormat="false" ht="13.8" hidden="false" customHeight="false" outlineLevel="0" collapsed="false">
      <c r="B30" s="2" t="n">
        <v>28</v>
      </c>
      <c r="C30" s="2" t="n">
        <v>0</v>
      </c>
      <c r="D30" s="2" t="n">
        <v>1.48862745470656E-013</v>
      </c>
      <c r="E30" s="2" t="n">
        <v>1.86240860615468E-010</v>
      </c>
    </row>
    <row r="31" customFormat="false" ht="13.8" hidden="false" customHeight="false" outlineLevel="0" collapsed="false">
      <c r="B31" s="2" t="n">
        <v>29</v>
      </c>
      <c r="C31" s="2" t="n">
        <v>0</v>
      </c>
      <c r="D31" s="2" t="n">
        <v>1.22042213710091E-013</v>
      </c>
      <c r="E31" s="2" t="n">
        <v>2.79631865410899E-010</v>
      </c>
    </row>
    <row r="32" customFormat="false" ht="13.8" hidden="false" customHeight="false" outlineLevel="0" collapsed="false">
      <c r="B32" s="2" t="n">
        <v>30</v>
      </c>
      <c r="C32" s="2" t="n">
        <v>2.27892541910246E-012</v>
      </c>
      <c r="D32" s="2" t="n">
        <v>0.0111737047524204</v>
      </c>
      <c r="E32" s="2" t="n">
        <v>8.33238389277109E-013</v>
      </c>
    </row>
    <row r="33" customFormat="false" ht="13.8" hidden="false" customHeight="false" outlineLevel="0" collapsed="false">
      <c r="B33" s="2" t="n">
        <v>31</v>
      </c>
      <c r="C33" s="2" t="n">
        <v>0</v>
      </c>
      <c r="D33" s="2" t="n">
        <v>0.018280242545633</v>
      </c>
      <c r="E33" s="2" t="n">
        <v>0</v>
      </c>
    </row>
    <row r="34" customFormat="false" ht="13.8" hidden="false" customHeight="false" outlineLevel="0" collapsed="false">
      <c r="B34" s="2" t="n">
        <v>32</v>
      </c>
      <c r="C34" s="2" t="n">
        <v>1.42303926675405E-016</v>
      </c>
      <c r="D34" s="2" t="n">
        <v>0.0244807385107375</v>
      </c>
      <c r="E34" s="2" t="n">
        <v>0</v>
      </c>
    </row>
    <row r="35" customFormat="false" ht="13.8" hidden="false" customHeight="false" outlineLevel="0" collapsed="false">
      <c r="B35" s="2" t="n">
        <v>33</v>
      </c>
      <c r="C35" s="2" t="n">
        <v>1.04397097081189E-016</v>
      </c>
      <c r="D35" s="2" t="n">
        <v>0.0306812344758416</v>
      </c>
      <c r="E35" s="2" t="n">
        <v>0</v>
      </c>
    </row>
    <row r="36" customFormat="false" ht="13.8" hidden="false" customHeight="false" outlineLevel="0" collapsed="false">
      <c r="B36" s="2" t="n">
        <v>34</v>
      </c>
      <c r="C36" s="2" t="n">
        <v>8.7430675925827E-017</v>
      </c>
      <c r="D36" s="2" t="n">
        <v>0.0325856505646904</v>
      </c>
      <c r="E36" s="2" t="n">
        <v>0</v>
      </c>
    </row>
    <row r="37" customFormat="false" ht="13.8" hidden="false" customHeight="false" outlineLevel="0" collapsed="false">
      <c r="B37" s="2" t="n">
        <v>35</v>
      </c>
      <c r="C37" s="2" t="n">
        <v>6.98941645162873E-017</v>
      </c>
      <c r="D37" s="2" t="n">
        <v>0.0344900666535388</v>
      </c>
      <c r="E37" s="2" t="n">
        <v>0</v>
      </c>
    </row>
    <row r="38" customFormat="false" ht="13.8" hidden="false" customHeight="false" outlineLevel="0" collapsed="false">
      <c r="B38" s="2" t="n">
        <v>36</v>
      </c>
      <c r="C38" s="2" t="n">
        <v>5.14055139828092E-017</v>
      </c>
      <c r="D38" s="2" t="n">
        <v>0.0363944827423867</v>
      </c>
      <c r="E38" s="2" t="n">
        <v>0</v>
      </c>
    </row>
    <row r="39" customFormat="false" ht="13.8" hidden="false" customHeight="false" outlineLevel="0" collapsed="false">
      <c r="B39" s="2" t="n">
        <v>37</v>
      </c>
      <c r="C39" s="2" t="n">
        <v>3.47715011170129E-017</v>
      </c>
      <c r="D39" s="2" t="n">
        <v>0.0382988988312342</v>
      </c>
      <c r="E39" s="2" t="n">
        <v>0</v>
      </c>
    </row>
    <row r="40" customFormat="false" ht="13.8" hidden="false" customHeight="false" outlineLevel="0" collapsed="false">
      <c r="B40" s="2" t="n">
        <v>38</v>
      </c>
      <c r="C40" s="2" t="n">
        <v>0</v>
      </c>
      <c r="D40" s="2" t="n">
        <v>0.0513980998069271</v>
      </c>
      <c r="E40" s="2" t="n">
        <v>0</v>
      </c>
    </row>
    <row r="41" customFormat="false" ht="13.8" hidden="false" customHeight="false" outlineLevel="0" collapsed="false">
      <c r="B41" s="2" t="n">
        <v>39</v>
      </c>
      <c r="C41" s="2" t="n">
        <v>0</v>
      </c>
      <c r="D41" s="2" t="n">
        <v>0.0644973007826192</v>
      </c>
      <c r="E41" s="2" t="n">
        <v>0</v>
      </c>
    </row>
    <row r="42" customFormat="false" ht="13.8" hidden="false" customHeight="false" outlineLevel="0" collapsed="false">
      <c r="B42" s="2" t="n">
        <v>40</v>
      </c>
      <c r="C42" s="2" t="n">
        <v>1.01744136752069E-015</v>
      </c>
      <c r="D42" s="2" t="n">
        <v>0.0775965017583106</v>
      </c>
      <c r="E42" s="2" t="n">
        <v>0</v>
      </c>
    </row>
    <row r="43" customFormat="false" ht="13.8" hidden="false" customHeight="false" outlineLevel="0" collapsed="false">
      <c r="B43" s="2" t="n">
        <v>41</v>
      </c>
      <c r="C43" s="2" t="n">
        <v>0.034699144384815</v>
      </c>
      <c r="D43" s="2" t="n">
        <v>0.090695702734001</v>
      </c>
      <c r="E43" s="2" t="n">
        <v>0</v>
      </c>
    </row>
    <row r="44" customFormat="false" ht="13.8" hidden="false" customHeight="false" outlineLevel="0" collapsed="false">
      <c r="B44" s="2" t="n">
        <v>42</v>
      </c>
      <c r="C44" s="2" t="n">
        <v>1.45351911119631E-009</v>
      </c>
      <c r="D44" s="2" t="n">
        <v>0.0925785999969885</v>
      </c>
      <c r="E44" s="2" t="n">
        <v>0</v>
      </c>
    </row>
    <row r="45" customFormat="false" ht="13.8" hidden="false" customHeight="false" outlineLevel="0" collapsed="false">
      <c r="B45" s="2" t="n">
        <v>43</v>
      </c>
      <c r="C45" s="2" t="n">
        <v>2.91137725379923E-009</v>
      </c>
      <c r="D45" s="2" t="n">
        <v>0.0944614972599748</v>
      </c>
      <c r="E45" s="2" t="n">
        <v>0</v>
      </c>
    </row>
    <row r="46" customFormat="false" ht="13.8" hidden="false" customHeight="false" outlineLevel="0" collapsed="false">
      <c r="B46" s="2" t="n">
        <v>44</v>
      </c>
      <c r="C46" s="2" t="n">
        <v>0.038375791258199</v>
      </c>
      <c r="D46" s="2" t="n">
        <v>0.0963443945229598</v>
      </c>
      <c r="E46" s="2" t="n">
        <v>0</v>
      </c>
    </row>
    <row r="47" customFormat="false" ht="13.8" hidden="false" customHeight="false" outlineLevel="0" collapsed="false">
      <c r="B47" s="2" t="n">
        <v>45</v>
      </c>
      <c r="C47" s="2" t="n">
        <v>0.0097552795608585</v>
      </c>
      <c r="D47" s="2" t="n">
        <v>0.0982272917831787</v>
      </c>
      <c r="E47" s="2" t="n">
        <v>0</v>
      </c>
    </row>
    <row r="48" customFormat="false" ht="13.8" hidden="false" customHeight="false" outlineLevel="0" collapsed="false">
      <c r="B48" s="2" t="n">
        <v>46</v>
      </c>
      <c r="C48" s="2" t="n">
        <v>0.0366287772668188</v>
      </c>
      <c r="D48" s="2" t="n">
        <v>0.0985888849138555</v>
      </c>
      <c r="E48" s="2" t="n">
        <v>0</v>
      </c>
    </row>
    <row r="49" customFormat="false" ht="13.8" hidden="false" customHeight="false" outlineLevel="0" collapsed="false">
      <c r="B49" s="2" t="n">
        <v>47</v>
      </c>
      <c r="C49" s="2" t="n">
        <v>0.053252158304846</v>
      </c>
      <c r="D49" s="2" t="n">
        <v>0.098950478041766</v>
      </c>
      <c r="E49" s="2" t="n">
        <v>0</v>
      </c>
    </row>
    <row r="50" customFormat="false" ht="13.8" hidden="false" customHeight="false" outlineLevel="0" collapsed="false">
      <c r="B50" s="2" t="n">
        <v>48</v>
      </c>
      <c r="C50" s="2" t="n">
        <v>1.01990736820601E-008</v>
      </c>
      <c r="D50" s="2" t="n">
        <v>0.0993120711696753</v>
      </c>
      <c r="E50" s="2" t="n">
        <v>0</v>
      </c>
    </row>
    <row r="51" customFormat="false" ht="13.8" hidden="false" customHeight="false" outlineLevel="0" collapsed="false">
      <c r="B51" s="2" t="n">
        <v>49</v>
      </c>
      <c r="C51" s="2" t="n">
        <v>0.0324160203852973</v>
      </c>
      <c r="D51" s="2" t="n">
        <v>0.0996736642994294</v>
      </c>
      <c r="E51" s="2" t="n">
        <v>0</v>
      </c>
    </row>
    <row r="52" customFormat="false" ht="13.8" hidden="false" customHeight="false" outlineLevel="0" collapsed="false">
      <c r="B52" s="2" t="n">
        <v>50</v>
      </c>
      <c r="C52" s="2" t="n">
        <v>2.05119941839107E-006</v>
      </c>
      <c r="D52" s="2" t="n">
        <v>0.100408378493218</v>
      </c>
      <c r="E52" s="2" t="n">
        <v>0</v>
      </c>
    </row>
    <row r="53" customFormat="false" ht="13.8" hidden="false" customHeight="false" outlineLevel="0" collapsed="false">
      <c r="B53" s="2" t="n">
        <v>51</v>
      </c>
      <c r="C53" s="2" t="n">
        <v>2.05119926121631E-006</v>
      </c>
      <c r="D53" s="2" t="n">
        <v>0.101143092691024</v>
      </c>
      <c r="E53" s="2" t="n">
        <v>0</v>
      </c>
    </row>
    <row r="54" customFormat="false" ht="13.8" hidden="false" customHeight="false" outlineLevel="0" collapsed="false">
      <c r="B54" s="2" t="n">
        <v>52</v>
      </c>
      <c r="C54" s="2" t="n">
        <v>2.05119922493557E-006</v>
      </c>
      <c r="D54" s="2" t="n">
        <v>0.101877806888828</v>
      </c>
      <c r="E54" s="2" t="n">
        <v>0</v>
      </c>
    </row>
    <row r="55" customFormat="false" ht="13.8" hidden="false" customHeight="false" outlineLevel="0" collapsed="false">
      <c r="B55" s="2" t="n">
        <v>53</v>
      </c>
      <c r="C55" s="2" t="n">
        <v>2.05119922492317E-006</v>
      </c>
      <c r="D55" s="2" t="n">
        <v>0.102612521086631</v>
      </c>
      <c r="E55" s="2" t="n">
        <v>0</v>
      </c>
    </row>
    <row r="56" customFormat="false" ht="13.8" hidden="false" customHeight="false" outlineLevel="0" collapsed="false">
      <c r="B56" s="2" t="n">
        <v>54</v>
      </c>
      <c r="C56" s="2" t="n">
        <v>2.05119922490696E-006</v>
      </c>
      <c r="D56" s="2" t="n">
        <v>0.0992102410136129</v>
      </c>
      <c r="E56" s="2" t="n">
        <v>0.140188802600043</v>
      </c>
    </row>
    <row r="57" customFormat="false" ht="13.8" hidden="false" customHeight="false" outlineLevel="0" collapsed="false">
      <c r="B57" s="2" t="n">
        <v>55</v>
      </c>
      <c r="C57" s="2" t="n">
        <v>2.05119922489742E-006</v>
      </c>
      <c r="D57" s="2" t="n">
        <v>0.0958079609405931</v>
      </c>
      <c r="E57" s="2" t="n">
        <v>0.596941965294817</v>
      </c>
    </row>
    <row r="58" customFormat="false" ht="13.8" hidden="false" customHeight="false" outlineLevel="0" collapsed="false">
      <c r="B58" s="2" t="n">
        <v>56</v>
      </c>
      <c r="C58" s="2" t="n">
        <v>2.05119922488884E-006</v>
      </c>
      <c r="D58" s="2" t="n">
        <v>0.0924056808675718</v>
      </c>
      <c r="E58" s="2" t="n">
        <v>0.653112956762968</v>
      </c>
    </row>
    <row r="59" customFormat="false" ht="13.8" hidden="false" customHeight="false" outlineLevel="0" collapsed="false">
      <c r="B59" s="2" t="n">
        <v>57</v>
      </c>
      <c r="C59" s="2" t="n">
        <v>2.05119918976165E-006</v>
      </c>
      <c r="D59" s="2" t="n">
        <v>0.089003400794549</v>
      </c>
      <c r="E59" s="2" t="n">
        <v>0.614623280402812</v>
      </c>
    </row>
    <row r="60" customFormat="false" ht="13.8" hidden="false" customHeight="false" outlineLevel="0" collapsed="false">
      <c r="B60" s="2" t="n">
        <v>58</v>
      </c>
      <c r="C60" s="2" t="n">
        <v>6.4788624846676E-015</v>
      </c>
      <c r="D60" s="2" t="n">
        <v>0.0796192713983904</v>
      </c>
      <c r="E60" s="2" t="n">
        <v>0.58516289474259</v>
      </c>
    </row>
    <row r="61" customFormat="false" ht="13.8" hidden="false" customHeight="false" outlineLevel="0" collapsed="false">
      <c r="B61" s="2" t="n">
        <v>59</v>
      </c>
      <c r="C61" s="2" t="n">
        <v>4.10237210074949E-006</v>
      </c>
      <c r="D61" s="2" t="n">
        <v>0.0702351420021474</v>
      </c>
      <c r="E61" s="2" t="n">
        <v>0.480252675749038</v>
      </c>
    </row>
    <row r="62" customFormat="false" ht="13.8" hidden="false" customHeight="false" outlineLevel="0" collapsed="false">
      <c r="B62" s="2" t="n">
        <v>60</v>
      </c>
      <c r="C62" s="2" t="n">
        <v>1.05660474137841E-012</v>
      </c>
      <c r="D62" s="2" t="n">
        <v>0.0608510126063014</v>
      </c>
      <c r="E62" s="2" t="n">
        <v>0.404924922661328</v>
      </c>
    </row>
    <row r="63" customFormat="false" ht="13.8" hidden="false" customHeight="false" outlineLevel="0" collapsed="false">
      <c r="B63" s="2" t="n">
        <v>61</v>
      </c>
      <c r="C63" s="2" t="n">
        <v>1.19975771337314E-012</v>
      </c>
      <c r="D63" s="2" t="n">
        <v>0.0514668832096748</v>
      </c>
      <c r="E63" s="2" t="n">
        <v>0.33221703249119</v>
      </c>
    </row>
    <row r="64" customFormat="false" ht="13.8" hidden="false" customHeight="false" outlineLevel="0" collapsed="false">
      <c r="B64" s="2" t="n">
        <v>62</v>
      </c>
      <c r="C64" s="2" t="n">
        <v>1.23583174611737E-012</v>
      </c>
      <c r="D64" s="2" t="n">
        <v>0.0466766388684995</v>
      </c>
      <c r="E64" s="2" t="n">
        <v>0.284572127503433</v>
      </c>
    </row>
    <row r="65" customFormat="false" ht="13.8" hidden="false" customHeight="false" outlineLevel="0" collapsed="false">
      <c r="B65" s="2" t="n">
        <v>63</v>
      </c>
      <c r="C65" s="2" t="n">
        <v>1.25697535785121E-012</v>
      </c>
      <c r="D65" s="2" t="n">
        <v>0.0418863945272699</v>
      </c>
      <c r="E65" s="2" t="n">
        <v>0.168844089182621</v>
      </c>
    </row>
    <row r="66" customFormat="false" ht="13.8" hidden="false" customHeight="false" outlineLevel="0" collapsed="false">
      <c r="B66" s="2" t="n">
        <v>64</v>
      </c>
      <c r="C66" s="2" t="n">
        <v>1.28409279299163E-012</v>
      </c>
      <c r="D66" s="2" t="n">
        <v>0.0370961501859868</v>
      </c>
      <c r="E66" s="2" t="n">
        <v>0.116282434195045</v>
      </c>
    </row>
    <row r="67" customFormat="false" ht="13.8" hidden="false" customHeight="false" outlineLevel="0" collapsed="false">
      <c r="B67" s="2" t="n">
        <v>65</v>
      </c>
      <c r="C67" s="2" t="n">
        <v>1.29671101328126E-012</v>
      </c>
      <c r="D67" s="2" t="n">
        <v>0.032305905844653</v>
      </c>
      <c r="E67" s="2" t="n">
        <v>0.0825540958744119</v>
      </c>
    </row>
    <row r="68" customFormat="false" ht="13.8" hidden="false" customHeight="false" outlineLevel="0" collapsed="false">
      <c r="B68" s="2" t="n">
        <v>66</v>
      </c>
      <c r="C68" s="2" t="n">
        <v>1.30601587706741E-012</v>
      </c>
      <c r="D68" s="2" t="n">
        <v>0.0274268963466308</v>
      </c>
      <c r="E68" s="2" t="n">
        <v>0.112163176911683</v>
      </c>
    </row>
    <row r="69" customFormat="false" ht="13.8" hidden="false" customHeight="false" outlineLevel="0" collapsed="false">
      <c r="B69" s="2" t="n">
        <v>67</v>
      </c>
      <c r="C69" s="2" t="n">
        <v>1.3103455352663E-012</v>
      </c>
      <c r="D69" s="2" t="n">
        <v>0.0225478868485706</v>
      </c>
      <c r="E69" s="2" t="n">
        <v>0.126355774615723</v>
      </c>
    </row>
    <row r="70" customFormat="false" ht="13.8" hidden="false" customHeight="false" outlineLevel="0" collapsed="false">
      <c r="B70" s="2" t="n">
        <v>68</v>
      </c>
      <c r="C70" s="2" t="n">
        <v>4.33683476354477E-012</v>
      </c>
      <c r="D70" s="2" t="n">
        <v>0.00988421634179679</v>
      </c>
      <c r="E70" s="2" t="n">
        <v>5.17172557900899E-013</v>
      </c>
    </row>
    <row r="71" customFormat="false" ht="13.8" hidden="false" customHeight="false" outlineLevel="0" collapsed="false">
      <c r="B71" s="2" t="n">
        <v>69</v>
      </c>
      <c r="C71" s="2" t="n">
        <v>3.42517622457263E-009</v>
      </c>
      <c r="D71" s="2" t="n">
        <v>1.03052076114107E-012</v>
      </c>
      <c r="E71" s="2" t="n">
        <v>7.52625665247207E-013</v>
      </c>
    </row>
    <row r="72" customFormat="false" ht="13.8" hidden="false" customHeight="false" outlineLevel="0" collapsed="false">
      <c r="B72" s="2" t="n">
        <v>70</v>
      </c>
      <c r="C72" s="2" t="n">
        <v>3.33504354684661E-009</v>
      </c>
      <c r="D72" s="2" t="n">
        <v>1.09192728046507E-012</v>
      </c>
      <c r="E72" s="2" t="n">
        <v>7.6639421864446E-013</v>
      </c>
    </row>
    <row r="73" customFormat="false" ht="13.8" hidden="false" customHeight="false" outlineLevel="0" collapsed="false">
      <c r="B73" s="2" t="n">
        <v>71</v>
      </c>
      <c r="C73" s="2" t="n">
        <v>3.24155520834336E-009</v>
      </c>
      <c r="D73" s="2" t="n">
        <v>1.0992718469804E-012</v>
      </c>
      <c r="E73" s="2" t="n">
        <v>7.80562699483607E-013</v>
      </c>
    </row>
    <row r="74" customFormat="false" ht="13.8" hidden="false" customHeight="false" outlineLevel="0" collapsed="false">
      <c r="B74" s="2" t="n">
        <v>72</v>
      </c>
      <c r="C74" s="2" t="n">
        <v>3.1480694180674E-009</v>
      </c>
      <c r="D74" s="2" t="n">
        <v>2.9679011490017E-012</v>
      </c>
      <c r="E74" s="2" t="n">
        <v>7.94778498610688E-013</v>
      </c>
    </row>
    <row r="75" customFormat="false" ht="13.8" hidden="false" customHeight="false" outlineLevel="0" collapsed="false">
      <c r="B75" s="2" t="n">
        <v>73</v>
      </c>
      <c r="C75" s="2" t="n">
        <v>3.05749363067024E-009</v>
      </c>
      <c r="D75" s="2" t="n">
        <v>1.95463199987547E-009</v>
      </c>
      <c r="E75" s="2" t="n">
        <v>8.0891516980009E-013</v>
      </c>
    </row>
    <row r="76" customFormat="false" ht="13.8" hidden="false" customHeight="false" outlineLevel="0" collapsed="false">
      <c r="B76" s="2" t="n">
        <v>74</v>
      </c>
      <c r="C76" s="2" t="n">
        <v>2.96384527915413E-009</v>
      </c>
      <c r="D76" s="2" t="n">
        <v>1.86287647006732E-009</v>
      </c>
      <c r="E76" s="2" t="n">
        <v>8.2301303210821E-013</v>
      </c>
    </row>
    <row r="77" customFormat="false" ht="13.8" hidden="false" customHeight="false" outlineLevel="0" collapsed="false">
      <c r="B77" s="2" t="n">
        <v>75</v>
      </c>
      <c r="C77" s="2" t="n">
        <v>2.87017975551172E-009</v>
      </c>
      <c r="D77" s="2" t="n">
        <v>1.76916947957439E-009</v>
      </c>
      <c r="E77" s="2" t="n">
        <v>8.37258795579746E-013</v>
      </c>
    </row>
    <row r="78" customFormat="false" ht="13.8" hidden="false" customHeight="false" outlineLevel="0" collapsed="false">
      <c r="B78" s="2" t="n">
        <v>76</v>
      </c>
      <c r="C78" s="2" t="n">
        <v>2.77651207641736E-009</v>
      </c>
      <c r="D78" s="2" t="n">
        <v>1.67546156078323E-009</v>
      </c>
      <c r="E78" s="2" t="n">
        <v>8.51293936702841E-013</v>
      </c>
    </row>
    <row r="79" customFormat="false" ht="13.8" hidden="false" customHeight="false" outlineLevel="0" collapsed="false">
      <c r="B79" s="2" t="n">
        <v>77</v>
      </c>
      <c r="C79" s="2" t="n">
        <v>2.68284693443864E-009</v>
      </c>
      <c r="D79" s="2" t="n">
        <v>1.58175269190606E-009</v>
      </c>
      <c r="E79" s="2" t="n">
        <v>8.65346851630249E-013</v>
      </c>
    </row>
    <row r="80" customFormat="false" ht="13.8" hidden="false" customHeight="false" outlineLevel="0" collapsed="false">
      <c r="B80" s="2" t="n">
        <v>78</v>
      </c>
      <c r="C80" s="2" t="n">
        <v>2.58917797292523E-009</v>
      </c>
      <c r="D80" s="2" t="n">
        <v>1.48680930229973E-009</v>
      </c>
      <c r="E80" s="2" t="n">
        <v>8.79425057672765E-013</v>
      </c>
    </row>
    <row r="81" customFormat="false" ht="13.8" hidden="false" customHeight="false" outlineLevel="0" collapsed="false">
      <c r="B81" s="2" t="n">
        <v>79</v>
      </c>
      <c r="C81" s="2" t="n">
        <v>2.49551008930613E-009</v>
      </c>
      <c r="D81" s="2" t="n">
        <v>1.3931903708247E-009</v>
      </c>
      <c r="E81" s="2" t="n">
        <v>8.93521902475904E-013</v>
      </c>
    </row>
    <row r="82" customFormat="false" ht="13.8" hidden="false" customHeight="false" outlineLevel="0" collapsed="false">
      <c r="B82" s="2" t="n">
        <v>80</v>
      </c>
      <c r="C82" s="2" t="n">
        <v>2.40183854137855E-009</v>
      </c>
      <c r="D82" s="2" t="n">
        <v>1.29956951778027E-009</v>
      </c>
      <c r="E82" s="2" t="n">
        <v>9.07762191111724E-013</v>
      </c>
    </row>
    <row r="83" customFormat="false" ht="13.8" hidden="false" customHeight="false" outlineLevel="0" collapsed="false">
      <c r="B83" s="2" t="n">
        <v>81</v>
      </c>
      <c r="C83" s="2" t="n">
        <v>2.30816890649791E-009</v>
      </c>
      <c r="D83" s="2" t="n">
        <v>1.20594787975163E-009</v>
      </c>
      <c r="E83" s="2" t="n">
        <v>9.21910257358091E-013</v>
      </c>
    </row>
    <row r="84" customFormat="false" ht="13.8" hidden="false" customHeight="false" outlineLevel="0" collapsed="false">
      <c r="B84" s="2" t="n">
        <v>82</v>
      </c>
      <c r="C84" s="2" t="n">
        <v>2.21449634767496E-009</v>
      </c>
      <c r="D84" s="2" t="n">
        <v>1.11232535138529E-009</v>
      </c>
      <c r="E84" s="2" t="n">
        <v>9.35995380585744E-013</v>
      </c>
    </row>
    <row r="85" customFormat="false" ht="13.8" hidden="false" customHeight="false" outlineLevel="0" collapsed="false">
      <c r="B85" s="2" t="n">
        <v>83</v>
      </c>
      <c r="C85" s="2" t="n">
        <v>2.12082414639638E-009</v>
      </c>
      <c r="D85" s="2" t="n">
        <v>1.01870196865081E-009</v>
      </c>
      <c r="E85" s="2" t="n">
        <v>9.5014060853736E-013</v>
      </c>
    </row>
    <row r="86" customFormat="false" ht="13.8" hidden="false" customHeight="false" outlineLevel="0" collapsed="false">
      <c r="B86" s="2" t="n">
        <v>84</v>
      </c>
      <c r="C86" s="2" t="n">
        <v>2.02715046155875E-009</v>
      </c>
      <c r="D86" s="2" t="n">
        <v>9.25077698701497E-010</v>
      </c>
      <c r="E86" s="2" t="n">
        <v>9.64343849729237E-013</v>
      </c>
    </row>
    <row r="87" customFormat="false" ht="13.8" hidden="false" customHeight="false" outlineLevel="0" collapsed="false">
      <c r="B87" s="2" t="n">
        <v>85</v>
      </c>
      <c r="C87" s="2" t="n">
        <v>1.93347563862954E-009</v>
      </c>
      <c r="D87" s="2" t="n">
        <v>8.31452795164281E-010</v>
      </c>
      <c r="E87" s="2" t="n">
        <v>9.78493394139515E-013</v>
      </c>
    </row>
    <row r="88" customFormat="false" ht="13.8" hidden="false" customHeight="false" outlineLevel="0" collapsed="false">
      <c r="B88" s="2" t="n">
        <v>86</v>
      </c>
      <c r="C88" s="2" t="n">
        <v>1.83979988268604E-009</v>
      </c>
      <c r="D88" s="2" t="n">
        <v>7.37827006692971E-010</v>
      </c>
      <c r="E88" s="2" t="n">
        <v>9.92549127028022E-013</v>
      </c>
    </row>
    <row r="89" customFormat="false" ht="13.8" hidden="false" customHeight="false" outlineLevel="0" collapsed="false">
      <c r="B89" s="2" t="n">
        <v>87</v>
      </c>
      <c r="C89" s="2" t="n">
        <v>1.7461232676886E-009</v>
      </c>
      <c r="D89" s="2" t="n">
        <v>6.44200733177474E-010</v>
      </c>
      <c r="E89" s="2" t="n">
        <v>1.0066384679871E-012</v>
      </c>
    </row>
    <row r="90" customFormat="false" ht="13.8" hidden="false" customHeight="false" outlineLevel="0" collapsed="false">
      <c r="B90" s="2" t="n">
        <v>88</v>
      </c>
      <c r="C90" s="2" t="n">
        <v>1.65244599367239E-009</v>
      </c>
      <c r="D90" s="2" t="n">
        <v>5.50574049878441E-010</v>
      </c>
      <c r="E90" s="2" t="n">
        <v>1.02089395509133E-012</v>
      </c>
    </row>
    <row r="91" customFormat="false" ht="13.8" hidden="false" customHeight="false" outlineLevel="0" collapsed="false">
      <c r="B91" s="2" t="n">
        <v>89</v>
      </c>
      <c r="C91" s="2" t="n">
        <v>1.55876743633371E-009</v>
      </c>
      <c r="D91" s="2" t="n">
        <v>4.56947236445396E-010</v>
      </c>
      <c r="E91" s="2" t="n">
        <v>1.03490223632593E-012</v>
      </c>
    </row>
    <row r="92" customFormat="false" ht="13.8" hidden="false" customHeight="false" outlineLevel="0" collapsed="false">
      <c r="B92" s="2" t="n">
        <v>90</v>
      </c>
      <c r="C92" s="2" t="n">
        <v>1.46508756684989E-009</v>
      </c>
      <c r="D92" s="2" t="n">
        <v>3.63321441212658E-010</v>
      </c>
      <c r="E92" s="2" t="n">
        <v>1.04906914093362E-012</v>
      </c>
    </row>
    <row r="93" customFormat="false" ht="13.8" hidden="false" customHeight="false" outlineLevel="0" collapsed="false">
      <c r="B93" s="2" t="n">
        <v>91</v>
      </c>
      <c r="C93" s="2" t="n">
        <v>1.37140723006951E-009</v>
      </c>
      <c r="D93" s="2" t="n">
        <v>2.69698946182263E-010</v>
      </c>
      <c r="E93" s="2" t="n">
        <v>1.06322165116644E-012</v>
      </c>
    </row>
    <row r="94" customFormat="false" ht="13.8" hidden="false" customHeight="false" outlineLevel="0" collapsed="false">
      <c r="B94" s="2" t="n">
        <v>92</v>
      </c>
      <c r="C94" s="2" t="n">
        <v>1.27768789656014E-009</v>
      </c>
      <c r="D94" s="2" t="n">
        <v>1.76002332234925E-010</v>
      </c>
      <c r="E94" s="2" t="n">
        <v>1.0772274441177E-012</v>
      </c>
    </row>
    <row r="95" customFormat="false" ht="13.8" hidden="false" customHeight="false" outlineLevel="0" collapsed="false">
      <c r="B95" s="2" t="n">
        <v>93</v>
      </c>
      <c r="C95" s="2" t="n">
        <v>1.14347529747138E-009</v>
      </c>
      <c r="D95" s="2" t="n">
        <v>1.25046196429174E-012</v>
      </c>
      <c r="E95" s="2" t="n">
        <v>1.0934580261632E-012</v>
      </c>
    </row>
    <row r="96" customFormat="false" ht="13.8" hidden="false" customHeight="false" outlineLevel="0" collapsed="false">
      <c r="B96" s="2" t="n">
        <v>94</v>
      </c>
      <c r="C96" s="2" t="n">
        <v>1.09655291560134E-009</v>
      </c>
      <c r="D96" s="2" t="n">
        <v>1.08664133247029E-012</v>
      </c>
      <c r="E96" s="2" t="n">
        <v>1.10178777495914E-012</v>
      </c>
    </row>
    <row r="97" customFormat="false" ht="13.8" hidden="false" customHeight="false" outlineLevel="0" collapsed="false">
      <c r="B97" s="2" t="n">
        <v>95</v>
      </c>
      <c r="C97" s="2" t="n">
        <v>1.04971273418009E-009</v>
      </c>
      <c r="D97" s="2" t="n">
        <v>1.09076305544094E-012</v>
      </c>
      <c r="E97" s="2" t="n">
        <v>1.10887461708292E-012</v>
      </c>
    </row>
    <row r="98" customFormat="false" ht="13.8" hidden="false" customHeight="false" outlineLevel="0" collapsed="false">
      <c r="B98" s="2" t="n">
        <v>96</v>
      </c>
      <c r="C98" s="2" t="n">
        <v>1.00287242332111E-009</v>
      </c>
      <c r="D98" s="2" t="n">
        <v>1.09574986427965E-012</v>
      </c>
      <c r="E98" s="2" t="n">
        <v>1.11515918934435E-012</v>
      </c>
    </row>
    <row r="99" customFormat="false" ht="13.8" hidden="false" customHeight="false" outlineLevel="0" collapsed="false">
      <c r="B99" s="2" t="n">
        <v>97</v>
      </c>
      <c r="C99" s="2" t="n">
        <v>9.5603296830559E-010</v>
      </c>
      <c r="D99" s="2" t="n">
        <v>1.10104602739735E-012</v>
      </c>
      <c r="E99" s="2" t="n">
        <v>1.12111176329162E-012</v>
      </c>
    </row>
    <row r="100" customFormat="false" ht="13.8" hidden="false" customHeight="false" outlineLevel="0" collapsed="false">
      <c r="B100" s="2" t="n">
        <v>98</v>
      </c>
      <c r="C100" s="2" t="n">
        <v>9.10574901855792E-010</v>
      </c>
      <c r="D100" s="2" t="n">
        <v>1.12718661542944E-012</v>
      </c>
      <c r="E100" s="2" t="n">
        <v>1.12662412067162E-012</v>
      </c>
    </row>
    <row r="101" customFormat="false" ht="13.8" hidden="false" customHeight="false" outlineLevel="0" collapsed="false">
      <c r="B101" s="2" t="n">
        <v>99</v>
      </c>
      <c r="C101" s="2" t="n">
        <v>8.62350236242209E-010</v>
      </c>
      <c r="D101" s="2" t="n">
        <v>1.11187331118187E-012</v>
      </c>
      <c r="E101" s="2" t="n">
        <v>1.1325365989567E-012</v>
      </c>
    </row>
    <row r="102" customFormat="false" ht="13.8" hidden="false" customHeight="false" outlineLevel="0" collapsed="false">
      <c r="B102" s="2" t="n">
        <v>100</v>
      </c>
      <c r="C102" s="2" t="n">
        <v>8.1550680099557E-010</v>
      </c>
      <c r="D102" s="2" t="n">
        <v>1.11739057106624E-012</v>
      </c>
      <c r="E102" s="2" t="n">
        <v>1.13819524315116E-012</v>
      </c>
    </row>
    <row r="103" customFormat="false" ht="13.8" hidden="false" customHeight="false" outlineLevel="0" collapsed="false">
      <c r="B103" s="2" t="n">
        <v>101</v>
      </c>
      <c r="C103" s="2" t="n">
        <v>7.68664264658591E-010</v>
      </c>
      <c r="D103" s="2" t="n">
        <v>1.12303743882952E-012</v>
      </c>
      <c r="E103" s="2" t="n">
        <v>1.14389844340856E-012</v>
      </c>
    </row>
    <row r="104" customFormat="false" ht="13.8" hidden="false" customHeight="false" outlineLevel="0" collapsed="false">
      <c r="B104" s="2" t="n">
        <v>102</v>
      </c>
      <c r="C104" s="2" t="n">
        <v>7.21820859522633E-010</v>
      </c>
      <c r="D104" s="2" t="n">
        <v>1.12844207795049E-012</v>
      </c>
      <c r="E104" s="2" t="n">
        <v>1.14954412344518E-012</v>
      </c>
    </row>
    <row r="105" customFormat="false" ht="13.8" hidden="false" customHeight="false" outlineLevel="0" collapsed="false">
      <c r="B105" s="2" t="n">
        <v>103</v>
      </c>
      <c r="C105" s="2" t="n">
        <v>6.74977696505173E-010</v>
      </c>
      <c r="D105" s="2" t="n">
        <v>1.13400114339724E-012</v>
      </c>
      <c r="E105" s="2" t="n">
        <v>1.15518395342203E-012</v>
      </c>
    </row>
    <row r="106" customFormat="false" ht="13.8" hidden="false" customHeight="false" outlineLevel="0" collapsed="false">
      <c r="B106" s="2" t="n">
        <v>104</v>
      </c>
      <c r="C106" s="2" t="n">
        <v>6.28133248063198E-010</v>
      </c>
      <c r="D106" s="2" t="n">
        <v>1.13942913276135E-012</v>
      </c>
      <c r="E106" s="2" t="n">
        <v>1.16085317234736E-012</v>
      </c>
    </row>
    <row r="107" customFormat="false" ht="13.8" hidden="false" customHeight="false" outlineLevel="0" collapsed="false">
      <c r="B107" s="2" t="n">
        <v>105</v>
      </c>
      <c r="C107" s="2" t="n">
        <v>5.81289133690596E-010</v>
      </c>
      <c r="D107" s="2" t="n">
        <v>1.14504819251005E-012</v>
      </c>
      <c r="E107" s="2" t="n">
        <v>1.16647021118961E-012</v>
      </c>
    </row>
    <row r="108" customFormat="false" ht="13.8" hidden="false" customHeight="false" outlineLevel="0" collapsed="false">
      <c r="B108" s="2" t="n">
        <v>106</v>
      </c>
      <c r="C108" s="2" t="n">
        <v>5.34443943982003E-010</v>
      </c>
      <c r="D108" s="2" t="n">
        <v>1.15058219854329E-012</v>
      </c>
      <c r="E108" s="2" t="n">
        <v>1.17210642384751E-012</v>
      </c>
    </row>
    <row r="109" customFormat="false" ht="13.8" hidden="false" customHeight="false" outlineLevel="0" collapsed="false">
      <c r="B109" s="2" t="n">
        <v>107</v>
      </c>
      <c r="C109" s="2" t="n">
        <v>4.87598786499847E-010</v>
      </c>
      <c r="D109" s="2" t="n">
        <v>1.15607908783669E-012</v>
      </c>
      <c r="E109" s="2" t="n">
        <v>1.17774889472672E-012</v>
      </c>
    </row>
    <row r="110" customFormat="false" ht="13.8" hidden="false" customHeight="false" outlineLevel="0" collapsed="false">
      <c r="B110" s="2" t="n">
        <v>108</v>
      </c>
      <c r="C110" s="2" t="n">
        <v>4.40752728801024E-010</v>
      </c>
      <c r="D110" s="2" t="n">
        <v>1.16162212443733E-012</v>
      </c>
      <c r="E110" s="2" t="n">
        <v>1.18338154399547E-012</v>
      </c>
    </row>
    <row r="111" customFormat="false" ht="13.8" hidden="false" customHeight="false" outlineLevel="0" collapsed="false">
      <c r="B111" s="2" t="n">
        <v>109</v>
      </c>
      <c r="C111" s="2" t="n">
        <v>3.93906515050514E-010</v>
      </c>
      <c r="D111" s="2" t="n">
        <v>1.16713126746014E-012</v>
      </c>
      <c r="E111" s="2" t="n">
        <v>1.18904262483178E-012</v>
      </c>
    </row>
    <row r="112" customFormat="false" ht="13.8" hidden="false" customHeight="false" outlineLevel="0" collapsed="false">
      <c r="B112" s="2" t="n">
        <v>110</v>
      </c>
      <c r="C112" s="2" t="n">
        <v>3.47059639103647E-010</v>
      </c>
      <c r="D112" s="2" t="n">
        <v>1.17235131722419E-012</v>
      </c>
      <c r="E112" s="2" t="n">
        <v>1.19466148960314E-012</v>
      </c>
    </row>
    <row r="113" customFormat="false" ht="13.8" hidden="false" customHeight="false" outlineLevel="0" collapsed="false">
      <c r="B113" s="2" t="n">
        <v>111</v>
      </c>
      <c r="C113" s="2" t="n">
        <v>3.00212362067857E-010</v>
      </c>
      <c r="D113" s="2" t="n">
        <v>1.17822697168399E-012</v>
      </c>
      <c r="E113" s="2" t="n">
        <v>1.20032365247252E-012</v>
      </c>
    </row>
    <row r="114" customFormat="false" ht="13.8" hidden="false" customHeight="false" outlineLevel="0" collapsed="false">
      <c r="B114" s="2" t="n">
        <v>112</v>
      </c>
      <c r="C114" s="2" t="n">
        <v>2.53364586629811E-010</v>
      </c>
      <c r="D114" s="2" t="n">
        <v>1.18379132761734E-012</v>
      </c>
      <c r="E114" s="2" t="n">
        <v>1.2060022636747E-012</v>
      </c>
    </row>
    <row r="115" customFormat="false" ht="13.8" hidden="false" customHeight="false" outlineLevel="0" collapsed="false">
      <c r="B115" s="2" t="n">
        <v>113</v>
      </c>
      <c r="C115" s="2" t="n">
        <v>2.06516346231872E-010</v>
      </c>
      <c r="D115" s="2" t="n">
        <v>1.18932166685587E-012</v>
      </c>
      <c r="E115" s="2" t="n">
        <v>1.21159359408108E-012</v>
      </c>
    </row>
    <row r="116" customFormat="false" ht="13.8" hidden="false" customHeight="false" outlineLevel="0" collapsed="false">
      <c r="B116" s="2" t="n">
        <v>114</v>
      </c>
      <c r="C116" s="2" t="n">
        <v>1.5966762833106E-010</v>
      </c>
      <c r="D116" s="2" t="n">
        <v>1.19488812550917E-012</v>
      </c>
      <c r="E116" s="2" t="n">
        <v>1.21723068489545E-012</v>
      </c>
    </row>
    <row r="117" customFormat="false" ht="13.8" hidden="false" customHeight="false" outlineLevel="0" collapsed="false">
      <c r="B117" s="2" t="n">
        <v>115</v>
      </c>
      <c r="C117" s="2" t="n">
        <v>1.12818462210912E-010</v>
      </c>
      <c r="D117" s="2" t="n">
        <v>1.20040333705435E-012</v>
      </c>
      <c r="E117" s="2" t="n">
        <v>1.22287510751263E-012</v>
      </c>
    </row>
    <row r="118" customFormat="false" ht="13.8" hidden="false" customHeight="false" outlineLevel="0" collapsed="false">
      <c r="B118" s="2" t="n">
        <v>116</v>
      </c>
      <c r="C118" s="2" t="n">
        <v>6.59517703433184E-011</v>
      </c>
      <c r="D118" s="2" t="n">
        <v>1.20595108667089E-012</v>
      </c>
      <c r="E118" s="2" t="n">
        <v>1.22851818467766E-012</v>
      </c>
    </row>
    <row r="119" customFormat="false" ht="13.8" hidden="false" customHeight="false" outlineLevel="0" collapsed="false">
      <c r="B119" s="2" t="n">
        <v>117</v>
      </c>
      <c r="C119" s="2" t="n">
        <v>1.28664191056629E-012</v>
      </c>
      <c r="D119" s="2" t="n">
        <v>1.21297639224567E-012</v>
      </c>
      <c r="E119" s="2" t="n">
        <v>1.23565425195056E-012</v>
      </c>
    </row>
    <row r="120" customFormat="false" ht="13.8" hidden="false" customHeight="false" outlineLevel="0" collapsed="false">
      <c r="B120" s="2" t="n">
        <v>118</v>
      </c>
      <c r="C120" s="2" t="n">
        <v>1.22232123584336E-012</v>
      </c>
      <c r="D120" s="2" t="n">
        <v>1.21495049318536E-012</v>
      </c>
      <c r="E120" s="2" t="n">
        <v>1.23745967715997E-012</v>
      </c>
    </row>
    <row r="121" customFormat="false" ht="13.8" hidden="false" customHeight="false" outlineLevel="0" collapsed="false">
      <c r="B121" s="2" t="n">
        <v>119</v>
      </c>
      <c r="C121" s="2" t="n">
        <v>3.33356256469311E-011</v>
      </c>
      <c r="D121" s="2" t="n">
        <v>1.09079842399076E-012</v>
      </c>
      <c r="E121" s="2" t="n">
        <v>1.43430459440944E-012</v>
      </c>
    </row>
    <row r="122" customFormat="false" ht="13.8" hidden="false" customHeight="false" outlineLevel="0" collapsed="false">
      <c r="B122" s="2" t="n">
        <v>120</v>
      </c>
      <c r="C122" s="2" t="n">
        <v>5.65706472145259E-011</v>
      </c>
      <c r="D122" s="2" t="n">
        <v>1.00211320363994E-012</v>
      </c>
      <c r="E122" s="2" t="n">
        <v>1.38025362367789E-010</v>
      </c>
    </row>
    <row r="123" customFormat="false" ht="13.8" hidden="false" customHeight="false" outlineLevel="0" collapsed="false">
      <c r="B123" s="2" t="n">
        <v>121</v>
      </c>
      <c r="C123" s="2" t="n">
        <v>1.26467542666481E-012</v>
      </c>
      <c r="D123" s="2" t="n">
        <v>1.26443675918988E-012</v>
      </c>
      <c r="E123" s="2" t="n">
        <v>0.00407563858279336</v>
      </c>
    </row>
    <row r="124" customFormat="false" ht="13.8" hidden="false" customHeight="false" outlineLevel="0" collapsed="false">
      <c r="B124" s="2" t="n">
        <v>122</v>
      </c>
      <c r="C124" s="2" t="n">
        <v>1.22418311450684E-012</v>
      </c>
      <c r="D124" s="2" t="n">
        <v>1.24711913804529E-012</v>
      </c>
      <c r="E124" s="2" t="n">
        <v>9.85383173973951E-013</v>
      </c>
    </row>
    <row r="125" customFormat="false" ht="13.8" hidden="false" customHeight="false" outlineLevel="0" collapsed="false">
      <c r="B125" s="2" t="n">
        <v>123</v>
      </c>
      <c r="C125" s="2" t="n">
        <v>3.57517112738186E-015</v>
      </c>
      <c r="D125" s="2" t="n">
        <v>7.60065255447869E-017</v>
      </c>
      <c r="E125" s="2" t="n">
        <v>3.55310649686319E-015</v>
      </c>
    </row>
    <row r="126" customFormat="false" ht="13.8" hidden="false" customHeight="false" outlineLevel="0" collapsed="false">
      <c r="B126" s="2" t="n">
        <v>124</v>
      </c>
      <c r="C126" s="2" t="n">
        <v>3.25093745870921E-015</v>
      </c>
      <c r="D126" s="2" t="n">
        <v>0.00810743902151895</v>
      </c>
      <c r="E126" s="2" t="n">
        <v>3.4241574096459E-015</v>
      </c>
    </row>
    <row r="127" customFormat="false" ht="13.8" hidden="false" customHeight="false" outlineLevel="0" collapsed="false">
      <c r="B127" s="2" t="n">
        <v>125</v>
      </c>
      <c r="C127" s="2" t="n">
        <v>2.57848083004297E-015</v>
      </c>
      <c r="D127" s="2" t="n">
        <v>0.00641032966826184</v>
      </c>
      <c r="E127" s="2" t="n">
        <v>3.39038245819846E-015</v>
      </c>
    </row>
    <row r="128" customFormat="false" ht="13.8" hidden="false" customHeight="false" outlineLevel="0" collapsed="false">
      <c r="B128" s="2" t="n">
        <v>126</v>
      </c>
      <c r="C128" s="2" t="n">
        <v>1.8169728957594E-015</v>
      </c>
      <c r="D128" s="2" t="n">
        <v>0.0135858606131544</v>
      </c>
      <c r="E128" s="2" t="n">
        <v>3.32806868641212E-015</v>
      </c>
    </row>
    <row r="129" customFormat="false" ht="13.8" hidden="false" customHeight="false" outlineLevel="0" collapsed="false">
      <c r="B129" s="2" t="n">
        <v>127</v>
      </c>
      <c r="C129" s="2" t="n">
        <v>1.94494376849221E-015</v>
      </c>
      <c r="D129" s="2" t="n">
        <v>0.0188570629184322</v>
      </c>
      <c r="E129" s="2" t="n">
        <v>3.55359912671501E-015</v>
      </c>
    </row>
    <row r="130" customFormat="false" ht="13.8" hidden="false" customHeight="false" outlineLevel="0" collapsed="false">
      <c r="B130" s="2" t="n">
        <v>128</v>
      </c>
      <c r="C130" s="2" t="n">
        <v>0</v>
      </c>
      <c r="D130" s="2" t="n">
        <v>0.0418869094928065</v>
      </c>
      <c r="E130" s="2" t="n">
        <v>2.7875640541363E-015</v>
      </c>
    </row>
    <row r="131" customFormat="false" ht="13.8" hidden="false" customHeight="false" outlineLevel="0" collapsed="false">
      <c r="B131" s="2" t="n">
        <v>129</v>
      </c>
      <c r="C131" s="2" t="n">
        <v>0</v>
      </c>
      <c r="D131" s="2" t="n">
        <v>0.0494168506297052</v>
      </c>
      <c r="E131" s="2" t="n">
        <v>2.78087906962868E-015</v>
      </c>
    </row>
    <row r="132" customFormat="false" ht="13.8" hidden="false" customHeight="false" outlineLevel="0" collapsed="false">
      <c r="B132" s="2" t="n">
        <v>130</v>
      </c>
      <c r="C132" s="2" t="n">
        <v>0.00286691774747653</v>
      </c>
      <c r="D132" s="2" t="n">
        <v>0.053400508483277</v>
      </c>
      <c r="E132" s="2" t="n">
        <v>2.82942015945453E-015</v>
      </c>
    </row>
    <row r="133" customFormat="false" ht="13.8" hidden="false" customHeight="false" outlineLevel="0" collapsed="false">
      <c r="B133" s="2" t="n">
        <v>131</v>
      </c>
      <c r="C133" s="2" t="n">
        <v>0.00765660269588515</v>
      </c>
      <c r="D133" s="2" t="n">
        <v>0.0607945450194391</v>
      </c>
      <c r="E133" s="2" t="n">
        <v>1.62181072884772E-013</v>
      </c>
    </row>
    <row r="134" customFormat="false" ht="13.8" hidden="false" customHeight="false" outlineLevel="0" collapsed="false">
      <c r="B134" s="2" t="n">
        <v>132</v>
      </c>
      <c r="C134" s="2" t="n">
        <v>0</v>
      </c>
      <c r="D134" s="2" t="n">
        <v>0.0665105689653824</v>
      </c>
      <c r="E134" s="2" t="n">
        <v>1.54762577034822E-015</v>
      </c>
    </row>
    <row r="135" customFormat="false" ht="13.8" hidden="false" customHeight="false" outlineLevel="0" collapsed="false">
      <c r="B135" s="2" t="n">
        <v>133</v>
      </c>
      <c r="C135" s="2" t="n">
        <v>0.0198424016582834</v>
      </c>
      <c r="D135" s="2" t="n">
        <v>0.072236880622646</v>
      </c>
      <c r="E135" s="2" t="n">
        <v>6.78128047246757E-014</v>
      </c>
    </row>
    <row r="136" customFormat="false" ht="13.8" hidden="false" customHeight="false" outlineLevel="0" collapsed="false">
      <c r="B136" s="2" t="n">
        <v>134</v>
      </c>
      <c r="C136" s="2" t="n">
        <v>0</v>
      </c>
      <c r="D136" s="2" t="n">
        <v>0.076218581310313</v>
      </c>
      <c r="E136" s="2" t="n">
        <v>0</v>
      </c>
    </row>
    <row r="137" customFormat="false" ht="13.8" hidden="false" customHeight="false" outlineLevel="0" collapsed="false">
      <c r="B137" s="2" t="n">
        <v>135</v>
      </c>
      <c r="C137" s="2" t="n">
        <v>0.0272949249117011</v>
      </c>
      <c r="D137" s="2" t="n">
        <v>0.0801917037115493</v>
      </c>
      <c r="E137" s="2" t="n">
        <v>2.69718202637809E-014</v>
      </c>
    </row>
    <row r="138" customFormat="false" ht="13.8" hidden="false" customHeight="false" outlineLevel="0" collapsed="false">
      <c r="B138" s="2" t="n">
        <v>136</v>
      </c>
      <c r="C138" s="2" t="n">
        <v>0.0042358017550842</v>
      </c>
      <c r="D138" s="2" t="n">
        <v>0.0841657527555944</v>
      </c>
      <c r="E138" s="2" t="n">
        <v>0</v>
      </c>
    </row>
    <row r="139" customFormat="false" ht="13.8" hidden="false" customHeight="false" outlineLevel="0" collapsed="false">
      <c r="B139" s="2" t="n">
        <v>137</v>
      </c>
      <c r="C139" s="2" t="n">
        <v>0.0314313043122096</v>
      </c>
      <c r="D139" s="2" t="n">
        <v>0.0881385895873199</v>
      </c>
      <c r="E139" s="2" t="n">
        <v>0</v>
      </c>
    </row>
    <row r="140" customFormat="false" ht="13.8" hidden="false" customHeight="false" outlineLevel="0" collapsed="false">
      <c r="B140" s="2" t="n">
        <v>138</v>
      </c>
      <c r="C140" s="2" t="n">
        <v>0.00889396050023482</v>
      </c>
      <c r="D140" s="2" t="n">
        <v>0.0898991982276324</v>
      </c>
      <c r="E140" s="2" t="n">
        <v>0</v>
      </c>
    </row>
    <row r="141" customFormat="false" ht="13.8" hidden="false" customHeight="false" outlineLevel="0" collapsed="false">
      <c r="B141" s="2" t="n">
        <v>139</v>
      </c>
      <c r="C141" s="2" t="n">
        <v>0.0369116525887332</v>
      </c>
      <c r="D141" s="2" t="n">
        <v>0.0916557984446982</v>
      </c>
      <c r="E141" s="2" t="n">
        <v>0</v>
      </c>
    </row>
    <row r="142" customFormat="false" ht="13.8" hidden="false" customHeight="false" outlineLevel="0" collapsed="false">
      <c r="B142" s="2" t="n">
        <v>140</v>
      </c>
      <c r="C142" s="2" t="n">
        <v>0.00473292849981636</v>
      </c>
      <c r="D142" s="2" t="n">
        <v>0.0934097308717514</v>
      </c>
      <c r="E142" s="2" t="n">
        <v>0.00360795047299717</v>
      </c>
    </row>
    <row r="143" customFormat="false" ht="13.8" hidden="false" customHeight="false" outlineLevel="0" collapsed="false">
      <c r="B143" s="2" t="n">
        <v>141</v>
      </c>
      <c r="C143" s="2" t="n">
        <v>0.0385604622959689</v>
      </c>
      <c r="D143" s="2" t="n">
        <v>0.0951680753415576</v>
      </c>
      <c r="E143" s="2" t="n">
        <v>0.00322927580595236</v>
      </c>
    </row>
    <row r="144" customFormat="false" ht="13.8" hidden="false" customHeight="false" outlineLevel="0" collapsed="false">
      <c r="B144" s="2" t="n">
        <v>142</v>
      </c>
      <c r="C144" s="2" t="n">
        <v>5.94190410213746E-010</v>
      </c>
      <c r="D144" s="2" t="n">
        <v>0.096390810445331</v>
      </c>
      <c r="E144" s="2" t="n">
        <v>0.0120698406686496</v>
      </c>
    </row>
    <row r="145" customFormat="false" ht="13.8" hidden="false" customHeight="false" outlineLevel="0" collapsed="false">
      <c r="B145" s="2" t="n">
        <v>143</v>
      </c>
      <c r="C145" s="2" t="n">
        <v>8.55284399477996E-010</v>
      </c>
      <c r="D145" s="2" t="n">
        <v>0.0975509437510838</v>
      </c>
      <c r="E145" s="2" t="n">
        <v>0.0201010018533765</v>
      </c>
    </row>
    <row r="146" customFormat="false" ht="13.8" hidden="false" customHeight="false" outlineLevel="0" collapsed="false">
      <c r="B146" s="2" t="n">
        <v>144</v>
      </c>
      <c r="C146" s="2" t="n">
        <v>0.0123337867794893</v>
      </c>
      <c r="D146" s="2" t="n">
        <v>0.0986547835448458</v>
      </c>
      <c r="E146" s="2" t="n">
        <v>0.020797198207595</v>
      </c>
    </row>
    <row r="147" customFormat="false" ht="13.8" hidden="false" customHeight="false" outlineLevel="0" collapsed="false">
      <c r="B147" s="2" t="n">
        <v>145</v>
      </c>
      <c r="C147" s="2" t="n">
        <v>0.0103734260638266</v>
      </c>
      <c r="D147" s="2" t="n">
        <v>0.0998472383294647</v>
      </c>
      <c r="E147" s="2" t="n">
        <v>0.0834423072427086</v>
      </c>
    </row>
    <row r="148" customFormat="false" ht="13.8" hidden="false" customHeight="false" outlineLevel="0" collapsed="false">
      <c r="B148" s="2" t="n">
        <v>146</v>
      </c>
      <c r="C148" s="2" t="n">
        <v>2.05119922834895E-006</v>
      </c>
      <c r="D148" s="2" t="n">
        <v>0.097927826946443</v>
      </c>
      <c r="E148" s="2" t="n">
        <v>0.0656808756254892</v>
      </c>
    </row>
    <row r="149" customFormat="false" ht="13.8" hidden="false" customHeight="false" outlineLevel="0" collapsed="false">
      <c r="B149" s="2" t="n">
        <v>147</v>
      </c>
      <c r="C149" s="2" t="n">
        <v>2.05119924402747E-006</v>
      </c>
      <c r="D149" s="2" t="n">
        <v>0.0959479387539976</v>
      </c>
      <c r="E149" s="2" t="n">
        <v>0.123450779031182</v>
      </c>
    </row>
    <row r="150" customFormat="false" ht="13.8" hidden="false" customHeight="false" outlineLevel="0" collapsed="false">
      <c r="B150" s="2" t="n">
        <v>148</v>
      </c>
      <c r="C150" s="2" t="n">
        <v>2.05119922479156E-006</v>
      </c>
      <c r="D150" s="2" t="n">
        <v>0.0913687990714944</v>
      </c>
      <c r="E150" s="2" t="n">
        <v>0.249677227118084</v>
      </c>
    </row>
    <row r="151" customFormat="false" ht="13.8" hidden="false" customHeight="false" outlineLevel="0" collapsed="false">
      <c r="B151" s="2" t="n">
        <v>149</v>
      </c>
      <c r="C151" s="2" t="n">
        <v>2.05119918973321E-006</v>
      </c>
      <c r="D151" s="2" t="n">
        <v>0.105121001365633</v>
      </c>
      <c r="E151" s="2" t="n">
        <v>0.585179068505908</v>
      </c>
    </row>
    <row r="152" customFormat="false" ht="13.8" hidden="false" customHeight="false" outlineLevel="0" collapsed="false">
      <c r="B152" s="2" t="n">
        <v>150</v>
      </c>
      <c r="C152" s="2" t="n">
        <v>0</v>
      </c>
      <c r="D152" s="2" t="n">
        <v>0.0849841205373438</v>
      </c>
      <c r="E152" s="2" t="n">
        <v>0.570217255080124</v>
      </c>
    </row>
    <row r="153" customFormat="false" ht="13.8" hidden="false" customHeight="false" outlineLevel="0" collapsed="false">
      <c r="B153" s="2" t="n">
        <v>151</v>
      </c>
      <c r="C153" s="2" t="n">
        <v>4.10237790185539E-006</v>
      </c>
      <c r="D153" s="2" t="n">
        <v>0.0810817603987417</v>
      </c>
      <c r="E153" s="2" t="n">
        <v>0.690255090004048</v>
      </c>
    </row>
    <row r="154" customFormat="false" ht="13.8" hidden="false" customHeight="false" outlineLevel="0" collapsed="false">
      <c r="B154" s="2" t="n">
        <v>152</v>
      </c>
      <c r="C154" s="2" t="n">
        <v>2.37919447357896E-015</v>
      </c>
      <c r="D154" s="2" t="n">
        <v>0.089731186516009</v>
      </c>
      <c r="E154" s="2" t="n">
        <v>0.648921779487305</v>
      </c>
    </row>
    <row r="155" customFormat="false" ht="13.8" hidden="false" customHeight="false" outlineLevel="0" collapsed="false">
      <c r="B155" s="2" t="n">
        <v>153</v>
      </c>
      <c r="C155" s="2" t="n">
        <v>4.10237335672926E-006</v>
      </c>
      <c r="D155" s="2" t="n">
        <v>0.0897319667606094</v>
      </c>
      <c r="E155" s="2" t="n">
        <v>0.633321668970581</v>
      </c>
    </row>
    <row r="156" customFormat="false" ht="13.8" hidden="false" customHeight="false" outlineLevel="0" collapsed="false">
      <c r="B156" s="2" t="n">
        <v>154</v>
      </c>
      <c r="C156" s="2" t="n">
        <v>2.05119918968102E-006</v>
      </c>
      <c r="D156" s="2" t="n">
        <v>0.0826345968755893</v>
      </c>
      <c r="E156" s="2" t="n">
        <v>0.59990262633061</v>
      </c>
    </row>
    <row r="157" customFormat="false" ht="13.8" hidden="false" customHeight="false" outlineLevel="0" collapsed="false">
      <c r="B157" s="2" t="n">
        <v>155</v>
      </c>
      <c r="C157" s="2" t="n">
        <v>6.19704738416839E-015</v>
      </c>
      <c r="D157" s="2" t="n">
        <v>0.0755372269905782</v>
      </c>
      <c r="E157" s="2" t="n">
        <v>0.505300100357435</v>
      </c>
    </row>
    <row r="158" customFormat="false" ht="13.8" hidden="false" customHeight="false" outlineLevel="0" collapsed="false">
      <c r="B158" s="2" t="n">
        <v>156</v>
      </c>
      <c r="C158" s="2" t="n">
        <v>4.10237786675562E-006</v>
      </c>
      <c r="D158" s="2" t="n">
        <v>0.0684398571055672</v>
      </c>
      <c r="E158" s="2" t="n">
        <v>0.485597407717599</v>
      </c>
    </row>
    <row r="159" customFormat="false" ht="13.8" hidden="false" customHeight="false" outlineLevel="0" collapsed="false">
      <c r="B159" s="2" t="n">
        <v>157</v>
      </c>
      <c r="C159" s="2" t="n">
        <v>1.07657070836228E-014</v>
      </c>
      <c r="D159" s="2" t="n">
        <v>0.0352593880555394</v>
      </c>
      <c r="E159" s="2" t="n">
        <v>0.401761181744627</v>
      </c>
    </row>
    <row r="160" customFormat="false" ht="13.8" hidden="false" customHeight="false" outlineLevel="0" collapsed="false">
      <c r="B160" s="2" t="n">
        <v>158</v>
      </c>
      <c r="C160" s="2" t="n">
        <v>5.0213014191514E-015</v>
      </c>
      <c r="D160" s="2" t="n">
        <v>0.00252541171088089</v>
      </c>
      <c r="E160" s="2" t="n">
        <v>0.40496220455494</v>
      </c>
    </row>
    <row r="161" customFormat="false" ht="13.8" hidden="false" customHeight="false" outlineLevel="0" collapsed="false">
      <c r="B161" s="2" t="n">
        <v>159</v>
      </c>
      <c r="C161" s="2" t="n">
        <v>6.15353606744982E-006</v>
      </c>
      <c r="D161" s="2" t="n">
        <v>0.0514169287944698</v>
      </c>
      <c r="E161" s="2" t="n">
        <v>0.376796894031695</v>
      </c>
    </row>
    <row r="162" customFormat="false" ht="13.8" hidden="false" customHeight="false" outlineLevel="0" collapsed="false">
      <c r="B162" s="2" t="n">
        <v>160</v>
      </c>
      <c r="C162" s="2" t="n">
        <v>3.59659762497592E-015</v>
      </c>
      <c r="D162" s="2" t="n">
        <v>0.00420910140809391</v>
      </c>
      <c r="E162" s="2" t="n">
        <v>0.295415150175576</v>
      </c>
    </row>
    <row r="163" customFormat="false" ht="13.8" hidden="false" customHeight="false" outlineLevel="0" collapsed="false">
      <c r="B163" s="2" t="n">
        <v>161</v>
      </c>
      <c r="C163" s="2" t="n">
        <v>4.10237360429475E-006</v>
      </c>
      <c r="D163" s="2" t="n">
        <v>0.012736881170125</v>
      </c>
      <c r="E163" s="2" t="n">
        <v>0.261399739652306</v>
      </c>
    </row>
    <row r="164" customFormat="false" ht="13.8" hidden="false" customHeight="false" outlineLevel="0" collapsed="false">
      <c r="B164" s="2" t="n">
        <v>162</v>
      </c>
      <c r="C164" s="2" t="n">
        <v>6.47959907662819E-013</v>
      </c>
      <c r="D164" s="2" t="n">
        <v>2.55069834446814E-005</v>
      </c>
      <c r="E164" s="2" t="n">
        <v>0.0883392687197864</v>
      </c>
    </row>
    <row r="165" customFormat="false" ht="13.8" hidden="false" customHeight="false" outlineLevel="0" collapsed="false">
      <c r="B165" s="2" t="n">
        <v>163</v>
      </c>
      <c r="C165" s="2" t="n">
        <v>4.32966543226399E-012</v>
      </c>
      <c r="D165" s="2" t="n">
        <v>2.55069844856329E-005</v>
      </c>
      <c r="E165" s="2" t="n">
        <v>0.0547239995246652</v>
      </c>
    </row>
    <row r="166" customFormat="false" ht="13.8" hidden="false" customHeight="false" outlineLevel="0" collapsed="false">
      <c r="B166" s="2" t="n">
        <v>164</v>
      </c>
      <c r="C166" s="2" t="n">
        <v>3.62879606132135E-009</v>
      </c>
      <c r="D166" s="2" t="n">
        <v>3.48139565118584E-013</v>
      </c>
      <c r="E166" s="2" t="n">
        <v>2.95026673634096E-013</v>
      </c>
    </row>
    <row r="167" customFormat="false" ht="13.8" hidden="false" customHeight="false" outlineLevel="0" collapsed="false">
      <c r="B167" s="2" t="n">
        <v>165</v>
      </c>
      <c r="C167" s="2" t="n">
        <v>7.61815575151344E-012</v>
      </c>
      <c r="D167" s="2" t="n">
        <v>5.10137107183665E-005</v>
      </c>
      <c r="E167" s="2" t="n">
        <v>0.0246467416308067</v>
      </c>
    </row>
    <row r="168" customFormat="false" ht="13.8" hidden="false" customHeight="false" outlineLevel="0" collapsed="false">
      <c r="B168" s="2" t="n">
        <v>166</v>
      </c>
      <c r="C168" s="2" t="n">
        <v>3.44536879816144E-009</v>
      </c>
      <c r="D168" s="2" t="n">
        <v>5.5690480201272E-013</v>
      </c>
      <c r="E168" s="2" t="n">
        <v>3.23371700657348E-013</v>
      </c>
    </row>
    <row r="169" customFormat="false" ht="13.8" hidden="false" customHeight="false" outlineLevel="0" collapsed="false">
      <c r="B169" s="2" t="n">
        <v>167</v>
      </c>
      <c r="C169" s="2" t="n">
        <v>3.35525493756463E-009</v>
      </c>
      <c r="D169" s="2" t="n">
        <v>5.8900389784998E-013</v>
      </c>
      <c r="E169" s="2" t="n">
        <v>3.37433352801893E-013</v>
      </c>
    </row>
    <row r="170" customFormat="false" ht="13.8" hidden="false" customHeight="false" outlineLevel="0" collapsed="false">
      <c r="B170" s="2" t="n">
        <v>168</v>
      </c>
      <c r="C170" s="2" t="n">
        <v>3.26176814510355E-009</v>
      </c>
      <c r="D170" s="2" t="n">
        <v>5.9655917185115E-013</v>
      </c>
      <c r="E170" s="2" t="n">
        <v>3.51443881607381E-013</v>
      </c>
    </row>
    <row r="171" customFormat="false" ht="13.8" hidden="false" customHeight="false" outlineLevel="0" collapsed="false">
      <c r="B171" s="2" t="n">
        <v>169</v>
      </c>
      <c r="C171" s="2" t="n">
        <v>3.16827963704778E-009</v>
      </c>
      <c r="D171" s="2" t="n">
        <v>6.03888014913636E-013</v>
      </c>
      <c r="E171" s="2" t="n">
        <v>3.65649238914062E-013</v>
      </c>
    </row>
    <row r="172" customFormat="false" ht="13.8" hidden="false" customHeight="false" outlineLevel="0" collapsed="false">
      <c r="B172" s="2" t="n">
        <v>170</v>
      </c>
      <c r="C172" s="2" t="n">
        <v>3.0747956266534E-009</v>
      </c>
      <c r="D172" s="2" t="n">
        <v>6.11278706823742E-013</v>
      </c>
      <c r="E172" s="2" t="n">
        <v>3.79691730327664E-013</v>
      </c>
    </row>
    <row r="173" customFormat="false" ht="13.8" hidden="false" customHeight="false" outlineLevel="0" collapsed="false">
      <c r="B173" s="2" t="n">
        <v>171</v>
      </c>
      <c r="C173" s="2" t="n">
        <v>2.98125319512683E-009</v>
      </c>
      <c r="D173" s="2" t="n">
        <v>6.18728544718012E-013</v>
      </c>
      <c r="E173" s="2" t="n">
        <v>3.93690727948044E-013</v>
      </c>
    </row>
    <row r="174" customFormat="false" ht="13.8" hidden="false" customHeight="false" outlineLevel="0" collapsed="false">
      <c r="B174" s="2" t="n">
        <v>172</v>
      </c>
      <c r="C174" s="2" t="n">
        <v>2.88767655875338E-009</v>
      </c>
      <c r="D174" s="2" t="n">
        <v>2.13170950739144E-012</v>
      </c>
      <c r="E174" s="2" t="n">
        <v>4.07960697404474E-013</v>
      </c>
    </row>
    <row r="175" customFormat="false" ht="13.8" hidden="false" customHeight="false" outlineLevel="0" collapsed="false">
      <c r="B175" s="2" t="n">
        <v>173</v>
      </c>
      <c r="C175" s="2" t="n">
        <v>2.79676467914322E-009</v>
      </c>
      <c r="D175" s="2" t="n">
        <v>1.5811395809999E-009</v>
      </c>
      <c r="E175" s="2" t="n">
        <v>4.22115164958827E-013</v>
      </c>
    </row>
    <row r="176" customFormat="false" ht="13.8" hidden="false" customHeight="false" outlineLevel="0" collapsed="false">
      <c r="B176" s="2" t="n">
        <v>174</v>
      </c>
      <c r="C176" s="2" t="n">
        <v>2.7030983726375E-009</v>
      </c>
      <c r="D176" s="2" t="n">
        <v>1.48770259962582E-009</v>
      </c>
      <c r="E176" s="2" t="n">
        <v>4.3620150973701E-013</v>
      </c>
    </row>
    <row r="177" customFormat="false" ht="13.8" hidden="false" customHeight="false" outlineLevel="0" collapsed="false">
      <c r="B177" s="2" t="n">
        <v>175</v>
      </c>
      <c r="C177" s="2" t="n">
        <v>2.60942991693401E-009</v>
      </c>
      <c r="D177" s="2" t="n">
        <v>1.39408283218444E-009</v>
      </c>
      <c r="E177" s="2" t="n">
        <v>4.50281469064034E-013</v>
      </c>
    </row>
    <row r="178" customFormat="false" ht="13.8" hidden="false" customHeight="false" outlineLevel="0" collapsed="false">
      <c r="B178" s="2" t="n">
        <v>176</v>
      </c>
      <c r="C178" s="2" t="n">
        <v>2.51576164398204E-009</v>
      </c>
      <c r="D178" s="2" t="n">
        <v>1.30046221311105E-009</v>
      </c>
      <c r="E178" s="2" t="n">
        <v>4.64388390952315E-013</v>
      </c>
    </row>
    <row r="179" customFormat="false" ht="13.8" hidden="false" customHeight="false" outlineLevel="0" collapsed="false">
      <c r="B179" s="2" t="n">
        <v>177</v>
      </c>
      <c r="C179" s="2" t="n">
        <v>2.42209158518685E-009</v>
      </c>
      <c r="D179" s="2" t="n">
        <v>1.20684046478713E-009</v>
      </c>
      <c r="E179" s="2" t="n">
        <v>4.78359797606984E-013</v>
      </c>
    </row>
    <row r="180" customFormat="false" ht="13.8" hidden="false" customHeight="false" outlineLevel="0" collapsed="false">
      <c r="B180" s="2" t="n">
        <v>178</v>
      </c>
      <c r="C180" s="2" t="n">
        <v>2.32842109891904E-009</v>
      </c>
      <c r="D180" s="2" t="n">
        <v>1.11321796057027E-009</v>
      </c>
      <c r="E180" s="2" t="n">
        <v>4.92342172861518E-013</v>
      </c>
    </row>
    <row r="181" customFormat="false" ht="13.8" hidden="false" customHeight="false" outlineLevel="0" collapsed="false">
      <c r="B181" s="2" t="n">
        <v>179</v>
      </c>
      <c r="C181" s="2" t="n">
        <v>2.23474915213667E-009</v>
      </c>
      <c r="D181" s="2" t="n">
        <v>1.01959441623818E-009</v>
      </c>
      <c r="E181" s="2" t="n">
        <v>5.06741117437335E-013</v>
      </c>
    </row>
    <row r="182" customFormat="false" ht="13.8" hidden="false" customHeight="false" outlineLevel="0" collapsed="false">
      <c r="B182" s="2" t="n">
        <v>180</v>
      </c>
      <c r="C182" s="2" t="n">
        <v>2.14107666623407E-009</v>
      </c>
      <c r="D182" s="2" t="n">
        <v>9.2597035209489E-010</v>
      </c>
      <c r="E182" s="2" t="n">
        <v>5.20896874324004E-013</v>
      </c>
    </row>
    <row r="183" customFormat="false" ht="13.8" hidden="false" customHeight="false" outlineLevel="0" collapsed="false">
      <c r="B183" s="2" t="n">
        <v>181</v>
      </c>
      <c r="C183" s="2" t="n">
        <v>2.04740285597607E-009</v>
      </c>
      <c r="D183" s="2" t="n">
        <v>8.3234528935595E-010</v>
      </c>
      <c r="E183" s="2" t="n">
        <v>5.34985711735331E-013</v>
      </c>
    </row>
    <row r="184" customFormat="false" ht="13.8" hidden="false" customHeight="false" outlineLevel="0" collapsed="false">
      <c r="B184" s="2" t="n">
        <v>182</v>
      </c>
      <c r="C184" s="2" t="n">
        <v>1.9537283638956E-009</v>
      </c>
      <c r="D184" s="2" t="n">
        <v>7.38719658301286E-010</v>
      </c>
      <c r="E184" s="2" t="n">
        <v>5.49174116777189E-013</v>
      </c>
    </row>
    <row r="185" customFormat="false" ht="13.8" hidden="false" customHeight="false" outlineLevel="0" collapsed="false">
      <c r="B185" s="2" t="n">
        <v>183</v>
      </c>
      <c r="C185" s="2" t="n">
        <v>1.86005274773107E-009</v>
      </c>
      <c r="D185" s="2" t="n">
        <v>6.45093353561496E-010</v>
      </c>
      <c r="E185" s="2" t="n">
        <v>5.63287754712801E-013</v>
      </c>
    </row>
    <row r="186" customFormat="false" ht="13.8" hidden="false" customHeight="false" outlineLevel="0" collapsed="false">
      <c r="B186" s="2" t="n">
        <v>184</v>
      </c>
      <c r="C186" s="2" t="n">
        <v>1.76637598827427E-009</v>
      </c>
      <c r="D186" s="2" t="n">
        <v>5.51466559808496E-010</v>
      </c>
      <c r="E186" s="2" t="n">
        <v>5.77297891659557E-013</v>
      </c>
    </row>
    <row r="187" customFormat="false" ht="13.8" hidden="false" customHeight="false" outlineLevel="0" collapsed="false">
      <c r="B187" s="2" t="n">
        <v>185</v>
      </c>
      <c r="C187" s="2" t="n">
        <v>1.67269956138598E-009</v>
      </c>
      <c r="D187" s="2" t="n">
        <v>4.57839795235635E-010</v>
      </c>
      <c r="E187" s="2" t="n">
        <v>5.91471075037959E-013</v>
      </c>
    </row>
    <row r="188" customFormat="false" ht="13.8" hidden="false" customHeight="false" outlineLevel="0" collapsed="false">
      <c r="B188" s="2" t="n">
        <v>186</v>
      </c>
      <c r="C188" s="2" t="n">
        <v>1.5790206864093E-009</v>
      </c>
      <c r="D188" s="2" t="n">
        <v>3.64213850662351E-010</v>
      </c>
      <c r="E188" s="2" t="n">
        <v>6.05660190583769E-013</v>
      </c>
    </row>
    <row r="189" customFormat="false" ht="13.8" hidden="false" customHeight="false" outlineLevel="0" collapsed="false">
      <c r="B189" s="2" t="n">
        <v>187</v>
      </c>
      <c r="C189" s="2" t="n">
        <v>1.48534188887159E-009</v>
      </c>
      <c r="D189" s="2" t="n">
        <v>2.70591338105179E-010</v>
      </c>
      <c r="E189" s="2" t="n">
        <v>6.19699650332568E-013</v>
      </c>
    </row>
    <row r="190" customFormat="false" ht="13.8" hidden="false" customHeight="false" outlineLevel="0" collapsed="false">
      <c r="B190" s="2" t="n">
        <v>188</v>
      </c>
      <c r="C190" s="2" t="n">
        <v>1.39162303973781E-009</v>
      </c>
      <c r="D190" s="2" t="n">
        <v>1.76895171276824E-010</v>
      </c>
      <c r="E190" s="2" t="n">
        <v>6.34087059072973E-013</v>
      </c>
    </row>
    <row r="191" customFormat="false" ht="13.8" hidden="false" customHeight="false" outlineLevel="0" collapsed="false">
      <c r="B191" s="2" t="n">
        <v>189</v>
      </c>
      <c r="C191" s="2" t="n">
        <v>1.25674725294197E-009</v>
      </c>
      <c r="D191" s="2" t="n">
        <v>8.15476655382316E-013</v>
      </c>
      <c r="E191" s="2" t="n">
        <v>6.49306865459006E-013</v>
      </c>
    </row>
    <row r="192" customFormat="false" ht="13.8" hidden="false" customHeight="false" outlineLevel="0" collapsed="false">
      <c r="B192" s="2" t="n">
        <v>190</v>
      </c>
      <c r="C192" s="2" t="n">
        <v>1.20982504059614E-009</v>
      </c>
      <c r="D192" s="2" t="n">
        <v>6.50351403304841E-013</v>
      </c>
      <c r="E192" s="2" t="n">
        <v>6.57616969309231E-013</v>
      </c>
    </row>
    <row r="193" customFormat="false" ht="13.8" hidden="false" customHeight="false" outlineLevel="0" collapsed="false">
      <c r="B193" s="2" t="n">
        <v>191</v>
      </c>
      <c r="C193" s="2" t="n">
        <v>1.16299381907724E-009</v>
      </c>
      <c r="D193" s="2" t="n">
        <v>6.71441719018021E-013</v>
      </c>
      <c r="E193" s="2" t="n">
        <v>6.64373133054445E-013</v>
      </c>
    </row>
    <row r="194" customFormat="false" ht="13.8" hidden="false" customHeight="false" outlineLevel="0" collapsed="false">
      <c r="B194" s="2" t="n">
        <v>192</v>
      </c>
      <c r="C194" s="2" t="n">
        <v>1.12486962712161E-009</v>
      </c>
      <c r="D194" s="2" t="n">
        <v>1.81053353939275E-011</v>
      </c>
      <c r="E194" s="2" t="n">
        <v>6.69896423496169E-013</v>
      </c>
    </row>
    <row r="195" customFormat="false" ht="13.8" hidden="false" customHeight="false" outlineLevel="0" collapsed="false">
      <c r="B195" s="2" t="n">
        <v>193</v>
      </c>
      <c r="C195" s="2" t="n">
        <v>1.07580189941803E-009</v>
      </c>
      <c r="D195" s="2" t="n">
        <v>1.36567621663455E-011</v>
      </c>
      <c r="E195" s="2" t="n">
        <v>6.75900180858613E-013</v>
      </c>
    </row>
    <row r="196" customFormat="false" ht="13.8" hidden="false" customHeight="false" outlineLevel="0" collapsed="false">
      <c r="B196" s="2" t="n">
        <v>194</v>
      </c>
      <c r="C196" s="2" t="n">
        <v>1.02672325695069E-009</v>
      </c>
      <c r="D196" s="2" t="n">
        <v>9.18260464100196E-012</v>
      </c>
      <c r="E196" s="2" t="n">
        <v>6.81928597789696E-013</v>
      </c>
    </row>
    <row r="197" customFormat="false" ht="13.8" hidden="false" customHeight="false" outlineLevel="0" collapsed="false">
      <c r="B197" s="2" t="n">
        <v>195</v>
      </c>
      <c r="C197" s="2" t="n">
        <v>9.75631171503031E-010</v>
      </c>
      <c r="D197" s="2" t="n">
        <v>6.83856489260161E-013</v>
      </c>
      <c r="E197" s="2" t="n">
        <v>6.88055508461592E-013</v>
      </c>
    </row>
    <row r="198" customFormat="false" ht="13.8" hidden="false" customHeight="false" outlineLevel="0" collapsed="false">
      <c r="B198" s="2" t="n">
        <v>196</v>
      </c>
      <c r="C198" s="2" t="n">
        <v>9.2878585986822E-010</v>
      </c>
      <c r="D198" s="2" t="n">
        <v>6.81265168871927E-013</v>
      </c>
      <c r="E198" s="2" t="n">
        <v>6.93768177272321E-013</v>
      </c>
    </row>
    <row r="199" customFormat="false" ht="13.8" hidden="false" customHeight="false" outlineLevel="0" collapsed="false">
      <c r="B199" s="2" t="n">
        <v>197</v>
      </c>
      <c r="C199" s="2" t="n">
        <v>8.82613252701441E-010</v>
      </c>
      <c r="D199" s="2" t="n">
        <v>6.99644181323885E-013</v>
      </c>
      <c r="E199" s="2" t="n">
        <v>6.9932520333482E-013</v>
      </c>
    </row>
    <row r="200" customFormat="false" ht="13.8" hidden="false" customHeight="false" outlineLevel="0" collapsed="false">
      <c r="B200" s="2" t="n">
        <v>198</v>
      </c>
      <c r="C200" s="2" t="n">
        <v>8.35102616427449E-010</v>
      </c>
      <c r="D200" s="2" t="n">
        <v>6.92244649840732E-013</v>
      </c>
      <c r="E200" s="2" t="n">
        <v>7.05131573968224E-013</v>
      </c>
    </row>
    <row r="201" customFormat="false" ht="13.8" hidden="false" customHeight="false" outlineLevel="0" collapsed="false">
      <c r="B201" s="2" t="n">
        <v>199</v>
      </c>
      <c r="C201" s="2" t="n">
        <v>7.88260123231798E-010</v>
      </c>
      <c r="D201" s="2" t="n">
        <v>6.97914284686381E-013</v>
      </c>
      <c r="E201" s="2" t="n">
        <v>7.10805734950175E-013</v>
      </c>
    </row>
    <row r="202" customFormat="false" ht="13.8" hidden="false" customHeight="false" outlineLevel="0" collapsed="false">
      <c r="B202" s="2" t="n">
        <v>200</v>
      </c>
      <c r="C202" s="2" t="n">
        <v>7.41416862187043E-010</v>
      </c>
      <c r="D202" s="2" t="n">
        <v>7.03300812674953E-013</v>
      </c>
      <c r="E202" s="2" t="n">
        <v>7.16421102927531E-013</v>
      </c>
    </row>
    <row r="203" customFormat="false" ht="13.8" hidden="false" customHeight="false" outlineLevel="0" collapsed="false">
      <c r="B203" s="2" t="n">
        <v>201</v>
      </c>
      <c r="C203" s="2" t="n">
        <v>6.94573992399499E-010</v>
      </c>
      <c r="D203" s="2" t="n">
        <v>7.08767979345478E-013</v>
      </c>
      <c r="E203" s="2" t="n">
        <v>7.22102014166423E-013</v>
      </c>
    </row>
    <row r="204" customFormat="false" ht="13.8" hidden="false" customHeight="false" outlineLevel="0" collapsed="false">
      <c r="B204" s="2" t="n">
        <v>202</v>
      </c>
      <c r="C204" s="2" t="n">
        <v>6.47729776269864E-010</v>
      </c>
      <c r="D204" s="2" t="n">
        <v>7.14362926095312E-013</v>
      </c>
      <c r="E204" s="2" t="n">
        <v>7.27725026103315E-013</v>
      </c>
    </row>
    <row r="205" customFormat="false" ht="13.8" hidden="false" customHeight="false" outlineLevel="0" collapsed="false">
      <c r="B205" s="2" t="n">
        <v>203</v>
      </c>
      <c r="C205" s="2" t="n">
        <v>6.00885526311801E-010</v>
      </c>
      <c r="D205" s="2" t="n">
        <v>7.19901620337074E-013</v>
      </c>
      <c r="E205" s="2" t="n">
        <v>7.3335007833E-013</v>
      </c>
    </row>
    <row r="206" customFormat="false" ht="13.8" hidden="false" customHeight="false" outlineLevel="0" collapsed="false">
      <c r="B206" s="2" t="n">
        <v>204</v>
      </c>
      <c r="C206" s="2" t="n">
        <v>5.54041098067031E-010</v>
      </c>
      <c r="D206" s="2" t="n">
        <v>7.25364665548897E-013</v>
      </c>
      <c r="E206" s="2" t="n">
        <v>7.38985659524721E-013</v>
      </c>
    </row>
    <row r="207" customFormat="false" ht="13.8" hidden="false" customHeight="false" outlineLevel="0" collapsed="false">
      <c r="B207" s="2" t="n">
        <v>205</v>
      </c>
      <c r="C207" s="2" t="n">
        <v>5.07195055508202E-010</v>
      </c>
      <c r="D207" s="2" t="n">
        <v>7.30980350747391E-013</v>
      </c>
      <c r="E207" s="2" t="n">
        <v>7.44600688881E-013</v>
      </c>
    </row>
    <row r="208" customFormat="false" ht="13.8" hidden="false" customHeight="false" outlineLevel="0" collapsed="false">
      <c r="B208" s="2" t="n">
        <v>206</v>
      </c>
      <c r="C208" s="2" t="n">
        <v>4.60349500434837E-010</v>
      </c>
      <c r="D208" s="2" t="n">
        <v>7.36474972708543E-013</v>
      </c>
      <c r="E208" s="2" t="n">
        <v>7.50283029671096E-013</v>
      </c>
    </row>
    <row r="209" customFormat="false" ht="13.8" hidden="false" customHeight="false" outlineLevel="0" collapsed="false">
      <c r="B209" s="2" t="n">
        <v>207</v>
      </c>
      <c r="C209" s="2" t="n">
        <v>4.13503222667306E-010</v>
      </c>
      <c r="D209" s="2" t="n">
        <v>7.41914405811608E-013</v>
      </c>
      <c r="E209" s="2" t="n">
        <v>7.55908138158492E-013</v>
      </c>
    </row>
    <row r="210" customFormat="false" ht="13.8" hidden="false" customHeight="false" outlineLevel="0" collapsed="false">
      <c r="B210" s="2" t="n">
        <v>208</v>
      </c>
      <c r="C210" s="2" t="n">
        <v>3.66656707453593E-010</v>
      </c>
      <c r="D210" s="2" t="n">
        <v>7.47516894915646E-013</v>
      </c>
      <c r="E210" s="2" t="n">
        <v>7.61547987475077E-013</v>
      </c>
    </row>
    <row r="211" customFormat="false" ht="13.8" hidden="false" customHeight="false" outlineLevel="0" collapsed="false">
      <c r="B211" s="2" t="n">
        <v>209</v>
      </c>
      <c r="C211" s="2" t="n">
        <v>3.19809531344685E-010</v>
      </c>
      <c r="D211" s="2" t="n">
        <v>7.53067687066347E-013</v>
      </c>
      <c r="E211" s="2" t="n">
        <v>7.67149284490406E-013</v>
      </c>
    </row>
    <row r="212" customFormat="false" ht="13.8" hidden="false" customHeight="false" outlineLevel="0" collapsed="false">
      <c r="B212" s="2" t="n">
        <v>210</v>
      </c>
      <c r="C212" s="2" t="n">
        <v>2.72962029218308E-010</v>
      </c>
      <c r="D212" s="2" t="n">
        <v>7.58653279128397E-013</v>
      </c>
      <c r="E212" s="2" t="n">
        <v>7.7281542942108E-013</v>
      </c>
    </row>
    <row r="213" customFormat="false" ht="13.8" hidden="false" customHeight="false" outlineLevel="0" collapsed="false">
      <c r="B213" s="2" t="n">
        <v>211</v>
      </c>
      <c r="C213" s="2" t="n">
        <v>2.26113975938507E-010</v>
      </c>
      <c r="D213" s="2" t="n">
        <v>7.6412619632942E-013</v>
      </c>
      <c r="E213" s="2" t="n">
        <v>7.78431153522915E-013</v>
      </c>
    </row>
    <row r="214" customFormat="false" ht="13.8" hidden="false" customHeight="false" outlineLevel="0" collapsed="false">
      <c r="B214" s="2" t="n">
        <v>212</v>
      </c>
      <c r="C214" s="2" t="n">
        <v>1.79265476131616E-010</v>
      </c>
      <c r="D214" s="2" t="n">
        <v>7.69690375875723E-013</v>
      </c>
      <c r="E214" s="2" t="n">
        <v>7.84068978630592E-013</v>
      </c>
    </row>
    <row r="215" customFormat="false" ht="13.8" hidden="false" customHeight="false" outlineLevel="0" collapsed="false">
      <c r="B215" s="2" t="n">
        <v>213</v>
      </c>
      <c r="C215" s="2" t="n">
        <v>1.32416492836089E-010</v>
      </c>
      <c r="D215" s="2" t="n">
        <v>7.75209637204665E-013</v>
      </c>
      <c r="E215" s="2" t="n">
        <v>7.89715468581984E-013</v>
      </c>
    </row>
    <row r="216" customFormat="false" ht="13.8" hidden="false" customHeight="false" outlineLevel="0" collapsed="false">
      <c r="B216" s="2" t="n">
        <v>214</v>
      </c>
      <c r="C216" s="2" t="n">
        <v>8.54527203901485E-011</v>
      </c>
      <c r="D216" s="2" t="n">
        <v>7.81540538847617E-013</v>
      </c>
      <c r="E216" s="2" t="n">
        <v>7.96158224702458E-013</v>
      </c>
    </row>
    <row r="217" customFormat="false" ht="13.8" hidden="false" customHeight="false" outlineLevel="0" collapsed="false">
      <c r="B217" s="2" t="n">
        <v>215</v>
      </c>
      <c r="C217" s="2" t="n">
        <v>8.75027176256619E-013</v>
      </c>
      <c r="D217" s="2" t="n">
        <v>7.8638460636745E-013</v>
      </c>
      <c r="E217" s="2" t="n">
        <v>8.00979941131505E-013</v>
      </c>
    </row>
    <row r="218" customFormat="false" ht="13.8" hidden="false" customHeight="false" outlineLevel="0" collapsed="false">
      <c r="B218" s="2" t="n">
        <v>216</v>
      </c>
      <c r="C218" s="2" t="n">
        <v>7.91437192449348E-013</v>
      </c>
      <c r="D218" s="2" t="n">
        <v>7.87704874303927E-013</v>
      </c>
      <c r="E218" s="2" t="n">
        <v>8.02466901881492E-013</v>
      </c>
    </row>
    <row r="219" customFormat="false" ht="13.8" hidden="false" customHeight="false" outlineLevel="0" collapsed="false">
      <c r="B219" s="2" t="n">
        <v>217</v>
      </c>
      <c r="C219" s="2" t="n">
        <v>7.90101061477848E-013</v>
      </c>
      <c r="D219" s="2" t="n">
        <v>7.88396756545283E-013</v>
      </c>
      <c r="E219" s="2" t="n">
        <v>8.03173314791659E-013</v>
      </c>
    </row>
    <row r="220" customFormat="false" ht="13.8" hidden="false" customHeight="false" outlineLevel="0" collapsed="false">
      <c r="B220" s="2" t="n">
        <v>218</v>
      </c>
      <c r="C220" s="2" t="n">
        <v>7.89483575175106E-013</v>
      </c>
      <c r="D220" s="2" t="n">
        <v>7.88654610511652E-013</v>
      </c>
      <c r="E220" s="2" t="n">
        <v>8.03536523799934E-013</v>
      </c>
    </row>
    <row r="221" customFormat="false" ht="13.8" hidden="false" customHeight="false" outlineLevel="0" collapsed="false">
      <c r="B221" s="2" t="n">
        <v>219</v>
      </c>
      <c r="C221" s="2" t="n">
        <v>7.89230546316995E-013</v>
      </c>
      <c r="D221" s="2" t="n">
        <v>7.8877395271242E-013</v>
      </c>
      <c r="E221" s="2" t="n">
        <v>8.03700350921668E-013</v>
      </c>
    </row>
    <row r="222" customFormat="false" ht="13.8" hidden="false" customHeight="false" outlineLevel="0" collapsed="false">
      <c r="B222" s="2" t="n">
        <v>220</v>
      </c>
      <c r="C222" s="2" t="n">
        <v>0</v>
      </c>
      <c r="D222" s="2" t="n">
        <v>0.00839242735550438</v>
      </c>
      <c r="E222" s="2" t="n">
        <v>3.17662937736012E-015</v>
      </c>
    </row>
    <row r="223" customFormat="false" ht="13.8" hidden="false" customHeight="false" outlineLevel="0" collapsed="false">
      <c r="B223" s="2" t="n">
        <v>221</v>
      </c>
      <c r="C223" s="2" t="n">
        <v>0</v>
      </c>
      <c r="D223" s="2" t="n">
        <v>0.0160342009390419</v>
      </c>
      <c r="E223" s="2" t="n">
        <v>3.14313686792342E-015</v>
      </c>
    </row>
    <row r="224" customFormat="false" ht="13.8" hidden="false" customHeight="false" outlineLevel="0" collapsed="false">
      <c r="B224" s="2" t="n">
        <v>222</v>
      </c>
      <c r="C224" s="2" t="n">
        <v>0</v>
      </c>
      <c r="D224" s="2" t="n">
        <v>0.0247755164850328</v>
      </c>
      <c r="E224" s="2" t="n">
        <v>3.0877934161599E-015</v>
      </c>
    </row>
    <row r="225" customFormat="false" ht="13.8" hidden="false" customHeight="false" outlineLevel="0" collapsed="false">
      <c r="B225" s="2" t="n">
        <v>223</v>
      </c>
      <c r="C225" s="2" t="n">
        <v>0</v>
      </c>
      <c r="D225" s="2" t="n">
        <v>0.031815315572801</v>
      </c>
      <c r="E225" s="2" t="n">
        <v>3.02998225383663E-015</v>
      </c>
    </row>
    <row r="226" customFormat="false" ht="13.8" hidden="false" customHeight="false" outlineLevel="0" collapsed="false">
      <c r="B226" s="2" t="n">
        <v>224</v>
      </c>
      <c r="C226" s="2" t="n">
        <v>0</v>
      </c>
      <c r="D226" s="2" t="n">
        <v>0.0396041626348548</v>
      </c>
      <c r="E226" s="2" t="n">
        <v>2.97265921678359E-015</v>
      </c>
    </row>
    <row r="227" customFormat="false" ht="13.8" hidden="false" customHeight="false" outlineLevel="0" collapsed="false">
      <c r="B227" s="2" t="n">
        <v>225</v>
      </c>
      <c r="C227" s="2" t="n">
        <v>0</v>
      </c>
      <c r="D227" s="2" t="n">
        <v>0.0468264147696688</v>
      </c>
      <c r="E227" s="2" t="n">
        <v>2.91631971152308E-015</v>
      </c>
    </row>
    <row r="228" customFormat="false" ht="13.8" hidden="false" customHeight="false" outlineLevel="0" collapsed="false">
      <c r="B228" s="2" t="n">
        <v>226</v>
      </c>
      <c r="C228" s="2" t="n">
        <v>0.00874910201514596</v>
      </c>
      <c r="D228" s="2" t="n">
        <v>0.0531405113481917</v>
      </c>
      <c r="E228" s="2" t="n">
        <v>3.30841437382579E-015</v>
      </c>
    </row>
    <row r="229" customFormat="false" ht="13.8" hidden="false" customHeight="false" outlineLevel="0" collapsed="false">
      <c r="B229" s="2" t="n">
        <v>227</v>
      </c>
      <c r="C229" s="2" t="n">
        <v>0</v>
      </c>
      <c r="D229" s="2" t="n">
        <v>0.05935553258909</v>
      </c>
      <c r="E229" s="2" t="n">
        <v>2.472334037196E-015</v>
      </c>
    </row>
    <row r="230" customFormat="false" ht="13.8" hidden="false" customHeight="false" outlineLevel="0" collapsed="false">
      <c r="B230" s="2" t="n">
        <v>228</v>
      </c>
      <c r="C230" s="2" t="n">
        <v>0.0196064435386635</v>
      </c>
      <c r="D230" s="2" t="n">
        <v>0.0655290439788675</v>
      </c>
      <c r="E230" s="2" t="n">
        <v>1.30923131857863E-013</v>
      </c>
    </row>
    <row r="231" customFormat="false" ht="13.8" hidden="false" customHeight="false" outlineLevel="0" collapsed="false">
      <c r="B231" s="2" t="n">
        <v>229</v>
      </c>
      <c r="C231" s="2" t="n">
        <v>0.00817048806670586</v>
      </c>
      <c r="D231" s="2" t="n">
        <v>0.071684987690074</v>
      </c>
      <c r="E231" s="2" t="n">
        <v>7.10129999126704E-014</v>
      </c>
    </row>
    <row r="232" customFormat="false" ht="13.8" hidden="false" customHeight="false" outlineLevel="0" collapsed="false">
      <c r="B232" s="2" t="n">
        <v>230</v>
      </c>
      <c r="C232" s="2" t="n">
        <v>0.000453294070253971</v>
      </c>
      <c r="D232" s="2" t="n">
        <v>0.0757779103384269</v>
      </c>
      <c r="E232" s="2" t="n">
        <v>3.86589034791314E-014</v>
      </c>
    </row>
    <row r="233" customFormat="false" ht="13.8" hidden="false" customHeight="false" outlineLevel="0" collapsed="false">
      <c r="B233" s="2" t="n">
        <v>231</v>
      </c>
      <c r="C233" s="2" t="n">
        <v>0.00391194757323224</v>
      </c>
      <c r="D233" s="2" t="n">
        <v>0.0798663267396566</v>
      </c>
      <c r="E233" s="2" t="n">
        <v>2.10879605911825E-014</v>
      </c>
    </row>
    <row r="234" customFormat="false" ht="13.8" hidden="false" customHeight="false" outlineLevel="0" collapsed="false">
      <c r="B234" s="2" t="n">
        <v>232</v>
      </c>
      <c r="C234" s="2" t="n">
        <v>0.00171417079807335</v>
      </c>
      <c r="D234" s="2" t="n">
        <v>0.0839499360190936</v>
      </c>
      <c r="E234" s="2" t="n">
        <v>0</v>
      </c>
    </row>
    <row r="235" customFormat="false" ht="13.8" hidden="false" customHeight="false" outlineLevel="0" collapsed="false">
      <c r="B235" s="2" t="n">
        <v>233</v>
      </c>
      <c r="C235" s="2" t="n">
        <v>0.0114107988450744</v>
      </c>
      <c r="D235" s="2" t="n">
        <v>0.0880372698484257</v>
      </c>
      <c r="E235" s="2" t="n">
        <v>9.81364984663208E-016</v>
      </c>
    </row>
    <row r="236" customFormat="false" ht="13.8" hidden="false" customHeight="false" outlineLevel="0" collapsed="false">
      <c r="B236" s="2" t="n">
        <v>234</v>
      </c>
      <c r="C236" s="2" t="n">
        <v>0.00904309520980376</v>
      </c>
      <c r="D236" s="2" t="n">
        <v>0.0903432774985923</v>
      </c>
      <c r="E236" s="2" t="n">
        <v>0.00215425710464617</v>
      </c>
    </row>
    <row r="237" customFormat="false" ht="13.8" hidden="false" customHeight="false" outlineLevel="0" collapsed="false">
      <c r="B237" s="2" t="n">
        <v>235</v>
      </c>
      <c r="C237" s="2" t="n">
        <v>0.0195163458068412</v>
      </c>
      <c r="D237" s="2" t="n">
        <v>0.0926217917392305</v>
      </c>
      <c r="E237" s="2" t="n">
        <v>0.00349114253564514</v>
      </c>
    </row>
    <row r="238" customFormat="false" ht="13.8" hidden="false" customHeight="false" outlineLevel="0" collapsed="false">
      <c r="B238" s="2" t="n">
        <v>236</v>
      </c>
      <c r="C238" s="2" t="n">
        <v>0.0129512646818892</v>
      </c>
      <c r="D238" s="2" t="n">
        <v>0.0949435270689368</v>
      </c>
      <c r="E238" s="2" t="n">
        <v>0.00734074306012022</v>
      </c>
    </row>
    <row r="239" customFormat="false" ht="13.8" hidden="false" customHeight="false" outlineLevel="0" collapsed="false">
      <c r="B239" s="2" t="n">
        <v>237</v>
      </c>
      <c r="C239" s="2" t="n">
        <v>0.0212395736663274</v>
      </c>
      <c r="D239" s="2" t="n">
        <v>0.0968839300552122</v>
      </c>
      <c r="E239" s="2" t="n">
        <v>0.00956883844796417</v>
      </c>
    </row>
    <row r="240" customFormat="false" ht="13.8" hidden="false" customHeight="false" outlineLevel="0" collapsed="false">
      <c r="B240" s="2" t="n">
        <v>238</v>
      </c>
      <c r="C240" s="2" t="n">
        <v>0.0131192697365667</v>
      </c>
      <c r="D240" s="2" t="n">
        <v>0.0966070558615312</v>
      </c>
      <c r="E240" s="2" t="n">
        <v>0.0161102719212548</v>
      </c>
    </row>
    <row r="241" customFormat="false" ht="13.8" hidden="false" customHeight="false" outlineLevel="0" collapsed="false">
      <c r="B241" s="2" t="n">
        <v>239</v>
      </c>
      <c r="C241" s="2" t="n">
        <v>0.0153404245233244</v>
      </c>
      <c r="D241" s="2" t="n">
        <v>0.0953247702824098</v>
      </c>
      <c r="E241" s="2" t="n">
        <v>0.0333733119115434</v>
      </c>
    </row>
    <row r="242" customFormat="false" ht="13.8" hidden="false" customHeight="false" outlineLevel="0" collapsed="false">
      <c r="B242" s="2" t="n">
        <v>240</v>
      </c>
      <c r="C242" s="2" t="n">
        <v>0.0317572666773173</v>
      </c>
      <c r="D242" s="2" t="n">
        <v>0.095176946730579</v>
      </c>
      <c r="E242" s="2" t="n">
        <v>0.0563760968705525</v>
      </c>
    </row>
    <row r="243" customFormat="false" ht="13.8" hidden="false" customHeight="false" outlineLevel="0" collapsed="false">
      <c r="B243" s="2" t="n">
        <v>241</v>
      </c>
      <c r="C243" s="2" t="n">
        <v>1.37222327317504E-009</v>
      </c>
      <c r="D243" s="2" t="n">
        <v>0.111390664984683</v>
      </c>
      <c r="E243" s="2" t="n">
        <v>0.12825775662162</v>
      </c>
    </row>
    <row r="244" customFormat="false" ht="13.8" hidden="false" customHeight="false" outlineLevel="0" collapsed="false">
      <c r="B244" s="2" t="n">
        <v>242</v>
      </c>
      <c r="C244" s="2" t="n">
        <v>0.0126726694670586</v>
      </c>
      <c r="D244" s="2" t="n">
        <v>0.0923788217635934</v>
      </c>
      <c r="E244" s="2" t="n">
        <v>0.239009871539529</v>
      </c>
    </row>
    <row r="245" customFormat="false" ht="13.8" hidden="false" customHeight="false" outlineLevel="0" collapsed="false">
      <c r="B245" s="2" t="n">
        <v>243</v>
      </c>
      <c r="C245" s="2" t="n">
        <v>0.0154781024229935</v>
      </c>
      <c r="D245" s="2" t="n">
        <v>0.108604745565823</v>
      </c>
      <c r="E245" s="2" t="n">
        <v>0.446704441489003</v>
      </c>
    </row>
    <row r="246" customFormat="false" ht="13.8" hidden="false" customHeight="false" outlineLevel="0" collapsed="false">
      <c r="B246" s="2" t="n">
        <v>244</v>
      </c>
      <c r="C246" s="2" t="n">
        <v>2.0511992831569E-006</v>
      </c>
      <c r="D246" s="2" t="n">
        <v>0.0895732842157958</v>
      </c>
      <c r="E246" s="2" t="n">
        <v>0.6279879744525</v>
      </c>
    </row>
    <row r="247" customFormat="false" ht="13.8" hidden="false" customHeight="false" outlineLevel="0" collapsed="false">
      <c r="B247" s="2" t="n">
        <v>245</v>
      </c>
      <c r="C247" s="2" t="n">
        <v>0</v>
      </c>
      <c r="D247" s="2" t="n">
        <v>0.0926301905354844</v>
      </c>
      <c r="E247" s="2" t="n">
        <v>0.745561620129562</v>
      </c>
    </row>
    <row r="248" customFormat="false" ht="13.8" hidden="false" customHeight="false" outlineLevel="0" collapsed="false">
      <c r="B248" s="2" t="n">
        <v>246</v>
      </c>
      <c r="C248" s="2" t="n">
        <v>4.10237793698185E-006</v>
      </c>
      <c r="D248" s="2" t="n">
        <v>0.089027761397719</v>
      </c>
      <c r="E248" s="2" t="n">
        <v>0.722404124744816</v>
      </c>
    </row>
    <row r="249" customFormat="false" ht="13.8" hidden="false" customHeight="false" outlineLevel="0" collapsed="false">
      <c r="B249" s="2" t="n">
        <v>247</v>
      </c>
      <c r="C249" s="2" t="n">
        <v>2.05119922480282E-006</v>
      </c>
      <c r="D249" s="2" t="n">
        <v>0.0847974967042004</v>
      </c>
      <c r="E249" s="2" t="n">
        <v>0.699246629359959</v>
      </c>
    </row>
    <row r="250" customFormat="false" ht="13.8" hidden="false" customHeight="false" outlineLevel="0" collapsed="false">
      <c r="B250" s="2" t="n">
        <v>248</v>
      </c>
      <c r="C250" s="2" t="n">
        <v>2.05119827054191E-006</v>
      </c>
      <c r="D250" s="2" t="n">
        <v>0.0963855108623345</v>
      </c>
      <c r="E250" s="2" t="n">
        <v>0.676089133975345</v>
      </c>
    </row>
    <row r="251" customFormat="false" ht="13.8" hidden="false" customHeight="false" outlineLevel="0" collapsed="false">
      <c r="B251" s="2" t="n">
        <v>249</v>
      </c>
      <c r="C251" s="2" t="n">
        <v>2.05119922480015E-006</v>
      </c>
      <c r="D251" s="2" t="n">
        <v>0.0797096789738871</v>
      </c>
      <c r="E251" s="2" t="n">
        <v>0.652131771923947</v>
      </c>
    </row>
    <row r="252" customFormat="false" ht="13.8" hidden="false" customHeight="false" outlineLevel="0" collapsed="false">
      <c r="B252" s="2" t="n">
        <v>250</v>
      </c>
      <c r="C252" s="2" t="n">
        <v>2.05119922480206E-006</v>
      </c>
      <c r="D252" s="2" t="n">
        <v>0.0762016463195813</v>
      </c>
      <c r="E252" s="2" t="n">
        <v>0.610893739529363</v>
      </c>
    </row>
    <row r="253" customFormat="false" ht="13.8" hidden="false" customHeight="false" outlineLevel="0" collapsed="false">
      <c r="B253" s="2" t="n">
        <v>251</v>
      </c>
      <c r="C253" s="2" t="n">
        <v>2.05119922480301E-006</v>
      </c>
      <c r="D253" s="2" t="n">
        <v>0.0721622859018883</v>
      </c>
      <c r="E253" s="2" t="n">
        <v>0.571055357134785</v>
      </c>
    </row>
    <row r="254" customFormat="false" ht="13.8" hidden="false" customHeight="false" outlineLevel="0" collapsed="false">
      <c r="B254" s="2" t="n">
        <v>252</v>
      </c>
      <c r="C254" s="2" t="n">
        <v>2.05119922480968E-006</v>
      </c>
      <c r="D254" s="2" t="n">
        <v>0.0639685957150721</v>
      </c>
      <c r="E254" s="2" t="n">
        <v>0.527950808073324</v>
      </c>
    </row>
    <row r="255" customFormat="false" ht="13.8" hidden="false" customHeight="false" outlineLevel="0" collapsed="false">
      <c r="B255" s="2" t="n">
        <v>253</v>
      </c>
      <c r="C255" s="2" t="n">
        <v>2.05119922496285E-006</v>
      </c>
      <c r="D255" s="2" t="n">
        <v>0.0560971257975291</v>
      </c>
      <c r="E255" s="2" t="n">
        <v>0.46701295901231</v>
      </c>
    </row>
    <row r="256" customFormat="false" ht="13.8" hidden="false" customHeight="false" outlineLevel="0" collapsed="false">
      <c r="B256" s="2" t="n">
        <v>254</v>
      </c>
      <c r="C256" s="2" t="n">
        <v>2.05119494604131E-006</v>
      </c>
      <c r="D256" s="2" t="n">
        <v>0.0314674964916843</v>
      </c>
      <c r="E256" s="2" t="n">
        <v>0.334028461858361</v>
      </c>
    </row>
    <row r="257" customFormat="false" ht="13.8" hidden="false" customHeight="false" outlineLevel="0" collapsed="false">
      <c r="B257" s="2" t="n">
        <v>255</v>
      </c>
      <c r="C257" s="2" t="n">
        <v>6.3980827785976E-013</v>
      </c>
      <c r="D257" s="2" t="n">
        <v>2.5506983456818E-005</v>
      </c>
      <c r="E257" s="2" t="n">
        <v>0.261043498038257</v>
      </c>
    </row>
    <row r="258" customFormat="false" ht="13.8" hidden="false" customHeight="false" outlineLevel="0" collapsed="false">
      <c r="B258" s="2" t="n">
        <v>256</v>
      </c>
      <c r="C258" s="2" t="n">
        <v>4.1921388882922E-012</v>
      </c>
      <c r="D258" s="2" t="n">
        <v>2.55069832319709E-005</v>
      </c>
      <c r="E258" s="2" t="n">
        <v>0.117306179267092</v>
      </c>
    </row>
    <row r="259" customFormat="false" ht="13.8" hidden="false" customHeight="false" outlineLevel="0" collapsed="false">
      <c r="B259" s="2" t="n">
        <v>257</v>
      </c>
      <c r="C259" s="2" t="n">
        <v>3.50027241631147E-009</v>
      </c>
      <c r="D259" s="2" t="n">
        <v>5.27072411129845E-013</v>
      </c>
      <c r="E259" s="2" t="n">
        <v>2.89609754126229E-013</v>
      </c>
    </row>
    <row r="260" customFormat="false" ht="13.8" hidden="false" customHeight="false" outlineLevel="0" collapsed="false">
      <c r="B260" s="2" t="n">
        <v>258</v>
      </c>
      <c r="C260" s="2" t="n">
        <v>3.4102119544196E-009</v>
      </c>
      <c r="D260" s="2" t="n">
        <v>5.60403491830814E-013</v>
      </c>
      <c r="E260" s="2" t="n">
        <v>3.03847917472074E-013</v>
      </c>
    </row>
    <row r="261" customFormat="false" ht="13.8" hidden="false" customHeight="false" outlineLevel="0" collapsed="false">
      <c r="B261" s="2" t="n">
        <v>259</v>
      </c>
      <c r="C261" s="2" t="n">
        <v>3.31672191436422E-009</v>
      </c>
      <c r="D261" s="2" t="n">
        <v>5.67752275215022E-013</v>
      </c>
      <c r="E261" s="2" t="n">
        <v>3.17948209563316E-013</v>
      </c>
    </row>
    <row r="262" customFormat="false" ht="13.8" hidden="false" customHeight="false" outlineLevel="0" collapsed="false">
      <c r="B262" s="2" t="n">
        <v>260</v>
      </c>
      <c r="C262" s="2" t="n">
        <v>3.2232355026509E-009</v>
      </c>
      <c r="D262" s="2" t="n">
        <v>5.75132725121469E-013</v>
      </c>
      <c r="E262" s="2" t="n">
        <v>3.32034509578083E-013</v>
      </c>
    </row>
    <row r="263" customFormat="false" ht="13.8" hidden="false" customHeight="false" outlineLevel="0" collapsed="false">
      <c r="B263" s="2" t="n">
        <v>261</v>
      </c>
      <c r="C263" s="2" t="n">
        <v>3.12974776136409E-009</v>
      </c>
      <c r="D263" s="2" t="n">
        <v>5.82540243638681E-013</v>
      </c>
      <c r="E263" s="2" t="n">
        <v>3.4612090442953E-013</v>
      </c>
    </row>
    <row r="264" customFormat="false" ht="13.8" hidden="false" customHeight="false" outlineLevel="0" collapsed="false">
      <c r="B264" s="2" t="n">
        <v>262</v>
      </c>
      <c r="C264" s="2" t="n">
        <v>3.03626296862915E-009</v>
      </c>
      <c r="D264" s="2" t="n">
        <v>5.90059093169407E-013</v>
      </c>
      <c r="E264" s="2" t="n">
        <v>3.60173028700092E-013</v>
      </c>
    </row>
    <row r="265" customFormat="false" ht="13.8" hidden="false" customHeight="false" outlineLevel="0" collapsed="false">
      <c r="B265" s="2" t="n">
        <v>263</v>
      </c>
      <c r="C265" s="2" t="n">
        <v>2.94268653715997E-009</v>
      </c>
      <c r="D265" s="2" t="n">
        <v>2.19088500130584E-012</v>
      </c>
      <c r="E265" s="2" t="n">
        <v>3.74563843607468E-013</v>
      </c>
    </row>
    <row r="266" customFormat="false" ht="13.8" hidden="false" customHeight="false" outlineLevel="0" collapsed="false">
      <c r="B266" s="2" t="n">
        <v>264</v>
      </c>
      <c r="C266" s="2" t="n">
        <v>2.84911142523534E-009</v>
      </c>
      <c r="D266" s="2" t="n">
        <v>1.67028461474398E-009</v>
      </c>
      <c r="E266" s="2" t="n">
        <v>3.88435894658096E-013</v>
      </c>
    </row>
    <row r="267" customFormat="false" ht="13.8" hidden="false" customHeight="false" outlineLevel="0" collapsed="false">
      <c r="B267" s="2" t="n">
        <v>265</v>
      </c>
      <c r="C267" s="2" t="n">
        <v>2.75815761970395E-009</v>
      </c>
      <c r="D267" s="2" t="n">
        <v>1.57994325413053E-009</v>
      </c>
      <c r="E267" s="2" t="n">
        <v>4.02626557995898E-013</v>
      </c>
    </row>
    <row r="268" customFormat="false" ht="13.8" hidden="false" customHeight="false" outlineLevel="0" collapsed="false">
      <c r="B268" s="2" t="n">
        <v>266</v>
      </c>
      <c r="C268" s="2" t="n">
        <v>2.66449177075479E-009</v>
      </c>
      <c r="D268" s="2" t="n">
        <v>1.4863241503368E-009</v>
      </c>
      <c r="E268" s="2" t="n">
        <v>4.16756796483555E-013</v>
      </c>
    </row>
    <row r="269" customFormat="false" ht="13.8" hidden="false" customHeight="false" outlineLevel="0" collapsed="false">
      <c r="B269" s="2" t="n">
        <v>267</v>
      </c>
      <c r="C269" s="2" t="n">
        <v>2.57082241733767E-009</v>
      </c>
      <c r="D269" s="2" t="n">
        <v>1.39270435009205E-009</v>
      </c>
      <c r="E269" s="2" t="n">
        <v>4.30686547190345E-013</v>
      </c>
    </row>
    <row r="270" customFormat="false" ht="13.8" hidden="false" customHeight="false" outlineLevel="0" collapsed="false">
      <c r="B270" s="2" t="n">
        <v>268</v>
      </c>
      <c r="C270" s="2" t="n">
        <v>2.4771544189059E-009</v>
      </c>
      <c r="D270" s="2" t="n">
        <v>1.29908349333851E-009</v>
      </c>
      <c r="E270" s="2" t="n">
        <v>4.45033691058642E-013</v>
      </c>
    </row>
    <row r="271" customFormat="false" ht="13.8" hidden="false" customHeight="false" outlineLevel="0" collapsed="false">
      <c r="B271" s="2" t="n">
        <v>269</v>
      </c>
      <c r="C271" s="2" t="n">
        <v>2.38348386552801E-009</v>
      </c>
      <c r="D271" s="2" t="n">
        <v>1.20546189666753E-009</v>
      </c>
      <c r="E271" s="2" t="n">
        <v>4.59064350121491E-013</v>
      </c>
    </row>
    <row r="272" customFormat="false" ht="13.8" hidden="false" customHeight="false" outlineLevel="0" collapsed="false">
      <c r="B272" s="2" t="n">
        <v>270</v>
      </c>
      <c r="C272" s="2" t="n">
        <v>2.2898133372654E-009</v>
      </c>
      <c r="D272" s="2" t="n">
        <v>1.11183928023138E-009</v>
      </c>
      <c r="E272" s="2" t="n">
        <v>4.7306185810177E-013</v>
      </c>
    </row>
    <row r="273" customFormat="false" ht="13.8" hidden="false" customHeight="false" outlineLevel="0" collapsed="false">
      <c r="B273" s="2" t="n">
        <v>271</v>
      </c>
      <c r="C273" s="2" t="n">
        <v>2.19614059099815E-009</v>
      </c>
      <c r="D273" s="2" t="n">
        <v>1.01821589311588E-009</v>
      </c>
      <c r="E273" s="2" t="n">
        <v>4.87350018904535E-013</v>
      </c>
    </row>
    <row r="274" customFormat="false" ht="13.8" hidden="false" customHeight="false" outlineLevel="0" collapsed="false">
      <c r="B274" s="2" t="n">
        <v>272</v>
      </c>
      <c r="C274" s="2" t="n">
        <v>2.1024681798817E-009</v>
      </c>
      <c r="D274" s="2" t="n">
        <v>9.24591693429976E-010</v>
      </c>
      <c r="E274" s="2" t="n">
        <v>5.01553852455654E-013</v>
      </c>
    </row>
    <row r="275" customFormat="false" ht="13.8" hidden="false" customHeight="false" outlineLevel="0" collapsed="false">
      <c r="B275" s="2" t="n">
        <v>273</v>
      </c>
      <c r="C275" s="2" t="n">
        <v>2.00879398789802E-009</v>
      </c>
      <c r="D275" s="2" t="n">
        <v>8.30966757480448E-010</v>
      </c>
      <c r="E275" s="2" t="n">
        <v>5.15641587304769E-013</v>
      </c>
    </row>
    <row r="276" customFormat="false" ht="13.8" hidden="false" customHeight="false" outlineLevel="0" collapsed="false">
      <c r="B276" s="2" t="n">
        <v>274</v>
      </c>
      <c r="C276" s="2" t="n">
        <v>1.91511931748082E-009</v>
      </c>
      <c r="D276" s="2" t="n">
        <v>7.37340910698134E-010</v>
      </c>
      <c r="E276" s="2" t="n">
        <v>5.29722063900081E-013</v>
      </c>
    </row>
    <row r="277" customFormat="false" ht="13.8" hidden="false" customHeight="false" outlineLevel="0" collapsed="false">
      <c r="B277" s="2" t="n">
        <v>275</v>
      </c>
      <c r="C277" s="2" t="n">
        <v>1.82144314619673E-009</v>
      </c>
      <c r="D277" s="2" t="n">
        <v>6.43714606955489E-010</v>
      </c>
      <c r="E277" s="2" t="n">
        <v>5.43817958855172E-013</v>
      </c>
    </row>
    <row r="278" customFormat="false" ht="13.8" hidden="false" customHeight="false" outlineLevel="0" collapsed="false">
      <c r="B278" s="2" t="n">
        <v>276</v>
      </c>
      <c r="C278" s="2" t="n">
        <v>1.72776659533196E-009</v>
      </c>
      <c r="D278" s="2" t="n">
        <v>5.50087944553816E-010</v>
      </c>
      <c r="E278" s="2" t="n">
        <v>5.57935016704603E-013</v>
      </c>
    </row>
    <row r="279" customFormat="false" ht="13.8" hidden="false" customHeight="false" outlineLevel="0" collapsed="false">
      <c r="B279" s="2" t="n">
        <v>277</v>
      </c>
      <c r="C279" s="2" t="n">
        <v>1.63408889726765E-009</v>
      </c>
      <c r="D279" s="2" t="n">
        <v>4.56461129859141E-010</v>
      </c>
      <c r="E279" s="2" t="n">
        <v>5.72048384478328E-013</v>
      </c>
    </row>
    <row r="280" customFormat="false" ht="13.8" hidden="false" customHeight="false" outlineLevel="0" collapsed="false">
      <c r="B280" s="2" t="n">
        <v>278</v>
      </c>
      <c r="C280" s="2" t="n">
        <v>1.54041029874178E-009</v>
      </c>
      <c r="D280" s="2" t="n">
        <v>3.62835252894103E-010</v>
      </c>
      <c r="E280" s="2" t="n">
        <v>5.86109670295434E-013</v>
      </c>
    </row>
    <row r="281" customFormat="false" ht="13.8" hidden="false" customHeight="false" outlineLevel="0" collapsed="false">
      <c r="B281" s="2" t="n">
        <v>279</v>
      </c>
      <c r="C281" s="2" t="n">
        <v>1.44673071285917E-009</v>
      </c>
      <c r="D281" s="2" t="n">
        <v>2.6921270668969E-010</v>
      </c>
      <c r="E281" s="2" t="n">
        <v>6.00341914521047E-013</v>
      </c>
    </row>
    <row r="282" customFormat="false" ht="13.8" hidden="false" customHeight="false" outlineLevel="0" collapsed="false">
      <c r="B282" s="2" t="n">
        <v>280</v>
      </c>
      <c r="C282" s="2" t="n">
        <v>1.35301150317934E-009</v>
      </c>
      <c r="D282" s="2" t="n">
        <v>1.75516280984114E-010</v>
      </c>
      <c r="E282" s="2" t="n">
        <v>6.14501472464694E-013</v>
      </c>
    </row>
    <row r="283" customFormat="false" ht="13.8" hidden="false" customHeight="false" outlineLevel="0" collapsed="false">
      <c r="B283" s="2" t="n">
        <v>281</v>
      </c>
      <c r="C283" s="2" t="n">
        <v>1.21881565409392E-009</v>
      </c>
      <c r="D283" s="2" t="n">
        <v>7.96356511003049E-013</v>
      </c>
      <c r="E283" s="2" t="n">
        <v>6.30514117488637E-013</v>
      </c>
    </row>
    <row r="284" customFormat="false" ht="13.8" hidden="false" customHeight="false" outlineLevel="0" collapsed="false">
      <c r="B284" s="2" t="n">
        <v>282</v>
      </c>
      <c r="C284" s="2" t="n">
        <v>1.17189371149282E-009</v>
      </c>
      <c r="D284" s="2" t="n">
        <v>6.32251094743367E-013</v>
      </c>
      <c r="E284" s="2" t="n">
        <v>6.39074228240522E-013</v>
      </c>
    </row>
    <row r="285" customFormat="false" ht="13.8" hidden="false" customHeight="false" outlineLevel="0" collapsed="false">
      <c r="B285" s="2" t="n">
        <v>283</v>
      </c>
      <c r="C285" s="2" t="n">
        <v>1.12505409982771E-009</v>
      </c>
      <c r="D285" s="2" t="n">
        <v>6.36422909600287E-013</v>
      </c>
      <c r="E285" s="2" t="n">
        <v>6.46106572097333E-013</v>
      </c>
    </row>
    <row r="286" customFormat="false" ht="13.8" hidden="false" customHeight="false" outlineLevel="0" collapsed="false">
      <c r="B286" s="2" t="n">
        <v>284</v>
      </c>
      <c r="C286" s="2" t="n">
        <v>1.07821483559507E-009</v>
      </c>
      <c r="D286" s="2" t="n">
        <v>6.41422688602627E-013</v>
      </c>
      <c r="E286" s="2" t="n">
        <v>6.52250150103765E-013</v>
      </c>
    </row>
    <row r="287" customFormat="false" ht="13.8" hidden="false" customHeight="false" outlineLevel="0" collapsed="false">
      <c r="B287" s="2" t="n">
        <v>285</v>
      </c>
      <c r="C287" s="2" t="n">
        <v>1.03137500783627E-009</v>
      </c>
      <c r="D287" s="2" t="n">
        <v>6.46649223665143E-013</v>
      </c>
      <c r="E287" s="2" t="n">
        <v>6.58218617427192E-013</v>
      </c>
    </row>
    <row r="288" customFormat="false" ht="13.8" hidden="false" customHeight="false" outlineLevel="0" collapsed="false">
      <c r="B288" s="2" t="n">
        <v>286</v>
      </c>
      <c r="C288" s="2" t="n">
        <v>9.84534521591854E-010</v>
      </c>
      <c r="D288" s="2" t="n">
        <v>6.52038406574013E-013</v>
      </c>
      <c r="E288" s="2" t="n">
        <v>6.63961395368766E-013</v>
      </c>
    </row>
    <row r="289" customFormat="false" ht="13.8" hidden="false" customHeight="false" outlineLevel="0" collapsed="false">
      <c r="B289" s="2" t="n">
        <v>287</v>
      </c>
      <c r="C289" s="2" t="n">
        <v>9.37693580180527E-010</v>
      </c>
      <c r="D289" s="2" t="n">
        <v>6.5755963602728E-013</v>
      </c>
      <c r="E289" s="2" t="n">
        <v>6.69690728443253E-013</v>
      </c>
    </row>
    <row r="290" customFormat="false" ht="13.8" hidden="false" customHeight="false" outlineLevel="0" collapsed="false">
      <c r="B290" s="2" t="n">
        <v>288</v>
      </c>
      <c r="C290" s="2" t="n">
        <v>8.90852484744575E-010</v>
      </c>
      <c r="D290" s="2" t="n">
        <v>6.62992058164107E-013</v>
      </c>
      <c r="E290" s="2" t="n">
        <v>6.75303000898979E-013</v>
      </c>
    </row>
    <row r="291" customFormat="false" ht="13.8" hidden="false" customHeight="false" outlineLevel="0" collapsed="false">
      <c r="B291" s="2" t="n">
        <v>289</v>
      </c>
      <c r="C291" s="2" t="n">
        <v>8.44149530737344E-010</v>
      </c>
      <c r="D291" s="2" t="n">
        <v>6.80980368020305E-013</v>
      </c>
      <c r="E291" s="2" t="n">
        <v>6.80926314101487E-013</v>
      </c>
    </row>
    <row r="292" customFormat="false" ht="13.8" hidden="false" customHeight="false" outlineLevel="0" collapsed="false">
      <c r="B292" s="2" t="n">
        <v>290</v>
      </c>
      <c r="C292" s="2" t="n">
        <v>7.97167971211315E-010</v>
      </c>
      <c r="D292" s="2" t="n">
        <v>6.74052739852118E-013</v>
      </c>
      <c r="E292" s="2" t="n">
        <v>6.86623187163537E-013</v>
      </c>
    </row>
    <row r="293" customFormat="false" ht="13.8" hidden="false" customHeight="false" outlineLevel="0" collapsed="false">
      <c r="B293" s="2" t="n">
        <v>291</v>
      </c>
      <c r="C293" s="2" t="n">
        <v>7.50325251432781E-010</v>
      </c>
      <c r="D293" s="2" t="n">
        <v>6.79651201957629E-013</v>
      </c>
      <c r="E293" s="2" t="n">
        <v>6.92262283704384E-013</v>
      </c>
    </row>
    <row r="294" customFormat="false" ht="13.8" hidden="false" customHeight="false" outlineLevel="0" collapsed="false">
      <c r="B294" s="2" t="n">
        <v>292</v>
      </c>
      <c r="C294" s="2" t="n">
        <v>7.0348194960213E-010</v>
      </c>
      <c r="D294" s="2" t="n">
        <v>6.85091120103472E-013</v>
      </c>
      <c r="E294" s="2" t="n">
        <v>6.97943237941547E-013</v>
      </c>
    </row>
    <row r="295" customFormat="false" ht="13.8" hidden="false" customHeight="false" outlineLevel="0" collapsed="false">
      <c r="B295" s="2" t="n">
        <v>293</v>
      </c>
      <c r="C295" s="2" t="n">
        <v>6.56638233069398E-010</v>
      </c>
      <c r="D295" s="2" t="n">
        <v>6.90662346096749E-013</v>
      </c>
      <c r="E295" s="2" t="n">
        <v>7.0357848465064E-013</v>
      </c>
    </row>
    <row r="296" customFormat="false" ht="13.8" hidden="false" customHeight="false" outlineLevel="0" collapsed="false">
      <c r="B296" s="2" t="n">
        <v>294</v>
      </c>
      <c r="C296" s="2" t="n">
        <v>6.09794050631114E-010</v>
      </c>
      <c r="D296" s="2" t="n">
        <v>6.96130698206412E-013</v>
      </c>
      <c r="E296" s="2" t="n">
        <v>7.09299144211859E-013</v>
      </c>
    </row>
    <row r="297" customFormat="false" ht="13.8" hidden="false" customHeight="false" outlineLevel="0" collapsed="false">
      <c r="B297" s="2" t="n">
        <v>295</v>
      </c>
      <c r="C297" s="2" t="n">
        <v>5.6294928614166E-010</v>
      </c>
      <c r="D297" s="2" t="n">
        <v>7.01704088312007E-013</v>
      </c>
      <c r="E297" s="2" t="n">
        <v>7.14868595158479E-013</v>
      </c>
    </row>
    <row r="298" customFormat="false" ht="13.8" hidden="false" customHeight="false" outlineLevel="0" collapsed="false">
      <c r="B298" s="2" t="n">
        <v>296</v>
      </c>
      <c r="C298" s="2" t="n">
        <v>5.16104234072756E-010</v>
      </c>
      <c r="D298" s="2" t="n">
        <v>7.07240361677763E-013</v>
      </c>
      <c r="E298" s="2" t="n">
        <v>7.20466839178245E-013</v>
      </c>
    </row>
    <row r="299" customFormat="false" ht="13.8" hidden="false" customHeight="false" outlineLevel="0" collapsed="false">
      <c r="B299" s="2" t="n">
        <v>297</v>
      </c>
      <c r="C299" s="2" t="n">
        <v>4.69258574654274E-010</v>
      </c>
      <c r="D299" s="2" t="n">
        <v>7.12774367711138E-013</v>
      </c>
      <c r="E299" s="2" t="n">
        <v>7.26149365754136E-013</v>
      </c>
    </row>
    <row r="300" customFormat="false" ht="13.8" hidden="false" customHeight="false" outlineLevel="0" collapsed="false">
      <c r="B300" s="2" t="n">
        <v>298</v>
      </c>
      <c r="C300" s="2" t="n">
        <v>4.22412588909415E-010</v>
      </c>
      <c r="D300" s="2" t="n">
        <v>7.18291399930712E-013</v>
      </c>
      <c r="E300" s="2" t="n">
        <v>7.31744805918855E-013</v>
      </c>
    </row>
    <row r="301" customFormat="false" ht="13.8" hidden="false" customHeight="false" outlineLevel="0" collapsed="false">
      <c r="B301" s="2" t="n">
        <v>299</v>
      </c>
      <c r="C301" s="2" t="n">
        <v>3.75565932678377E-010</v>
      </c>
      <c r="D301" s="2" t="n">
        <v>7.23854153566463E-013</v>
      </c>
      <c r="E301" s="2" t="n">
        <v>7.37377746704609E-013</v>
      </c>
    </row>
    <row r="302" customFormat="false" ht="13.8" hidden="false" customHeight="false" outlineLevel="0" collapsed="false">
      <c r="B302" s="2" t="n">
        <v>300</v>
      </c>
      <c r="C302" s="2" t="n">
        <v>3.287190312463E-010</v>
      </c>
      <c r="D302" s="2" t="n">
        <v>7.29366458444406E-013</v>
      </c>
      <c r="E302" s="2" t="n">
        <v>7.43019316235131E-013</v>
      </c>
    </row>
    <row r="303" customFormat="false" ht="13.8" hidden="false" customHeight="false" outlineLevel="0" collapsed="false">
      <c r="B303" s="2" t="n">
        <v>301</v>
      </c>
      <c r="C303" s="2" t="n">
        <v>2.81871486893204E-010</v>
      </c>
      <c r="D303" s="2" t="n">
        <v>7.3488897932888E-013</v>
      </c>
      <c r="E303" s="2" t="n">
        <v>7.48649620686497E-013</v>
      </c>
    </row>
    <row r="304" customFormat="false" ht="13.8" hidden="false" customHeight="false" outlineLevel="0" collapsed="false">
      <c r="B304" s="2" t="n">
        <v>302</v>
      </c>
      <c r="C304" s="2" t="n">
        <v>2.35023571938551E-010</v>
      </c>
      <c r="D304" s="2" t="n">
        <v>7.40422958588174E-013</v>
      </c>
      <c r="E304" s="2" t="n">
        <v>7.54300216169048E-013</v>
      </c>
    </row>
    <row r="305" customFormat="false" ht="13.8" hidden="false" customHeight="false" outlineLevel="0" collapsed="false">
      <c r="B305" s="2" t="n">
        <v>303</v>
      </c>
      <c r="C305" s="2" t="n">
        <v>1.88175172077486E-010</v>
      </c>
      <c r="D305" s="2" t="n">
        <v>7.45970134968505E-013</v>
      </c>
      <c r="E305" s="2" t="n">
        <v>7.59933010861198E-013</v>
      </c>
    </row>
    <row r="306" customFormat="false" ht="13.8" hidden="false" customHeight="false" outlineLevel="0" collapsed="false">
      <c r="B306" s="2" t="n">
        <v>304</v>
      </c>
      <c r="C306" s="2" t="n">
        <v>1.4132628068213E-010</v>
      </c>
      <c r="D306" s="2" t="n">
        <v>7.51501805768488E-013</v>
      </c>
      <c r="E306" s="2" t="n">
        <v>7.65568245068553E-013</v>
      </c>
    </row>
    <row r="307" customFormat="false" ht="13.8" hidden="false" customHeight="false" outlineLevel="0" collapsed="false">
      <c r="B307" s="2" t="n">
        <v>305</v>
      </c>
      <c r="C307" s="2" t="n">
        <v>9.44769289787205E-011</v>
      </c>
      <c r="D307" s="2" t="n">
        <v>7.57026545116326E-013</v>
      </c>
      <c r="E307" s="2" t="n">
        <v>7.71199480882011E-013</v>
      </c>
    </row>
    <row r="308" customFormat="false" ht="13.8" hidden="false" customHeight="false" outlineLevel="0" collapsed="false">
      <c r="B308" s="2" t="n">
        <v>306</v>
      </c>
      <c r="C308" s="2" t="n">
        <v>4.76286864688015E-011</v>
      </c>
      <c r="D308" s="2" t="n">
        <v>7.62937290954775E-013</v>
      </c>
      <c r="E308" s="2" t="n">
        <v>7.77246289683951E-013</v>
      </c>
    </row>
    <row r="309" customFormat="false" ht="13.8" hidden="false" customHeight="false" outlineLevel="0" collapsed="false">
      <c r="B309" s="2" t="n">
        <v>307</v>
      </c>
      <c r="C309" s="2" t="n">
        <v>8.29799678560291E-013</v>
      </c>
      <c r="D309" s="2" t="n">
        <v>7.6916795965479E-013</v>
      </c>
      <c r="E309" s="2" t="n">
        <v>7.83558970407787E-013</v>
      </c>
    </row>
    <row r="310" customFormat="false" ht="13.8" hidden="false" customHeight="false" outlineLevel="0" collapsed="false">
      <c r="B310" s="2" t="n">
        <v>308</v>
      </c>
      <c r="C310" s="2" t="n">
        <v>2.40674015711954E-011</v>
      </c>
      <c r="D310" s="2" t="n">
        <v>6.78078092649573E-013</v>
      </c>
      <c r="E310" s="2" t="n">
        <v>7.36883638915441E-013</v>
      </c>
    </row>
    <row r="311" customFormat="false" ht="13.8" hidden="false" customHeight="false" outlineLevel="0" collapsed="false">
      <c r="B311" s="2" t="n">
        <v>309</v>
      </c>
      <c r="C311" s="2" t="n">
        <v>4.73467253987615E-011</v>
      </c>
      <c r="D311" s="2" t="n">
        <v>1.05381555364988E-012</v>
      </c>
      <c r="E311" s="2" t="n">
        <v>6.92420365134451E-013</v>
      </c>
    </row>
    <row r="312" customFormat="false" ht="13.8" hidden="false" customHeight="false" outlineLevel="0" collapsed="false">
      <c r="B312" s="2" t="n">
        <v>310</v>
      </c>
      <c r="C312" s="2" t="n">
        <v>8.95041696687246E-013</v>
      </c>
      <c r="D312" s="2" t="n">
        <v>2.44854221496722E-010</v>
      </c>
      <c r="E312" s="2" t="n">
        <v>1.17492298725247E-012</v>
      </c>
    </row>
    <row r="313" customFormat="false" ht="13.8" hidden="false" customHeight="false" outlineLevel="0" collapsed="false">
      <c r="B313" s="2" t="n">
        <v>311</v>
      </c>
      <c r="C313" s="2" t="n">
        <v>1.10953366299644E-012</v>
      </c>
      <c r="D313" s="2" t="n">
        <v>0</v>
      </c>
      <c r="E313" s="2" t="n">
        <v>4.64336082128337E-011</v>
      </c>
    </row>
    <row r="314" customFormat="false" ht="13.8" hidden="false" customHeight="false" outlineLevel="0" collapsed="false">
      <c r="B314" s="2" t="n">
        <v>312</v>
      </c>
      <c r="C314" s="2" t="n">
        <v>7.88812922952281E-013</v>
      </c>
      <c r="D314" s="2" t="n">
        <v>0</v>
      </c>
      <c r="E314" s="2" t="n">
        <v>0</v>
      </c>
    </row>
    <row r="315" customFormat="false" ht="13.8" hidden="false" customHeight="false" outlineLevel="0" collapsed="false">
      <c r="B315" s="2" t="n">
        <v>313</v>
      </c>
      <c r="C315" s="2" t="n">
        <v>7.88825432153401E-013</v>
      </c>
      <c r="D315" s="2" t="n">
        <v>9.22750117492199E-013</v>
      </c>
      <c r="E315" s="2" t="n">
        <v>3.63180552418871E-011</v>
      </c>
    </row>
    <row r="316" customFormat="false" ht="13.8" hidden="false" customHeight="false" outlineLevel="0" collapsed="false">
      <c r="B316" s="2" t="n">
        <v>314</v>
      </c>
      <c r="C316" s="2" t="n">
        <v>7.88831004807429E-013</v>
      </c>
      <c r="D316" s="2" t="n">
        <v>8.03755567384692E-013</v>
      </c>
      <c r="E316" s="2" t="n">
        <v>0</v>
      </c>
    </row>
    <row r="317" customFormat="false" ht="13.8" hidden="false" customHeight="false" outlineLevel="0" collapsed="false">
      <c r="B317" s="2" t="n">
        <v>315</v>
      </c>
      <c r="C317" s="2" t="n">
        <v>0</v>
      </c>
      <c r="D317" s="2" t="n">
        <v>0.0126907275485242</v>
      </c>
      <c r="E317" s="2" t="n">
        <v>0</v>
      </c>
    </row>
    <row r="318" customFormat="false" ht="13.8" hidden="false" customHeight="false" outlineLevel="0" collapsed="false">
      <c r="B318" s="2" t="n">
        <v>316</v>
      </c>
      <c r="C318" s="2" t="n">
        <v>0</v>
      </c>
      <c r="D318" s="2" t="n">
        <v>0.0166321310629087</v>
      </c>
      <c r="E318" s="2" t="n">
        <v>1.01564282710583E-016</v>
      </c>
    </row>
    <row r="319" customFormat="false" ht="13.8" hidden="false" customHeight="false" outlineLevel="0" collapsed="false">
      <c r="B319" s="2" t="n">
        <v>317</v>
      </c>
      <c r="C319" s="2" t="n">
        <v>0</v>
      </c>
      <c r="D319" s="2" t="n">
        <v>0.020573534577292</v>
      </c>
      <c r="E319" s="2" t="n">
        <v>1.81671643439607E-015</v>
      </c>
    </row>
    <row r="320" customFormat="false" ht="13.8" hidden="false" customHeight="false" outlineLevel="0" collapsed="false">
      <c r="B320" s="2" t="n">
        <v>318</v>
      </c>
      <c r="C320" s="2" t="n">
        <v>0</v>
      </c>
      <c r="D320" s="2" t="n">
        <v>0.0287161045753162</v>
      </c>
      <c r="E320" s="2" t="n">
        <v>9.27324397496338E-016</v>
      </c>
    </row>
    <row r="321" customFormat="false" ht="13.8" hidden="false" customHeight="false" outlineLevel="0" collapsed="false">
      <c r="B321" s="2" t="n">
        <v>319</v>
      </c>
      <c r="C321" s="2" t="n">
        <v>6.28640366627086E-010</v>
      </c>
      <c r="D321" s="2" t="n">
        <v>0.036858674573348</v>
      </c>
      <c r="E321" s="2" t="n">
        <v>6.28630450419509E-010</v>
      </c>
    </row>
    <row r="322" customFormat="false" ht="13.8" hidden="false" customHeight="false" outlineLevel="0" collapsed="false">
      <c r="B322" s="2" t="n">
        <v>320</v>
      </c>
      <c r="C322" s="2" t="n">
        <v>5.12950264982304E-010</v>
      </c>
      <c r="D322" s="2" t="n">
        <v>0.045001244571372</v>
      </c>
      <c r="E322" s="2" t="n">
        <v>5.12785392199746E-010</v>
      </c>
    </row>
    <row r="323" customFormat="false" ht="13.8" hidden="false" customHeight="false" outlineLevel="0" collapsed="false">
      <c r="B323" s="2" t="n">
        <v>321</v>
      </c>
      <c r="C323" s="2" t="n">
        <v>0</v>
      </c>
      <c r="D323" s="2" t="n">
        <v>0.0531438145693895</v>
      </c>
      <c r="E323" s="2" t="n">
        <v>6.83511152720355E-016</v>
      </c>
    </row>
    <row r="324" customFormat="false" ht="13.8" hidden="false" customHeight="false" outlineLevel="0" collapsed="false">
      <c r="B324" s="2" t="n">
        <v>322</v>
      </c>
      <c r="C324" s="2" t="n">
        <v>0</v>
      </c>
      <c r="D324" s="2" t="n">
        <v>0.0499950195983286</v>
      </c>
      <c r="E324" s="2" t="n">
        <v>3.21351137995313E-016</v>
      </c>
    </row>
    <row r="325" customFormat="false" ht="13.8" hidden="false" customHeight="false" outlineLevel="0" collapsed="false">
      <c r="B325" s="2" t="n">
        <v>323</v>
      </c>
      <c r="C325" s="2" t="n">
        <v>0.0016018783774433</v>
      </c>
      <c r="D325" s="2" t="n">
        <v>0.0637264657135908</v>
      </c>
      <c r="E325" s="2" t="n">
        <v>5.26071940305412E-017</v>
      </c>
    </row>
    <row r="326" customFormat="false" ht="13.8" hidden="false" customHeight="false" outlineLevel="0" collapsed="false">
      <c r="B326" s="2" t="n">
        <v>324</v>
      </c>
      <c r="C326" s="2" t="n">
        <v>0</v>
      </c>
      <c r="D326" s="2" t="n">
        <v>0.0690177912856899</v>
      </c>
      <c r="E326" s="2" t="n">
        <v>7.10897169961703E-016</v>
      </c>
    </row>
    <row r="327" customFormat="false" ht="13.8" hidden="false" customHeight="false" outlineLevel="0" collapsed="false">
      <c r="B327" s="2" t="n">
        <v>325</v>
      </c>
      <c r="C327" s="2" t="n">
        <v>0.0203881561521011</v>
      </c>
      <c r="D327" s="2" t="n">
        <v>0.0743091168577891</v>
      </c>
      <c r="E327" s="2" t="n">
        <v>1.59356898257084E-013</v>
      </c>
    </row>
    <row r="328" customFormat="false" ht="13.8" hidden="false" customHeight="false" outlineLevel="0" collapsed="false">
      <c r="B328" s="2" t="n">
        <v>326</v>
      </c>
      <c r="C328" s="2" t="n">
        <v>0</v>
      </c>
      <c r="D328" s="2" t="n">
        <v>0.0799881655600443</v>
      </c>
      <c r="E328" s="2" t="n">
        <v>0</v>
      </c>
    </row>
    <row r="329" customFormat="false" ht="13.8" hidden="false" customHeight="false" outlineLevel="0" collapsed="false">
      <c r="B329" s="2" t="n">
        <v>327</v>
      </c>
      <c r="C329" s="2" t="n">
        <v>0.0198726110453711</v>
      </c>
      <c r="D329" s="2" t="n">
        <v>0.0847892383864671</v>
      </c>
      <c r="E329" s="2" t="n">
        <v>0.000411951075977943</v>
      </c>
    </row>
    <row r="330" customFormat="false" ht="13.8" hidden="false" customHeight="false" outlineLevel="0" collapsed="false">
      <c r="B330" s="2" t="n">
        <v>328</v>
      </c>
      <c r="C330" s="2" t="n">
        <v>0.00921113788141241</v>
      </c>
      <c r="D330" s="2" t="n">
        <v>0.0913462629645541</v>
      </c>
      <c r="E330" s="2" t="n">
        <v>0.00383640395409787</v>
      </c>
    </row>
    <row r="331" customFormat="false" ht="13.8" hidden="false" customHeight="false" outlineLevel="0" collapsed="false">
      <c r="B331" s="2" t="n">
        <v>329</v>
      </c>
      <c r="C331" s="2" t="n">
        <v>0.0245107521884287</v>
      </c>
      <c r="D331" s="2" t="n">
        <v>0.0970253116668095</v>
      </c>
      <c r="E331" s="2" t="n">
        <v>0.00568420007144452</v>
      </c>
    </row>
    <row r="332" customFormat="false" ht="13.8" hidden="false" customHeight="false" outlineLevel="0" collapsed="false">
      <c r="B332" s="2" t="n">
        <v>330</v>
      </c>
      <c r="C332" s="2" t="n">
        <v>0.00229794196151029</v>
      </c>
      <c r="D332" s="2" t="n">
        <v>0.0979871263296084</v>
      </c>
      <c r="E332" s="2" t="n">
        <v>0.00738201820229602</v>
      </c>
    </row>
    <row r="333" customFormat="false" ht="13.8" hidden="false" customHeight="false" outlineLevel="0" collapsed="false">
      <c r="B333" s="2" t="n">
        <v>331</v>
      </c>
      <c r="C333" s="2" t="n">
        <v>0.0308368785952035</v>
      </c>
      <c r="D333" s="2" t="n">
        <v>0.0989489409924165</v>
      </c>
      <c r="E333" s="2" t="n">
        <v>0.0115922845734204</v>
      </c>
    </row>
    <row r="334" customFormat="false" ht="13.8" hidden="false" customHeight="false" outlineLevel="0" collapsed="false">
      <c r="B334" s="2" t="n">
        <v>332</v>
      </c>
      <c r="C334" s="2" t="n">
        <v>0.00539224193029926</v>
      </c>
      <c r="D334" s="2" t="n">
        <v>0.0999107556552168</v>
      </c>
      <c r="E334" s="2" t="n">
        <v>0.0191533248482134</v>
      </c>
    </row>
    <row r="335" customFormat="false" ht="13.8" hidden="false" customHeight="false" outlineLevel="0" collapsed="false">
      <c r="B335" s="2" t="n">
        <v>333</v>
      </c>
      <c r="C335" s="2" t="n">
        <v>0.0310456596028959</v>
      </c>
      <c r="D335" s="2" t="n">
        <v>0.100872570318034</v>
      </c>
      <c r="E335" s="2" t="n">
        <v>0.0539057430290015</v>
      </c>
    </row>
    <row r="336" customFormat="false" ht="13.8" hidden="false" customHeight="false" outlineLevel="0" collapsed="false">
      <c r="B336" s="2" t="n">
        <v>334</v>
      </c>
      <c r="C336" s="2" t="n">
        <v>2.18739323345512E-010</v>
      </c>
      <c r="D336" s="2" t="n">
        <v>0.101348290075335</v>
      </c>
      <c r="E336" s="2" t="n">
        <v>0.0637094372536111</v>
      </c>
    </row>
    <row r="337" customFormat="false" ht="13.8" hidden="false" customHeight="false" outlineLevel="0" collapsed="false">
      <c r="B337" s="2" t="n">
        <v>335</v>
      </c>
      <c r="C337" s="2" t="n">
        <v>0.0176383979621994</v>
      </c>
      <c r="D337" s="2" t="n">
        <v>0.101824009832653</v>
      </c>
      <c r="E337" s="2" t="n">
        <v>0.176236575159578</v>
      </c>
    </row>
    <row r="338" customFormat="false" ht="13.8" hidden="false" customHeight="false" outlineLevel="0" collapsed="false">
      <c r="B338" s="2" t="n">
        <v>336</v>
      </c>
      <c r="C338" s="2" t="n">
        <v>0.0128803862603511</v>
      </c>
      <c r="D338" s="2" t="n">
        <v>0.10229972959001</v>
      </c>
      <c r="E338" s="2" t="n">
        <v>0.225104154217796</v>
      </c>
    </row>
    <row r="339" customFormat="false" ht="13.8" hidden="false" customHeight="false" outlineLevel="0" collapsed="false">
      <c r="B339" s="2" t="n">
        <v>337</v>
      </c>
      <c r="C339" s="2" t="n">
        <v>0.0170899193281899</v>
      </c>
      <c r="D339" s="2" t="n">
        <v>0.102775449347263</v>
      </c>
      <c r="E339" s="2" t="n">
        <v>0.558273410458002</v>
      </c>
    </row>
    <row r="340" customFormat="false" ht="13.8" hidden="false" customHeight="false" outlineLevel="0" collapsed="false">
      <c r="B340" s="2" t="n">
        <v>338</v>
      </c>
      <c r="C340" s="2" t="n">
        <v>1.47376144035118E-009</v>
      </c>
      <c r="D340" s="2" t="n">
        <v>0.101102360636926</v>
      </c>
      <c r="E340" s="2" t="n">
        <v>0.566580198065126</v>
      </c>
    </row>
    <row r="341" customFormat="false" ht="13.8" hidden="false" customHeight="false" outlineLevel="0" collapsed="false">
      <c r="B341" s="2" t="n">
        <v>339</v>
      </c>
      <c r="C341" s="2" t="n">
        <v>0.0123692678045192</v>
      </c>
      <c r="D341" s="2" t="n">
        <v>0.0994292719266041</v>
      </c>
      <c r="E341" s="2" t="n">
        <v>0.688381306502131</v>
      </c>
    </row>
    <row r="342" customFormat="false" ht="13.8" hidden="false" customHeight="false" outlineLevel="0" collapsed="false">
      <c r="B342" s="2" t="n">
        <v>340</v>
      </c>
      <c r="C342" s="2" t="n">
        <v>2.05119927665316E-006</v>
      </c>
      <c r="D342" s="2" t="n">
        <v>0.0977561832162808</v>
      </c>
      <c r="E342" s="2" t="n">
        <v>0.669934071961485</v>
      </c>
    </row>
    <row r="343" customFormat="false" ht="13.8" hidden="false" customHeight="false" outlineLevel="0" collapsed="false">
      <c r="B343" s="2" t="n">
        <v>341</v>
      </c>
      <c r="C343" s="2" t="n">
        <v>2.05119915409198E-006</v>
      </c>
      <c r="D343" s="2" t="n">
        <v>0.0960830945059176</v>
      </c>
      <c r="E343" s="2" t="n">
        <v>0.690112461927871</v>
      </c>
    </row>
    <row r="344" customFormat="false" ht="13.8" hidden="false" customHeight="false" outlineLevel="0" collapsed="false">
      <c r="B344" s="2" t="n">
        <v>342</v>
      </c>
      <c r="C344" s="2" t="n">
        <v>1.17789582180177E-014</v>
      </c>
      <c r="D344" s="2" t="n">
        <v>0.0865656252416171</v>
      </c>
      <c r="E344" s="2" t="n">
        <v>0.587520216334927</v>
      </c>
    </row>
    <row r="345" customFormat="false" ht="13.8" hidden="false" customHeight="false" outlineLevel="0" collapsed="false">
      <c r="B345" s="2" t="n">
        <v>343</v>
      </c>
      <c r="C345" s="2" t="n">
        <v>0</v>
      </c>
      <c r="D345" s="2" t="n">
        <v>0.0770481562389159</v>
      </c>
      <c r="E345" s="2" t="n">
        <v>0.549927970741342</v>
      </c>
    </row>
    <row r="346" customFormat="false" ht="13.8" hidden="false" customHeight="false" outlineLevel="0" collapsed="false">
      <c r="B346" s="2" t="n">
        <v>344</v>
      </c>
      <c r="C346" s="2" t="n">
        <v>6.15353208216629E-006</v>
      </c>
      <c r="D346" s="2" t="n">
        <v>0.0675306867129358</v>
      </c>
      <c r="E346" s="2" t="n">
        <v>0.447335725149055</v>
      </c>
    </row>
    <row r="347" customFormat="false" ht="13.8" hidden="false" customHeight="false" outlineLevel="0" collapsed="false">
      <c r="B347" s="2" t="n">
        <v>345</v>
      </c>
      <c r="C347" s="2" t="n">
        <v>6.31740660169984E-013</v>
      </c>
      <c r="D347" s="2" t="n">
        <v>0.0580132174485903</v>
      </c>
      <c r="E347" s="2" t="n">
        <v>0.402192181427436</v>
      </c>
    </row>
    <row r="348" customFormat="false" ht="13.8" hidden="false" customHeight="false" outlineLevel="0" collapsed="false">
      <c r="B348" s="2" t="n">
        <v>346</v>
      </c>
      <c r="C348" s="2" t="n">
        <v>7.07447527935904E-013</v>
      </c>
      <c r="D348" s="2" t="n">
        <v>0.0520704049399616</v>
      </c>
      <c r="E348" s="2" t="n">
        <v>0.332939905209291</v>
      </c>
    </row>
    <row r="349" customFormat="false" ht="13.8" hidden="false" customHeight="false" outlineLevel="0" collapsed="false">
      <c r="B349" s="2" t="n">
        <v>347</v>
      </c>
      <c r="C349" s="2" t="n">
        <v>7.06480578044631E-013</v>
      </c>
      <c r="D349" s="2" t="n">
        <v>0.0490122000047828</v>
      </c>
      <c r="E349" s="2" t="n">
        <v>0.326336238084335</v>
      </c>
    </row>
    <row r="350" customFormat="false" ht="13.8" hidden="false" customHeight="false" outlineLevel="0" collapsed="false">
      <c r="B350" s="2" t="n">
        <v>348</v>
      </c>
      <c r="C350" s="2" t="n">
        <v>7.04018375590702E-013</v>
      </c>
      <c r="D350" s="2" t="n">
        <v>0.0445116912828779</v>
      </c>
      <c r="E350" s="2" t="n">
        <v>0.256307941412792</v>
      </c>
    </row>
    <row r="351" customFormat="false" ht="13.8" hidden="false" customHeight="false" outlineLevel="0" collapsed="false">
      <c r="B351" s="2" t="n">
        <v>349</v>
      </c>
      <c r="C351" s="2" t="n">
        <v>6.9840328834077E-013</v>
      </c>
      <c r="D351" s="2" t="n">
        <v>0.0326966027598975</v>
      </c>
      <c r="E351" s="2" t="n">
        <v>0.258327374542363</v>
      </c>
    </row>
    <row r="352" customFormat="false" ht="13.8" hidden="false" customHeight="false" outlineLevel="0" collapsed="false">
      <c r="B352" s="2" t="n">
        <v>350</v>
      </c>
      <c r="C352" s="2" t="n">
        <v>7.00174487471988E-013</v>
      </c>
      <c r="D352" s="2" t="n">
        <v>0.0323239662886488</v>
      </c>
      <c r="E352" s="2" t="n">
        <v>0.163955716977934</v>
      </c>
    </row>
    <row r="353" customFormat="false" ht="13.8" hidden="false" customHeight="false" outlineLevel="0" collapsed="false">
      <c r="B353" s="2" t="n">
        <v>351</v>
      </c>
      <c r="C353" s="2" t="n">
        <v>6.92399348742974E-013</v>
      </c>
      <c r="D353" s="2" t="n">
        <v>0.0082655371233854</v>
      </c>
      <c r="E353" s="2" t="n">
        <v>0.138269952107645</v>
      </c>
    </row>
    <row r="354" customFormat="false" ht="13.8" hidden="false" customHeight="false" outlineLevel="0" collapsed="false">
      <c r="B354" s="2" t="n">
        <v>352</v>
      </c>
      <c r="C354" s="2" t="n">
        <v>7.0001723536356E-013</v>
      </c>
      <c r="D354" s="2" t="n">
        <v>0.016949533744022</v>
      </c>
      <c r="E354" s="2" t="n">
        <v>0.0248417114512533</v>
      </c>
    </row>
    <row r="355" customFormat="false" ht="13.8" hidden="false" customHeight="false" outlineLevel="0" collapsed="false">
      <c r="B355" s="2" t="n">
        <v>353</v>
      </c>
      <c r="C355" s="2" t="n">
        <v>4.09444670014608E-012</v>
      </c>
      <c r="D355" s="2" t="n">
        <v>0.00204696782684228</v>
      </c>
      <c r="E355" s="2" t="n">
        <v>1.10755365582082E-013</v>
      </c>
    </row>
    <row r="356" customFormat="false" ht="13.8" hidden="false" customHeight="false" outlineLevel="0" collapsed="false">
      <c r="B356" s="2" t="n">
        <v>354</v>
      </c>
      <c r="C356" s="2" t="n">
        <v>3.58863156518958E-009</v>
      </c>
      <c r="D356" s="2" t="n">
        <v>3.5629417908385E-013</v>
      </c>
      <c r="E356" s="2" t="n">
        <v>1.51257617668501E-013</v>
      </c>
    </row>
    <row r="357" customFormat="false" ht="13.8" hidden="false" customHeight="false" outlineLevel="0" collapsed="false">
      <c r="B357" s="2" t="n">
        <v>355</v>
      </c>
      <c r="C357" s="2" t="n">
        <v>3.49865241031159E-009</v>
      </c>
      <c r="D357" s="2" t="n">
        <v>3.92216805109674E-013</v>
      </c>
      <c r="E357" s="2" t="n">
        <v>1.65637356113462E-013</v>
      </c>
    </row>
    <row r="358" customFormat="false" ht="13.8" hidden="false" customHeight="false" outlineLevel="0" collapsed="false">
      <c r="B358" s="2" t="n">
        <v>356</v>
      </c>
      <c r="C358" s="2" t="n">
        <v>3.40516447998918E-009</v>
      </c>
      <c r="D358" s="2" t="n">
        <v>3.99506609382884E-013</v>
      </c>
      <c r="E358" s="2" t="n">
        <v>1.79638623123208E-013</v>
      </c>
    </row>
    <row r="359" customFormat="false" ht="13.8" hidden="false" customHeight="false" outlineLevel="0" collapsed="false">
      <c r="B359" s="2" t="n">
        <v>357</v>
      </c>
      <c r="C359" s="2" t="n">
        <v>3.31167402036886E-009</v>
      </c>
      <c r="D359" s="2" t="n">
        <v>4.06885459100658E-013</v>
      </c>
      <c r="E359" s="2" t="n">
        <v>1.93749309597717E-013</v>
      </c>
    </row>
    <row r="360" customFormat="false" ht="13.8" hidden="false" customHeight="false" outlineLevel="0" collapsed="false">
      <c r="B360" s="2" t="n">
        <v>358</v>
      </c>
      <c r="C360" s="2" t="n">
        <v>3.21818874909907E-009</v>
      </c>
      <c r="D360" s="2" t="n">
        <v>4.14200303909996E-013</v>
      </c>
      <c r="E360" s="2" t="n">
        <v>2.07844416943118E-013</v>
      </c>
    </row>
    <row r="361" customFormat="false" ht="13.8" hidden="false" customHeight="false" outlineLevel="0" collapsed="false">
      <c r="B361" s="2" t="n">
        <v>359</v>
      </c>
      <c r="C361" s="2" t="n">
        <v>3.12470111860439E-009</v>
      </c>
      <c r="D361" s="2" t="n">
        <v>4.2165822052501E-013</v>
      </c>
      <c r="E361" s="2" t="n">
        <v>2.2192950574236E-013</v>
      </c>
    </row>
    <row r="362" customFormat="false" ht="13.8" hidden="false" customHeight="false" outlineLevel="0" collapsed="false">
      <c r="B362" s="2" t="n">
        <v>360</v>
      </c>
      <c r="C362" s="2" t="n">
        <v>3.03121134468646E-009</v>
      </c>
      <c r="D362" s="2" t="n">
        <v>1.93355685777362E-012</v>
      </c>
      <c r="E362" s="2" t="n">
        <v>2.3613265248921E-013</v>
      </c>
    </row>
    <row r="363" customFormat="false" ht="13.8" hidden="false" customHeight="false" outlineLevel="0" collapsed="false">
      <c r="B363" s="2" t="n">
        <v>361</v>
      </c>
      <c r="C363" s="2" t="n">
        <v>2.94043294095634E-009</v>
      </c>
      <c r="D363" s="2" t="n">
        <v>1.57965842049064E-009</v>
      </c>
      <c r="E363" s="2" t="n">
        <v>2.5021118497512E-013</v>
      </c>
    </row>
    <row r="364" customFormat="false" ht="13.8" hidden="false" customHeight="false" outlineLevel="0" collapsed="false">
      <c r="B364" s="2" t="n">
        <v>362</v>
      </c>
      <c r="C364" s="2" t="n">
        <v>2.84676903897776E-009</v>
      </c>
      <c r="D364" s="2" t="n">
        <v>1.48754219942892E-009</v>
      </c>
      <c r="E364" s="2" t="n">
        <v>2.64308644242417E-013</v>
      </c>
    </row>
    <row r="365" customFormat="false" ht="13.8" hidden="false" customHeight="false" outlineLevel="0" collapsed="false">
      <c r="B365" s="2" t="n">
        <v>363</v>
      </c>
      <c r="C365" s="2" t="n">
        <v>2.75310182047826E-009</v>
      </c>
      <c r="D365" s="2" t="n">
        <v>1.39383135753905E-009</v>
      </c>
      <c r="E365" s="2" t="n">
        <v>2.78493707893717E-013</v>
      </c>
    </row>
    <row r="366" customFormat="false" ht="13.8" hidden="false" customHeight="false" outlineLevel="0" collapsed="false">
      <c r="B366" s="2" t="n">
        <v>364</v>
      </c>
      <c r="C366" s="2" t="n">
        <v>2.659435672533E-009</v>
      </c>
      <c r="D366" s="2" t="n">
        <v>1.30011957405301E-009</v>
      </c>
      <c r="E366" s="2" t="n">
        <v>2.92579952758156E-013</v>
      </c>
    </row>
    <row r="367" customFormat="false" ht="13.8" hidden="false" customHeight="false" outlineLevel="0" collapsed="false">
      <c r="B367" s="2" t="n">
        <v>365</v>
      </c>
      <c r="C367" s="2" t="n">
        <v>2.56576696877979E-009</v>
      </c>
      <c r="D367" s="2" t="n">
        <v>1.20532528250241E-009</v>
      </c>
      <c r="E367" s="2" t="n">
        <v>3.06518178191999E-013</v>
      </c>
    </row>
    <row r="368" customFormat="false" ht="13.8" hidden="false" customHeight="false" outlineLevel="0" collapsed="false">
      <c r="B368" s="2" t="n">
        <v>366</v>
      </c>
      <c r="C368" s="2" t="n">
        <v>2.47209812959113E-009</v>
      </c>
      <c r="D368" s="2" t="n">
        <v>1.11170284021503E-009</v>
      </c>
      <c r="E368" s="2" t="n">
        <v>3.20791782879432E-013</v>
      </c>
    </row>
    <row r="369" customFormat="false" ht="13.8" hidden="false" customHeight="false" outlineLevel="0" collapsed="false">
      <c r="B369" s="2" t="n">
        <v>367</v>
      </c>
      <c r="C369" s="2" t="n">
        <v>2.37842753031976E-009</v>
      </c>
      <c r="D369" s="2" t="n">
        <v>1.01807940671525E-009</v>
      </c>
      <c r="E369" s="2" t="n">
        <v>3.3489145345177E-013</v>
      </c>
    </row>
    <row r="370" customFormat="false" ht="13.8" hidden="false" customHeight="false" outlineLevel="0" collapsed="false">
      <c r="B370" s="2" t="n">
        <v>368</v>
      </c>
      <c r="C370" s="2" t="n">
        <v>2.28475682200434E-009</v>
      </c>
      <c r="D370" s="2" t="n">
        <v>9.24455219213923E-010</v>
      </c>
      <c r="E370" s="2" t="n">
        <v>3.49085026693222E-013</v>
      </c>
    </row>
    <row r="371" customFormat="false" ht="13.8" hidden="false" customHeight="false" outlineLevel="0" collapsed="false">
      <c r="B371" s="2" t="n">
        <v>369</v>
      </c>
      <c r="C371" s="2" t="n">
        <v>2.19108452517541E-009</v>
      </c>
      <c r="D371" s="2" t="n">
        <v>8.30830159238706E-010</v>
      </c>
      <c r="E371" s="2" t="n">
        <v>3.63170331795197E-013</v>
      </c>
    </row>
    <row r="372" customFormat="false" ht="13.8" hidden="false" customHeight="false" outlineLevel="0" collapsed="false">
      <c r="B372" s="2" t="n">
        <v>370</v>
      </c>
      <c r="C372" s="2" t="n">
        <v>2.09741179256706E-009</v>
      </c>
      <c r="D372" s="2" t="n">
        <v>7.37204535386976E-010</v>
      </c>
      <c r="E372" s="2" t="n">
        <v>3.77206210952913E-013</v>
      </c>
    </row>
    <row r="373" customFormat="false" ht="13.8" hidden="false" customHeight="false" outlineLevel="0" collapsed="false">
      <c r="B373" s="2" t="n">
        <v>371</v>
      </c>
      <c r="C373" s="2" t="n">
        <v>2.00373758656103E-009</v>
      </c>
      <c r="D373" s="2" t="n">
        <v>6.43578163226158E-010</v>
      </c>
      <c r="E373" s="2" t="n">
        <v>3.91430751213815E-013</v>
      </c>
    </row>
    <row r="374" customFormat="false" ht="13.8" hidden="false" customHeight="false" outlineLevel="0" collapsed="false">
      <c r="B374" s="2" t="n">
        <v>372</v>
      </c>
      <c r="C374" s="2" t="n">
        <v>1.91006286908576E-009</v>
      </c>
      <c r="D374" s="2" t="n">
        <v>5.499514870562E-010</v>
      </c>
      <c r="E374" s="2" t="n">
        <v>4.05508513145887E-013</v>
      </c>
    </row>
    <row r="375" customFormat="false" ht="13.8" hidden="false" customHeight="false" outlineLevel="0" collapsed="false">
      <c r="B375" s="2" t="n">
        <v>373</v>
      </c>
      <c r="C375" s="2" t="n">
        <v>1.81638668620332E-009</v>
      </c>
      <c r="D375" s="2" t="n">
        <v>4.56324760144569E-010</v>
      </c>
      <c r="E375" s="2" t="n">
        <v>4.19595217647186E-013</v>
      </c>
    </row>
    <row r="376" customFormat="false" ht="13.8" hidden="false" customHeight="false" outlineLevel="0" collapsed="false">
      <c r="B376" s="2" t="n">
        <v>374</v>
      </c>
      <c r="C376" s="2" t="n">
        <v>1.72270983783945E-009</v>
      </c>
      <c r="D376" s="2" t="n">
        <v>3.62698922954642E-010</v>
      </c>
      <c r="E376" s="2" t="n">
        <v>4.33867031335467E-013</v>
      </c>
    </row>
    <row r="377" customFormat="false" ht="13.8" hidden="false" customHeight="false" outlineLevel="0" collapsed="false">
      <c r="B377" s="2" t="n">
        <v>375</v>
      </c>
      <c r="C377" s="2" t="n">
        <v>1.62903218421366E-009</v>
      </c>
      <c r="D377" s="2" t="n">
        <v>2.69076388417449E-010</v>
      </c>
      <c r="E377" s="2" t="n">
        <v>4.47909182600005E-013</v>
      </c>
    </row>
    <row r="378" customFormat="false" ht="13.8" hidden="false" customHeight="false" outlineLevel="0" collapsed="false">
      <c r="B378" s="2" t="n">
        <v>376</v>
      </c>
      <c r="C378" s="2" t="n">
        <v>1.53531497660588E-009</v>
      </c>
      <c r="D378" s="2" t="n">
        <v>1.75380357590956E-010</v>
      </c>
      <c r="E378" s="2" t="n">
        <v>4.62174832322488E-013</v>
      </c>
    </row>
    <row r="379" customFormat="false" ht="13.8" hidden="false" customHeight="false" outlineLevel="0" collapsed="false">
      <c r="B379" s="2" t="n">
        <v>377</v>
      </c>
      <c r="C379" s="2" t="n">
        <v>1.40111337463739E-009</v>
      </c>
      <c r="D379" s="2" t="n">
        <v>6.45530997741461E-013</v>
      </c>
      <c r="E379" s="2" t="n">
        <v>4.77677813990326E-013</v>
      </c>
    </row>
    <row r="380" customFormat="false" ht="13.8" hidden="false" customHeight="false" outlineLevel="0" collapsed="false">
      <c r="B380" s="2" t="n">
        <v>378</v>
      </c>
      <c r="C380" s="2" t="n">
        <v>1.35419327946969E-009</v>
      </c>
      <c r="D380" s="2" t="n">
        <v>4.81908890190038E-013</v>
      </c>
      <c r="E380" s="2" t="n">
        <v>4.8617018853637E-013</v>
      </c>
    </row>
    <row r="381" customFormat="false" ht="13.8" hidden="false" customHeight="false" outlineLevel="0" collapsed="false">
      <c r="B381" s="2" t="n">
        <v>379</v>
      </c>
      <c r="C381" s="2" t="n">
        <v>1.30735647318007E-009</v>
      </c>
      <c r="D381" s="2" t="n">
        <v>4.86279031413945E-013</v>
      </c>
      <c r="E381" s="2" t="n">
        <v>4.93075332293678E-013</v>
      </c>
    </row>
    <row r="382" customFormat="false" ht="13.8" hidden="false" customHeight="false" outlineLevel="0" collapsed="false">
      <c r="B382" s="2" t="n">
        <v>380</v>
      </c>
      <c r="C382" s="2" t="n">
        <v>1.26051875910138E-009</v>
      </c>
      <c r="D382" s="2" t="n">
        <v>4.91201965468016E-013</v>
      </c>
      <c r="E382" s="2" t="n">
        <v>4.99272956505698E-013</v>
      </c>
    </row>
    <row r="383" customFormat="false" ht="13.8" hidden="false" customHeight="false" outlineLevel="0" collapsed="false">
      <c r="B383" s="2" t="n">
        <v>381</v>
      </c>
      <c r="C383" s="2" t="n">
        <v>1.21368066898194E-009</v>
      </c>
      <c r="D383" s="2" t="n">
        <v>4.96367551226456E-013</v>
      </c>
      <c r="E383" s="2" t="n">
        <v>5.05215481643314E-013</v>
      </c>
    </row>
    <row r="384" customFormat="false" ht="13.8" hidden="false" customHeight="false" outlineLevel="0" collapsed="false">
      <c r="B384" s="2" t="n">
        <v>382</v>
      </c>
      <c r="C384" s="2" t="n">
        <v>1.16684280096639E-009</v>
      </c>
      <c r="D384" s="2" t="n">
        <v>5.03597392314758E-013</v>
      </c>
      <c r="E384" s="2" t="n">
        <v>5.109662794656E-013</v>
      </c>
    </row>
    <row r="385" customFormat="false" ht="13.8" hidden="false" customHeight="false" outlineLevel="0" collapsed="false">
      <c r="B385" s="2" t="n">
        <v>383</v>
      </c>
      <c r="C385" s="2" t="n">
        <v>1.12089538456403E-009</v>
      </c>
      <c r="D385" s="2" t="n">
        <v>2.29307433241442E-012</v>
      </c>
      <c r="E385" s="2" t="n">
        <v>5.16539341499918E-013</v>
      </c>
    </row>
    <row r="386" customFormat="false" ht="13.8" hidden="false" customHeight="false" outlineLevel="0" collapsed="false">
      <c r="B386" s="2" t="n">
        <v>384</v>
      </c>
      <c r="C386" s="2" t="n">
        <v>1.07384602665335E-009</v>
      </c>
      <c r="D386" s="2" t="n">
        <v>1.8769343176311E-012</v>
      </c>
      <c r="E386" s="2" t="n">
        <v>5.2226289719035E-013</v>
      </c>
    </row>
    <row r="387" customFormat="false" ht="13.8" hidden="false" customHeight="false" outlineLevel="0" collapsed="false">
      <c r="B387" s="2" t="n">
        <v>385</v>
      </c>
      <c r="C387" s="2" t="n">
        <v>1.02679385974121E-009</v>
      </c>
      <c r="D387" s="2" t="n">
        <v>5.29371387109394E-013</v>
      </c>
      <c r="E387" s="2" t="n">
        <v>5.27882369082626E-013</v>
      </c>
    </row>
    <row r="388" customFormat="false" ht="13.8" hidden="false" customHeight="false" outlineLevel="0" collapsed="false">
      <c r="B388" s="2" t="n">
        <v>386</v>
      </c>
      <c r="C388" s="2" t="n">
        <v>9.79482667204336E-010</v>
      </c>
      <c r="D388" s="2" t="n">
        <v>5.23825382407265E-013</v>
      </c>
      <c r="E388" s="2" t="n">
        <v>5.3363456842381E-013</v>
      </c>
    </row>
    <row r="389" customFormat="false" ht="13.8" hidden="false" customHeight="false" outlineLevel="0" collapsed="false">
      <c r="B389" s="2" t="n">
        <v>387</v>
      </c>
      <c r="C389" s="2" t="n">
        <v>9.32846814194713E-010</v>
      </c>
      <c r="D389" s="2" t="n">
        <v>5.3924725659133E-013</v>
      </c>
      <c r="E389" s="2" t="n">
        <v>5.3919911219621E-013</v>
      </c>
    </row>
    <row r="390" customFormat="false" ht="13.8" hidden="false" customHeight="false" outlineLevel="0" collapsed="false">
      <c r="B390" s="2" t="n">
        <v>388</v>
      </c>
      <c r="C390" s="2" t="n">
        <v>8.85951388426376E-010</v>
      </c>
      <c r="D390" s="2" t="n">
        <v>5.44890695190938E-013</v>
      </c>
      <c r="E390" s="2" t="n">
        <v>5.44800988908785E-013</v>
      </c>
    </row>
    <row r="391" customFormat="false" ht="13.8" hidden="false" customHeight="false" outlineLevel="0" collapsed="false">
      <c r="B391" s="2" t="n">
        <v>389</v>
      </c>
      <c r="C391" s="2" t="n">
        <v>8.39055609141223E-010</v>
      </c>
      <c r="D391" s="2" t="n">
        <v>5.5052099457096E-013</v>
      </c>
      <c r="E391" s="2" t="n">
        <v>5.5045501630362E-013</v>
      </c>
    </row>
    <row r="392" customFormat="false" ht="13.8" hidden="false" customHeight="false" outlineLevel="0" collapsed="false">
      <c r="B392" s="2" t="n">
        <v>390</v>
      </c>
      <c r="C392" s="2" t="n">
        <v>7.92116123422352E-010</v>
      </c>
      <c r="D392" s="2" t="n">
        <v>5.4591718011691E-013</v>
      </c>
      <c r="E392" s="2" t="n">
        <v>5.561368591001E-013</v>
      </c>
    </row>
    <row r="393" customFormat="false" ht="13.8" hidden="false" customHeight="false" outlineLevel="0" collapsed="false">
      <c r="B393" s="2" t="n">
        <v>391</v>
      </c>
      <c r="C393" s="2" t="n">
        <v>7.45273463826787E-010</v>
      </c>
      <c r="D393" s="2" t="n">
        <v>5.51448997039143E-013</v>
      </c>
      <c r="E393" s="2" t="n">
        <v>5.61813652563693E-013</v>
      </c>
    </row>
    <row r="394" customFormat="false" ht="13.8" hidden="false" customHeight="false" outlineLevel="0" collapsed="false">
      <c r="B394" s="2" t="n">
        <v>392</v>
      </c>
      <c r="C394" s="2" t="n">
        <v>6.98430233231774E-010</v>
      </c>
      <c r="D394" s="2" t="n">
        <v>5.56991789068637E-013</v>
      </c>
      <c r="E394" s="2" t="n">
        <v>5.67454244337004E-013</v>
      </c>
    </row>
    <row r="395" customFormat="false" ht="13.8" hidden="false" customHeight="false" outlineLevel="0" collapsed="false">
      <c r="B395" s="2" t="n">
        <v>393</v>
      </c>
      <c r="C395" s="2" t="n">
        <v>6.51586396060016E-010</v>
      </c>
      <c r="D395" s="2" t="n">
        <v>5.62537723883639E-013</v>
      </c>
      <c r="E395" s="2" t="n">
        <v>5.73076419332977E-013</v>
      </c>
    </row>
    <row r="396" customFormat="false" ht="13.8" hidden="false" customHeight="false" outlineLevel="0" collapsed="false">
      <c r="B396" s="2" t="n">
        <v>394</v>
      </c>
      <c r="C396" s="2" t="n">
        <v>6.04742265307425E-010</v>
      </c>
      <c r="D396" s="2" t="n">
        <v>5.68094388351494E-013</v>
      </c>
      <c r="E396" s="2" t="n">
        <v>5.78699560010917E-013</v>
      </c>
    </row>
    <row r="397" customFormat="false" ht="13.8" hidden="false" customHeight="false" outlineLevel="0" collapsed="false">
      <c r="B397" s="2" t="n">
        <v>395</v>
      </c>
      <c r="C397" s="2" t="n">
        <v>5.57897516080674E-010</v>
      </c>
      <c r="D397" s="2" t="n">
        <v>5.73495834689401E-013</v>
      </c>
      <c r="E397" s="2" t="n">
        <v>5.84348584586711E-013</v>
      </c>
    </row>
    <row r="398" customFormat="false" ht="13.8" hidden="false" customHeight="false" outlineLevel="0" collapsed="false">
      <c r="B398" s="2" t="n">
        <v>396</v>
      </c>
      <c r="C398" s="2" t="n">
        <v>5.11052313012727E-010</v>
      </c>
      <c r="D398" s="2" t="n">
        <v>5.79103523371363E-013</v>
      </c>
      <c r="E398" s="2" t="n">
        <v>5.89974302104609E-013</v>
      </c>
    </row>
    <row r="399" customFormat="false" ht="13.8" hidden="false" customHeight="false" outlineLevel="0" collapsed="false">
      <c r="B399" s="2" t="n">
        <v>397</v>
      </c>
      <c r="C399" s="2" t="n">
        <v>4.6420683336692E-010</v>
      </c>
      <c r="D399" s="2" t="n">
        <v>5.84649750430734E-013</v>
      </c>
      <c r="E399" s="2" t="n">
        <v>5.9563683966119E-013</v>
      </c>
    </row>
    <row r="400" customFormat="false" ht="13.8" hidden="false" customHeight="false" outlineLevel="0" collapsed="false">
      <c r="B400" s="2" t="n">
        <v>398</v>
      </c>
      <c r="C400" s="2" t="n">
        <v>4.17360602743551E-010</v>
      </c>
      <c r="D400" s="2" t="n">
        <v>5.90118207088344E-013</v>
      </c>
      <c r="E400" s="2" t="n">
        <v>6.01307620939328E-013</v>
      </c>
    </row>
    <row r="401" customFormat="false" ht="13.8" hidden="false" customHeight="false" outlineLevel="0" collapsed="false">
      <c r="B401" s="2" t="n">
        <v>399</v>
      </c>
      <c r="C401" s="2" t="n">
        <v>3.70514172195938E-010</v>
      </c>
      <c r="D401" s="2" t="n">
        <v>5.95603590719355E-013</v>
      </c>
      <c r="E401" s="2" t="n">
        <v>6.070060041526E-013</v>
      </c>
    </row>
    <row r="402" customFormat="false" ht="13.8" hidden="false" customHeight="false" outlineLevel="0" collapsed="false">
      <c r="B402" s="2" t="n">
        <v>400</v>
      </c>
      <c r="C402" s="2" t="n">
        <v>3.23666948349244E-010</v>
      </c>
      <c r="D402" s="2" t="n">
        <v>6.00973810866196E-013</v>
      </c>
      <c r="E402" s="2" t="n">
        <v>6.12787077552021E-013</v>
      </c>
    </row>
    <row r="403" customFormat="false" ht="13.8" hidden="false" customHeight="false" outlineLevel="0" collapsed="false">
      <c r="B403" s="2" t="n">
        <v>401</v>
      </c>
      <c r="C403" s="2" t="n">
        <v>2.76819644932258E-010</v>
      </c>
      <c r="D403" s="2" t="n">
        <v>6.0619386531865E-013</v>
      </c>
      <c r="E403" s="2" t="n">
        <v>6.1871812287765E-013</v>
      </c>
    </row>
    <row r="404" customFormat="false" ht="13.8" hidden="false" customHeight="false" outlineLevel="0" collapsed="false">
      <c r="B404" s="2" t="n">
        <v>402</v>
      </c>
      <c r="C404" s="2" t="n">
        <v>2.29797904753592E-010</v>
      </c>
      <c r="D404" s="2" t="n">
        <v>6.11035932403922E-013</v>
      </c>
      <c r="E404" s="2" t="n">
        <v>6.25087536163989E-013</v>
      </c>
    </row>
    <row r="405" customFormat="false" ht="13.8" hidden="false" customHeight="false" outlineLevel="0" collapsed="false">
      <c r="B405" s="2" t="n">
        <v>403</v>
      </c>
      <c r="C405" s="2" t="n">
        <v>4.87684282346482E-013</v>
      </c>
      <c r="D405" s="2" t="n">
        <v>1.1116661449166E-010</v>
      </c>
      <c r="E405" s="2" t="n">
        <v>4.22984914219077E-013</v>
      </c>
    </row>
    <row r="406" customFormat="false" ht="13.8" hidden="false" customHeight="false" outlineLevel="0" collapsed="false">
      <c r="B406" s="2" t="n">
        <v>404</v>
      </c>
      <c r="C406" s="2" t="n">
        <v>6.00189278879883E-011</v>
      </c>
      <c r="D406" s="2" t="n">
        <v>1.19550100260387E-010</v>
      </c>
      <c r="E406" s="2" t="n">
        <v>4.09539435389174E-013</v>
      </c>
    </row>
    <row r="407" customFormat="false" ht="13.8" hidden="false" customHeight="false" outlineLevel="0" collapsed="false">
      <c r="B407" s="2" t="n">
        <v>405</v>
      </c>
      <c r="C407" s="2" t="n">
        <v>8.65911833318633E-014</v>
      </c>
      <c r="D407" s="2" t="n">
        <v>1.57727405388994E-010</v>
      </c>
      <c r="E407" s="2" t="n">
        <v>3.38978504759729E-013</v>
      </c>
    </row>
    <row r="408" customFormat="false" ht="13.8" hidden="false" customHeight="false" outlineLevel="0" collapsed="false">
      <c r="B408" s="2" t="n">
        <v>406</v>
      </c>
      <c r="C408" s="2" t="n">
        <v>6.30870411916548E-013</v>
      </c>
      <c r="D408" s="2" t="n">
        <v>7.36607512499629E-013</v>
      </c>
      <c r="E408" s="2" t="n">
        <v>6.41187720342971E-013</v>
      </c>
    </row>
    <row r="409" customFormat="false" ht="13.8" hidden="false" customHeight="false" outlineLevel="0" collapsed="false">
      <c r="B409" s="2" t="n">
        <v>407</v>
      </c>
      <c r="C409" s="2" t="n">
        <v>6.30475028549573E-013</v>
      </c>
      <c r="D409" s="2" t="n">
        <v>7.37167843989709E-013</v>
      </c>
      <c r="E409" s="2" t="n">
        <v>6.41604325654395E-013</v>
      </c>
    </row>
    <row r="410" customFormat="false" ht="13.8" hidden="false" customHeight="false" outlineLevel="0" collapsed="false">
      <c r="B410" s="2" t="n">
        <v>408</v>
      </c>
      <c r="C410" s="2" t="n">
        <v>6.30295394169534E-013</v>
      </c>
      <c r="D410" s="2" t="n">
        <v>7.37082856720295E-013</v>
      </c>
      <c r="E410" s="2" t="n">
        <v>6.41800061140449E-013</v>
      </c>
    </row>
    <row r="411" customFormat="false" ht="13.8" hidden="false" customHeight="false" outlineLevel="0" collapsed="false">
      <c r="B411" s="2" t="n">
        <v>409</v>
      </c>
      <c r="C411" s="2" t="n">
        <v>6.30232518021789E-013</v>
      </c>
      <c r="D411" s="2" t="n">
        <v>6.42012402062781E-013</v>
      </c>
      <c r="E411" s="2" t="n">
        <v>6.41881877709144E-013</v>
      </c>
    </row>
    <row r="412" customFormat="false" ht="13.8" hidden="false" customHeight="false" outlineLevel="0" collapsed="false">
      <c r="B412" s="2" t="n">
        <v>410</v>
      </c>
      <c r="C412" s="2" t="n">
        <v>1.81860535553806E-015</v>
      </c>
      <c r="D412" s="2" t="n">
        <v>0.00451843088073882</v>
      </c>
      <c r="E412" s="2" t="n">
        <v>1.36908357505489E-016</v>
      </c>
    </row>
    <row r="413" customFormat="false" ht="13.8" hidden="false" customHeight="false" outlineLevel="0" collapsed="false">
      <c r="B413" s="2" t="n">
        <v>411</v>
      </c>
      <c r="C413" s="2" t="n">
        <v>1.96893826887804E-015</v>
      </c>
      <c r="D413" s="2" t="n">
        <v>0.00847405153228573</v>
      </c>
      <c r="E413" s="2" t="n">
        <v>2.60964909027683E-015</v>
      </c>
    </row>
    <row r="414" customFormat="false" ht="13.8" hidden="false" customHeight="false" outlineLevel="0" collapsed="false">
      <c r="B414" s="2" t="n">
        <v>412</v>
      </c>
      <c r="C414" s="2" t="n">
        <v>1.86851627503101E-015</v>
      </c>
      <c r="D414" s="2" t="n">
        <v>0.0170390674304921</v>
      </c>
      <c r="E414" s="2" t="n">
        <v>1.43746142504839E-015</v>
      </c>
    </row>
    <row r="415" customFormat="false" ht="13.8" hidden="false" customHeight="false" outlineLevel="0" collapsed="false">
      <c r="B415" s="2" t="n">
        <v>413</v>
      </c>
      <c r="C415" s="2" t="n">
        <v>1.76797638760331E-015</v>
      </c>
      <c r="D415" s="2" t="n">
        <v>0.021335915836244</v>
      </c>
      <c r="E415" s="2" t="n">
        <v>1.32115848388989E-015</v>
      </c>
    </row>
    <row r="416" customFormat="false" ht="13.8" hidden="false" customHeight="false" outlineLevel="0" collapsed="false">
      <c r="B416" s="2" t="n">
        <v>414</v>
      </c>
      <c r="C416" s="2" t="n">
        <v>1.57861809634306E-015</v>
      </c>
      <c r="D416" s="2" t="n">
        <v>0.0295430423118332</v>
      </c>
      <c r="E416" s="2" t="n">
        <v>1.26012928225518E-015</v>
      </c>
    </row>
    <row r="417" customFormat="false" ht="13.8" hidden="false" customHeight="false" outlineLevel="0" collapsed="false">
      <c r="B417" s="2" t="n">
        <v>415</v>
      </c>
      <c r="C417" s="2" t="n">
        <v>1.38638775054994E-015</v>
      </c>
      <c r="D417" s="2" t="n">
        <v>0.0377501687874221</v>
      </c>
      <c r="E417" s="2" t="n">
        <v>1.19924333101905E-015</v>
      </c>
    </row>
    <row r="418" customFormat="false" ht="13.8" hidden="false" customHeight="false" outlineLevel="0" collapsed="false">
      <c r="B418" s="2" t="n">
        <v>416</v>
      </c>
      <c r="C418" s="2" t="n">
        <v>1.26387822849425E-016</v>
      </c>
      <c r="D418" s="2" t="n">
        <v>0.0459572952630114</v>
      </c>
      <c r="E418" s="2" t="n">
        <v>1.47907933036352E-015</v>
      </c>
    </row>
    <row r="419" customFormat="false" ht="13.8" hidden="false" customHeight="false" outlineLevel="0" collapsed="false">
      <c r="B419" s="2" t="n">
        <v>417</v>
      </c>
      <c r="C419" s="2" t="n">
        <v>1.95945117682243E-016</v>
      </c>
      <c r="D419" s="2" t="n">
        <v>0.0541644217386004</v>
      </c>
      <c r="E419" s="2" t="n">
        <v>1.07546133012426E-015</v>
      </c>
    </row>
    <row r="420" customFormat="false" ht="13.8" hidden="false" customHeight="false" outlineLevel="0" collapsed="false">
      <c r="B420" s="2" t="n">
        <v>418</v>
      </c>
      <c r="C420" s="2" t="n">
        <v>7.75033305814551E-016</v>
      </c>
      <c r="D420" s="2" t="n">
        <v>0.0601316690014268</v>
      </c>
      <c r="E420" s="2" t="n">
        <v>1.47932302847449E-015</v>
      </c>
    </row>
    <row r="421" customFormat="false" ht="13.8" hidden="false" customHeight="false" outlineLevel="0" collapsed="false">
      <c r="B421" s="2" t="n">
        <v>419</v>
      </c>
      <c r="C421" s="2" t="n">
        <v>0.0169365959155305</v>
      </c>
      <c r="D421" s="2" t="n">
        <v>0.0660989162649981</v>
      </c>
      <c r="E421" s="2" t="n">
        <v>7.47662642642088E-013</v>
      </c>
    </row>
    <row r="422" customFormat="false" ht="13.8" hidden="false" customHeight="false" outlineLevel="0" collapsed="false">
      <c r="B422" s="2" t="n">
        <v>420</v>
      </c>
      <c r="C422" s="2" t="n">
        <v>0</v>
      </c>
      <c r="D422" s="2" t="n">
        <v>0.0720661635270763</v>
      </c>
      <c r="E422" s="2" t="n">
        <v>0</v>
      </c>
    </row>
    <row r="423" customFormat="false" ht="13.8" hidden="false" customHeight="false" outlineLevel="0" collapsed="false">
      <c r="B423" s="2" t="n">
        <v>421</v>
      </c>
      <c r="C423" s="2" t="n">
        <v>0.034671776495114</v>
      </c>
      <c r="D423" s="2" t="n">
        <v>0.0780334107900533</v>
      </c>
      <c r="E423" s="2" t="n">
        <v>1.54466172794579E-013</v>
      </c>
    </row>
    <row r="424" customFormat="false" ht="13.8" hidden="false" customHeight="false" outlineLevel="0" collapsed="false">
      <c r="B424" s="2" t="n">
        <v>422</v>
      </c>
      <c r="C424" s="2" t="n">
        <v>0.00541306743697882</v>
      </c>
      <c r="D424" s="2" t="n">
        <v>0.0820589682839649</v>
      </c>
      <c r="E424" s="2" t="n">
        <v>9.83881431790199E-016</v>
      </c>
    </row>
    <row r="425" customFormat="false" ht="13.8" hidden="false" customHeight="false" outlineLevel="0" collapsed="false">
      <c r="B425" s="2" t="n">
        <v>423</v>
      </c>
      <c r="C425" s="2" t="n">
        <v>0.00254785940915601</v>
      </c>
      <c r="D425" s="2" t="n">
        <v>0.0860845257780465</v>
      </c>
      <c r="E425" s="2" t="n">
        <v>2.95340179272889E-014</v>
      </c>
    </row>
    <row r="426" customFormat="false" ht="13.8" hidden="false" customHeight="false" outlineLevel="0" collapsed="false">
      <c r="B426" s="2" t="n">
        <v>424</v>
      </c>
      <c r="C426" s="2" t="n">
        <v>0.0108663568470424</v>
      </c>
      <c r="D426" s="2" t="n">
        <v>0.0901100832720785</v>
      </c>
      <c r="E426" s="2" t="n">
        <v>0.0026208007140282</v>
      </c>
    </row>
    <row r="427" customFormat="false" ht="13.8" hidden="false" customHeight="false" outlineLevel="0" collapsed="false">
      <c r="B427" s="2" t="n">
        <v>425</v>
      </c>
      <c r="C427" s="2" t="n">
        <v>0.0159191034036757</v>
      </c>
      <c r="D427" s="2" t="n">
        <v>0.0941356407661364</v>
      </c>
      <c r="E427" s="2" t="n">
        <v>0.00236914755594925</v>
      </c>
    </row>
    <row r="428" customFormat="false" ht="13.8" hidden="false" customHeight="false" outlineLevel="0" collapsed="false">
      <c r="B428" s="2" t="n">
        <v>426</v>
      </c>
      <c r="C428" s="2" t="n">
        <v>0.0487529681013585</v>
      </c>
      <c r="D428" s="2" t="n">
        <v>0.0958729016892522</v>
      </c>
      <c r="E428" s="2" t="n">
        <v>0.0398829392926697</v>
      </c>
    </row>
    <row r="429" customFormat="false" ht="13.8" hidden="false" customHeight="false" outlineLevel="0" collapsed="false">
      <c r="B429" s="2" t="n">
        <v>427</v>
      </c>
      <c r="C429" s="2" t="n">
        <v>0.0139501484424662</v>
      </c>
      <c r="D429" s="2" t="n">
        <v>0.097610162612445</v>
      </c>
      <c r="E429" s="2" t="n">
        <v>0.0220223779391366</v>
      </c>
    </row>
    <row r="430" customFormat="false" ht="13.8" hidden="false" customHeight="false" outlineLevel="0" collapsed="false">
      <c r="B430" s="2" t="n">
        <v>428</v>
      </c>
      <c r="C430" s="2" t="n">
        <v>0.0293933103907834</v>
      </c>
      <c r="D430" s="2" t="n">
        <v>0.0993474235354882</v>
      </c>
      <c r="E430" s="2" t="n">
        <v>0.0362818599211272</v>
      </c>
    </row>
    <row r="431" customFormat="false" ht="13.8" hidden="false" customHeight="false" outlineLevel="0" collapsed="false">
      <c r="B431" s="2" t="n">
        <v>429</v>
      </c>
      <c r="C431" s="2" t="n">
        <v>1.38228009341055E-009</v>
      </c>
      <c r="D431" s="2" t="n">
        <v>0.101084684458628</v>
      </c>
      <c r="E431" s="2" t="n">
        <v>0.0805248701603732</v>
      </c>
    </row>
    <row r="432" customFormat="false" ht="13.8" hidden="false" customHeight="false" outlineLevel="0" collapsed="false">
      <c r="B432" s="2" t="n">
        <v>430</v>
      </c>
      <c r="C432" s="2" t="n">
        <v>0.0266787345530217</v>
      </c>
      <c r="D432" s="2" t="n">
        <v>0.103588553552824</v>
      </c>
      <c r="E432" s="2" t="n">
        <v>0.162129382211543</v>
      </c>
    </row>
    <row r="433" customFormat="false" ht="13.8" hidden="false" customHeight="false" outlineLevel="0" collapsed="false">
      <c r="B433" s="2" t="n">
        <v>431</v>
      </c>
      <c r="C433" s="2" t="n">
        <v>0</v>
      </c>
      <c r="D433" s="2" t="n">
        <v>0.106092422647167</v>
      </c>
      <c r="E433" s="2" t="n">
        <v>0.323194725286708</v>
      </c>
    </row>
    <row r="434" customFormat="false" ht="13.8" hidden="false" customHeight="false" outlineLevel="0" collapsed="false">
      <c r="B434" s="2" t="n">
        <v>432</v>
      </c>
      <c r="C434" s="2" t="n">
        <v>4.10237794153958E-006</v>
      </c>
      <c r="D434" s="2" t="n">
        <v>0.108596291741302</v>
      </c>
      <c r="E434" s="2" t="n">
        <v>0.601447593290031</v>
      </c>
    </row>
    <row r="435" customFormat="false" ht="13.8" hidden="false" customHeight="false" outlineLevel="0" collapsed="false">
      <c r="B435" s="2" t="n">
        <v>433</v>
      </c>
      <c r="C435" s="2" t="n">
        <v>2.05119926339398E-006</v>
      </c>
      <c r="D435" s="2" t="n">
        <v>0.111100160835508</v>
      </c>
      <c r="E435" s="2" t="n">
        <v>0.790956977341757</v>
      </c>
    </row>
    <row r="436" customFormat="false" ht="13.8" hidden="false" customHeight="false" outlineLevel="0" collapsed="false">
      <c r="B436" s="2" t="n">
        <v>434</v>
      </c>
      <c r="C436" s="2" t="n">
        <v>2.05119918967362E-006</v>
      </c>
      <c r="D436" s="2" t="n">
        <v>0.110248630155183</v>
      </c>
      <c r="E436" s="2" t="n">
        <v>0.771685804205644</v>
      </c>
    </row>
    <row r="437" customFormat="false" ht="13.8" hidden="false" customHeight="false" outlineLevel="0" collapsed="false">
      <c r="B437" s="2" t="n">
        <v>435</v>
      </c>
      <c r="C437" s="2" t="n">
        <v>6.1862752040765E-015</v>
      </c>
      <c r="D437" s="2" t="n">
        <v>0.10939709947489</v>
      </c>
      <c r="E437" s="2" t="n">
        <v>0.778414631069538</v>
      </c>
    </row>
    <row r="438" customFormat="false" ht="13.8" hidden="false" customHeight="false" outlineLevel="0" collapsed="false">
      <c r="B438" s="2" t="n">
        <v>436</v>
      </c>
      <c r="C438" s="2" t="n">
        <v>4.10237637822718E-006</v>
      </c>
      <c r="D438" s="2" t="n">
        <v>0.108545569345853</v>
      </c>
      <c r="E438" s="2" t="n">
        <v>0.759143457931806</v>
      </c>
    </row>
    <row r="439" customFormat="false" ht="13.8" hidden="false" customHeight="false" outlineLevel="0" collapsed="false">
      <c r="B439" s="2" t="n">
        <v>437</v>
      </c>
      <c r="C439" s="2" t="n">
        <v>2.05119785010093E-006</v>
      </c>
      <c r="D439" s="2" t="n">
        <v>0.107694038645238</v>
      </c>
      <c r="E439" s="2" t="n">
        <v>0.765872284795889</v>
      </c>
    </row>
    <row r="440" customFormat="false" ht="13.8" hidden="false" customHeight="false" outlineLevel="0" collapsed="false">
      <c r="B440" s="2" t="n">
        <v>438</v>
      </c>
      <c r="C440" s="2" t="n">
        <v>2.05119904767588E-006</v>
      </c>
      <c r="D440" s="2" t="n">
        <v>0.088436226032074</v>
      </c>
      <c r="E440" s="2" t="n">
        <v>0.647796221581306</v>
      </c>
    </row>
    <row r="441" customFormat="false" ht="13.8" hidden="false" customHeight="false" outlineLevel="0" collapsed="false">
      <c r="B441" s="2" t="n">
        <v>439</v>
      </c>
      <c r="C441" s="2" t="n">
        <v>7.20883623318693E-014</v>
      </c>
      <c r="D441" s="2" t="n">
        <v>0.0691784139499049</v>
      </c>
      <c r="E441" s="2" t="n">
        <v>0.481357273442717</v>
      </c>
    </row>
    <row r="442" customFormat="false" ht="13.8" hidden="false" customHeight="false" outlineLevel="0" collapsed="false">
      <c r="B442" s="2" t="n">
        <v>440</v>
      </c>
      <c r="C442" s="2" t="n">
        <v>7.02537577755313E-014</v>
      </c>
      <c r="D442" s="2" t="n">
        <v>0.0499206018677339</v>
      </c>
      <c r="E442" s="2" t="n">
        <v>0.314813938249048</v>
      </c>
    </row>
    <row r="443" customFormat="false" ht="13.8" hidden="false" customHeight="false" outlineLevel="0" collapsed="false">
      <c r="B443" s="2" t="n">
        <v>441</v>
      </c>
      <c r="C443" s="2" t="n">
        <v>6.72209444936123E-014</v>
      </c>
      <c r="D443" s="2" t="n">
        <v>0.0306627897855619</v>
      </c>
      <c r="E443" s="2" t="n">
        <v>0.16425436972205</v>
      </c>
    </row>
    <row r="444" customFormat="false" ht="13.8" hidden="false" customHeight="false" outlineLevel="0" collapsed="false">
      <c r="B444" s="2" t="n">
        <v>442</v>
      </c>
      <c r="C444" s="2" t="n">
        <v>5.61779327636271E-014</v>
      </c>
      <c r="D444" s="2" t="n">
        <v>0.0194513770064911</v>
      </c>
      <c r="E444" s="2" t="n">
        <v>0.185251296765289</v>
      </c>
    </row>
    <row r="445" customFormat="false" ht="13.8" hidden="false" customHeight="false" outlineLevel="0" collapsed="false">
      <c r="B445" s="2" t="n">
        <v>443</v>
      </c>
      <c r="C445" s="2" t="n">
        <v>6.35485862146111E-014</v>
      </c>
      <c r="D445" s="2" t="n">
        <v>0.0368986381068106</v>
      </c>
      <c r="E445" s="2" t="n">
        <v>0.241972799928903</v>
      </c>
    </row>
    <row r="446" customFormat="false" ht="13.8" hidden="false" customHeight="false" outlineLevel="0" collapsed="false">
      <c r="B446" s="2" t="n">
        <v>444</v>
      </c>
      <c r="C446" s="2" t="n">
        <v>1.23068872083425E-005</v>
      </c>
      <c r="D446" s="2" t="n">
        <v>0.0400165622674453</v>
      </c>
      <c r="E446" s="2" t="n">
        <v>0.283872151402674</v>
      </c>
    </row>
    <row r="447" customFormat="false" ht="13.8" hidden="false" customHeight="false" outlineLevel="0" collapsed="false">
      <c r="B447" s="2" t="n">
        <v>445</v>
      </c>
      <c r="C447" s="2" t="n">
        <v>8.57289615386303E-014</v>
      </c>
      <c r="D447" s="2" t="n">
        <v>0.0431344864280834</v>
      </c>
      <c r="E447" s="2" t="n">
        <v>0.221575380135695</v>
      </c>
    </row>
    <row r="448" customFormat="false" ht="13.8" hidden="false" customHeight="false" outlineLevel="0" collapsed="false">
      <c r="B448" s="2" t="n">
        <v>446</v>
      </c>
      <c r="C448" s="2" t="n">
        <v>5.06229689897952E-013</v>
      </c>
      <c r="D448" s="2" t="n">
        <v>0.0351607542862731</v>
      </c>
      <c r="E448" s="2" t="n">
        <v>0.271924827817669</v>
      </c>
    </row>
    <row r="449" customFormat="false" ht="13.8" hidden="false" customHeight="false" outlineLevel="0" collapsed="false">
      <c r="B449" s="2" t="n">
        <v>447</v>
      </c>
      <c r="C449" s="2" t="n">
        <v>8.18809105476094E-014</v>
      </c>
      <c r="D449" s="2" t="n">
        <v>2.89192431181455E-009</v>
      </c>
      <c r="E449" s="2" t="n">
        <v>0.192211548116127</v>
      </c>
    </row>
    <row r="450" customFormat="false" ht="13.8" hidden="false" customHeight="false" outlineLevel="0" collapsed="false">
      <c r="B450" s="2" t="n">
        <v>448</v>
      </c>
      <c r="C450" s="2" t="n">
        <v>8.20467313303648E-006</v>
      </c>
      <c r="D450" s="2" t="n">
        <v>0.0316295998897058</v>
      </c>
      <c r="E450" s="2" t="n">
        <v>0.215438990601817</v>
      </c>
    </row>
    <row r="451" customFormat="false" ht="13.8" hidden="false" customHeight="false" outlineLevel="0" collapsed="false">
      <c r="B451" s="2" t="n">
        <v>449</v>
      </c>
      <c r="C451" s="2" t="n">
        <v>2.05119937154911E-006</v>
      </c>
      <c r="D451" s="2" t="n">
        <v>2.5506984225356E-005</v>
      </c>
      <c r="E451" s="2" t="n">
        <v>0.119935621485347</v>
      </c>
    </row>
    <row r="452" customFormat="false" ht="13.8" hidden="false" customHeight="false" outlineLevel="0" collapsed="false">
      <c r="B452" s="2" t="n">
        <v>450</v>
      </c>
      <c r="C452" s="2" t="n">
        <v>2.05119880139231E-006</v>
      </c>
      <c r="D452" s="2" t="n">
        <v>2.55069838760046E-005</v>
      </c>
      <c r="E452" s="2" t="n">
        <v>0.159312757933842</v>
      </c>
    </row>
    <row r="453" customFormat="false" ht="13.8" hidden="false" customHeight="false" outlineLevel="0" collapsed="false">
      <c r="B453" s="2" t="n">
        <v>451</v>
      </c>
      <c r="C453" s="2" t="n">
        <v>2.05119877195238E-006</v>
      </c>
      <c r="D453" s="2" t="n">
        <v>2.55069838465357E-005</v>
      </c>
      <c r="E453" s="2" t="n">
        <v>0.0466901777147964</v>
      </c>
    </row>
    <row r="454" customFormat="false" ht="13.8" hidden="false" customHeight="false" outlineLevel="0" collapsed="false">
      <c r="B454" s="2" t="n">
        <v>452</v>
      </c>
      <c r="C454" s="2" t="n">
        <v>2.05119866294866E-006</v>
      </c>
      <c r="D454" s="2" t="n">
        <v>2.55069837641346E-005</v>
      </c>
      <c r="E454" s="2" t="n">
        <v>0.102567380829221</v>
      </c>
    </row>
    <row r="455" customFormat="false" ht="13.8" hidden="false" customHeight="false" outlineLevel="0" collapsed="false">
      <c r="B455" s="2" t="n">
        <v>453</v>
      </c>
      <c r="C455" s="2" t="n">
        <v>2.91998267804684E-013</v>
      </c>
      <c r="D455" s="2" t="n">
        <v>2.93997495482631E-013</v>
      </c>
      <c r="E455" s="2" t="n">
        <v>2.47622322447613E-013</v>
      </c>
    </row>
    <row r="456" customFormat="false" ht="13.8" hidden="false" customHeight="false" outlineLevel="0" collapsed="false">
      <c r="B456" s="2" t="n">
        <v>454</v>
      </c>
      <c r="C456" s="2" t="n">
        <v>4.10238303552835E-006</v>
      </c>
      <c r="D456" s="2" t="n">
        <v>5.10137169154383E-005</v>
      </c>
      <c r="E456" s="2" t="n">
        <v>0.0299740970330528</v>
      </c>
    </row>
    <row r="457" customFormat="false" ht="13.8" hidden="false" customHeight="false" outlineLevel="0" collapsed="false">
      <c r="B457" s="2" t="n">
        <v>455</v>
      </c>
      <c r="C457" s="2" t="n">
        <v>3.63192578565927E-009</v>
      </c>
      <c r="D457" s="2" t="n">
        <v>0</v>
      </c>
      <c r="E457" s="2" t="n">
        <v>0</v>
      </c>
    </row>
    <row r="458" customFormat="false" ht="13.8" hidden="false" customHeight="false" outlineLevel="0" collapsed="false">
      <c r="B458" s="2" t="n">
        <v>456</v>
      </c>
      <c r="C458" s="2" t="n">
        <v>3.54193128031789E-009</v>
      </c>
      <c r="D458" s="2" t="n">
        <v>1.99535033799444E-012</v>
      </c>
      <c r="E458" s="2" t="n">
        <v>0</v>
      </c>
    </row>
    <row r="459" customFormat="false" ht="13.8" hidden="false" customHeight="false" outlineLevel="0" collapsed="false">
      <c r="B459" s="2" t="n">
        <v>457</v>
      </c>
      <c r="C459" s="2" t="n">
        <v>3.44843887189467E-009</v>
      </c>
      <c r="D459" s="2" t="n">
        <v>2.41697080120441E-009</v>
      </c>
      <c r="E459" s="2" t="n">
        <v>0</v>
      </c>
    </row>
    <row r="460" customFormat="false" ht="13.8" hidden="false" customHeight="false" outlineLevel="0" collapsed="false">
      <c r="B460" s="2" t="n">
        <v>458</v>
      </c>
      <c r="C460" s="2" t="n">
        <v>3.35494727983346E-009</v>
      </c>
      <c r="D460" s="2" t="n">
        <v>2.32584026660244E-009</v>
      </c>
      <c r="E460" s="2" t="n">
        <v>0</v>
      </c>
    </row>
    <row r="461" customFormat="false" ht="13.8" hidden="false" customHeight="false" outlineLevel="0" collapsed="false">
      <c r="B461" s="2" t="n">
        <v>459</v>
      </c>
      <c r="C461" s="2" t="n">
        <v>3.26145670904911E-009</v>
      </c>
      <c r="D461" s="2" t="n">
        <v>2.23231249600241E-009</v>
      </c>
      <c r="E461" s="2" t="n">
        <v>0</v>
      </c>
    </row>
    <row r="462" customFormat="false" ht="13.8" hidden="false" customHeight="false" outlineLevel="0" collapsed="false">
      <c r="B462" s="2" t="n">
        <v>460</v>
      </c>
      <c r="C462" s="2" t="n">
        <v>3.1679673167925E-009</v>
      </c>
      <c r="D462" s="2" t="n">
        <v>2.1387837767698E-009</v>
      </c>
      <c r="E462" s="2" t="n">
        <v>0</v>
      </c>
    </row>
    <row r="463" customFormat="false" ht="13.8" hidden="false" customHeight="false" outlineLevel="0" collapsed="false">
      <c r="B463" s="2" t="n">
        <v>461</v>
      </c>
      <c r="C463" s="2" t="n">
        <v>3.07740967426721E-009</v>
      </c>
      <c r="D463" s="2" t="n">
        <v>2.04720485715724E-009</v>
      </c>
      <c r="E463" s="2" t="n">
        <v>0</v>
      </c>
    </row>
    <row r="464" customFormat="false" ht="13.8" hidden="false" customHeight="false" outlineLevel="0" collapsed="false">
      <c r="B464" s="2" t="n">
        <v>462</v>
      </c>
      <c r="C464" s="2" t="n">
        <v>2.98377901026346E-009</v>
      </c>
      <c r="D464" s="2" t="n">
        <v>1.95358510317627E-009</v>
      </c>
      <c r="E464" s="2" t="n">
        <v>0</v>
      </c>
    </row>
    <row r="465" customFormat="false" ht="13.8" hidden="false" customHeight="false" outlineLevel="0" collapsed="false">
      <c r="B465" s="2" t="n">
        <v>463</v>
      </c>
      <c r="C465" s="2" t="n">
        <v>2.89011138003972E-009</v>
      </c>
      <c r="D465" s="2" t="n">
        <v>1.85996440158999E-009</v>
      </c>
      <c r="E465" s="2" t="n">
        <v>0</v>
      </c>
    </row>
    <row r="466" customFormat="false" ht="13.8" hidden="false" customHeight="false" outlineLevel="0" collapsed="false">
      <c r="B466" s="2" t="n">
        <v>464</v>
      </c>
      <c r="C466" s="2" t="n">
        <v>2.79644281759319E-009</v>
      </c>
      <c r="D466" s="2" t="n">
        <v>1.76634280771631E-009</v>
      </c>
      <c r="E466" s="2" t="n">
        <v>0</v>
      </c>
    </row>
    <row r="467" customFormat="false" ht="13.8" hidden="false" customHeight="false" outlineLevel="0" collapsed="false">
      <c r="B467" s="2" t="n">
        <v>465</v>
      </c>
      <c r="C467" s="2" t="n">
        <v>2.70277330634971E-009</v>
      </c>
      <c r="D467" s="2" t="n">
        <v>1.67272026448442E-009</v>
      </c>
      <c r="E467" s="2" t="n">
        <v>0</v>
      </c>
    </row>
    <row r="468" customFormat="false" ht="13.8" hidden="false" customHeight="false" outlineLevel="0" collapsed="false">
      <c r="B468" s="2" t="n">
        <v>466</v>
      </c>
      <c r="C468" s="2" t="n">
        <v>2.6091028464634E-009</v>
      </c>
      <c r="D468" s="2" t="n">
        <v>1.5790968230181E-009</v>
      </c>
      <c r="E468" s="2" t="n">
        <v>0</v>
      </c>
    </row>
    <row r="469" customFormat="false" ht="13.8" hidden="false" customHeight="false" outlineLevel="0" collapsed="false">
      <c r="B469" s="2" t="n">
        <v>467</v>
      </c>
      <c r="C469" s="2" t="n">
        <v>2.51543146616282E-009</v>
      </c>
      <c r="D469" s="2" t="n">
        <v>1.48547248078577E-009</v>
      </c>
      <c r="E469" s="2" t="n">
        <v>0</v>
      </c>
    </row>
    <row r="470" customFormat="false" ht="13.8" hidden="false" customHeight="false" outlineLevel="0" collapsed="false">
      <c r="B470" s="2" t="n">
        <v>468</v>
      </c>
      <c r="C470" s="2" t="n">
        <v>2.4217591298484E-009</v>
      </c>
      <c r="D470" s="2" t="n">
        <v>1.39184720940164E-009</v>
      </c>
      <c r="E470" s="2" t="n">
        <v>0</v>
      </c>
    </row>
    <row r="471" customFormat="false" ht="13.8" hidden="false" customHeight="false" outlineLevel="0" collapsed="false">
      <c r="B471" s="2" t="n">
        <v>469</v>
      </c>
      <c r="C471" s="2" t="n">
        <v>2.32808585197669E-009</v>
      </c>
      <c r="D471" s="2" t="n">
        <v>1.29822101571642E-009</v>
      </c>
      <c r="E471" s="2" t="n">
        <v>0</v>
      </c>
    </row>
    <row r="472" customFormat="false" ht="13.8" hidden="false" customHeight="false" outlineLevel="0" collapsed="false">
      <c r="B472" s="2" t="n">
        <v>470</v>
      </c>
      <c r="C472" s="2" t="n">
        <v>2.23441164033266E-009</v>
      </c>
      <c r="D472" s="2" t="n">
        <v>1.2045939897638E-009</v>
      </c>
      <c r="E472" s="2" t="n">
        <v>0</v>
      </c>
    </row>
    <row r="473" customFormat="false" ht="13.8" hidden="false" customHeight="false" outlineLevel="0" collapsed="false">
      <c r="B473" s="2" t="n">
        <v>471</v>
      </c>
      <c r="C473" s="2" t="n">
        <v>2.14073648188006E-009</v>
      </c>
      <c r="D473" s="2" t="n">
        <v>1.11096606294962E-009</v>
      </c>
      <c r="E473" s="2" t="n">
        <v>0</v>
      </c>
    </row>
    <row r="474" customFormat="false" ht="13.8" hidden="false" customHeight="false" outlineLevel="0" collapsed="false">
      <c r="B474" s="2" t="n">
        <v>472</v>
      </c>
      <c r="C474" s="2" t="n">
        <v>2.04706039210409E-009</v>
      </c>
      <c r="D474" s="2" t="n">
        <v>1.01733730266011E-009</v>
      </c>
      <c r="E474" s="2" t="n">
        <v>0</v>
      </c>
    </row>
    <row r="475" customFormat="false" ht="13.8" hidden="false" customHeight="false" outlineLevel="0" collapsed="false">
      <c r="B475" s="2" t="n">
        <v>473</v>
      </c>
      <c r="C475" s="2" t="n">
        <v>1.9533833496518E-009</v>
      </c>
      <c r="D475" s="2" t="n">
        <v>9.23707670219267E-010</v>
      </c>
      <c r="E475" s="2" t="n">
        <v>0</v>
      </c>
    </row>
    <row r="476" customFormat="false" ht="13.8" hidden="false" customHeight="false" outlineLevel="0" collapsed="false">
      <c r="B476" s="2" t="n">
        <v>474</v>
      </c>
      <c r="C476" s="2" t="n">
        <v>1.8597053765643E-009</v>
      </c>
      <c r="D476" s="2" t="n">
        <v>8.30077291634663E-010</v>
      </c>
      <c r="E476" s="2" t="n">
        <v>0</v>
      </c>
    </row>
    <row r="477" customFormat="false" ht="13.8" hidden="false" customHeight="false" outlineLevel="0" collapsed="false">
      <c r="B477" s="2" t="n">
        <v>475</v>
      </c>
      <c r="C477" s="2" t="n">
        <v>1.76602645649124E-009</v>
      </c>
      <c r="D477" s="2" t="n">
        <v>7.36446189153968E-010</v>
      </c>
      <c r="E477" s="2" t="n">
        <v>0</v>
      </c>
    </row>
    <row r="478" customFormat="false" ht="13.8" hidden="false" customHeight="false" outlineLevel="0" collapsed="false">
      <c r="B478" s="2" t="n">
        <v>476</v>
      </c>
      <c r="C478" s="2" t="n">
        <v>1.67234660115265E-009</v>
      </c>
      <c r="D478" s="2" t="n">
        <v>6.42814472504519E-010</v>
      </c>
      <c r="E478" s="2" t="n">
        <v>0</v>
      </c>
    </row>
    <row r="479" customFormat="false" ht="13.8" hidden="false" customHeight="false" outlineLevel="0" collapsed="false">
      <c r="B479" s="2" t="n">
        <v>477</v>
      </c>
      <c r="C479" s="2" t="n">
        <v>1.57866580141982E-009</v>
      </c>
      <c r="D479" s="2" t="n">
        <v>5.49182327078038E-010</v>
      </c>
      <c r="E479" s="2" t="n">
        <v>0</v>
      </c>
    </row>
    <row r="480" customFormat="false" ht="13.8" hidden="false" customHeight="false" outlineLevel="0" collapsed="false">
      <c r="B480" s="2" t="n">
        <v>478</v>
      </c>
      <c r="C480" s="2" t="n">
        <v>1.48498406083236E-009</v>
      </c>
      <c r="D480" s="2" t="n">
        <v>4.55550233399489E-010</v>
      </c>
      <c r="E480" s="2" t="n">
        <v>0</v>
      </c>
    </row>
    <row r="481" customFormat="false" ht="13.8" hidden="false" customHeight="false" outlineLevel="0" collapsed="false">
      <c r="B481" s="2" t="n">
        <v>479</v>
      </c>
      <c r="C481" s="2" t="n">
        <v>1.39130138639936E-009</v>
      </c>
      <c r="D481" s="2" t="n">
        <v>3.61918958504695E-010</v>
      </c>
      <c r="E481" s="2" t="n">
        <v>0</v>
      </c>
    </row>
    <row r="482" customFormat="false" ht="13.8" hidden="false" customHeight="false" outlineLevel="0" collapsed="false">
      <c r="B482" s="2" t="n">
        <v>480</v>
      </c>
      <c r="C482" s="2" t="n">
        <v>1.29761776809548E-009</v>
      </c>
      <c r="D482" s="2" t="n">
        <v>2.68291128646443E-010</v>
      </c>
      <c r="E482" s="2" t="n">
        <v>0</v>
      </c>
    </row>
    <row r="483" customFormat="false" ht="13.8" hidden="false" customHeight="false" outlineLevel="0" collapsed="false">
      <c r="B483" s="2" t="n">
        <v>481</v>
      </c>
      <c r="C483" s="2" t="n">
        <v>1.20389451543129E-009</v>
      </c>
      <c r="D483" s="2" t="n">
        <v>1.74589275980463E-010</v>
      </c>
      <c r="E483" s="2" t="n">
        <v>0</v>
      </c>
    </row>
    <row r="484" customFormat="false" ht="13.8" hidden="false" customHeight="false" outlineLevel="0" collapsed="false">
      <c r="B484" s="2" t="n">
        <v>482</v>
      </c>
      <c r="C484" s="2" t="n">
        <v>1.06969085943508E-009</v>
      </c>
      <c r="D484" s="2" t="n">
        <v>0</v>
      </c>
      <c r="E484" s="2" t="n">
        <v>0</v>
      </c>
    </row>
    <row r="485" customFormat="false" ht="13.8" hidden="false" customHeight="false" outlineLevel="0" collapsed="false">
      <c r="B485" s="2" t="n">
        <v>483</v>
      </c>
      <c r="C485" s="2" t="n">
        <v>1.02276872282172E-009</v>
      </c>
      <c r="D485" s="2" t="n">
        <v>0</v>
      </c>
      <c r="E485" s="2" t="n">
        <v>0</v>
      </c>
    </row>
    <row r="486" customFormat="false" ht="13.8" hidden="false" customHeight="false" outlineLevel="0" collapsed="false">
      <c r="B486" s="2" t="n">
        <v>484</v>
      </c>
      <c r="C486" s="2" t="n">
        <v>9.75929409379473E-010</v>
      </c>
      <c r="D486" s="2" t="n">
        <v>0</v>
      </c>
      <c r="E486" s="2" t="n">
        <v>0</v>
      </c>
    </row>
    <row r="487" customFormat="false" ht="13.8" hidden="false" customHeight="false" outlineLevel="0" collapsed="false">
      <c r="B487" s="2" t="n">
        <v>485</v>
      </c>
      <c r="C487" s="2" t="n">
        <v>9.29089621806564E-010</v>
      </c>
      <c r="D487" s="2" t="n">
        <v>0</v>
      </c>
      <c r="E487" s="2" t="n">
        <v>0</v>
      </c>
    </row>
    <row r="488" customFormat="false" ht="13.8" hidden="false" customHeight="false" outlineLevel="0" collapsed="false">
      <c r="B488" s="2" t="n">
        <v>486</v>
      </c>
      <c r="C488" s="2" t="n">
        <v>8.82249362329391E-010</v>
      </c>
      <c r="D488" s="2" t="n">
        <v>0</v>
      </c>
      <c r="E488" s="2" t="n">
        <v>0</v>
      </c>
    </row>
    <row r="489" customFormat="false" ht="13.8" hidden="false" customHeight="false" outlineLevel="0" collapsed="false">
      <c r="B489" s="2" t="n">
        <v>487</v>
      </c>
      <c r="C489" s="2" t="n">
        <v>8.35408635362189E-010</v>
      </c>
      <c r="D489" s="2" t="n">
        <v>0</v>
      </c>
      <c r="E489" s="2" t="n">
        <v>0</v>
      </c>
    </row>
    <row r="490" customFormat="false" ht="13.8" hidden="false" customHeight="false" outlineLevel="0" collapsed="false">
      <c r="B490" s="2" t="n">
        <v>488</v>
      </c>
      <c r="C490" s="2" t="n">
        <v>7.88567722226595E-010</v>
      </c>
      <c r="D490" s="2" t="n">
        <v>0</v>
      </c>
      <c r="E490" s="2" t="n">
        <v>0</v>
      </c>
    </row>
    <row r="491" customFormat="false" ht="13.8" hidden="false" customHeight="false" outlineLevel="0" collapsed="false">
      <c r="B491" s="2" t="n">
        <v>489</v>
      </c>
      <c r="C491" s="2" t="n">
        <v>7.42025233684479E-010</v>
      </c>
      <c r="D491" s="2" t="n">
        <v>0</v>
      </c>
      <c r="E491" s="2" t="n">
        <v>0</v>
      </c>
    </row>
    <row r="492" customFormat="false" ht="13.8" hidden="false" customHeight="false" outlineLevel="0" collapsed="false">
      <c r="B492" s="2" t="n">
        <v>490</v>
      </c>
      <c r="C492" s="2" t="n">
        <v>6.94883984020584E-010</v>
      </c>
      <c r="D492" s="2" t="n">
        <v>0</v>
      </c>
      <c r="E492" s="2" t="n">
        <v>0</v>
      </c>
    </row>
    <row r="493" customFormat="false" ht="13.8" hidden="false" customHeight="false" outlineLevel="0" collapsed="false">
      <c r="B493" s="2" t="n">
        <v>491</v>
      </c>
      <c r="C493" s="2" t="n">
        <v>6.48105905097618E-010</v>
      </c>
      <c r="D493" s="2" t="n">
        <v>0</v>
      </c>
      <c r="E493" s="2" t="n">
        <v>0</v>
      </c>
    </row>
    <row r="494" customFormat="false" ht="13.8" hidden="false" customHeight="false" outlineLevel="0" collapsed="false">
      <c r="B494" s="2" t="n">
        <v>492</v>
      </c>
      <c r="C494" s="2" t="n">
        <v>6.01197911584358E-010</v>
      </c>
      <c r="D494" s="2" t="n">
        <v>0</v>
      </c>
      <c r="E494" s="2" t="n">
        <v>0</v>
      </c>
    </row>
    <row r="495" customFormat="false" ht="13.8" hidden="false" customHeight="false" outlineLevel="0" collapsed="false">
      <c r="B495" s="2" t="n">
        <v>493</v>
      </c>
      <c r="C495" s="2" t="n">
        <v>5.54262279943383E-010</v>
      </c>
      <c r="D495" s="2" t="n">
        <v>0</v>
      </c>
      <c r="E495" s="2" t="n">
        <v>0</v>
      </c>
    </row>
    <row r="496" customFormat="false" ht="13.8" hidden="false" customHeight="false" outlineLevel="0" collapsed="false">
      <c r="B496" s="2" t="n">
        <v>494</v>
      </c>
      <c r="C496" s="2" t="n">
        <v>5.07509938077054E-010</v>
      </c>
      <c r="D496" s="2" t="n">
        <v>0</v>
      </c>
      <c r="E496" s="2" t="n">
        <v>0</v>
      </c>
    </row>
    <row r="497" customFormat="false" ht="13.8" hidden="false" customHeight="false" outlineLevel="0" collapsed="false">
      <c r="B497" s="2" t="n">
        <v>495</v>
      </c>
      <c r="C497" s="2" t="n">
        <v>4.60300636385295E-010</v>
      </c>
      <c r="D497" s="2" t="n">
        <v>6.89589736776331E-014</v>
      </c>
      <c r="E497" s="2" t="n">
        <v>0</v>
      </c>
    </row>
    <row r="498" customFormat="false" ht="13.8" hidden="false" customHeight="false" outlineLevel="0" collapsed="false">
      <c r="B498" s="2" t="n">
        <v>496</v>
      </c>
      <c r="C498" s="2" t="n">
        <v>4.1381954156872E-010</v>
      </c>
      <c r="D498" s="2" t="n">
        <v>0</v>
      </c>
      <c r="E498" s="2" t="n">
        <v>0</v>
      </c>
    </row>
    <row r="499" customFormat="false" ht="13.8" hidden="false" customHeight="false" outlineLevel="0" collapsed="false">
      <c r="B499" s="2" t="n">
        <v>497</v>
      </c>
      <c r="C499" s="2" t="n">
        <v>3.65884018118861E-010</v>
      </c>
      <c r="D499" s="2" t="n">
        <v>7.91941288085982E-013</v>
      </c>
      <c r="E499" s="2" t="n">
        <v>0</v>
      </c>
    </row>
    <row r="500" customFormat="false" ht="13.8" hidden="false" customHeight="false" outlineLevel="0" collapsed="false">
      <c r="B500" s="2" t="n">
        <v>498</v>
      </c>
      <c r="C500" s="2" t="n">
        <v>3.20125556810855E-010</v>
      </c>
      <c r="D500" s="2" t="n">
        <v>0</v>
      </c>
      <c r="E500" s="2" t="n">
        <v>0</v>
      </c>
    </row>
    <row r="501" customFormat="false" ht="13.8" hidden="false" customHeight="false" outlineLevel="0" collapsed="false">
      <c r="B501" s="2" t="n">
        <v>499</v>
      </c>
      <c r="C501" s="2" t="n">
        <v>2.70115830996433E-010</v>
      </c>
      <c r="D501" s="2" t="n">
        <v>2.85375476831291E-012</v>
      </c>
      <c r="E501" s="2" t="n">
        <v>0</v>
      </c>
    </row>
    <row r="502" customFormat="false" ht="13.8" hidden="false" customHeight="false" outlineLevel="0" collapsed="false">
      <c r="B502" s="2" t="n">
        <v>500</v>
      </c>
      <c r="C502" s="2" t="n">
        <v>2.26424678059237E-010</v>
      </c>
      <c r="D502" s="2" t="n">
        <v>0</v>
      </c>
      <c r="E502" s="2" t="n">
        <v>0</v>
      </c>
    </row>
    <row r="503" customFormat="false" ht="13.8" hidden="false" customHeight="false" outlineLevel="0" collapsed="false">
      <c r="B503" s="2" t="n">
        <v>501</v>
      </c>
      <c r="C503" s="2" t="n">
        <v>1.70433188221336E-010</v>
      </c>
      <c r="D503" s="2" t="n">
        <v>8.79662419458413E-012</v>
      </c>
      <c r="E503" s="2" t="n">
        <v>0</v>
      </c>
    </row>
    <row r="504" customFormat="false" ht="13.8" hidden="false" customHeight="false" outlineLevel="0" collapsed="false">
      <c r="B504" s="2" t="n">
        <v>502</v>
      </c>
      <c r="C504" s="2" t="n">
        <v>1.32523705368876E-010</v>
      </c>
      <c r="D504" s="2" t="n">
        <v>0</v>
      </c>
      <c r="E504" s="2" t="n">
        <v>0</v>
      </c>
    </row>
    <row r="505" customFormat="false" ht="13.8" hidden="false" customHeight="false" outlineLevel="0" collapsed="false">
      <c r="B505" s="2" t="n">
        <v>503</v>
      </c>
      <c r="C505" s="2" t="n">
        <v>0</v>
      </c>
      <c r="D505" s="2" t="n">
        <v>0</v>
      </c>
      <c r="E505" s="2" t="n">
        <v>0</v>
      </c>
    </row>
    <row r="506" customFormat="false" ht="13.8" hidden="false" customHeight="false" outlineLevel="0" collapsed="false">
      <c r="B506" s="2" t="n">
        <v>504</v>
      </c>
      <c r="C506" s="2" t="n">
        <v>3.66153339444058E-011</v>
      </c>
      <c r="D506" s="2" t="n">
        <v>0</v>
      </c>
      <c r="E506" s="2" t="n">
        <v>0</v>
      </c>
    </row>
    <row r="507" customFormat="false" ht="13.8" hidden="false" customHeight="false" outlineLevel="0" collapsed="false">
      <c r="B507" s="2" t="n">
        <v>505</v>
      </c>
      <c r="C507" s="2" t="n">
        <v>0</v>
      </c>
      <c r="D507" s="2" t="n">
        <v>0</v>
      </c>
      <c r="E507" s="2" t="n">
        <v>0</v>
      </c>
    </row>
    <row r="508" customFormat="false" ht="13.8" hidden="false" customHeight="false" outlineLevel="0" collapsed="false">
      <c r="B508" s="2" t="n">
        <v>506</v>
      </c>
      <c r="C508" s="2" t="n">
        <v>0</v>
      </c>
      <c r="D508" s="2" t="n">
        <v>0</v>
      </c>
      <c r="E508" s="2" t="n">
        <v>0</v>
      </c>
    </row>
    <row r="509" customFormat="false" ht="13.8" hidden="false" customHeight="false" outlineLevel="0" collapsed="false">
      <c r="B509" s="2" t="n">
        <v>507</v>
      </c>
      <c r="C509" s="2" t="n">
        <v>0</v>
      </c>
      <c r="D509" s="2" t="n">
        <v>0</v>
      </c>
      <c r="E509" s="2" t="n">
        <v>0</v>
      </c>
    </row>
    <row r="510" customFormat="false" ht="13.8" hidden="false" customHeight="false" outlineLevel="0" collapsed="false">
      <c r="B510" s="2" t="n">
        <v>508</v>
      </c>
      <c r="C510" s="2" t="n">
        <v>0</v>
      </c>
      <c r="D510" s="2" t="n">
        <v>0</v>
      </c>
      <c r="E510" s="2" t="n">
        <v>0</v>
      </c>
    </row>
    <row r="511" customFormat="false" ht="13.8" hidden="false" customHeight="false" outlineLevel="0" collapsed="false">
      <c r="B511" s="2" t="n">
        <v>509</v>
      </c>
      <c r="C511" s="2" t="n">
        <v>0</v>
      </c>
      <c r="D511" s="2" t="n">
        <v>0</v>
      </c>
      <c r="E511" s="2" t="n">
        <v>6.97963185744945E-011</v>
      </c>
    </row>
    <row r="512" customFormat="false" ht="13.8" hidden="false" customHeight="false" outlineLevel="0" collapsed="false">
      <c r="B512" s="2" t="n">
        <v>510</v>
      </c>
      <c r="C512" s="2" t="n">
        <v>0</v>
      </c>
      <c r="D512" s="2" t="n">
        <v>0</v>
      </c>
      <c r="E512" s="2" t="n">
        <v>0</v>
      </c>
    </row>
    <row r="513" customFormat="false" ht="13.8" hidden="false" customHeight="false" outlineLevel="0" collapsed="false">
      <c r="B513" s="2" t="n">
        <v>511</v>
      </c>
      <c r="C513" s="2" t="n">
        <v>2.60744735901478E-012</v>
      </c>
      <c r="D513" s="2" t="n">
        <v>0.0149993901554222</v>
      </c>
      <c r="E513" s="2" t="n">
        <v>0.0146138099803166</v>
      </c>
    </row>
    <row r="514" customFormat="false" ht="13.8" hidden="false" customHeight="false" outlineLevel="0" collapsed="false">
      <c r="B514" s="2" t="n">
        <v>512</v>
      </c>
      <c r="C514" s="2" t="n">
        <v>2.82753493957781E-012</v>
      </c>
      <c r="D514" s="2" t="n">
        <v>0.0214800151207224</v>
      </c>
      <c r="E514" s="2" t="n">
        <v>0.105754484281544</v>
      </c>
    </row>
    <row r="515" customFormat="false" ht="13.8" hidden="false" customHeight="false" outlineLevel="0" collapsed="false">
      <c r="B515" s="2" t="n">
        <v>513</v>
      </c>
      <c r="C515" s="2" t="n">
        <v>2.81533071159822E-012</v>
      </c>
      <c r="D515" s="2" t="n">
        <v>0.027960640086017</v>
      </c>
      <c r="E515" s="2" t="n">
        <v>0.128844991915992</v>
      </c>
    </row>
    <row r="516" customFormat="false" ht="13.8" hidden="false" customHeight="false" outlineLevel="0" collapsed="false">
      <c r="B516" s="2" t="n">
        <v>514</v>
      </c>
      <c r="C516" s="2" t="n">
        <v>0.00239938880256905</v>
      </c>
      <c r="D516" s="2" t="n">
        <v>0.0734296658331069</v>
      </c>
      <c r="E516" s="2" t="n">
        <v>0.166292618027879</v>
      </c>
    </row>
    <row r="517" customFormat="false" ht="13.8" hidden="false" customHeight="false" outlineLevel="0" collapsed="false">
      <c r="B517" s="2" t="n">
        <v>515</v>
      </c>
      <c r="C517" s="2" t="n">
        <v>2.79355916954123E-012</v>
      </c>
      <c r="D517" s="2" t="n">
        <v>0.102136005167147</v>
      </c>
      <c r="E517" s="2" t="n">
        <v>0.161584558218247</v>
      </c>
    </row>
    <row r="518" customFormat="false" ht="13.8" hidden="false" customHeight="false" outlineLevel="0" collapsed="false">
      <c r="B518" s="2" t="n">
        <v>516</v>
      </c>
      <c r="C518" s="2" t="n">
        <v>0.0176607213999331</v>
      </c>
      <c r="D518" s="2" t="n">
        <v>0.139928069521886</v>
      </c>
      <c r="E518" s="2" t="n">
        <v>0.192980779791934</v>
      </c>
    </row>
    <row r="519" customFormat="false" ht="13.8" hidden="false" customHeight="false" outlineLevel="0" collapsed="false">
      <c r="B519" s="2" t="n">
        <v>517</v>
      </c>
      <c r="C519" s="2" t="n">
        <v>0.00710056269861313</v>
      </c>
      <c r="D519" s="2" t="n">
        <v>0.17297748580176</v>
      </c>
      <c r="E519" s="2" t="n">
        <v>0.23577464623848</v>
      </c>
    </row>
    <row r="520" customFormat="false" ht="13.8" hidden="false" customHeight="false" outlineLevel="0" collapsed="false">
      <c r="B520" s="2" t="n">
        <v>518</v>
      </c>
      <c r="C520" s="2" t="n">
        <v>2.777563895083E-012</v>
      </c>
      <c r="D520" s="2" t="n">
        <v>0.153707854124662</v>
      </c>
      <c r="E520" s="2" t="n">
        <v>0.218963682636406</v>
      </c>
    </row>
    <row r="521" customFormat="false" ht="13.8" hidden="false" customHeight="false" outlineLevel="0" collapsed="false">
      <c r="B521" s="2" t="n">
        <v>519</v>
      </c>
      <c r="C521" s="2" t="n">
        <v>2.77263148043318E-012</v>
      </c>
      <c r="D521" s="2" t="n">
        <v>0.140956989829695</v>
      </c>
      <c r="E521" s="2" t="n">
        <v>0.302733288923783</v>
      </c>
    </row>
    <row r="522" customFormat="false" ht="13.8" hidden="false" customHeight="false" outlineLevel="0" collapsed="false">
      <c r="B522" s="2" t="n">
        <v>520</v>
      </c>
      <c r="C522" s="2" t="n">
        <v>2.76737192730745E-012</v>
      </c>
      <c r="D522" s="2" t="n">
        <v>0.112151766066263</v>
      </c>
      <c r="E522" s="2" t="n">
        <v>0.311223988012964</v>
      </c>
    </row>
    <row r="523" customFormat="false" ht="13.8" hidden="false" customHeight="false" outlineLevel="0" collapsed="false">
      <c r="B523" s="2" t="n">
        <v>521</v>
      </c>
      <c r="C523" s="2" t="n">
        <v>2.40442574856485E-012</v>
      </c>
      <c r="D523" s="2" t="n">
        <v>0.0591383447315497</v>
      </c>
      <c r="E523" s="2" t="n">
        <v>0.416089851438065</v>
      </c>
    </row>
    <row r="524" customFormat="false" ht="13.8" hidden="false" customHeight="false" outlineLevel="0" collapsed="false">
      <c r="B524" s="2" t="n">
        <v>522</v>
      </c>
      <c r="C524" s="2" t="n">
        <v>2.22851364247693E-012</v>
      </c>
      <c r="D524" s="2" t="n">
        <v>0.0667233466278121</v>
      </c>
      <c r="E524" s="2" t="n">
        <v>0.364588551996808</v>
      </c>
    </row>
    <row r="525" customFormat="false" ht="13.8" hidden="false" customHeight="false" outlineLevel="0" collapsed="false">
      <c r="B525" s="2" t="n">
        <v>523</v>
      </c>
      <c r="C525" s="2" t="n">
        <v>0.012537221277966</v>
      </c>
      <c r="D525" s="2" t="n">
        <v>0.0743083485240872</v>
      </c>
      <c r="E525" s="2" t="n">
        <v>0.528083247909143</v>
      </c>
    </row>
    <row r="526" customFormat="false" ht="13.8" hidden="false" customHeight="false" outlineLevel="0" collapsed="false">
      <c r="B526" s="2" t="n">
        <v>524</v>
      </c>
      <c r="C526" s="2" t="n">
        <v>0.0116256870599861</v>
      </c>
      <c r="D526" s="2" t="n">
        <v>0.0818933504203484</v>
      </c>
      <c r="E526" s="2" t="n">
        <v>0.556443649351234</v>
      </c>
    </row>
    <row r="527" customFormat="false" ht="13.8" hidden="false" customHeight="false" outlineLevel="0" collapsed="false">
      <c r="B527" s="2" t="n">
        <v>525</v>
      </c>
      <c r="C527" s="2" t="n">
        <v>0.0244643528432701</v>
      </c>
      <c r="D527" s="2" t="n">
        <v>0.0894783520417016</v>
      </c>
      <c r="E527" s="2" t="n">
        <v>0.555720933850759</v>
      </c>
    </row>
    <row r="528" customFormat="false" ht="13.8" hidden="false" customHeight="false" outlineLevel="0" collapsed="false">
      <c r="B528" s="2" t="n">
        <v>526</v>
      </c>
      <c r="C528" s="2" t="n">
        <v>0.0142780666754628</v>
      </c>
      <c r="D528" s="2" t="n">
        <v>0.0854274333959751</v>
      </c>
      <c r="E528" s="2" t="n">
        <v>0.492387599167007</v>
      </c>
    </row>
    <row r="529" customFormat="false" ht="13.8" hidden="false" customHeight="false" outlineLevel="0" collapsed="false">
      <c r="B529" s="2" t="n">
        <v>527</v>
      </c>
      <c r="C529" s="2" t="n">
        <v>0.0160916805089189</v>
      </c>
      <c r="D529" s="2" t="n">
        <v>0.0813765144753404</v>
      </c>
      <c r="E529" s="2" t="n">
        <v>0.578803997540689</v>
      </c>
    </row>
    <row r="530" customFormat="false" ht="13.8" hidden="false" customHeight="false" outlineLevel="0" collapsed="false">
      <c r="B530" s="2" t="n">
        <v>528</v>
      </c>
      <c r="C530" s="2" t="n">
        <v>0.000405094344167811</v>
      </c>
      <c r="D530" s="2" t="n">
        <v>0.0773255951441475</v>
      </c>
      <c r="E530" s="2" t="n">
        <v>0.569203912170069</v>
      </c>
    </row>
    <row r="531" customFormat="false" ht="13.8" hidden="false" customHeight="false" outlineLevel="0" collapsed="false">
      <c r="B531" s="2" t="n">
        <v>529</v>
      </c>
      <c r="C531" s="2" t="n">
        <v>0.00788517484248911</v>
      </c>
      <c r="D531" s="2" t="n">
        <v>0.0732746766340693</v>
      </c>
      <c r="E531" s="2" t="n">
        <v>0.512670760954735</v>
      </c>
    </row>
    <row r="532" customFormat="false" ht="13.8" hidden="false" customHeight="false" outlineLevel="0" collapsed="false">
      <c r="B532" s="2" t="n">
        <v>530</v>
      </c>
      <c r="C532" s="2" t="n">
        <v>0.0385668421122189</v>
      </c>
      <c r="D532" s="2" t="n">
        <v>0.0714989892829596</v>
      </c>
      <c r="E532" s="2" t="n">
        <v>0.464643937128643</v>
      </c>
    </row>
    <row r="533" customFormat="false" ht="13.8" hidden="false" customHeight="false" outlineLevel="0" collapsed="false">
      <c r="B533" s="2" t="n">
        <v>531</v>
      </c>
      <c r="C533" s="2" t="n">
        <v>6.43628656481368E-013</v>
      </c>
      <c r="D533" s="2" t="n">
        <v>0.0697233019318391</v>
      </c>
      <c r="E533" s="2" t="n">
        <v>0.41196550606371</v>
      </c>
    </row>
    <row r="534" customFormat="false" ht="13.8" hidden="false" customHeight="false" outlineLevel="0" collapsed="false">
      <c r="B534" s="2" t="n">
        <v>532</v>
      </c>
      <c r="C534" s="2" t="n">
        <v>0.0257137433183378</v>
      </c>
      <c r="D534" s="2" t="n">
        <v>0.0679476145807388</v>
      </c>
      <c r="E534" s="2" t="n">
        <v>0.400405972809802</v>
      </c>
    </row>
    <row r="535" customFormat="false" ht="13.8" hidden="false" customHeight="false" outlineLevel="0" collapsed="false">
      <c r="B535" s="2" t="n">
        <v>533</v>
      </c>
      <c r="C535" s="2" t="n">
        <v>2.90640244877502E-013</v>
      </c>
      <c r="D535" s="2" t="n">
        <v>0.0661719272296179</v>
      </c>
      <c r="E535" s="2" t="n">
        <v>0.348540959620422</v>
      </c>
    </row>
    <row r="536" customFormat="false" ht="13.8" hidden="false" customHeight="false" outlineLevel="0" collapsed="false">
      <c r="B536" s="2" t="n">
        <v>534</v>
      </c>
      <c r="C536" s="2" t="n">
        <v>1.13225662573899E-013</v>
      </c>
      <c r="D536" s="2" t="n">
        <v>0.0552991562478752</v>
      </c>
      <c r="E536" s="2" t="n">
        <v>0.256148765232422</v>
      </c>
    </row>
    <row r="537" customFormat="false" ht="13.8" hidden="false" customHeight="false" outlineLevel="0" collapsed="false">
      <c r="B537" s="2" t="n">
        <v>535</v>
      </c>
      <c r="C537" s="2" t="n">
        <v>0.0264075261605438</v>
      </c>
      <c r="D537" s="2" t="n">
        <v>0.0444263852661418</v>
      </c>
      <c r="E537" s="2" t="n">
        <v>0.190182044632071</v>
      </c>
    </row>
    <row r="538" customFormat="false" ht="13.8" hidden="false" customHeight="false" outlineLevel="0" collapsed="false">
      <c r="B538" s="2" t="n">
        <v>536</v>
      </c>
      <c r="C538" s="2" t="n">
        <v>2.05117729284247E-006</v>
      </c>
      <c r="D538" s="2" t="n">
        <v>0.0335536142843895</v>
      </c>
      <c r="E538" s="2" t="n">
        <v>0.160528841942603</v>
      </c>
    </row>
    <row r="539" customFormat="false" ht="13.8" hidden="false" customHeight="false" outlineLevel="0" collapsed="false">
      <c r="B539" s="2" t="n">
        <v>537</v>
      </c>
      <c r="C539" s="2" t="n">
        <v>2.05119719648325E-006</v>
      </c>
      <c r="D539" s="2" t="n">
        <v>0.0226808433026466</v>
      </c>
      <c r="E539" s="2" t="n">
        <v>0.0890863475341538</v>
      </c>
    </row>
    <row r="540" customFormat="false" ht="13.8" hidden="false" customHeight="false" outlineLevel="0" collapsed="false">
      <c r="B540" s="2" t="n">
        <v>538</v>
      </c>
      <c r="C540" s="2" t="n">
        <v>2.05119698428685E-006</v>
      </c>
      <c r="D540" s="2" t="n">
        <v>0.0183912959738557</v>
      </c>
      <c r="E540" s="2" t="n">
        <v>0.0507965150293759</v>
      </c>
    </row>
    <row r="541" customFormat="false" ht="13.8" hidden="false" customHeight="false" outlineLevel="0" collapsed="false">
      <c r="B541" s="2" t="n">
        <v>539</v>
      </c>
      <c r="C541" s="2" t="n">
        <v>2.05119677270436E-006</v>
      </c>
      <c r="D541" s="2" t="n">
        <v>0.0141017486450658</v>
      </c>
      <c r="E541" s="2" t="n">
        <v>0.0151734325246063</v>
      </c>
    </row>
    <row r="542" customFormat="false" ht="13.8" hidden="false" customHeight="false" outlineLevel="0" collapsed="false">
      <c r="B542" s="2" t="n">
        <v>540</v>
      </c>
      <c r="C542" s="2" t="n">
        <v>2.05117540660204E-006</v>
      </c>
      <c r="D542" s="2" t="n">
        <v>0.00981220131675084</v>
      </c>
      <c r="E542" s="2" t="n">
        <v>0.00581696671238612</v>
      </c>
    </row>
    <row r="543" customFormat="false" ht="13.8" hidden="false" customHeight="false" outlineLevel="0" collapsed="false">
      <c r="B543" s="2" t="n">
        <v>541</v>
      </c>
      <c r="C543" s="2" t="n">
        <v>4.02355719064558E-009</v>
      </c>
      <c r="D543" s="2" t="n">
        <v>7.14145959841922E-012</v>
      </c>
      <c r="E543" s="2" t="n">
        <v>5.99799167257825E-012</v>
      </c>
    </row>
    <row r="544" customFormat="false" ht="13.8" hidden="false" customHeight="false" outlineLevel="0" collapsed="false">
      <c r="B544" s="2" t="n">
        <v>542</v>
      </c>
      <c r="C544" s="2" t="n">
        <v>3.93447086983663E-009</v>
      </c>
      <c r="D544" s="2" t="n">
        <v>7.62363925518135E-012</v>
      </c>
      <c r="E544" s="2" t="n">
        <v>6.42310636637284E-012</v>
      </c>
    </row>
    <row r="545" customFormat="false" ht="13.8" hidden="false" customHeight="false" outlineLevel="0" collapsed="false">
      <c r="B545" s="2" t="n">
        <v>543</v>
      </c>
      <c r="C545" s="2" t="n">
        <v>3.84097933362844E-009</v>
      </c>
      <c r="D545" s="2" t="n">
        <v>7.63195685113828E-012</v>
      </c>
      <c r="E545" s="2" t="n">
        <v>6.43821914013207E-012</v>
      </c>
    </row>
    <row r="546" customFormat="false" ht="13.8" hidden="false" customHeight="false" outlineLevel="0" collapsed="false">
      <c r="B546" s="2" t="n">
        <v>544</v>
      </c>
      <c r="C546" s="2" t="n">
        <v>3.74748719553559E-009</v>
      </c>
      <c r="D546" s="2" t="n">
        <v>7.63928163900412E-012</v>
      </c>
      <c r="E546" s="2" t="n">
        <v>6.45254680832485E-012</v>
      </c>
    </row>
    <row r="547" customFormat="false" ht="13.8" hidden="false" customHeight="false" outlineLevel="0" collapsed="false">
      <c r="B547" s="2" t="n">
        <v>545</v>
      </c>
      <c r="C547" s="2" t="n">
        <v>3.65399549579146E-009</v>
      </c>
      <c r="D547" s="2" t="n">
        <v>7.64669213863379E-012</v>
      </c>
      <c r="E547" s="2" t="n">
        <v>6.46654752023579E-012</v>
      </c>
    </row>
    <row r="548" customFormat="false" ht="13.8" hidden="false" customHeight="false" outlineLevel="0" collapsed="false">
      <c r="B548" s="2" t="n">
        <v>546</v>
      </c>
      <c r="C548" s="2" t="n">
        <v>3.56050436852655E-009</v>
      </c>
      <c r="D548" s="2" t="n">
        <v>7.65418525055806E-012</v>
      </c>
      <c r="E548" s="2" t="n">
        <v>6.48086006415562E-012</v>
      </c>
    </row>
    <row r="549" customFormat="false" ht="13.8" hidden="false" customHeight="false" outlineLevel="0" collapsed="false">
      <c r="B549" s="2" t="n">
        <v>547</v>
      </c>
      <c r="C549" s="2" t="n">
        <v>3.46701391979925E-009</v>
      </c>
      <c r="D549" s="2" t="n">
        <v>7.6616203835952E-012</v>
      </c>
      <c r="E549" s="2" t="n">
        <v>6.49495260149224E-012</v>
      </c>
    </row>
    <row r="550" customFormat="false" ht="13.8" hidden="false" customHeight="false" outlineLevel="0" collapsed="false">
      <c r="B550" s="2" t="n">
        <v>548</v>
      </c>
      <c r="C550" s="2" t="n">
        <v>3.37352435490786E-009</v>
      </c>
      <c r="D550" s="2" t="n">
        <v>7.66902793126649E-012</v>
      </c>
      <c r="E550" s="2" t="n">
        <v>6.50927288800056E-012</v>
      </c>
    </row>
    <row r="551" customFormat="false" ht="13.8" hidden="false" customHeight="false" outlineLevel="0" collapsed="false">
      <c r="B551" s="2" t="n">
        <v>549</v>
      </c>
      <c r="C551" s="2" t="n">
        <v>3.28003579991E-009</v>
      </c>
      <c r="D551" s="2" t="n">
        <v>7.67643474703996E-012</v>
      </c>
      <c r="E551" s="2" t="n">
        <v>6.52345739607303E-012</v>
      </c>
    </row>
    <row r="552" customFormat="false" ht="13.8" hidden="false" customHeight="false" outlineLevel="0" collapsed="false">
      <c r="B552" s="2" t="n">
        <v>550</v>
      </c>
      <c r="C552" s="2" t="n">
        <v>3.1865484756386E-009</v>
      </c>
      <c r="D552" s="2" t="n">
        <v>7.68384561077388E-012</v>
      </c>
      <c r="E552" s="2" t="n">
        <v>6.53769290107812E-012</v>
      </c>
    </row>
    <row r="553" customFormat="false" ht="13.8" hidden="false" customHeight="false" outlineLevel="0" collapsed="false">
      <c r="B553" s="2" t="n">
        <v>551</v>
      </c>
      <c r="C553" s="2" t="n">
        <v>3.09306252855267E-009</v>
      </c>
      <c r="D553" s="2" t="n">
        <v>9.28399894598123E-012</v>
      </c>
      <c r="E553" s="2" t="n">
        <v>6.55182447309127E-012</v>
      </c>
    </row>
    <row r="554" customFormat="false" ht="13.8" hidden="false" customHeight="false" outlineLevel="0" collapsed="false">
      <c r="B554" s="2" t="n">
        <v>552</v>
      </c>
      <c r="C554" s="2" t="n">
        <v>2.99953487653686E-009</v>
      </c>
      <c r="D554" s="2" t="n">
        <v>1.67635551608675E-009</v>
      </c>
      <c r="E554" s="2" t="n">
        <v>6.56635804168241E-012</v>
      </c>
    </row>
    <row r="555" customFormat="false" ht="13.8" hidden="false" customHeight="false" outlineLevel="0" collapsed="false">
      <c r="B555" s="2" t="n">
        <v>553</v>
      </c>
      <c r="C555" s="2" t="n">
        <v>2.90871924681792E-009</v>
      </c>
      <c r="D555" s="2" t="n">
        <v>1.58601068455534E-009</v>
      </c>
      <c r="E555" s="2" t="n">
        <v>6.57865744005484E-012</v>
      </c>
    </row>
    <row r="556" customFormat="false" ht="13.8" hidden="false" customHeight="false" outlineLevel="0" collapsed="false">
      <c r="B556" s="2" t="n">
        <v>554</v>
      </c>
      <c r="C556" s="2" t="n">
        <v>2.81505313755715E-009</v>
      </c>
      <c r="D556" s="2" t="n">
        <v>1.4923916105488E-009</v>
      </c>
      <c r="E556" s="2" t="n">
        <v>6.59283981860637E-012</v>
      </c>
    </row>
    <row r="557" customFormat="false" ht="13.8" hidden="false" customHeight="false" outlineLevel="0" collapsed="false">
      <c r="B557" s="2" t="n">
        <v>555</v>
      </c>
      <c r="C557" s="2" t="n">
        <v>2.72138613374109E-009</v>
      </c>
      <c r="D557" s="2" t="n">
        <v>1.3987714774081E-009</v>
      </c>
      <c r="E557" s="2" t="n">
        <v>6.60712537310502E-012</v>
      </c>
    </row>
    <row r="558" customFormat="false" ht="13.8" hidden="false" customHeight="false" outlineLevel="0" collapsed="false">
      <c r="B558" s="2" t="n">
        <v>556</v>
      </c>
      <c r="C558" s="2" t="n">
        <v>2.6277181823341E-009</v>
      </c>
      <c r="D558" s="2" t="n">
        <v>1.30515069917526E-009</v>
      </c>
      <c r="E558" s="2" t="n">
        <v>6.62130257394863E-012</v>
      </c>
    </row>
    <row r="559" customFormat="false" ht="13.8" hidden="false" customHeight="false" outlineLevel="0" collapsed="false">
      <c r="B559" s="2" t="n">
        <v>557</v>
      </c>
      <c r="C559" s="2" t="n">
        <v>2.53404931204213E-009</v>
      </c>
      <c r="D559" s="2" t="n">
        <v>1.21152884865374E-009</v>
      </c>
      <c r="E559" s="2" t="n">
        <v>6.63549123807693E-012</v>
      </c>
    </row>
    <row r="560" customFormat="false" ht="13.8" hidden="false" customHeight="false" outlineLevel="0" collapsed="false">
      <c r="B560" s="2" t="n">
        <v>558</v>
      </c>
      <c r="C560" s="2" t="n">
        <v>2.44037949991387E-009</v>
      </c>
      <c r="D560" s="2" t="n">
        <v>1.11790635725623E-009</v>
      </c>
      <c r="E560" s="2" t="n">
        <v>6.64961953835506E-012</v>
      </c>
    </row>
    <row r="561" customFormat="false" ht="13.8" hidden="false" customHeight="false" outlineLevel="0" collapsed="false">
      <c r="B561" s="2" t="n">
        <v>559</v>
      </c>
      <c r="C561" s="2" t="n">
        <v>2.34670878681703E-009</v>
      </c>
      <c r="D561" s="2" t="n">
        <v>1.02428287275585E-009</v>
      </c>
      <c r="E561" s="2" t="n">
        <v>6.66379043984244E-012</v>
      </c>
    </row>
    <row r="562" customFormat="false" ht="13.8" hidden="false" customHeight="false" outlineLevel="0" collapsed="false">
      <c r="B562" s="2" t="n">
        <v>560</v>
      </c>
      <c r="C562" s="2" t="n">
        <v>2.25303715521731E-009</v>
      </c>
      <c r="D562" s="2" t="n">
        <v>9.30658506005273E-010</v>
      </c>
      <c r="E562" s="2" t="n">
        <v>6.67786380848509E-012</v>
      </c>
    </row>
    <row r="563" customFormat="false" ht="13.8" hidden="false" customHeight="false" outlineLevel="0" collapsed="false">
      <c r="B563" s="2" t="n">
        <v>561</v>
      </c>
      <c r="C563" s="2" t="n">
        <v>2.15936459025288E-009</v>
      </c>
      <c r="D563" s="2" t="n">
        <v>8.3703349475616E-010</v>
      </c>
      <c r="E563" s="2" t="n">
        <v>6.69199117295029E-012</v>
      </c>
    </row>
    <row r="564" customFormat="false" ht="13.8" hidden="false" customHeight="false" outlineLevel="0" collapsed="false">
      <c r="B564" s="2" t="n">
        <v>562</v>
      </c>
      <c r="C564" s="2" t="n">
        <v>2.06569111023269E-009</v>
      </c>
      <c r="D564" s="2" t="n">
        <v>7.43407868189763E-010</v>
      </c>
      <c r="E564" s="2" t="n">
        <v>6.70632581645278E-012</v>
      </c>
    </row>
    <row r="565" customFormat="false" ht="13.8" hidden="false" customHeight="false" outlineLevel="0" collapsed="false">
      <c r="B565" s="2" t="n">
        <v>563</v>
      </c>
      <c r="C565" s="2" t="n">
        <v>1.97201671870994E-009</v>
      </c>
      <c r="D565" s="2" t="n">
        <v>6.49781480321596E-010</v>
      </c>
      <c r="E565" s="2" t="n">
        <v>6.72045474982336E-012</v>
      </c>
    </row>
    <row r="566" customFormat="false" ht="13.8" hidden="false" customHeight="false" outlineLevel="0" collapsed="false">
      <c r="B566" s="2" t="n">
        <v>564</v>
      </c>
      <c r="C566" s="2" t="n">
        <v>1.87834140141588E-009</v>
      </c>
      <c r="D566" s="2" t="n">
        <v>5.5615481951423E-010</v>
      </c>
      <c r="E566" s="2" t="n">
        <v>6.7347391250097E-012</v>
      </c>
    </row>
    <row r="567" customFormat="false" ht="13.8" hidden="false" customHeight="false" outlineLevel="0" collapsed="false">
      <c r="B567" s="2" t="n">
        <v>565</v>
      </c>
      <c r="C567" s="2" t="n">
        <v>1.78466516457937E-009</v>
      </c>
      <c r="D567" s="2" t="n">
        <v>4.62527982054036E-010</v>
      </c>
      <c r="E567" s="2" t="n">
        <v>6.7488656197008E-012</v>
      </c>
    </row>
    <row r="568" customFormat="false" ht="13.8" hidden="false" customHeight="false" outlineLevel="0" collapsed="false">
      <c r="B568" s="2" t="n">
        <v>566</v>
      </c>
      <c r="C568" s="2" t="n">
        <v>1.69098799012527E-009</v>
      </c>
      <c r="D568" s="2" t="n">
        <v>3.68902159535198E-010</v>
      </c>
      <c r="E568" s="2" t="n">
        <v>6.76333067051821E-012</v>
      </c>
    </row>
    <row r="569" customFormat="false" ht="13.8" hidden="false" customHeight="false" outlineLevel="0" collapsed="false">
      <c r="B569" s="2" t="n">
        <v>567</v>
      </c>
      <c r="C569" s="2" t="n">
        <v>1.597309906989E-009</v>
      </c>
      <c r="D569" s="2" t="n">
        <v>2.75279703811345E-010</v>
      </c>
      <c r="E569" s="2" t="n">
        <v>6.77725387434576E-012</v>
      </c>
    </row>
    <row r="570" customFormat="false" ht="13.8" hidden="false" customHeight="false" outlineLevel="0" collapsed="false">
      <c r="B570" s="2" t="n">
        <v>568</v>
      </c>
      <c r="C570" s="2" t="n">
        <v>1.50359221410448E-009</v>
      </c>
      <c r="D570" s="2" t="n">
        <v>1.81582955275043E-010</v>
      </c>
      <c r="E570" s="2" t="n">
        <v>6.79150717427823E-012</v>
      </c>
    </row>
    <row r="571" customFormat="false" ht="13.8" hidden="false" customHeight="false" outlineLevel="0" collapsed="false">
      <c r="B571" s="2" t="n">
        <v>569</v>
      </c>
      <c r="C571" s="2" t="n">
        <v>1.36939625479512E-009</v>
      </c>
      <c r="D571" s="2" t="n">
        <v>6.85981237132097E-012</v>
      </c>
      <c r="E571" s="2" t="n">
        <v>6.80756619659975E-012</v>
      </c>
    </row>
    <row r="572" customFormat="false" ht="13.8" hidden="false" customHeight="false" outlineLevel="0" collapsed="false">
      <c r="B572" s="2" t="n">
        <v>570</v>
      </c>
      <c r="C572" s="2" t="n">
        <v>1.32247588360163E-009</v>
      </c>
      <c r="D572" s="2" t="n">
        <v>6.69589780776239E-012</v>
      </c>
      <c r="E572" s="2" t="n">
        <v>6.81624991324755E-012</v>
      </c>
    </row>
    <row r="573" customFormat="false" ht="13.8" hidden="false" customHeight="false" outlineLevel="0" collapsed="false">
      <c r="B573" s="2" t="n">
        <v>571</v>
      </c>
      <c r="C573" s="2" t="n">
        <v>1.27563835059008E-009</v>
      </c>
      <c r="D573" s="2" t="n">
        <v>6.70021498721405E-012</v>
      </c>
      <c r="E573" s="2" t="n">
        <v>6.82323387333765E-012</v>
      </c>
    </row>
    <row r="574" customFormat="false" ht="13.8" hidden="false" customHeight="false" outlineLevel="0" collapsed="false">
      <c r="B574" s="2" t="n">
        <v>572</v>
      </c>
      <c r="C574" s="2" t="n">
        <v>1.2288003949179E-009</v>
      </c>
      <c r="D574" s="2" t="n">
        <v>6.70522563411993E-012</v>
      </c>
      <c r="E574" s="2" t="n">
        <v>6.82950978654829E-012</v>
      </c>
    </row>
    <row r="575" customFormat="false" ht="13.8" hidden="false" customHeight="false" outlineLevel="0" collapsed="false">
      <c r="B575" s="2" t="n">
        <v>573</v>
      </c>
      <c r="C575" s="2" t="n">
        <v>1.18196193941373E-009</v>
      </c>
      <c r="D575" s="2" t="n">
        <v>6.71042582765578E-012</v>
      </c>
      <c r="E575" s="2" t="n">
        <v>6.83553892022473E-012</v>
      </c>
    </row>
    <row r="576" customFormat="false" ht="13.8" hidden="false" customHeight="false" outlineLevel="0" collapsed="false">
      <c r="B576" s="2" t="n">
        <v>574</v>
      </c>
      <c r="C576" s="2" t="n">
        <v>1.13512302177969E-009</v>
      </c>
      <c r="D576" s="2" t="n">
        <v>6.71593154568322E-012</v>
      </c>
      <c r="E576" s="2" t="n">
        <v>6.84134644695775E-012</v>
      </c>
    </row>
    <row r="577" customFormat="false" ht="13.8" hidden="false" customHeight="false" outlineLevel="0" collapsed="false">
      <c r="B577" s="2" t="n">
        <v>575</v>
      </c>
      <c r="C577" s="2" t="n">
        <v>1.08828411189587E-009</v>
      </c>
      <c r="D577" s="2" t="n">
        <v>6.72140368293876E-012</v>
      </c>
      <c r="E577" s="2" t="n">
        <v>6.84708274359847E-012</v>
      </c>
    </row>
    <row r="578" customFormat="false" ht="13.8" hidden="false" customHeight="false" outlineLevel="0" collapsed="false">
      <c r="B578" s="2" t="n">
        <v>576</v>
      </c>
      <c r="C578" s="2" t="n">
        <v>1.04191621697346E-009</v>
      </c>
      <c r="D578" s="2" t="n">
        <v>6.85266457048725E-012</v>
      </c>
      <c r="E578" s="2" t="n">
        <v>6.85232237555628E-012</v>
      </c>
    </row>
    <row r="579" customFormat="false" ht="13.8" hidden="false" customHeight="false" outlineLevel="0" collapsed="false">
      <c r="B579" s="2" t="n">
        <v>577</v>
      </c>
      <c r="C579" s="2" t="n">
        <v>9.95008917371633E-010</v>
      </c>
      <c r="D579" s="2" t="n">
        <v>6.85839763062279E-012</v>
      </c>
      <c r="E579" s="2" t="n">
        <v>6.85808695874185E-012</v>
      </c>
    </row>
    <row r="580" customFormat="false" ht="13.8" hidden="false" customHeight="false" outlineLevel="0" collapsed="false">
      <c r="B580" s="2" t="n">
        <v>578</v>
      </c>
      <c r="C580" s="2" t="n">
        <v>9.48100171826149E-010</v>
      </c>
      <c r="D580" s="2" t="n">
        <v>6.86406588001129E-012</v>
      </c>
      <c r="E580" s="2" t="n">
        <v>6.86372728680317E-012</v>
      </c>
    </row>
    <row r="581" customFormat="false" ht="13.8" hidden="false" customHeight="false" outlineLevel="0" collapsed="false">
      <c r="B581" s="2" t="n">
        <v>579</v>
      </c>
      <c r="C581" s="2" t="n">
        <v>9.01190490531696E-010</v>
      </c>
      <c r="D581" s="2" t="n">
        <v>6.86976027310197E-012</v>
      </c>
      <c r="E581" s="2" t="n">
        <v>6.86943802581229E-012</v>
      </c>
    </row>
    <row r="582" customFormat="false" ht="13.8" hidden="false" customHeight="false" outlineLevel="0" collapsed="false">
      <c r="B582" s="2" t="n">
        <v>580</v>
      </c>
      <c r="C582" s="2" t="n">
        <v>8.54279898341633E-010</v>
      </c>
      <c r="D582" s="2" t="n">
        <v>6.8754423480548E-012</v>
      </c>
      <c r="E582" s="2" t="n">
        <v>6.87511993723529E-012</v>
      </c>
    </row>
    <row r="583" customFormat="false" ht="13.8" hidden="false" customHeight="false" outlineLevel="0" collapsed="false">
      <c r="B583" s="2" t="n">
        <v>581</v>
      </c>
      <c r="C583" s="2" t="n">
        <v>8.07368317675326E-010</v>
      </c>
      <c r="D583" s="2" t="n">
        <v>6.88113679958606E-012</v>
      </c>
      <c r="E583" s="2" t="n">
        <v>6.88084398894091E-012</v>
      </c>
    </row>
    <row r="584" customFormat="false" ht="13.8" hidden="false" customHeight="false" outlineLevel="0" collapsed="false">
      <c r="B584" s="2" t="n">
        <v>582</v>
      </c>
      <c r="C584" s="2" t="n">
        <v>7.60395348497254E-010</v>
      </c>
      <c r="D584" s="2" t="n">
        <v>6.76051640441301E-012</v>
      </c>
      <c r="E584" s="2" t="n">
        <v>6.88711668870046E-012</v>
      </c>
    </row>
    <row r="585" customFormat="false" ht="13.8" hidden="false" customHeight="false" outlineLevel="0" collapsed="false">
      <c r="B585" s="2" t="n">
        <v>583</v>
      </c>
      <c r="C585" s="2" t="n">
        <v>7.13552172232561E-010</v>
      </c>
      <c r="D585" s="2" t="n">
        <v>6.76612573236531E-012</v>
      </c>
      <c r="E585" s="2" t="n">
        <v>6.89275545007835E-012</v>
      </c>
    </row>
    <row r="586" customFormat="false" ht="13.8" hidden="false" customHeight="false" outlineLevel="0" collapsed="false">
      <c r="B586" s="2" t="n">
        <v>584</v>
      </c>
      <c r="C586" s="2" t="n">
        <v>6.66708670322738E-010</v>
      </c>
      <c r="D586" s="2" t="n">
        <v>6.77180171791338E-012</v>
      </c>
      <c r="E586" s="2" t="n">
        <v>6.89847028639114E-012</v>
      </c>
    </row>
    <row r="587" customFormat="false" ht="13.8" hidden="false" customHeight="false" outlineLevel="0" collapsed="false">
      <c r="B587" s="2" t="n">
        <v>585</v>
      </c>
      <c r="C587" s="2" t="n">
        <v>6.1986469148241E-010</v>
      </c>
      <c r="D587" s="2" t="n">
        <v>6.7773062146357E-012</v>
      </c>
      <c r="E587" s="2" t="n">
        <v>6.90417130349101E-012</v>
      </c>
    </row>
    <row r="588" customFormat="false" ht="13.8" hidden="false" customHeight="false" outlineLevel="0" collapsed="false">
      <c r="B588" s="2" t="n">
        <v>586</v>
      </c>
      <c r="C588" s="2" t="n">
        <v>5.73020265590469E-010</v>
      </c>
      <c r="D588" s="2" t="n">
        <v>6.78290363880529E-012</v>
      </c>
      <c r="E588" s="2" t="n">
        <v>6.90986109301703E-012</v>
      </c>
    </row>
    <row r="589" customFormat="false" ht="13.8" hidden="false" customHeight="false" outlineLevel="0" collapsed="false">
      <c r="B589" s="2" t="n">
        <v>587</v>
      </c>
      <c r="C589" s="2" t="n">
        <v>5.26175384584122E-010</v>
      </c>
      <c r="D589" s="2" t="n">
        <v>6.78849548883155E-012</v>
      </c>
      <c r="E589" s="2" t="n">
        <v>6.91553259065005E-012</v>
      </c>
    </row>
    <row r="590" customFormat="false" ht="13.8" hidden="false" customHeight="false" outlineLevel="0" collapsed="false">
      <c r="B590" s="2" t="n">
        <v>588</v>
      </c>
      <c r="C590" s="2" t="n">
        <v>4.79330034194937E-010</v>
      </c>
      <c r="D590" s="2" t="n">
        <v>6.79408992520864E-012</v>
      </c>
      <c r="E590" s="2" t="n">
        <v>6.92126654598087E-012</v>
      </c>
    </row>
    <row r="591" customFormat="false" ht="13.8" hidden="false" customHeight="false" outlineLevel="0" collapsed="false">
      <c r="B591" s="2" t="n">
        <v>589</v>
      </c>
      <c r="C591" s="2" t="n">
        <v>4.32484220889259E-010</v>
      </c>
      <c r="D591" s="2" t="n">
        <v>6.79970830872721E-012</v>
      </c>
      <c r="E591" s="2" t="n">
        <v>6.92694144526325E-012</v>
      </c>
    </row>
    <row r="592" customFormat="false" ht="13.8" hidden="false" customHeight="false" outlineLevel="0" collapsed="false">
      <c r="B592" s="2" t="n">
        <v>590</v>
      </c>
      <c r="C592" s="2" t="n">
        <v>3.85637966281163E-010</v>
      </c>
      <c r="D592" s="2" t="n">
        <v>6.80529009951514E-012</v>
      </c>
      <c r="E592" s="2" t="n">
        <v>6.93263139161239E-012</v>
      </c>
    </row>
    <row r="593" customFormat="false" ht="13.8" hidden="false" customHeight="false" outlineLevel="0" collapsed="false">
      <c r="B593" s="2" t="n">
        <v>591</v>
      </c>
      <c r="C593" s="2" t="n">
        <v>3.38791224864008E-010</v>
      </c>
      <c r="D593" s="2" t="n">
        <v>6.81087413628913E-012</v>
      </c>
      <c r="E593" s="2" t="n">
        <v>6.93834840551043E-012</v>
      </c>
    </row>
    <row r="594" customFormat="false" ht="13.8" hidden="false" customHeight="false" outlineLevel="0" collapsed="false">
      <c r="B594" s="2" t="n">
        <v>592</v>
      </c>
      <c r="C594" s="2" t="n">
        <v>2.91944028446339E-010</v>
      </c>
      <c r="D594" s="2" t="n">
        <v>6.81661513270871E-012</v>
      </c>
      <c r="E594" s="2" t="n">
        <v>6.94406575890866E-012</v>
      </c>
    </row>
    <row r="595" customFormat="false" ht="13.8" hidden="false" customHeight="false" outlineLevel="0" collapsed="false">
      <c r="B595" s="2" t="n">
        <v>593</v>
      </c>
      <c r="C595" s="2" t="n">
        <v>2.45096377574618E-010</v>
      </c>
      <c r="D595" s="2" t="n">
        <v>6.82204670843419E-012</v>
      </c>
      <c r="E595" s="2" t="n">
        <v>6.94974895295312E-012</v>
      </c>
    </row>
    <row r="596" customFormat="false" ht="13.8" hidden="false" customHeight="false" outlineLevel="0" collapsed="false">
      <c r="B596" s="2" t="n">
        <v>594</v>
      </c>
      <c r="C596" s="2" t="n">
        <v>1.98248273344036E-010</v>
      </c>
      <c r="D596" s="2" t="n">
        <v>6.82763489704563E-012</v>
      </c>
      <c r="E596" s="2" t="n">
        <v>6.95545338847655E-012</v>
      </c>
    </row>
    <row r="597" customFormat="false" ht="13.8" hidden="false" customHeight="false" outlineLevel="0" collapsed="false">
      <c r="B597" s="2" t="n">
        <v>595</v>
      </c>
      <c r="C597" s="2" t="n">
        <v>1.5140003372779E-010</v>
      </c>
      <c r="D597" s="2" t="n">
        <v>6.83329502896078E-012</v>
      </c>
      <c r="E597" s="2" t="n">
        <v>6.96125293922848E-012</v>
      </c>
    </row>
    <row r="598" customFormat="false" ht="13.8" hidden="false" customHeight="false" outlineLevel="0" collapsed="false">
      <c r="B598" s="2" t="n">
        <v>596</v>
      </c>
      <c r="C598" s="2" t="n">
        <v>1.04504707278226E-010</v>
      </c>
      <c r="D598" s="2" t="n">
        <v>6.83918960137206E-012</v>
      </c>
      <c r="E598" s="2" t="n">
        <v>6.9673112381396E-012</v>
      </c>
    </row>
    <row r="599" customFormat="false" ht="13.8" hidden="false" customHeight="false" outlineLevel="0" collapsed="false">
      <c r="B599" s="2" t="n">
        <v>597</v>
      </c>
      <c r="C599" s="2" t="n">
        <v>6.94497847358201E-012</v>
      </c>
      <c r="D599" s="2" t="n">
        <v>6.8437349920206E-012</v>
      </c>
      <c r="E599" s="2" t="n">
        <v>6.97201946536823E-012</v>
      </c>
    </row>
    <row r="600" customFormat="false" ht="13.8" hidden="false" customHeight="false" outlineLevel="0" collapsed="false">
      <c r="B600" s="2" t="n">
        <v>598</v>
      </c>
      <c r="C600" s="2" t="n">
        <v>6.85173842842959E-012</v>
      </c>
      <c r="D600" s="2" t="n">
        <v>6.8481757586001E-012</v>
      </c>
      <c r="E600" s="2" t="n">
        <v>6.97556505795152E-012</v>
      </c>
    </row>
    <row r="601" customFormat="false" ht="13.8" hidden="false" customHeight="false" outlineLevel="0" collapsed="false">
      <c r="B601" s="2" t="n">
        <v>599</v>
      </c>
      <c r="C601" s="2" t="n">
        <v>6.87533565095285E-012</v>
      </c>
      <c r="D601" s="2" t="n">
        <v>8.20956404212233E-012</v>
      </c>
      <c r="E601" s="2" t="n">
        <v>7.50071502276116E-013</v>
      </c>
    </row>
    <row r="602" customFormat="false" ht="13.8" hidden="false" customHeight="false" outlineLevel="0" collapsed="false">
      <c r="B602" s="2" t="n">
        <v>600</v>
      </c>
      <c r="C602" s="2" t="n">
        <v>6.85033264213724E-012</v>
      </c>
      <c r="D602" s="2" t="n">
        <v>2.57315503276096E-011</v>
      </c>
      <c r="E602" s="2" t="n">
        <v>6.97696392088998E-012</v>
      </c>
    </row>
    <row r="603" customFormat="false" ht="13.8" hidden="false" customHeight="false" outlineLevel="0" collapsed="false">
      <c r="B603" s="2" t="n">
        <v>601</v>
      </c>
      <c r="C603" s="2" t="n">
        <v>6.8501381983833E-012</v>
      </c>
      <c r="D603" s="2" t="n">
        <v>0</v>
      </c>
      <c r="E603" s="2" t="n">
        <v>6.97730287377627E-012</v>
      </c>
    </row>
    <row r="604" customFormat="false" ht="13.8" hidden="false" customHeight="false" outlineLevel="0" collapsed="false">
      <c r="B604" s="2" t="n">
        <v>602</v>
      </c>
      <c r="C604" s="2" t="n">
        <v>0</v>
      </c>
      <c r="D604" s="2" t="n">
        <v>0.0080557261655727</v>
      </c>
      <c r="E604" s="2" t="n">
        <v>0</v>
      </c>
    </row>
    <row r="605" customFormat="false" ht="13.8" hidden="false" customHeight="false" outlineLevel="0" collapsed="false">
      <c r="B605" s="2" t="n">
        <v>603</v>
      </c>
      <c r="C605" s="2" t="n">
        <v>0</v>
      </c>
      <c r="D605" s="2" t="n">
        <v>0.0125224195897214</v>
      </c>
      <c r="E605" s="2" t="n">
        <v>9.28194015871334E-017</v>
      </c>
    </row>
    <row r="606" customFormat="false" ht="13.8" hidden="false" customHeight="false" outlineLevel="0" collapsed="false">
      <c r="B606" s="2" t="n">
        <v>604</v>
      </c>
      <c r="C606" s="2" t="n">
        <v>0</v>
      </c>
      <c r="D606" s="2" t="n">
        <v>0.0169891130138346</v>
      </c>
      <c r="E606" s="2" t="n">
        <v>1.7066419070021E-015</v>
      </c>
    </row>
    <row r="607" customFormat="false" ht="13.8" hidden="false" customHeight="false" outlineLevel="0" collapsed="false">
      <c r="B607" s="2" t="n">
        <v>605</v>
      </c>
      <c r="C607" s="2" t="n">
        <v>0</v>
      </c>
      <c r="D607" s="2" t="n">
        <v>0.0214558064379475</v>
      </c>
      <c r="E607" s="2" t="n">
        <v>5.9128311660845E-016</v>
      </c>
    </row>
    <row r="608" customFormat="false" ht="13.8" hidden="false" customHeight="false" outlineLevel="0" collapsed="false">
      <c r="B608" s="2" t="n">
        <v>606</v>
      </c>
      <c r="C608" s="2" t="n">
        <v>0</v>
      </c>
      <c r="D608" s="2" t="n">
        <v>0.029103059176529</v>
      </c>
      <c r="E608" s="2" t="n">
        <v>4.56030633175369E-016</v>
      </c>
    </row>
    <row r="609" customFormat="false" ht="13.8" hidden="false" customHeight="false" outlineLevel="0" collapsed="false">
      <c r="B609" s="2" t="n">
        <v>607</v>
      </c>
      <c r="C609" s="2" t="n">
        <v>0</v>
      </c>
      <c r="D609" s="2" t="n">
        <v>0.0367503119151102</v>
      </c>
      <c r="E609" s="2" t="n">
        <v>3.97880104974158E-016</v>
      </c>
    </row>
    <row r="610" customFormat="false" ht="13.8" hidden="false" customHeight="false" outlineLevel="0" collapsed="false">
      <c r="B610" s="2" t="n">
        <v>608</v>
      </c>
      <c r="C610" s="2" t="n">
        <v>0</v>
      </c>
      <c r="D610" s="2" t="n">
        <v>0.0443975646536909</v>
      </c>
      <c r="E610" s="2" t="n">
        <v>3.41091099789724E-016</v>
      </c>
    </row>
    <row r="611" customFormat="false" ht="13.8" hidden="false" customHeight="false" outlineLevel="0" collapsed="false">
      <c r="B611" s="2" t="n">
        <v>609</v>
      </c>
      <c r="C611" s="2" t="n">
        <v>8.77892525969051E-014</v>
      </c>
      <c r="D611" s="2" t="n">
        <v>0.0520448173923586</v>
      </c>
      <c r="E611" s="2" t="n">
        <v>0</v>
      </c>
    </row>
    <row r="612" customFormat="false" ht="13.8" hidden="false" customHeight="false" outlineLevel="0" collapsed="false">
      <c r="B612" s="2" t="n">
        <v>610</v>
      </c>
      <c r="C612" s="2" t="n">
        <v>0</v>
      </c>
      <c r="D612" s="2" t="n">
        <v>0.058481251911702</v>
      </c>
      <c r="E612" s="2" t="n">
        <v>7.04254318274543E-017</v>
      </c>
    </row>
    <row r="613" customFormat="false" ht="13.8" hidden="false" customHeight="false" outlineLevel="0" collapsed="false">
      <c r="B613" s="2" t="n">
        <v>611</v>
      </c>
      <c r="C613" s="2" t="n">
        <v>0</v>
      </c>
      <c r="D613" s="2" t="n">
        <v>0.0649176864312829</v>
      </c>
      <c r="E613" s="2" t="n">
        <v>0</v>
      </c>
    </row>
    <row r="614" customFormat="false" ht="13.8" hidden="false" customHeight="false" outlineLevel="0" collapsed="false">
      <c r="B614" s="2" t="n">
        <v>612</v>
      </c>
      <c r="C614" s="2" t="n">
        <v>0.011601954658821</v>
      </c>
      <c r="D614" s="2" t="n">
        <v>0.0713541209505618</v>
      </c>
      <c r="E614" s="2" t="n">
        <v>1.99565211563391E-016</v>
      </c>
    </row>
    <row r="615" customFormat="false" ht="13.8" hidden="false" customHeight="false" outlineLevel="0" collapsed="false">
      <c r="B615" s="2" t="n">
        <v>613</v>
      </c>
      <c r="C615" s="2" t="n">
        <v>0.0160237123407608</v>
      </c>
      <c r="D615" s="2" t="n">
        <v>0.0777905554699903</v>
      </c>
      <c r="E615" s="2" t="n">
        <v>0.00419886520810208</v>
      </c>
    </row>
    <row r="616" customFormat="false" ht="13.8" hidden="false" customHeight="false" outlineLevel="0" collapsed="false">
      <c r="B616" s="2" t="n">
        <v>614</v>
      </c>
      <c r="C616" s="2" t="n">
        <v>0</v>
      </c>
      <c r="D616" s="2" t="n">
        <v>0.0826522730544542</v>
      </c>
      <c r="E616" s="2" t="n">
        <v>0.00410754661205139</v>
      </c>
    </row>
    <row r="617" customFormat="false" ht="13.8" hidden="false" customHeight="false" outlineLevel="0" collapsed="false">
      <c r="B617" s="2" t="n">
        <v>615</v>
      </c>
      <c r="C617" s="2" t="n">
        <v>0.0178647929169046</v>
      </c>
      <c r="D617" s="2" t="n">
        <v>0.0875139906389171</v>
      </c>
      <c r="E617" s="2" t="n">
        <v>0.00146726340482436</v>
      </c>
    </row>
    <row r="618" customFormat="false" ht="13.8" hidden="false" customHeight="false" outlineLevel="0" collapsed="false">
      <c r="B618" s="2" t="n">
        <v>616</v>
      </c>
      <c r="C618" s="2" t="n">
        <v>0</v>
      </c>
      <c r="D618" s="2" t="n">
        <v>0.0923757082233788</v>
      </c>
      <c r="E618" s="2" t="n">
        <v>0</v>
      </c>
    </row>
    <row r="619" customFormat="false" ht="13.8" hidden="false" customHeight="false" outlineLevel="0" collapsed="false">
      <c r="B619" s="2" t="n">
        <v>617</v>
      </c>
      <c r="C619" s="2" t="n">
        <v>0.0321577505878867</v>
      </c>
      <c r="D619" s="2" t="n">
        <v>0.0972374258078394</v>
      </c>
      <c r="E619" s="2" t="n">
        <v>0.00128544475750183</v>
      </c>
    </row>
    <row r="620" customFormat="false" ht="13.8" hidden="false" customHeight="false" outlineLevel="0" collapsed="false">
      <c r="B620" s="2" t="n">
        <v>618</v>
      </c>
      <c r="C620" s="2" t="n">
        <v>4.63079757067059E-011</v>
      </c>
      <c r="D620" s="2" t="n">
        <v>0.100114800236576</v>
      </c>
      <c r="E620" s="2" t="n">
        <v>0.00620289416252665</v>
      </c>
    </row>
    <row r="621" customFormat="false" ht="13.8" hidden="false" customHeight="false" outlineLevel="0" collapsed="false">
      <c r="B621" s="2" t="n">
        <v>619</v>
      </c>
      <c r="C621" s="2" t="n">
        <v>0.0395088102184571</v>
      </c>
      <c r="D621" s="2" t="n">
        <v>0.102992174665311</v>
      </c>
      <c r="E621" s="2" t="n">
        <v>0.00380760478336273</v>
      </c>
    </row>
    <row r="622" customFormat="false" ht="13.8" hidden="false" customHeight="false" outlineLevel="0" collapsed="false">
      <c r="B622" s="2" t="n">
        <v>620</v>
      </c>
      <c r="C622" s="2" t="n">
        <v>0.00440090080929727</v>
      </c>
      <c r="D622" s="2" t="n">
        <v>0.105869549094045</v>
      </c>
      <c r="E622" s="2" t="n">
        <v>0.0122133660569796</v>
      </c>
    </row>
    <row r="623" customFormat="false" ht="13.8" hidden="false" customHeight="false" outlineLevel="0" collapsed="false">
      <c r="B623" s="2" t="n">
        <v>621</v>
      </c>
      <c r="C623" s="2" t="n">
        <v>0.0555089505356395</v>
      </c>
      <c r="D623" s="2" t="n">
        <v>0.1087469235229</v>
      </c>
      <c r="E623" s="2" t="n">
        <v>0.0780866681880338</v>
      </c>
    </row>
    <row r="624" customFormat="false" ht="13.8" hidden="false" customHeight="false" outlineLevel="0" collapsed="false">
      <c r="B624" s="2" t="n">
        <v>622</v>
      </c>
      <c r="C624" s="2" t="n">
        <v>0</v>
      </c>
      <c r="D624" s="2" t="n">
        <v>0.106764885955523</v>
      </c>
      <c r="E624" s="2" t="n">
        <v>0.0408579916145557</v>
      </c>
    </row>
    <row r="625" customFormat="false" ht="13.8" hidden="false" customHeight="false" outlineLevel="0" collapsed="false">
      <c r="B625" s="2" t="n">
        <v>623</v>
      </c>
      <c r="C625" s="2" t="n">
        <v>0.0280621099408945</v>
      </c>
      <c r="D625" s="2" t="n">
        <v>0.104782848388416</v>
      </c>
      <c r="E625" s="2" t="n">
        <v>0.0557951189607466</v>
      </c>
    </row>
    <row r="626" customFormat="false" ht="13.8" hidden="false" customHeight="false" outlineLevel="0" collapsed="false">
      <c r="B626" s="2" t="n">
        <v>624</v>
      </c>
      <c r="C626" s="2" t="n">
        <v>3.120065815523E-016</v>
      </c>
      <c r="D626" s="2" t="n">
        <v>0.10280081082101</v>
      </c>
      <c r="E626" s="2" t="n">
        <v>0.12799831100705</v>
      </c>
    </row>
    <row r="627" customFormat="false" ht="13.8" hidden="false" customHeight="false" outlineLevel="0" collapsed="false">
      <c r="B627" s="2" t="n">
        <v>625</v>
      </c>
      <c r="C627" s="2" t="n">
        <v>4.10237793082554E-006</v>
      </c>
      <c r="D627" s="2" t="n">
        <v>0.100818773253851</v>
      </c>
      <c r="E627" s="2" t="n">
        <v>0.231211063915339</v>
      </c>
    </row>
    <row r="628" customFormat="false" ht="13.8" hidden="false" customHeight="false" outlineLevel="0" collapsed="false">
      <c r="B628" s="2" t="n">
        <v>626</v>
      </c>
      <c r="C628" s="2" t="n">
        <v>4.68659918364984E-015</v>
      </c>
      <c r="D628" s="2" t="n">
        <v>0.0896120761597131</v>
      </c>
      <c r="E628" s="2" t="n">
        <v>0.394786879875473</v>
      </c>
    </row>
    <row r="629" customFormat="false" ht="13.8" hidden="false" customHeight="false" outlineLevel="0" collapsed="false">
      <c r="B629" s="2" t="n">
        <v>627</v>
      </c>
      <c r="C629" s="2" t="n">
        <v>4.10237791685297E-006</v>
      </c>
      <c r="D629" s="2" t="n">
        <v>0.0784053790657605</v>
      </c>
      <c r="E629" s="2" t="n">
        <v>0.462586419382725</v>
      </c>
    </row>
    <row r="630" customFormat="false" ht="13.8" hidden="false" customHeight="false" outlineLevel="0" collapsed="false">
      <c r="B630" s="2" t="n">
        <v>628</v>
      </c>
      <c r="C630" s="2" t="n">
        <v>8.97276936535452E-015</v>
      </c>
      <c r="D630" s="2" t="n">
        <v>0.0671986819716343</v>
      </c>
      <c r="E630" s="2" t="n">
        <v>0.452429472858585</v>
      </c>
    </row>
    <row r="631" customFormat="false" ht="13.8" hidden="false" customHeight="false" outlineLevel="0" collapsed="false">
      <c r="B631" s="2" t="n">
        <v>629</v>
      </c>
      <c r="C631" s="2" t="n">
        <v>4.10229736391519E-006</v>
      </c>
      <c r="D631" s="2" t="n">
        <v>0.0559919848777476</v>
      </c>
      <c r="E631" s="2" t="n">
        <v>0.321780152115478</v>
      </c>
    </row>
    <row r="632" customFormat="false" ht="13.8" hidden="false" customHeight="false" outlineLevel="0" collapsed="false">
      <c r="B632" s="2" t="n">
        <v>630</v>
      </c>
      <c r="C632" s="2" t="n">
        <v>1.48006388731483E-014</v>
      </c>
      <c r="D632" s="2" t="n">
        <v>0.0547277538585271</v>
      </c>
      <c r="E632" s="2" t="n">
        <v>0.326299749867003</v>
      </c>
    </row>
    <row r="633" customFormat="false" ht="13.8" hidden="false" customHeight="false" outlineLevel="0" collapsed="false">
      <c r="B633" s="2" t="n">
        <v>631</v>
      </c>
      <c r="C633" s="2" t="n">
        <v>4.1023779018817E-006</v>
      </c>
      <c r="D633" s="2" t="n">
        <v>0.0534635228394596</v>
      </c>
      <c r="E633" s="2" t="n">
        <v>0.328736350526074</v>
      </c>
    </row>
    <row r="634" customFormat="false" ht="13.8" hidden="false" customHeight="false" outlineLevel="0" collapsed="false">
      <c r="B634" s="2" t="n">
        <v>632</v>
      </c>
      <c r="C634" s="2" t="n">
        <v>6.18226977131321E-015</v>
      </c>
      <c r="D634" s="2" t="n">
        <v>0.0521992918203916</v>
      </c>
      <c r="E634" s="2" t="n">
        <v>0.350592442515683</v>
      </c>
    </row>
    <row r="635" customFormat="false" ht="13.8" hidden="false" customHeight="false" outlineLevel="0" collapsed="false">
      <c r="B635" s="2" t="n">
        <v>633</v>
      </c>
      <c r="C635" s="2" t="n">
        <v>4.1023779013168E-006</v>
      </c>
      <c r="D635" s="2" t="n">
        <v>0.0509350608013624</v>
      </c>
      <c r="E635" s="2" t="n">
        <v>0.321448184505295</v>
      </c>
    </row>
    <row r="636" customFormat="false" ht="13.8" hidden="false" customHeight="false" outlineLevel="0" collapsed="false">
      <c r="B636" s="2" t="n">
        <v>634</v>
      </c>
      <c r="C636" s="2" t="n">
        <v>2.78997629121754E-014</v>
      </c>
      <c r="D636" s="2" t="n">
        <v>0.0469809765502522</v>
      </c>
      <c r="E636" s="2" t="n">
        <v>0.276110180186323</v>
      </c>
    </row>
    <row r="637" customFormat="false" ht="13.8" hidden="false" customHeight="false" outlineLevel="0" collapsed="false">
      <c r="B637" s="2" t="n">
        <v>635</v>
      </c>
      <c r="C637" s="2" t="n">
        <v>4.10237790149471E-006</v>
      </c>
      <c r="D637" s="2" t="n">
        <v>0.0430268922992015</v>
      </c>
      <c r="E637" s="2" t="n">
        <v>0.265141243617734</v>
      </c>
    </row>
    <row r="638" customFormat="false" ht="13.8" hidden="false" customHeight="false" outlineLevel="0" collapsed="false">
      <c r="B638" s="2" t="n">
        <v>636</v>
      </c>
      <c r="C638" s="2" t="n">
        <v>3.29415297227724E-014</v>
      </c>
      <c r="D638" s="2" t="n">
        <v>0.0390728080481077</v>
      </c>
      <c r="E638" s="2" t="n">
        <v>0.180631185095808</v>
      </c>
    </row>
    <row r="639" customFormat="false" ht="13.8" hidden="false" customHeight="false" outlineLevel="0" collapsed="false">
      <c r="B639" s="2" t="n">
        <v>637</v>
      </c>
      <c r="C639" s="2" t="n">
        <v>4.10237601340017E-006</v>
      </c>
      <c r="D639" s="2" t="n">
        <v>0.035118723797037</v>
      </c>
      <c r="E639" s="2" t="n">
        <v>0.133633869396847</v>
      </c>
    </row>
    <row r="640" customFormat="false" ht="13.8" hidden="false" customHeight="false" outlineLevel="0" collapsed="false">
      <c r="B640" s="2" t="n">
        <v>638</v>
      </c>
      <c r="C640" s="2" t="n">
        <v>2.87204903815353E-012</v>
      </c>
      <c r="D640" s="2" t="n">
        <v>0.0277166319672822</v>
      </c>
      <c r="E640" s="2" t="n">
        <v>0.134762251900529</v>
      </c>
    </row>
    <row r="641" customFormat="false" ht="13.8" hidden="false" customHeight="false" outlineLevel="0" collapsed="false">
      <c r="B641" s="2" t="n">
        <v>639</v>
      </c>
      <c r="C641" s="2" t="n">
        <v>2.67707560195741E-009</v>
      </c>
      <c r="D641" s="2" t="n">
        <v>4.81313402423263E-014</v>
      </c>
      <c r="E641" s="2" t="n">
        <v>6.76116191461197E-014</v>
      </c>
    </row>
    <row r="642" customFormat="false" ht="13.8" hidden="false" customHeight="false" outlineLevel="0" collapsed="false">
      <c r="B642" s="2" t="n">
        <v>640</v>
      </c>
      <c r="C642" s="2" t="n">
        <v>2.58613448690578E-009</v>
      </c>
      <c r="D642" s="2" t="n">
        <v>5.44886084039845E-014</v>
      </c>
      <c r="E642" s="2" t="n">
        <v>7.13718994274525E-014</v>
      </c>
    </row>
    <row r="643" customFormat="false" ht="13.8" hidden="false" customHeight="false" outlineLevel="0" collapsed="false">
      <c r="B643" s="2" t="n">
        <v>641</v>
      </c>
      <c r="C643" s="2" t="n">
        <v>2.49254844001102E-009</v>
      </c>
      <c r="D643" s="2" t="n">
        <v>6.08461740942759E-014</v>
      </c>
      <c r="E643" s="2" t="n">
        <v>7.53410339689441E-014</v>
      </c>
    </row>
    <row r="644" customFormat="false" ht="13.8" hidden="false" customHeight="false" outlineLevel="0" collapsed="false">
      <c r="B644" s="2" t="n">
        <v>642</v>
      </c>
      <c r="C644" s="2" t="n">
        <v>2.39896085897829E-009</v>
      </c>
      <c r="D644" s="2" t="n">
        <v>6.71462245178278E-014</v>
      </c>
      <c r="E644" s="2" t="n">
        <v>7.91403873460033E-014</v>
      </c>
    </row>
    <row r="645" customFormat="false" ht="13.8" hidden="false" customHeight="false" outlineLevel="0" collapsed="false">
      <c r="B645" s="2" t="n">
        <v>643</v>
      </c>
      <c r="C645" s="2" t="n">
        <v>2.30537541272069E-009</v>
      </c>
      <c r="D645" s="2" t="n">
        <v>7.34198960171943E-014</v>
      </c>
      <c r="E645" s="2" t="n">
        <v>8.31047739377342E-014</v>
      </c>
    </row>
    <row r="646" customFormat="false" ht="13.8" hidden="false" customHeight="false" outlineLevel="0" collapsed="false">
      <c r="B646" s="2" t="n">
        <v>644</v>
      </c>
      <c r="C646" s="2" t="n">
        <v>2.21178659733435E-009</v>
      </c>
      <c r="D646" s="2" t="n">
        <v>7.96929109128003E-014</v>
      </c>
      <c r="E646" s="2" t="n">
        <v>8.69184500958072E-014</v>
      </c>
    </row>
    <row r="647" customFormat="false" ht="13.8" hidden="false" customHeight="false" outlineLevel="0" collapsed="false">
      <c r="B647" s="2" t="n">
        <v>645</v>
      </c>
      <c r="C647" s="2" t="n">
        <v>2.11819801257071E-009</v>
      </c>
      <c r="D647" s="2" t="n">
        <v>8.59946565794767E-014</v>
      </c>
      <c r="E647" s="2" t="n">
        <v>9.08145390191536E-014</v>
      </c>
    </row>
    <row r="648" customFormat="false" ht="13.8" hidden="false" customHeight="false" outlineLevel="0" collapsed="false">
      <c r="B648" s="2" t="n">
        <v>646</v>
      </c>
      <c r="C648" s="2" t="n">
        <v>2.02460748172108E-009</v>
      </c>
      <c r="D648" s="2" t="n">
        <v>9.24437239178151E-014</v>
      </c>
      <c r="E648" s="2" t="n">
        <v>9.46027917026533E-014</v>
      </c>
    </row>
    <row r="649" customFormat="false" ht="13.8" hidden="false" customHeight="false" outlineLevel="0" collapsed="false">
      <c r="B649" s="2" t="n">
        <v>647</v>
      </c>
      <c r="C649" s="2" t="n">
        <v>1.9310167980246E-009</v>
      </c>
      <c r="D649" s="2" t="n">
        <v>9.86352077570274E-014</v>
      </c>
      <c r="E649" s="2" t="n">
        <v>9.84287179054298E-014</v>
      </c>
    </row>
    <row r="650" customFormat="false" ht="13.8" hidden="false" customHeight="false" outlineLevel="0" collapsed="false">
      <c r="B650" s="2" t="n">
        <v>648</v>
      </c>
      <c r="C650" s="2" t="n">
        <v>1.83742458812939E-009</v>
      </c>
      <c r="D650" s="2" t="n">
        <v>1.04940984520048E-013</v>
      </c>
      <c r="E650" s="2" t="n">
        <v>1.02511799825755E-013</v>
      </c>
    </row>
    <row r="651" customFormat="false" ht="13.8" hidden="false" customHeight="false" outlineLevel="0" collapsed="false">
      <c r="B651" s="2" t="n">
        <v>649</v>
      </c>
      <c r="C651" s="2" t="n">
        <v>1.74549923952813E-009</v>
      </c>
      <c r="D651" s="2" t="n">
        <v>5.05738494630789E-014</v>
      </c>
      <c r="E651" s="2" t="n">
        <v>1.12176245782749E-013</v>
      </c>
    </row>
    <row r="652" customFormat="false" ht="13.8" hidden="false" customHeight="false" outlineLevel="0" collapsed="false">
      <c r="B652" s="2" t="n">
        <v>650</v>
      </c>
      <c r="C652" s="2" t="n">
        <v>1.65181620819582E-009</v>
      </c>
      <c r="D652" s="2" t="n">
        <v>1.77919030716213E-013</v>
      </c>
      <c r="E652" s="2" t="n">
        <v>1.16173608496666E-013</v>
      </c>
    </row>
    <row r="653" customFormat="false" ht="13.8" hidden="false" customHeight="false" outlineLevel="0" collapsed="false">
      <c r="B653" s="2" t="n">
        <v>651</v>
      </c>
      <c r="C653" s="2" t="n">
        <v>1.55810932112763E-009</v>
      </c>
      <c r="D653" s="2" t="n">
        <v>1.29355233398285E-010</v>
      </c>
      <c r="E653" s="2" t="n">
        <v>1.14050094486628E-013</v>
      </c>
    </row>
    <row r="654" customFormat="false" ht="13.8" hidden="false" customHeight="false" outlineLevel="0" collapsed="false">
      <c r="B654" s="2" t="n">
        <v>652</v>
      </c>
      <c r="C654" s="2" t="n">
        <v>1.44660033790211E-009</v>
      </c>
      <c r="D654" s="2" t="n">
        <v>2.30360216844147E-013</v>
      </c>
      <c r="E654" s="2" t="n">
        <v>1.16727539142328E-013</v>
      </c>
    </row>
    <row r="655" customFormat="false" ht="13.8" hidden="false" customHeight="false" outlineLevel="0" collapsed="false">
      <c r="B655" s="2" t="n">
        <v>653</v>
      </c>
      <c r="C655" s="2" t="n">
        <v>1.39964078167645E-009</v>
      </c>
      <c r="D655" s="2" t="n">
        <v>1.11449412723151E-013</v>
      </c>
      <c r="E655" s="2" t="n">
        <v>1.23237572581203E-013</v>
      </c>
    </row>
    <row r="656" customFormat="false" ht="13.8" hidden="false" customHeight="false" outlineLevel="0" collapsed="false">
      <c r="B656" s="2" t="n">
        <v>654</v>
      </c>
      <c r="C656" s="2" t="n">
        <v>1.28789417024687E-009</v>
      </c>
      <c r="D656" s="2" t="n">
        <v>6.44579149200109E-011</v>
      </c>
      <c r="E656" s="2" t="n">
        <v>1.26811941409161E-014</v>
      </c>
    </row>
    <row r="657" customFormat="false" ht="13.8" hidden="false" customHeight="false" outlineLevel="0" collapsed="false">
      <c r="B657" s="2" t="n">
        <v>655</v>
      </c>
      <c r="C657" s="2" t="n">
        <v>1.19401523441931E-009</v>
      </c>
      <c r="D657" s="2" t="n">
        <v>1.11017243216528E-010</v>
      </c>
      <c r="E657" s="2" t="n">
        <v>0</v>
      </c>
    </row>
    <row r="658" customFormat="false" ht="13.8" hidden="false" customHeight="false" outlineLevel="0" collapsed="false">
      <c r="B658" s="2" t="n">
        <v>656</v>
      </c>
      <c r="C658" s="2" t="n">
        <v>1.10015226994422E-009</v>
      </c>
      <c r="D658" s="2" t="n">
        <v>1.57577122803396E-010</v>
      </c>
      <c r="E658" s="2" t="n">
        <v>0</v>
      </c>
    </row>
    <row r="659" customFormat="false" ht="13.8" hidden="false" customHeight="false" outlineLevel="0" collapsed="false">
      <c r="B659" s="2" t="n">
        <v>657</v>
      </c>
      <c r="C659" s="2" t="n">
        <v>1.00628829239365E-009</v>
      </c>
      <c r="D659" s="2" t="n">
        <v>2.04137436552396E-010</v>
      </c>
      <c r="E659" s="2" t="n">
        <v>0</v>
      </c>
    </row>
    <row r="660" customFormat="false" ht="13.8" hidden="false" customHeight="false" outlineLevel="0" collapsed="false">
      <c r="B660" s="2" t="n">
        <v>658</v>
      </c>
      <c r="C660" s="2" t="n">
        <v>9.1242348969417E-010</v>
      </c>
      <c r="D660" s="2" t="n">
        <v>2.50698131628181E-010</v>
      </c>
      <c r="E660" s="2" t="n">
        <v>0</v>
      </c>
    </row>
    <row r="661" customFormat="false" ht="13.8" hidden="false" customHeight="false" outlineLevel="0" collapsed="false">
      <c r="B661" s="2" t="n">
        <v>659</v>
      </c>
      <c r="C661" s="2" t="n">
        <v>8.18557641299131E-010</v>
      </c>
      <c r="D661" s="2" t="n">
        <v>2.97259420632669E-010</v>
      </c>
      <c r="E661" s="2" t="n">
        <v>0</v>
      </c>
    </row>
    <row r="662" customFormat="false" ht="13.8" hidden="false" customHeight="false" outlineLevel="0" collapsed="false">
      <c r="B662" s="2" t="n">
        <v>660</v>
      </c>
      <c r="C662" s="2" t="n">
        <v>7.24690947953784E-010</v>
      </c>
      <c r="D662" s="2" t="n">
        <v>3.43821107814385E-010</v>
      </c>
      <c r="E662" s="2" t="n">
        <v>0</v>
      </c>
    </row>
    <row r="663" customFormat="false" ht="13.8" hidden="false" customHeight="false" outlineLevel="0" collapsed="false">
      <c r="B663" s="2" t="n">
        <v>661</v>
      </c>
      <c r="C663" s="2" t="n">
        <v>6.30823273689933E-010</v>
      </c>
      <c r="D663" s="2" t="n">
        <v>3.90383188794977E-010</v>
      </c>
      <c r="E663" s="2" t="n">
        <v>0</v>
      </c>
    </row>
    <row r="664" customFormat="false" ht="13.8" hidden="false" customHeight="false" outlineLevel="0" collapsed="false">
      <c r="B664" s="2" t="n">
        <v>662</v>
      </c>
      <c r="C664" s="2" t="n">
        <v>5.36954680526773E-010</v>
      </c>
      <c r="D664" s="2" t="n">
        <v>4.36945785507915E-010</v>
      </c>
      <c r="E664" s="2" t="n">
        <v>0</v>
      </c>
    </row>
    <row r="665" customFormat="false" ht="13.8" hidden="false" customHeight="false" outlineLevel="0" collapsed="false">
      <c r="B665" s="2" t="n">
        <v>663</v>
      </c>
      <c r="C665" s="2" t="n">
        <v>4.43085094727868E-010</v>
      </c>
      <c r="D665" s="2" t="n">
        <v>4.83508689058823E-010</v>
      </c>
      <c r="E665" s="2" t="n">
        <v>0</v>
      </c>
    </row>
    <row r="666" customFormat="false" ht="13.8" hidden="false" customHeight="false" outlineLevel="0" collapsed="false">
      <c r="B666" s="2" t="n">
        <v>664</v>
      </c>
      <c r="C666" s="2" t="n">
        <v>3.49214627040738E-010</v>
      </c>
      <c r="D666" s="2" t="n">
        <v>5.30071990677843E-010</v>
      </c>
      <c r="E666" s="2" t="n">
        <v>0</v>
      </c>
    </row>
    <row r="667" customFormat="false" ht="13.8" hidden="false" customHeight="false" outlineLevel="0" collapsed="false">
      <c r="B667" s="2" t="n">
        <v>665</v>
      </c>
      <c r="C667" s="2" t="n">
        <v>2.55343197672699E-010</v>
      </c>
      <c r="D667" s="2" t="n">
        <v>5.76635755497875E-010</v>
      </c>
      <c r="E667" s="2" t="n">
        <v>0</v>
      </c>
    </row>
    <row r="668" customFormat="false" ht="13.8" hidden="false" customHeight="false" outlineLevel="0" collapsed="false">
      <c r="B668" s="2" t="n">
        <v>666</v>
      </c>
      <c r="C668" s="2" t="n">
        <v>1.6140595940067E-010</v>
      </c>
      <c r="D668" s="2" t="n">
        <v>6.23200053017853E-010</v>
      </c>
      <c r="E668" s="2" t="n">
        <v>0</v>
      </c>
    </row>
    <row r="669" customFormat="false" ht="13.8" hidden="false" customHeight="false" outlineLevel="0" collapsed="false">
      <c r="B669" s="2" t="n">
        <v>667</v>
      </c>
      <c r="C669" s="2" t="n">
        <v>0</v>
      </c>
      <c r="D669" s="2" t="n">
        <v>6.87126440533892E-010</v>
      </c>
      <c r="E669" s="2" t="n">
        <v>0</v>
      </c>
    </row>
    <row r="670" customFormat="false" ht="13.8" hidden="false" customHeight="false" outlineLevel="0" collapsed="false">
      <c r="B670" s="2" t="n">
        <v>668</v>
      </c>
      <c r="C670" s="2" t="n">
        <v>0</v>
      </c>
      <c r="D670" s="2" t="n">
        <v>7.10412463079172E-010</v>
      </c>
      <c r="E670" s="2" t="n">
        <v>0</v>
      </c>
    </row>
    <row r="671" customFormat="false" ht="13.8" hidden="false" customHeight="false" outlineLevel="0" collapsed="false">
      <c r="B671" s="2" t="n">
        <v>669</v>
      </c>
      <c r="C671" s="2" t="n">
        <v>0</v>
      </c>
      <c r="D671" s="2" t="n">
        <v>7.33698683388518E-010</v>
      </c>
      <c r="E671" s="2" t="n">
        <v>0</v>
      </c>
    </row>
    <row r="672" customFormat="false" ht="13.8" hidden="false" customHeight="false" outlineLevel="0" collapsed="false">
      <c r="B672" s="2" t="n">
        <v>670</v>
      </c>
      <c r="C672" s="2" t="n">
        <v>0</v>
      </c>
      <c r="D672" s="2" t="n">
        <v>7.56985151763166E-010</v>
      </c>
      <c r="E672" s="2" t="n">
        <v>0</v>
      </c>
    </row>
    <row r="673" customFormat="false" ht="13.8" hidden="false" customHeight="false" outlineLevel="0" collapsed="false">
      <c r="B673" s="2" t="n">
        <v>671</v>
      </c>
      <c r="C673" s="2" t="n">
        <v>0</v>
      </c>
      <c r="D673" s="2" t="n">
        <v>8.2091255775511E-010</v>
      </c>
      <c r="E673" s="2" t="n">
        <v>0</v>
      </c>
    </row>
    <row r="674" customFormat="false" ht="13.8" hidden="false" customHeight="false" outlineLevel="0" collapsed="false">
      <c r="B674" s="2" t="n">
        <v>672</v>
      </c>
      <c r="C674" s="2" t="n">
        <v>4.73107280167272E-015</v>
      </c>
      <c r="D674" s="2" t="n">
        <v>1.20273346023272E-015</v>
      </c>
      <c r="E674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674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0" sqref="C3"/>
    </sheetView>
  </sheetViews>
  <sheetFormatPr defaultColWidth="8.5429687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B3" s="2" t="n">
        <v>1</v>
      </c>
      <c r="C3" s="2" t="n">
        <v>1.63439878712343E-008</v>
      </c>
      <c r="D3" s="2" t="n">
        <v>8.27124641875049E-012</v>
      </c>
      <c r="E3" s="2" t="n">
        <v>0.0353359332652641</v>
      </c>
    </row>
    <row r="4" customFormat="false" ht="13.8" hidden="false" customHeight="false" outlineLevel="0" collapsed="false">
      <c r="B4" s="2" t="n">
        <v>2</v>
      </c>
      <c r="C4" s="2" t="n">
        <v>1.19372418420849E-008</v>
      </c>
      <c r="D4" s="2" t="n">
        <v>8.49362055655587E-012</v>
      </c>
      <c r="E4" s="2" t="n">
        <v>0.0593854832656139</v>
      </c>
    </row>
    <row r="5" customFormat="false" ht="13.8" hidden="false" customHeight="false" outlineLevel="0" collapsed="false">
      <c r="B5" s="2" t="n">
        <v>3</v>
      </c>
      <c r="C5" s="2" t="n">
        <v>1.1383771922891E-008</v>
      </c>
      <c r="D5" s="2" t="n">
        <v>8.48960989151945E-012</v>
      </c>
      <c r="E5" s="2" t="n">
        <v>0.0691853165990432</v>
      </c>
    </row>
    <row r="6" customFormat="false" ht="13.8" hidden="false" customHeight="false" outlineLevel="0" collapsed="false">
      <c r="B6" s="2" t="n">
        <v>4</v>
      </c>
      <c r="C6" s="2" t="n">
        <v>9.73369539422215E-009</v>
      </c>
      <c r="D6" s="2" t="n">
        <v>8.61079841466782E-012</v>
      </c>
      <c r="E6" s="2" t="n">
        <v>0.0965011332658348</v>
      </c>
    </row>
    <row r="7" customFormat="false" ht="13.8" hidden="false" customHeight="false" outlineLevel="0" collapsed="false">
      <c r="B7" s="2" t="n">
        <v>5</v>
      </c>
      <c r="C7" s="2" t="n">
        <v>1.13940705274683E-008</v>
      </c>
      <c r="D7" s="2" t="n">
        <v>0.00273854914286648</v>
      </c>
      <c r="E7" s="2" t="n">
        <v>0.175511884132116</v>
      </c>
    </row>
    <row r="8" customFormat="false" ht="13.8" hidden="false" customHeight="false" outlineLevel="0" collapsed="false">
      <c r="B8" s="2" t="n">
        <v>6</v>
      </c>
      <c r="C8" s="2" t="n">
        <v>1.11177878103837E-008</v>
      </c>
      <c r="D8" s="2" t="n">
        <v>0.0127317478467633</v>
      </c>
      <c r="E8" s="2" t="n">
        <v>0.138001802094918</v>
      </c>
    </row>
    <row r="9" customFormat="false" ht="13.8" hidden="false" customHeight="false" outlineLevel="0" collapsed="false">
      <c r="B9" s="2" t="n">
        <v>7</v>
      </c>
      <c r="C9" s="2" t="n">
        <v>1.08422732851053E-008</v>
      </c>
      <c r="D9" s="2" t="n">
        <v>0.0305841165033799</v>
      </c>
      <c r="E9" s="2" t="n">
        <v>0.147449350105001</v>
      </c>
    </row>
    <row r="10" customFormat="false" ht="13.8" hidden="false" customHeight="false" outlineLevel="0" collapsed="false">
      <c r="B10" s="2" t="n">
        <v>8</v>
      </c>
      <c r="C10" s="2" t="n">
        <v>9.93318951526E-009</v>
      </c>
      <c r="D10" s="2" t="n">
        <v>0.0999999998801672</v>
      </c>
      <c r="E10" s="2" t="n">
        <v>0.0521168332880232</v>
      </c>
    </row>
    <row r="11" customFormat="false" ht="13.8" hidden="false" customHeight="false" outlineLevel="0" collapsed="false">
      <c r="B11" s="2" t="n">
        <v>9</v>
      </c>
      <c r="C11" s="2" t="n">
        <v>9.38207869656662E-009</v>
      </c>
      <c r="D11" s="2" t="n">
        <v>0.0999999998334434</v>
      </c>
      <c r="E11" s="2" t="n">
        <v>0.0792501166218931</v>
      </c>
    </row>
    <row r="12" customFormat="false" ht="13.8" hidden="false" customHeight="false" outlineLevel="0" collapsed="false">
      <c r="B12" s="2" t="n">
        <v>10</v>
      </c>
      <c r="C12" s="2" t="n">
        <v>8.83082518067015E-009</v>
      </c>
      <c r="D12" s="2" t="n">
        <v>0.0999999997866372</v>
      </c>
      <c r="E12" s="2" t="n">
        <v>0.0510502666227295</v>
      </c>
    </row>
    <row r="13" customFormat="false" ht="13.8" hidden="false" customHeight="false" outlineLevel="0" collapsed="false">
      <c r="B13" s="2" t="n">
        <v>11</v>
      </c>
      <c r="C13" s="2" t="n">
        <v>8.27954122560818E-009</v>
      </c>
      <c r="D13" s="2" t="n">
        <v>0.0999999997397618</v>
      </c>
      <c r="E13" s="2" t="n">
        <v>0.0345002999571505</v>
      </c>
    </row>
    <row r="14" customFormat="false" ht="13.8" hidden="false" customHeight="false" outlineLevel="0" collapsed="false">
      <c r="B14" s="2" t="n">
        <v>12</v>
      </c>
      <c r="C14" s="2" t="n">
        <v>7.72822469209817E-009</v>
      </c>
      <c r="D14" s="2" t="n">
        <v>0.0999999996928237</v>
      </c>
      <c r="E14" s="2" t="n">
        <v>0.068266833291816</v>
      </c>
    </row>
    <row r="15" customFormat="false" ht="13.8" hidden="false" customHeight="false" outlineLevel="0" collapsed="false">
      <c r="B15" s="2" t="n">
        <v>13</v>
      </c>
      <c r="C15" s="2" t="n">
        <v>7.17692968680171E-009</v>
      </c>
      <c r="D15" s="2" t="n">
        <v>0.0999999996459384</v>
      </c>
      <c r="E15" s="2" t="n">
        <v>0.0905501166262387</v>
      </c>
    </row>
    <row r="16" customFormat="false" ht="13.8" hidden="false" customHeight="false" outlineLevel="0" collapsed="false">
      <c r="B16" s="2" t="n">
        <v>14</v>
      </c>
      <c r="C16" s="2" t="n">
        <v>6.62562751923241E-009</v>
      </c>
      <c r="D16" s="2" t="n">
        <v>0.0999999995990493</v>
      </c>
      <c r="E16" s="2" t="n">
        <v>0.0981333666273444</v>
      </c>
    </row>
    <row r="17" customFormat="false" ht="13.8" hidden="false" customHeight="false" outlineLevel="0" collapsed="false">
      <c r="B17" s="2" t="n">
        <v>15</v>
      </c>
      <c r="C17" s="2" t="n">
        <v>6.07432008025419E-009</v>
      </c>
      <c r="D17" s="2" t="n">
        <v>0.0999999995521597</v>
      </c>
      <c r="E17" s="2" t="n">
        <v>0.0680666832951168</v>
      </c>
    </row>
    <row r="18" customFormat="false" ht="13.8" hidden="false" customHeight="false" outlineLevel="0" collapsed="false">
      <c r="B18" s="2" t="n">
        <v>16</v>
      </c>
      <c r="C18" s="2" t="n">
        <v>5.52300668335262E-009</v>
      </c>
      <c r="D18" s="2" t="n">
        <v>0.0999999995052696</v>
      </c>
      <c r="E18" s="2" t="n">
        <v>0.084483499962889</v>
      </c>
    </row>
    <row r="19" customFormat="false" ht="13.8" hidden="false" customHeight="false" outlineLevel="0" collapsed="false">
      <c r="B19" s="2" t="n">
        <v>17</v>
      </c>
      <c r="C19" s="2" t="n">
        <v>4.97168806854193E-009</v>
      </c>
      <c r="D19" s="2" t="n">
        <v>0.0999999994583791</v>
      </c>
      <c r="E19" s="2" t="n">
        <v>0.0432004666306613</v>
      </c>
    </row>
    <row r="20" customFormat="false" ht="13.8" hidden="false" customHeight="false" outlineLevel="0" collapsed="false">
      <c r="B20" s="2" t="n">
        <v>18</v>
      </c>
      <c r="C20" s="2" t="n">
        <v>4.42036363667277E-009</v>
      </c>
      <c r="D20" s="2" t="n">
        <v>0.0999999994114881</v>
      </c>
      <c r="E20" s="2" t="n">
        <v>0.1066168999651</v>
      </c>
    </row>
    <row r="21" customFormat="false" ht="13.8" hidden="false" customHeight="false" outlineLevel="0" collapsed="false">
      <c r="B21" s="2" t="n">
        <v>19</v>
      </c>
      <c r="C21" s="2" t="n">
        <v>3.86903388318911E-009</v>
      </c>
      <c r="D21" s="2" t="n">
        <v>0.0999999993645966</v>
      </c>
      <c r="E21" s="2" t="n">
        <v>0.0422335166328724</v>
      </c>
    </row>
    <row r="22" customFormat="false" ht="13.8" hidden="false" customHeight="false" outlineLevel="0" collapsed="false">
      <c r="B22" s="2" t="n">
        <v>20</v>
      </c>
      <c r="C22" s="2" t="n">
        <v>3.31769845709442E-009</v>
      </c>
      <c r="D22" s="2" t="n">
        <v>0.0999999993177036</v>
      </c>
      <c r="E22" s="2" t="n">
        <v>0.0803504333006449</v>
      </c>
    </row>
    <row r="23" customFormat="false" ht="13.8" hidden="false" customHeight="false" outlineLevel="0" collapsed="false">
      <c r="B23" s="2" t="n">
        <v>21</v>
      </c>
      <c r="C23" s="2" t="n">
        <v>2.76635757262954E-009</v>
      </c>
      <c r="D23" s="2" t="n">
        <v>0.0999999992702584</v>
      </c>
      <c r="E23" s="2" t="n">
        <v>0.0753004333017503</v>
      </c>
    </row>
    <row r="24" customFormat="false" ht="13.8" hidden="false" customHeight="false" outlineLevel="0" collapsed="false">
      <c r="B24" s="2" t="n">
        <v>22</v>
      </c>
      <c r="C24" s="2" t="n">
        <v>2.20972964711679E-009</v>
      </c>
      <c r="D24" s="2" t="n">
        <v>1.13847463078072E-013</v>
      </c>
      <c r="E24" s="2" t="n">
        <v>0.0938680659952546</v>
      </c>
    </row>
    <row r="25" customFormat="false" ht="13.8" hidden="false" customHeight="false" outlineLevel="0" collapsed="false">
      <c r="B25" s="2" t="n">
        <v>23</v>
      </c>
      <c r="C25" s="2" t="n">
        <v>1.65790073951326E-009</v>
      </c>
      <c r="D25" s="2" t="n">
        <v>0</v>
      </c>
      <c r="E25" s="2" t="n">
        <v>0.0482362654201667</v>
      </c>
    </row>
    <row r="26" customFormat="false" ht="13.8" hidden="false" customHeight="false" outlineLevel="0" collapsed="false">
      <c r="B26" s="2" t="n">
        <v>24</v>
      </c>
      <c r="C26" s="2" t="n">
        <v>1.10608341886293E-009</v>
      </c>
      <c r="D26" s="2" t="n">
        <v>0</v>
      </c>
      <c r="E26" s="2" t="n">
        <v>0.108437681511744</v>
      </c>
    </row>
    <row r="27" customFormat="false" ht="13.8" hidden="false" customHeight="false" outlineLevel="0" collapsed="false">
      <c r="B27" s="2" t="n">
        <v>25</v>
      </c>
      <c r="C27" s="2" t="n">
        <v>5.5432913516E-010</v>
      </c>
      <c r="D27" s="2" t="n">
        <v>0</v>
      </c>
      <c r="E27" s="2" t="n">
        <v>0.063205647603323</v>
      </c>
    </row>
    <row r="28" customFormat="false" ht="13.8" hidden="false" customHeight="false" outlineLevel="0" collapsed="false">
      <c r="B28" s="2" t="n">
        <v>26</v>
      </c>
      <c r="C28" s="2" t="n">
        <v>0.014868173352956</v>
      </c>
      <c r="D28" s="2" t="n">
        <v>0</v>
      </c>
      <c r="E28" s="2" t="n">
        <v>0.079739633146563</v>
      </c>
    </row>
    <row r="29" customFormat="false" ht="13.8" hidden="false" customHeight="false" outlineLevel="0" collapsed="false">
      <c r="B29" s="2" t="n">
        <v>27</v>
      </c>
      <c r="C29" s="2" t="n">
        <v>0.0340600687381934</v>
      </c>
      <c r="D29" s="2" t="n">
        <v>0</v>
      </c>
      <c r="E29" s="2" t="n">
        <v>0.00494998002951709</v>
      </c>
    </row>
    <row r="30" customFormat="false" ht="13.8" hidden="false" customHeight="false" outlineLevel="0" collapsed="false">
      <c r="B30" s="2" t="n">
        <v>28</v>
      </c>
      <c r="C30" s="2" t="n">
        <v>0.0620292742694149</v>
      </c>
      <c r="D30" s="2" t="n">
        <v>0</v>
      </c>
      <c r="E30" s="2" t="n">
        <v>1.07944950801887E-009</v>
      </c>
    </row>
    <row r="31" customFormat="false" ht="13.8" hidden="false" customHeight="false" outlineLevel="0" collapsed="false">
      <c r="B31" s="2" t="n">
        <v>29</v>
      </c>
      <c r="C31" s="2" t="n">
        <v>0.00531466649011134</v>
      </c>
      <c r="D31" s="2" t="n">
        <v>0</v>
      </c>
      <c r="E31" s="2" t="n">
        <v>1.61660656173313E-009</v>
      </c>
    </row>
    <row r="32" customFormat="false" ht="13.8" hidden="false" customHeight="false" outlineLevel="0" collapsed="false">
      <c r="B32" s="2" t="n">
        <v>30</v>
      </c>
      <c r="C32" s="2" t="n">
        <v>0</v>
      </c>
      <c r="D32" s="2" t="n">
        <v>0</v>
      </c>
      <c r="E32" s="2" t="n">
        <v>0</v>
      </c>
    </row>
    <row r="33" customFormat="false" ht="13.8" hidden="false" customHeight="false" outlineLevel="0" collapsed="false">
      <c r="B33" s="2" t="n">
        <v>31</v>
      </c>
      <c r="C33" s="2" t="n">
        <v>7.18352122732863E-016</v>
      </c>
      <c r="D33" s="2" t="n">
        <v>0</v>
      </c>
      <c r="E33" s="2" t="n">
        <v>2.21248995856903E-012</v>
      </c>
    </row>
    <row r="34" customFormat="false" ht="13.8" hidden="false" customHeight="false" outlineLevel="0" collapsed="false">
      <c r="B34" s="2" t="n">
        <v>32</v>
      </c>
      <c r="C34" s="2" t="n">
        <v>2.92255304320443E-016</v>
      </c>
      <c r="D34" s="2" t="n">
        <v>0</v>
      </c>
      <c r="E34" s="2" t="n">
        <v>2.11962823814484E-012</v>
      </c>
    </row>
    <row r="35" customFormat="false" ht="13.8" hidden="false" customHeight="false" outlineLevel="0" collapsed="false">
      <c r="B35" s="2" t="n">
        <v>33</v>
      </c>
      <c r="C35" s="2" t="n">
        <v>4.41468886091615E-016</v>
      </c>
      <c r="D35" s="2" t="n">
        <v>0</v>
      </c>
      <c r="E35" s="2" t="n">
        <v>2.02688749177685E-012</v>
      </c>
    </row>
    <row r="36" customFormat="false" ht="13.8" hidden="false" customHeight="false" outlineLevel="0" collapsed="false">
      <c r="B36" s="2" t="n">
        <v>34</v>
      </c>
      <c r="C36" s="2" t="n">
        <v>4.92697142467695E-016</v>
      </c>
      <c r="D36" s="2" t="n">
        <v>0</v>
      </c>
      <c r="E36" s="2" t="n">
        <v>1.93432813218919E-012</v>
      </c>
    </row>
    <row r="37" customFormat="false" ht="13.8" hidden="false" customHeight="false" outlineLevel="0" collapsed="false">
      <c r="B37" s="2" t="n">
        <v>35</v>
      </c>
      <c r="C37" s="2" t="n">
        <v>5.43400397773336E-016</v>
      </c>
      <c r="D37" s="2" t="n">
        <v>0</v>
      </c>
      <c r="E37" s="2" t="n">
        <v>1.8416242316625E-012</v>
      </c>
    </row>
    <row r="38" customFormat="false" ht="13.8" hidden="false" customHeight="false" outlineLevel="0" collapsed="false">
      <c r="B38" s="2" t="n">
        <v>36</v>
      </c>
      <c r="C38" s="2" t="n">
        <v>5.95080430966894E-016</v>
      </c>
      <c r="D38" s="2" t="n">
        <v>0</v>
      </c>
      <c r="E38" s="2" t="n">
        <v>1.74905928199431E-012</v>
      </c>
    </row>
    <row r="39" customFormat="false" ht="13.8" hidden="false" customHeight="false" outlineLevel="0" collapsed="false">
      <c r="B39" s="2" t="n">
        <v>37</v>
      </c>
      <c r="C39" s="2" t="n">
        <v>6.43801225285264E-016</v>
      </c>
      <c r="D39" s="2" t="n">
        <v>0</v>
      </c>
      <c r="E39" s="2" t="n">
        <v>1.65650060990363E-012</v>
      </c>
    </row>
    <row r="40" customFormat="false" ht="13.8" hidden="false" customHeight="false" outlineLevel="0" collapsed="false">
      <c r="B40" s="2" t="n">
        <v>38</v>
      </c>
      <c r="C40" s="2" t="n">
        <v>9.51262922973028E-016</v>
      </c>
      <c r="D40" s="2" t="n">
        <v>0</v>
      </c>
      <c r="E40" s="2" t="n">
        <v>1.5640286448184E-012</v>
      </c>
    </row>
    <row r="41" customFormat="false" ht="13.8" hidden="false" customHeight="false" outlineLevel="0" collapsed="false">
      <c r="B41" s="2" t="n">
        <v>39</v>
      </c>
      <c r="C41" s="2" t="n">
        <v>1.25678966770276E-015</v>
      </c>
      <c r="D41" s="2" t="n">
        <v>0</v>
      </c>
      <c r="E41" s="2" t="n">
        <v>1.471444863355E-012</v>
      </c>
    </row>
    <row r="42" customFormat="false" ht="13.8" hidden="false" customHeight="false" outlineLevel="0" collapsed="false">
      <c r="B42" s="2" t="n">
        <v>40</v>
      </c>
      <c r="C42" s="2" t="n">
        <v>0</v>
      </c>
      <c r="D42" s="2" t="n">
        <v>0</v>
      </c>
      <c r="E42" s="2" t="n">
        <v>1.37837125657469E-012</v>
      </c>
    </row>
    <row r="43" customFormat="false" ht="13.8" hidden="false" customHeight="false" outlineLevel="0" collapsed="false">
      <c r="B43" s="2" t="n">
        <v>41</v>
      </c>
      <c r="C43" s="2" t="n">
        <v>2.72182877075226E-013</v>
      </c>
      <c r="D43" s="2" t="n">
        <v>0</v>
      </c>
      <c r="E43" s="2" t="n">
        <v>1.2857956527145E-012</v>
      </c>
    </row>
    <row r="44" customFormat="false" ht="13.8" hidden="false" customHeight="false" outlineLevel="0" collapsed="false">
      <c r="B44" s="2" t="n">
        <v>42</v>
      </c>
      <c r="C44" s="2" t="n">
        <v>2.3436290673504E-010</v>
      </c>
      <c r="D44" s="2" t="n">
        <v>0</v>
      </c>
      <c r="E44" s="2" t="n">
        <v>1.19318714319481E-012</v>
      </c>
    </row>
    <row r="45" customFormat="false" ht="13.8" hidden="false" customHeight="false" outlineLevel="0" collapsed="false">
      <c r="B45" s="2" t="n">
        <v>43</v>
      </c>
      <c r="C45" s="2" t="n">
        <v>4.68043925948769E-010</v>
      </c>
      <c r="D45" s="2" t="n">
        <v>0</v>
      </c>
      <c r="E45" s="2" t="n">
        <v>1.10061257529899E-012</v>
      </c>
    </row>
    <row r="46" customFormat="false" ht="13.8" hidden="false" customHeight="false" outlineLevel="0" collapsed="false">
      <c r="B46" s="2" t="n">
        <v>44</v>
      </c>
      <c r="C46" s="2" t="n">
        <v>4.79245506592972E-013</v>
      </c>
      <c r="D46" s="2" t="n">
        <v>0</v>
      </c>
      <c r="E46" s="2" t="n">
        <v>1.0078264470782E-012</v>
      </c>
    </row>
    <row r="47" customFormat="false" ht="13.8" hidden="false" customHeight="false" outlineLevel="0" collapsed="false">
      <c r="B47" s="2" t="n">
        <v>45</v>
      </c>
      <c r="C47" s="2" t="n">
        <v>4.41036016621529E-014</v>
      </c>
      <c r="D47" s="2" t="n">
        <v>0</v>
      </c>
      <c r="E47" s="2" t="n">
        <v>9.15282795445022E-013</v>
      </c>
    </row>
    <row r="48" customFormat="false" ht="13.8" hidden="false" customHeight="false" outlineLevel="0" collapsed="false">
      <c r="B48" s="2" t="n">
        <v>46</v>
      </c>
      <c r="C48" s="2" t="n">
        <v>5.39815860798688E-014</v>
      </c>
      <c r="D48" s="2" t="n">
        <v>0</v>
      </c>
      <c r="E48" s="2" t="n">
        <v>8.22785860251214E-013</v>
      </c>
    </row>
    <row r="49" customFormat="false" ht="13.8" hidden="false" customHeight="false" outlineLevel="0" collapsed="false">
      <c r="B49" s="2" t="n">
        <v>47</v>
      </c>
      <c r="C49" s="2" t="n">
        <v>1.623723160304E-012</v>
      </c>
      <c r="D49" s="2" t="n">
        <v>0</v>
      </c>
      <c r="E49" s="2" t="n">
        <v>7.30105035368319E-013</v>
      </c>
    </row>
    <row r="50" customFormat="false" ht="13.8" hidden="false" customHeight="false" outlineLevel="0" collapsed="false">
      <c r="B50" s="2" t="n">
        <v>48</v>
      </c>
      <c r="C50" s="2" t="n">
        <v>1.63741439980143E-009</v>
      </c>
      <c r="D50" s="2" t="n">
        <v>0</v>
      </c>
      <c r="E50" s="2" t="n">
        <v>6.37490993116739E-013</v>
      </c>
    </row>
    <row r="51" customFormat="false" ht="13.8" hidden="false" customHeight="false" outlineLevel="0" collapsed="false">
      <c r="B51" s="2" t="n">
        <v>49</v>
      </c>
      <c r="C51" s="2" t="n">
        <v>0</v>
      </c>
      <c r="D51" s="2" t="n">
        <v>0</v>
      </c>
      <c r="E51" s="2" t="n">
        <v>9.32775983391258E-010</v>
      </c>
    </row>
    <row r="52" customFormat="false" ht="13.8" hidden="false" customHeight="false" outlineLevel="0" collapsed="false">
      <c r="B52" s="2" t="n">
        <v>50</v>
      </c>
      <c r="C52" s="2" t="n">
        <v>1.09051373866614E-014</v>
      </c>
      <c r="D52" s="2" t="n">
        <v>0</v>
      </c>
      <c r="E52" s="2" t="n">
        <v>4.52251037483975E-013</v>
      </c>
    </row>
    <row r="53" customFormat="false" ht="13.8" hidden="false" customHeight="false" outlineLevel="0" collapsed="false">
      <c r="B53" s="2" t="n">
        <v>51</v>
      </c>
      <c r="C53" s="2" t="n">
        <v>2.97651041479932E-016</v>
      </c>
      <c r="D53" s="2" t="n">
        <v>0</v>
      </c>
      <c r="E53" s="2" t="n">
        <v>3.59679421907562E-013</v>
      </c>
    </row>
    <row r="54" customFormat="false" ht="13.8" hidden="false" customHeight="false" outlineLevel="0" collapsed="false">
      <c r="B54" s="2" t="n">
        <v>52</v>
      </c>
      <c r="C54" s="2" t="n">
        <v>0</v>
      </c>
      <c r="D54" s="2" t="n">
        <v>0</v>
      </c>
      <c r="E54" s="2" t="n">
        <v>2.67074965536039E-013</v>
      </c>
    </row>
    <row r="55" customFormat="false" ht="13.8" hidden="false" customHeight="false" outlineLevel="0" collapsed="false">
      <c r="B55" s="2" t="n">
        <v>53</v>
      </c>
      <c r="C55" s="2" t="n">
        <v>0</v>
      </c>
      <c r="D55" s="2" t="n">
        <v>0</v>
      </c>
      <c r="E55" s="2" t="n">
        <v>1.74434888940071E-013</v>
      </c>
    </row>
    <row r="56" customFormat="false" ht="13.8" hidden="false" customHeight="false" outlineLevel="0" collapsed="false">
      <c r="B56" s="2" t="n">
        <v>54</v>
      </c>
      <c r="C56" s="2" t="n">
        <v>0</v>
      </c>
      <c r="D56" s="2" t="n">
        <v>0</v>
      </c>
      <c r="E56" s="2" t="n">
        <v>1.01372849322147E-013</v>
      </c>
    </row>
    <row r="57" customFormat="false" ht="13.8" hidden="false" customHeight="false" outlineLevel="0" collapsed="false">
      <c r="B57" s="2" t="n">
        <v>55</v>
      </c>
      <c r="C57" s="2" t="n">
        <v>0</v>
      </c>
      <c r="D57" s="2" t="n">
        <v>0</v>
      </c>
      <c r="E57" s="2" t="n">
        <v>2.77167010437795E-014</v>
      </c>
    </row>
    <row r="58" customFormat="false" ht="13.8" hidden="false" customHeight="false" outlineLevel="0" collapsed="false">
      <c r="B58" s="2" t="n">
        <v>56</v>
      </c>
      <c r="C58" s="2" t="n">
        <v>0</v>
      </c>
      <c r="D58" s="2" t="n">
        <v>0</v>
      </c>
      <c r="E58" s="2" t="n">
        <v>0</v>
      </c>
    </row>
    <row r="59" customFormat="false" ht="13.8" hidden="false" customHeight="false" outlineLevel="0" collapsed="false">
      <c r="B59" s="2" t="n">
        <v>57</v>
      </c>
      <c r="C59" s="2" t="n">
        <v>0</v>
      </c>
      <c r="D59" s="2" t="n">
        <v>0</v>
      </c>
      <c r="E59" s="2" t="n">
        <v>0</v>
      </c>
    </row>
    <row r="60" customFormat="false" ht="13.8" hidden="false" customHeight="false" outlineLevel="0" collapsed="false">
      <c r="B60" s="2" t="n">
        <v>58</v>
      </c>
      <c r="C60" s="2" t="n">
        <v>0</v>
      </c>
      <c r="D60" s="2" t="n">
        <v>0</v>
      </c>
      <c r="E60" s="2" t="n">
        <v>0</v>
      </c>
    </row>
    <row r="61" customFormat="false" ht="13.8" hidden="false" customHeight="false" outlineLevel="0" collapsed="false">
      <c r="B61" s="2" t="n">
        <v>59</v>
      </c>
      <c r="C61" s="2" t="n">
        <v>0</v>
      </c>
      <c r="D61" s="2" t="n">
        <v>0</v>
      </c>
      <c r="E61" s="2" t="n">
        <v>0</v>
      </c>
    </row>
    <row r="62" customFormat="false" ht="13.8" hidden="false" customHeight="false" outlineLevel="0" collapsed="false">
      <c r="B62" s="2" t="n">
        <v>60</v>
      </c>
      <c r="C62" s="2" t="n">
        <v>0</v>
      </c>
      <c r="D62" s="2" t="n">
        <v>0</v>
      </c>
      <c r="E62" s="2" t="n">
        <v>0</v>
      </c>
    </row>
    <row r="63" customFormat="false" ht="13.8" hidden="false" customHeight="false" outlineLevel="0" collapsed="false">
      <c r="B63" s="2" t="n">
        <v>61</v>
      </c>
      <c r="C63" s="2" t="n">
        <v>0</v>
      </c>
      <c r="D63" s="2" t="n">
        <v>0</v>
      </c>
      <c r="E63" s="2" t="n">
        <v>0</v>
      </c>
    </row>
    <row r="64" customFormat="false" ht="13.8" hidden="false" customHeight="false" outlineLevel="0" collapsed="false">
      <c r="B64" s="2" t="n">
        <v>62</v>
      </c>
      <c r="C64" s="2" t="n">
        <v>0</v>
      </c>
      <c r="D64" s="2" t="n">
        <v>0</v>
      </c>
      <c r="E64" s="2" t="n">
        <v>0</v>
      </c>
    </row>
    <row r="65" customFormat="false" ht="13.8" hidden="false" customHeight="false" outlineLevel="0" collapsed="false">
      <c r="B65" s="2" t="n">
        <v>63</v>
      </c>
      <c r="C65" s="2" t="n">
        <v>0</v>
      </c>
      <c r="D65" s="2" t="n">
        <v>0</v>
      </c>
      <c r="E65" s="2" t="n">
        <v>0</v>
      </c>
    </row>
    <row r="66" customFormat="false" ht="13.8" hidden="false" customHeight="false" outlineLevel="0" collapsed="false">
      <c r="B66" s="2" t="n">
        <v>64</v>
      </c>
      <c r="C66" s="2" t="n">
        <v>0</v>
      </c>
      <c r="D66" s="2" t="n">
        <v>0</v>
      </c>
      <c r="E66" s="2" t="n">
        <v>0</v>
      </c>
    </row>
    <row r="67" customFormat="false" ht="13.8" hidden="false" customHeight="false" outlineLevel="0" collapsed="false">
      <c r="B67" s="2" t="n">
        <v>65</v>
      </c>
      <c r="C67" s="2" t="n">
        <v>0</v>
      </c>
      <c r="D67" s="2" t="n">
        <v>0</v>
      </c>
      <c r="E67" s="2" t="n">
        <v>0</v>
      </c>
    </row>
    <row r="68" customFormat="false" ht="13.8" hidden="false" customHeight="false" outlineLevel="0" collapsed="false">
      <c r="B68" s="2" t="n">
        <v>66</v>
      </c>
      <c r="C68" s="2" t="n">
        <v>0</v>
      </c>
      <c r="D68" s="2" t="n">
        <v>0</v>
      </c>
      <c r="E68" s="2" t="n">
        <v>0</v>
      </c>
    </row>
    <row r="69" customFormat="false" ht="13.8" hidden="false" customHeight="false" outlineLevel="0" collapsed="false">
      <c r="B69" s="2" t="n">
        <v>67</v>
      </c>
      <c r="C69" s="2" t="n">
        <v>0</v>
      </c>
      <c r="D69" s="2" t="n">
        <v>0</v>
      </c>
      <c r="E69" s="2" t="n">
        <v>0</v>
      </c>
    </row>
    <row r="70" customFormat="false" ht="13.8" hidden="false" customHeight="false" outlineLevel="0" collapsed="false">
      <c r="B70" s="2" t="n">
        <v>68</v>
      </c>
      <c r="C70" s="2" t="n">
        <v>0</v>
      </c>
      <c r="D70" s="2" t="n">
        <v>0</v>
      </c>
      <c r="E70" s="2" t="n">
        <v>0</v>
      </c>
    </row>
    <row r="71" customFormat="false" ht="13.8" hidden="false" customHeight="false" outlineLevel="0" collapsed="false">
      <c r="B71" s="2" t="n">
        <v>69</v>
      </c>
      <c r="C71" s="2" t="n">
        <v>2.01111169688163E-008</v>
      </c>
      <c r="D71" s="2" t="n">
        <v>0</v>
      </c>
      <c r="E71" s="2" t="n">
        <v>0.0274684787958621</v>
      </c>
    </row>
    <row r="72" customFormat="false" ht="13.8" hidden="false" customHeight="false" outlineLevel="0" collapsed="false">
      <c r="B72" s="2" t="n">
        <v>70</v>
      </c>
      <c r="C72" s="2" t="n">
        <v>1.95752764763093E-008</v>
      </c>
      <c r="D72" s="2" t="n">
        <v>0</v>
      </c>
      <c r="E72" s="2" t="n">
        <v>0.100734917434125</v>
      </c>
    </row>
    <row r="73" customFormat="false" ht="13.8" hidden="false" customHeight="false" outlineLevel="0" collapsed="false">
      <c r="B73" s="2" t="n">
        <v>71</v>
      </c>
      <c r="C73" s="2" t="n">
        <v>1.90459788242382E-008</v>
      </c>
      <c r="D73" s="2" t="n">
        <v>0</v>
      </c>
      <c r="E73" s="2" t="n">
        <v>0.134651339405724</v>
      </c>
    </row>
    <row r="74" customFormat="false" ht="13.8" hidden="false" customHeight="false" outlineLevel="0" collapsed="false">
      <c r="B74" s="2" t="n">
        <v>72</v>
      </c>
      <c r="C74" s="2" t="n">
        <v>1.85172495306179E-008</v>
      </c>
      <c r="D74" s="2" t="n">
        <v>0</v>
      </c>
      <c r="E74" s="2" t="n">
        <v>0.176801194710655</v>
      </c>
    </row>
    <row r="75" customFormat="false" ht="13.8" hidden="false" customHeight="false" outlineLevel="0" collapsed="false">
      <c r="B75" s="2" t="n">
        <v>73</v>
      </c>
      <c r="C75" s="2" t="n">
        <v>1.7984764129688E-008</v>
      </c>
      <c r="D75" s="2" t="n">
        <v>1.12229127223355E-008</v>
      </c>
      <c r="E75" s="2" t="n">
        <v>0.184751050007952</v>
      </c>
    </row>
    <row r="76" customFormat="false" ht="13.8" hidden="false" customHeight="false" outlineLevel="0" collapsed="false">
      <c r="B76" s="2" t="n">
        <v>74</v>
      </c>
      <c r="C76" s="2" t="n">
        <v>1.74373593209977E-008</v>
      </c>
      <c r="D76" s="2" t="n">
        <v>1.06834609430552E-008</v>
      </c>
      <c r="E76" s="2" t="n">
        <v>0.198917966674758</v>
      </c>
    </row>
    <row r="77" customFormat="false" ht="13.8" hidden="false" customHeight="false" outlineLevel="0" collapsed="false">
      <c r="B77" s="2" t="n">
        <v>75</v>
      </c>
      <c r="C77" s="2" t="n">
        <v>1.68858982800887E-008</v>
      </c>
      <c r="D77" s="2" t="n">
        <v>1.01469035624727E-008</v>
      </c>
      <c r="E77" s="2" t="n">
        <v>0.183335183341563</v>
      </c>
    </row>
    <row r="78" customFormat="false" ht="13.8" hidden="false" customHeight="false" outlineLevel="0" collapsed="false">
      <c r="B78" s="2" t="n">
        <v>76</v>
      </c>
      <c r="C78" s="2" t="n">
        <v>1.63344329599305E-008</v>
      </c>
      <c r="D78" s="2" t="n">
        <v>9.61034893045208E-009</v>
      </c>
      <c r="E78" s="2" t="n">
        <v>0.137452916675035</v>
      </c>
    </row>
    <row r="79" customFormat="false" ht="13.8" hidden="false" customHeight="false" outlineLevel="0" collapsed="false">
      <c r="B79" s="2" t="n">
        <v>77</v>
      </c>
      <c r="C79" s="2" t="n">
        <v>1.57829586747896E-008</v>
      </c>
      <c r="D79" s="2" t="n">
        <v>9.0737986199523E-009</v>
      </c>
      <c r="E79" s="2" t="n">
        <v>0.158069833341841</v>
      </c>
    </row>
    <row r="80" customFormat="false" ht="13.8" hidden="false" customHeight="false" outlineLevel="0" collapsed="false">
      <c r="B80" s="2" t="n">
        <v>78</v>
      </c>
      <c r="C80" s="2" t="n">
        <v>1.5231481785029E-008</v>
      </c>
      <c r="D80" s="2" t="n">
        <v>8.53878331312014E-009</v>
      </c>
      <c r="E80" s="2" t="n">
        <v>0.135036366675313</v>
      </c>
    </row>
    <row r="81" customFormat="false" ht="13.8" hidden="false" customHeight="false" outlineLevel="0" collapsed="false">
      <c r="B81" s="2" t="n">
        <v>79</v>
      </c>
      <c r="C81" s="2" t="n">
        <v>1.46799973942353E-008</v>
      </c>
      <c r="D81" s="2" t="n">
        <v>8.00214043928938E-009</v>
      </c>
      <c r="E81" s="2" t="n">
        <v>0.262003333342119</v>
      </c>
    </row>
    <row r="82" customFormat="false" ht="13.8" hidden="false" customHeight="false" outlineLevel="0" collapsed="false">
      <c r="B82" s="2" t="n">
        <v>80</v>
      </c>
      <c r="C82" s="2" t="n">
        <v>1.41285102491802E-008</v>
      </c>
      <c r="D82" s="2" t="n">
        <v>7.46551072002491E-009</v>
      </c>
      <c r="E82" s="2" t="n">
        <v>0.187821150008924</v>
      </c>
    </row>
    <row r="83" customFormat="false" ht="13.8" hidden="false" customHeight="false" outlineLevel="0" collapsed="false">
      <c r="B83" s="2" t="n">
        <v>81</v>
      </c>
      <c r="C83" s="2" t="n">
        <v>1.35770147718402E-008</v>
      </c>
      <c r="D83" s="2" t="n">
        <v>6.92889738011973E-009</v>
      </c>
      <c r="E83" s="2" t="n">
        <v>0.23753756667573</v>
      </c>
    </row>
    <row r="84" customFormat="false" ht="13.8" hidden="false" customHeight="false" outlineLevel="0" collapsed="false">
      <c r="B84" s="2" t="n">
        <v>82</v>
      </c>
      <c r="C84" s="2" t="n">
        <v>1.30255158048099E-008</v>
      </c>
      <c r="D84" s="2" t="n">
        <v>6.39230660674753E-009</v>
      </c>
      <c r="E84" s="2" t="n">
        <v>0.200720683342536</v>
      </c>
    </row>
    <row r="85" customFormat="false" ht="13.8" hidden="false" customHeight="false" outlineLevel="0" collapsed="false">
      <c r="B85" s="2" t="n">
        <v>83</v>
      </c>
      <c r="C85" s="2" t="n">
        <v>1.24740100734082E-008</v>
      </c>
      <c r="D85" s="2" t="n">
        <v>5.85574686249039E-009</v>
      </c>
      <c r="E85" s="2" t="n">
        <v>0.230053616676008</v>
      </c>
    </row>
    <row r="86" customFormat="false" ht="13.8" hidden="false" customHeight="false" outlineLevel="0" collapsed="false">
      <c r="B86" s="2" t="n">
        <v>84</v>
      </c>
      <c r="C86" s="2" t="n">
        <v>1.19224994184341E-008</v>
      </c>
      <c r="D86" s="2" t="n">
        <v>5.31923052643318E-009</v>
      </c>
      <c r="E86" s="2" t="n">
        <v>0.242836916676147</v>
      </c>
    </row>
    <row r="87" customFormat="false" ht="13.8" hidden="false" customHeight="false" outlineLevel="0" collapsed="false">
      <c r="B87" s="2" t="n">
        <v>85</v>
      </c>
      <c r="C87" s="2" t="n">
        <v>1.13709834999926E-008</v>
      </c>
      <c r="D87" s="2" t="n">
        <v>4.78277584430597E-009</v>
      </c>
      <c r="E87" s="2" t="n">
        <v>0.220720733342952</v>
      </c>
    </row>
    <row r="88" customFormat="false" ht="13.8" hidden="false" customHeight="false" outlineLevel="0" collapsed="false">
      <c r="B88" s="2" t="n">
        <v>86</v>
      </c>
      <c r="C88" s="2" t="n">
        <v>1.08194621301096E-008</v>
      </c>
      <c r="D88" s="2" t="n">
        <v>4.2464124983349E-009</v>
      </c>
      <c r="E88" s="2" t="n">
        <v>0.215037300009758</v>
      </c>
    </row>
    <row r="89" customFormat="false" ht="13.8" hidden="false" customHeight="false" outlineLevel="0" collapsed="false">
      <c r="B89" s="2" t="n">
        <v>87</v>
      </c>
      <c r="C89" s="2" t="n">
        <v>1.02679352302273E-008</v>
      </c>
      <c r="D89" s="2" t="n">
        <v>3.71018914314943E-009</v>
      </c>
      <c r="E89" s="2" t="n">
        <v>0.20267013334323</v>
      </c>
    </row>
    <row r="90" customFormat="false" ht="13.8" hidden="false" customHeight="false" outlineLevel="0" collapsed="false">
      <c r="B90" s="2" t="n">
        <v>88</v>
      </c>
      <c r="C90" s="2" t="n">
        <v>9.71640261650525E-009</v>
      </c>
      <c r="D90" s="2" t="n">
        <v>3.17419475450461E-009</v>
      </c>
      <c r="E90" s="2" t="n">
        <v>0.231686400010035</v>
      </c>
    </row>
    <row r="91" customFormat="false" ht="13.8" hidden="false" customHeight="false" outlineLevel="0" collapsed="false">
      <c r="B91" s="2" t="n">
        <v>89</v>
      </c>
      <c r="C91" s="2" t="n">
        <v>9.16486492631724E-009</v>
      </c>
      <c r="D91" s="2" t="n">
        <v>2.63860796411279E-009</v>
      </c>
      <c r="E91" s="2" t="n">
        <v>0.195853316676841</v>
      </c>
    </row>
    <row r="92" customFormat="false" ht="13.8" hidden="false" customHeight="false" outlineLevel="0" collapsed="false">
      <c r="B92" s="2" t="n">
        <v>90</v>
      </c>
      <c r="C92" s="2" t="n">
        <v>8.61332220558415E-009</v>
      </c>
      <c r="D92" s="2" t="n">
        <v>2.10384438643186E-009</v>
      </c>
      <c r="E92" s="2" t="n">
        <v>0.15952061667698</v>
      </c>
    </row>
    <row r="93" customFormat="false" ht="13.8" hidden="false" customHeight="false" outlineLevel="0" collapsed="false">
      <c r="B93" s="2" t="n">
        <v>91</v>
      </c>
      <c r="C93" s="2" t="n">
        <v>8.06177362696097E-009</v>
      </c>
      <c r="D93" s="2" t="n">
        <v>1.5711068693789E-009</v>
      </c>
      <c r="E93" s="2" t="n">
        <v>0.155503583343786</v>
      </c>
    </row>
    <row r="94" customFormat="false" ht="13.8" hidden="false" customHeight="false" outlineLevel="0" collapsed="false">
      <c r="B94" s="2" t="n">
        <v>92</v>
      </c>
      <c r="C94" s="2" t="n">
        <v>7.51029088748877E-009</v>
      </c>
      <c r="D94" s="2" t="n">
        <v>1.02920494021652E-009</v>
      </c>
      <c r="E94" s="2" t="n">
        <v>0.216669850010591</v>
      </c>
    </row>
    <row r="95" customFormat="false" ht="13.8" hidden="false" customHeight="false" outlineLevel="0" collapsed="false">
      <c r="B95" s="2" t="n">
        <v>93</v>
      </c>
      <c r="C95" s="2" t="n">
        <v>6.71914315981846E-009</v>
      </c>
      <c r="D95" s="2" t="n">
        <v>0.0176035425293703</v>
      </c>
      <c r="E95" s="2" t="n">
        <v>0.136698574146617</v>
      </c>
    </row>
    <row r="96" customFormat="false" ht="13.8" hidden="false" customHeight="false" outlineLevel="0" collapsed="false">
      <c r="B96" s="2" t="n">
        <v>94</v>
      </c>
      <c r="C96" s="2" t="n">
        <v>6.4435518613443E-009</v>
      </c>
      <c r="D96" s="2" t="n">
        <v>0.0653640793198431</v>
      </c>
      <c r="E96" s="2" t="n">
        <v>0.178737854023066</v>
      </c>
    </row>
    <row r="97" customFormat="false" ht="13.8" hidden="false" customHeight="false" outlineLevel="0" collapsed="false">
      <c r="B97" s="2" t="n">
        <v>95</v>
      </c>
      <c r="C97" s="2" t="n">
        <v>6.16780394507588E-009</v>
      </c>
      <c r="D97" s="2" t="n">
        <v>0.0607502291351195</v>
      </c>
      <c r="E97" s="2" t="n">
        <v>0.0805522042078381</v>
      </c>
    </row>
    <row r="98" customFormat="false" ht="13.8" hidden="false" customHeight="false" outlineLevel="0" collapsed="false">
      <c r="B98" s="2" t="n">
        <v>96</v>
      </c>
      <c r="C98" s="2" t="n">
        <v>5.89205302236857E-009</v>
      </c>
      <c r="D98" s="2" t="n">
        <v>0.0610771786153585</v>
      </c>
      <c r="E98" s="2" t="n">
        <v>0.068009004727648</v>
      </c>
    </row>
    <row r="99" customFormat="false" ht="13.8" hidden="false" customHeight="false" outlineLevel="0" collapsed="false">
      <c r="B99" s="2" t="n">
        <v>97</v>
      </c>
      <c r="C99" s="2" t="n">
        <v>5.61629698635534E-009</v>
      </c>
      <c r="D99" s="2" t="n">
        <v>0.0735531518728463</v>
      </c>
      <c r="E99" s="2" t="n">
        <v>0.0708000981368755</v>
      </c>
    </row>
    <row r="100" customFormat="false" ht="13.8" hidden="false" customHeight="false" outlineLevel="0" collapsed="false">
      <c r="B100" s="2" t="n">
        <v>98</v>
      </c>
      <c r="C100" s="2" t="n">
        <v>5.34871307982482E-009</v>
      </c>
      <c r="D100" s="2" t="n">
        <v>0.100000000002217</v>
      </c>
      <c r="E100" s="2" t="n">
        <v>0.131335000007533</v>
      </c>
    </row>
    <row r="101" customFormat="false" ht="13.8" hidden="false" customHeight="false" outlineLevel="0" collapsed="false">
      <c r="B101" s="2" t="n">
        <v>99</v>
      </c>
      <c r="C101" s="2" t="n">
        <v>5.06478167677802E-009</v>
      </c>
      <c r="D101" s="2" t="n">
        <v>0.0822923426777278</v>
      </c>
      <c r="E101" s="2" t="n">
        <v>0.0717090239987587</v>
      </c>
    </row>
    <row r="102" customFormat="false" ht="13.8" hidden="false" customHeight="false" outlineLevel="0" collapsed="false">
      <c r="B102" s="2" t="n">
        <v>100</v>
      </c>
      <c r="C102" s="2" t="n">
        <v>4.78902259538658E-009</v>
      </c>
      <c r="D102" s="2" t="n">
        <v>0.0901380637814996</v>
      </c>
      <c r="E102" s="2" t="n">
        <v>0.0915631528950358</v>
      </c>
    </row>
    <row r="103" customFormat="false" ht="13.8" hidden="false" customHeight="false" outlineLevel="0" collapsed="false">
      <c r="B103" s="2" t="n">
        <v>101</v>
      </c>
      <c r="C103" s="2" t="n">
        <v>4.51325844363105E-009</v>
      </c>
      <c r="D103" s="2" t="n">
        <v>0.0861966715346889</v>
      </c>
      <c r="E103" s="2" t="n">
        <v>0.0680368118085618</v>
      </c>
    </row>
    <row r="104" customFormat="false" ht="13.8" hidden="false" customHeight="false" outlineLevel="0" collapsed="false">
      <c r="B104" s="2" t="n">
        <v>102</v>
      </c>
      <c r="C104" s="2" t="n">
        <v>4.23749214531233E-009</v>
      </c>
      <c r="D104" s="2" t="n">
        <v>0.0676992064434719</v>
      </c>
      <c r="E104" s="2" t="n">
        <v>0.0803177935664945</v>
      </c>
    </row>
    <row r="105" customFormat="false" ht="13.8" hidden="false" customHeight="false" outlineLevel="0" collapsed="false">
      <c r="B105" s="2" t="n">
        <v>103</v>
      </c>
      <c r="C105" s="2" t="n">
        <v>3.96172263694333E-009</v>
      </c>
      <c r="D105" s="2" t="n">
        <v>0.0927281353012441</v>
      </c>
      <c r="E105" s="2" t="n">
        <v>0.0889052647087712</v>
      </c>
    </row>
    <row r="106" customFormat="false" ht="13.8" hidden="false" customHeight="false" outlineLevel="0" collapsed="false">
      <c r="B106" s="2" t="n">
        <v>104</v>
      </c>
      <c r="C106" s="2" t="n">
        <v>3.68595150025128E-009</v>
      </c>
      <c r="D106" s="2" t="n">
        <v>0.0696264349375235</v>
      </c>
      <c r="E106" s="2" t="n">
        <v>0.0729237484058742</v>
      </c>
    </row>
    <row r="107" customFormat="false" ht="13.8" hidden="false" customHeight="false" outlineLevel="0" collapsed="false">
      <c r="B107" s="2" t="n">
        <v>105</v>
      </c>
      <c r="C107" s="2" t="n">
        <v>3.41017719062515E-009</v>
      </c>
      <c r="D107" s="2" t="n">
        <v>0.0839127916162409</v>
      </c>
      <c r="E107" s="2" t="n">
        <v>0.0703376083938723</v>
      </c>
    </row>
    <row r="108" customFormat="false" ht="13.8" hidden="false" customHeight="false" outlineLevel="0" collapsed="false">
      <c r="B108" s="2" t="n">
        <v>106</v>
      </c>
      <c r="C108" s="2" t="n">
        <v>3.13440122153536E-009</v>
      </c>
      <c r="D108" s="2" t="n">
        <v>0.0648432180958979</v>
      </c>
      <c r="E108" s="2" t="n">
        <v>0.0795734652475976</v>
      </c>
    </row>
    <row r="109" customFormat="false" ht="13.8" hidden="false" customHeight="false" outlineLevel="0" collapsed="false">
      <c r="B109" s="2" t="n">
        <v>107</v>
      </c>
      <c r="C109" s="2" t="n">
        <v>2.85862261942098E-009</v>
      </c>
      <c r="D109" s="2" t="n">
        <v>0.090227972755415</v>
      </c>
      <c r="E109" s="2" t="n">
        <v>0.0888221605881294</v>
      </c>
    </row>
    <row r="110" customFormat="false" ht="13.8" hidden="false" customHeight="false" outlineLevel="0" collapsed="false">
      <c r="B110" s="2" t="n">
        <v>108</v>
      </c>
      <c r="C110" s="2" t="n">
        <v>2.58284252196879E-009</v>
      </c>
      <c r="D110" s="2" t="n">
        <v>0.0695324740392243</v>
      </c>
      <c r="E110" s="2" t="n">
        <v>0.0771344926377023</v>
      </c>
    </row>
    <row r="111" customFormat="false" ht="13.8" hidden="false" customHeight="false" outlineLevel="0" collapsed="false">
      <c r="B111" s="2" t="n">
        <v>109</v>
      </c>
      <c r="C111" s="2" t="n">
        <v>2.30706047558173E-009</v>
      </c>
      <c r="D111" s="2" t="n">
        <v>0.0866110842070157</v>
      </c>
      <c r="E111" s="2" t="n">
        <v>0.0818891658032932</v>
      </c>
    </row>
    <row r="112" customFormat="false" ht="13.8" hidden="false" customHeight="false" outlineLevel="0" collapsed="false">
      <c r="B112" s="2" t="n">
        <v>110</v>
      </c>
      <c r="C112" s="2" t="n">
        <v>2.03127745169079E-009</v>
      </c>
      <c r="D112" s="2" t="n">
        <v>0.0778949465561078</v>
      </c>
      <c r="E112" s="2" t="n">
        <v>0.0839886201209171</v>
      </c>
    </row>
    <row r="113" customFormat="false" ht="13.8" hidden="false" customHeight="false" outlineLevel="0" collapsed="false">
      <c r="B113" s="2" t="n">
        <v>111</v>
      </c>
      <c r="C113" s="2" t="n">
        <v>1.75549392472445E-009</v>
      </c>
      <c r="D113" s="2" t="n">
        <v>0.077401382725298</v>
      </c>
      <c r="E113" s="2" t="n">
        <v>0.0719821339517753</v>
      </c>
    </row>
    <row r="114" customFormat="false" ht="13.8" hidden="false" customHeight="false" outlineLevel="0" collapsed="false">
      <c r="B114" s="2" t="n">
        <v>112</v>
      </c>
      <c r="C114" s="2" t="n">
        <v>1.47971129580864E-009</v>
      </c>
      <c r="D114" s="2" t="n">
        <v>0.0826957743869402</v>
      </c>
      <c r="E114" s="2" t="n">
        <v>0.0885378089568485</v>
      </c>
    </row>
    <row r="115" customFormat="false" ht="13.8" hidden="false" customHeight="false" outlineLevel="0" collapsed="false">
      <c r="B115" s="2" t="n">
        <v>113</v>
      </c>
      <c r="C115" s="2" t="n">
        <v>1.20393201754258E-009</v>
      </c>
      <c r="D115" s="2" t="n">
        <v>0.0744642382320562</v>
      </c>
      <c r="E115" s="2" t="n">
        <v>0.0690357617784482</v>
      </c>
    </row>
    <row r="116" customFormat="false" ht="13.8" hidden="false" customHeight="false" outlineLevel="0" collapsed="false">
      <c r="B116" s="2" t="n">
        <v>114</v>
      </c>
      <c r="C116" s="2" t="n">
        <v>9.28161526922929E-010</v>
      </c>
      <c r="D116" s="2" t="n">
        <v>0.081229611683109</v>
      </c>
      <c r="E116" s="2" t="n">
        <v>0.0873205383274443</v>
      </c>
    </row>
    <row r="117" customFormat="false" ht="13.8" hidden="false" customHeight="false" outlineLevel="0" collapsed="false">
      <c r="B117" s="2" t="n">
        <v>115</v>
      </c>
      <c r="C117" s="2" t="n">
        <v>6.52414236353893E-010</v>
      </c>
      <c r="D117" s="2" t="n">
        <v>0.0820411441751904</v>
      </c>
      <c r="E117" s="2" t="n">
        <v>0.0772922725020784</v>
      </c>
    </row>
    <row r="118" customFormat="false" ht="13.8" hidden="false" customHeight="false" outlineLevel="0" collapsed="false">
      <c r="B118" s="2" t="n">
        <v>116</v>
      </c>
      <c r="C118" s="2" t="n">
        <v>3.76774743874495E-010</v>
      </c>
      <c r="D118" s="2" t="n">
        <v>0.0659798244259301</v>
      </c>
      <c r="E118" s="2" t="n">
        <v>0.059937125584721</v>
      </c>
    </row>
    <row r="119" customFormat="false" ht="13.8" hidden="false" customHeight="false" outlineLevel="0" collapsed="false">
      <c r="B119" s="2" t="n">
        <v>117</v>
      </c>
      <c r="C119" s="2" t="n">
        <v>0.026277578476386</v>
      </c>
      <c r="D119" s="2" t="n">
        <v>0.078354238216114</v>
      </c>
      <c r="E119" s="2" t="n">
        <v>0.0813181999833996</v>
      </c>
    </row>
    <row r="120" customFormat="false" ht="13.8" hidden="false" customHeight="false" outlineLevel="0" collapsed="false">
      <c r="B120" s="2" t="n">
        <v>118</v>
      </c>
      <c r="C120" s="2" t="n">
        <v>0.0021097117288</v>
      </c>
      <c r="D120" s="2" t="n">
        <v>0.060722999860665</v>
      </c>
      <c r="E120" s="2" t="n">
        <v>0.0524362120800669</v>
      </c>
    </row>
    <row r="121" customFormat="false" ht="13.8" hidden="false" customHeight="false" outlineLevel="0" collapsed="false">
      <c r="B121" s="2" t="n">
        <v>119</v>
      </c>
      <c r="C121" s="2" t="n">
        <v>0.0279748021396695</v>
      </c>
      <c r="D121" s="2" t="n">
        <v>0.059173992396529</v>
      </c>
      <c r="E121" s="2" t="n">
        <v>0.0523886027495693</v>
      </c>
    </row>
    <row r="122" customFormat="false" ht="13.8" hidden="false" customHeight="false" outlineLevel="0" collapsed="false">
      <c r="B122" s="2" t="n">
        <v>120</v>
      </c>
      <c r="C122" s="2" t="n">
        <v>0.0681705031991191</v>
      </c>
      <c r="D122" s="2" t="n">
        <v>0.063151804016836</v>
      </c>
      <c r="E122" s="2" t="n">
        <v>0.0424836968593948</v>
      </c>
    </row>
    <row r="123" customFormat="false" ht="13.8" hidden="false" customHeight="false" outlineLevel="0" collapsed="false">
      <c r="B123" s="2" t="n">
        <v>121</v>
      </c>
      <c r="C123" s="2" t="n">
        <v>0</v>
      </c>
      <c r="D123" s="2" t="n">
        <v>0</v>
      </c>
      <c r="E123" s="2" t="n">
        <v>1.68812872413348E-010</v>
      </c>
    </row>
    <row r="124" customFormat="false" ht="13.8" hidden="false" customHeight="false" outlineLevel="0" collapsed="false">
      <c r="B124" s="2" t="n">
        <v>122</v>
      </c>
      <c r="C124" s="2" t="n">
        <v>0.0415135024375158</v>
      </c>
      <c r="D124" s="2" t="n">
        <v>4.8822268111874E-012</v>
      </c>
      <c r="E124" s="2" t="n">
        <v>0.00330123435459153</v>
      </c>
    </row>
    <row r="125" customFormat="false" ht="13.8" hidden="false" customHeight="false" outlineLevel="0" collapsed="false">
      <c r="B125" s="2" t="n">
        <v>123</v>
      </c>
      <c r="C125" s="2" t="n">
        <v>0</v>
      </c>
      <c r="D125" s="2" t="n">
        <v>0</v>
      </c>
      <c r="E125" s="2" t="n">
        <v>0</v>
      </c>
    </row>
    <row r="126" customFormat="false" ht="13.8" hidden="false" customHeight="false" outlineLevel="0" collapsed="false">
      <c r="B126" s="2" t="n">
        <v>124</v>
      </c>
      <c r="C126" s="2" t="n">
        <v>0</v>
      </c>
      <c r="D126" s="2" t="n">
        <v>0</v>
      </c>
      <c r="E126" s="2" t="n">
        <v>0</v>
      </c>
    </row>
    <row r="127" customFormat="false" ht="13.8" hidden="false" customHeight="false" outlineLevel="0" collapsed="false">
      <c r="B127" s="2" t="n">
        <v>125</v>
      </c>
      <c r="C127" s="2" t="n">
        <v>0</v>
      </c>
      <c r="D127" s="2" t="n">
        <v>0</v>
      </c>
      <c r="E127" s="2" t="n">
        <v>0</v>
      </c>
    </row>
    <row r="128" customFormat="false" ht="13.8" hidden="false" customHeight="false" outlineLevel="0" collapsed="false">
      <c r="B128" s="2" t="n">
        <v>126</v>
      </c>
      <c r="C128" s="2" t="n">
        <v>0</v>
      </c>
      <c r="D128" s="2" t="n">
        <v>0</v>
      </c>
      <c r="E128" s="2" t="n">
        <v>0</v>
      </c>
    </row>
    <row r="129" customFormat="false" ht="13.8" hidden="false" customHeight="false" outlineLevel="0" collapsed="false">
      <c r="B129" s="2" t="n">
        <v>127</v>
      </c>
      <c r="C129" s="2" t="n">
        <v>0</v>
      </c>
      <c r="D129" s="2" t="n">
        <v>0</v>
      </c>
      <c r="E129" s="2" t="n">
        <v>0</v>
      </c>
    </row>
    <row r="130" customFormat="false" ht="13.8" hidden="false" customHeight="false" outlineLevel="0" collapsed="false">
      <c r="B130" s="2" t="n">
        <v>128</v>
      </c>
      <c r="C130" s="2" t="n">
        <v>0</v>
      </c>
      <c r="D130" s="2" t="n">
        <v>5.90477449067647E-017</v>
      </c>
      <c r="E130" s="2" t="n">
        <v>0</v>
      </c>
    </row>
    <row r="131" customFormat="false" ht="13.8" hidden="false" customHeight="false" outlineLevel="0" collapsed="false">
      <c r="B131" s="2" t="n">
        <v>129</v>
      </c>
      <c r="C131" s="2" t="n">
        <v>2.87243028223257E-016</v>
      </c>
      <c r="D131" s="2" t="n">
        <v>4.56237036744485E-017</v>
      </c>
      <c r="E131" s="2" t="n">
        <v>0</v>
      </c>
    </row>
    <row r="132" customFormat="false" ht="13.8" hidden="false" customHeight="false" outlineLevel="0" collapsed="false">
      <c r="B132" s="2" t="n">
        <v>130</v>
      </c>
      <c r="C132" s="2" t="n">
        <v>0</v>
      </c>
      <c r="D132" s="2" t="n">
        <v>0</v>
      </c>
      <c r="E132" s="2" t="n">
        <v>0</v>
      </c>
    </row>
    <row r="133" customFormat="false" ht="13.8" hidden="false" customHeight="false" outlineLevel="0" collapsed="false">
      <c r="B133" s="2" t="n">
        <v>131</v>
      </c>
      <c r="C133" s="2" t="n">
        <v>8.31312971264666E-011</v>
      </c>
      <c r="D133" s="2" t="n">
        <v>0</v>
      </c>
      <c r="E133" s="2" t="n">
        <v>0</v>
      </c>
    </row>
    <row r="134" customFormat="false" ht="13.8" hidden="false" customHeight="false" outlineLevel="0" collapsed="false">
      <c r="B134" s="2" t="n">
        <v>132</v>
      </c>
      <c r="C134" s="2" t="n">
        <v>1.80721885619552E-015</v>
      </c>
      <c r="D134" s="2" t="n">
        <v>0</v>
      </c>
      <c r="E134" s="2" t="n">
        <v>0</v>
      </c>
    </row>
    <row r="135" customFormat="false" ht="13.8" hidden="false" customHeight="false" outlineLevel="0" collapsed="false">
      <c r="B135" s="2" t="n">
        <v>133</v>
      </c>
      <c r="C135" s="2" t="n">
        <v>3.43916506352957E-011</v>
      </c>
      <c r="D135" s="2" t="n">
        <v>0</v>
      </c>
      <c r="E135" s="2" t="n">
        <v>0</v>
      </c>
    </row>
    <row r="136" customFormat="false" ht="13.8" hidden="false" customHeight="false" outlineLevel="0" collapsed="false">
      <c r="B136" s="2" t="n">
        <v>134</v>
      </c>
      <c r="C136" s="2" t="n">
        <v>2.46357070808617E-015</v>
      </c>
      <c r="D136" s="2" t="n">
        <v>8.03084794573333E-017</v>
      </c>
      <c r="E136" s="2" t="n">
        <v>2.16406475295937E-015</v>
      </c>
    </row>
    <row r="137" customFormat="false" ht="13.8" hidden="false" customHeight="false" outlineLevel="0" collapsed="false">
      <c r="B137" s="2" t="n">
        <v>135</v>
      </c>
      <c r="C137" s="2" t="n">
        <v>1.35072677388514E-011</v>
      </c>
      <c r="D137" s="2" t="n">
        <v>0</v>
      </c>
      <c r="E137" s="2" t="n">
        <v>0</v>
      </c>
    </row>
    <row r="138" customFormat="false" ht="13.8" hidden="false" customHeight="false" outlineLevel="0" collapsed="false">
      <c r="B138" s="2" t="n">
        <v>136</v>
      </c>
      <c r="C138" s="2" t="n">
        <v>0</v>
      </c>
      <c r="D138" s="2" t="n">
        <v>0</v>
      </c>
      <c r="E138" s="2" t="n">
        <v>9.07753314799815E-014</v>
      </c>
    </row>
    <row r="139" customFormat="false" ht="13.8" hidden="false" customHeight="false" outlineLevel="0" collapsed="false">
      <c r="B139" s="2" t="n">
        <v>137</v>
      </c>
      <c r="C139" s="2" t="n">
        <v>0</v>
      </c>
      <c r="D139" s="2" t="n">
        <v>0</v>
      </c>
      <c r="E139" s="2" t="n">
        <v>2.88285454493335E-011</v>
      </c>
    </row>
    <row r="140" customFormat="false" ht="13.8" hidden="false" customHeight="false" outlineLevel="0" collapsed="false">
      <c r="B140" s="2" t="n">
        <v>138</v>
      </c>
      <c r="C140" s="2" t="n">
        <v>0</v>
      </c>
      <c r="D140" s="2" t="n">
        <v>0</v>
      </c>
      <c r="E140" s="2" t="n">
        <v>9.07150760640783E-014</v>
      </c>
    </row>
    <row r="141" customFormat="false" ht="13.8" hidden="false" customHeight="false" outlineLevel="0" collapsed="false">
      <c r="B141" s="2" t="n">
        <v>139</v>
      </c>
      <c r="C141" s="2" t="n">
        <v>0</v>
      </c>
      <c r="D141" s="2" t="n">
        <v>0</v>
      </c>
      <c r="E141" s="2" t="n">
        <v>3.50744045105269E-012</v>
      </c>
    </row>
    <row r="142" customFormat="false" ht="13.8" hidden="false" customHeight="false" outlineLevel="0" collapsed="false">
      <c r="B142" s="2" t="n">
        <v>140</v>
      </c>
      <c r="C142" s="2" t="n">
        <v>0</v>
      </c>
      <c r="D142" s="2" t="n">
        <v>0</v>
      </c>
      <c r="E142" s="2" t="n">
        <v>8.47165452203529E-014</v>
      </c>
    </row>
    <row r="143" customFormat="false" ht="13.8" hidden="false" customHeight="false" outlineLevel="0" collapsed="false">
      <c r="B143" s="2" t="n">
        <v>141</v>
      </c>
      <c r="C143" s="2" t="n">
        <v>9.43310574050051E-014</v>
      </c>
      <c r="D143" s="2" t="n">
        <v>0</v>
      </c>
      <c r="E143" s="2" t="n">
        <v>0</v>
      </c>
    </row>
    <row r="144" customFormat="false" ht="13.8" hidden="false" customHeight="false" outlineLevel="0" collapsed="false">
      <c r="B144" s="2" t="n">
        <v>142</v>
      </c>
      <c r="C144" s="2" t="n">
        <v>9.60931305601434E-011</v>
      </c>
      <c r="D144" s="2" t="n">
        <v>0</v>
      </c>
      <c r="E144" s="2" t="n">
        <v>0</v>
      </c>
    </row>
    <row r="145" customFormat="false" ht="13.8" hidden="false" customHeight="false" outlineLevel="0" collapsed="false">
      <c r="B145" s="2" t="n">
        <v>143</v>
      </c>
      <c r="C145" s="2" t="n">
        <v>1.37934034312178E-010</v>
      </c>
      <c r="D145" s="2" t="n">
        <v>0</v>
      </c>
      <c r="E145" s="2" t="n">
        <v>0</v>
      </c>
    </row>
    <row r="146" customFormat="false" ht="13.8" hidden="false" customHeight="false" outlineLevel="0" collapsed="false">
      <c r="B146" s="2" t="n">
        <v>144</v>
      </c>
      <c r="C146" s="2" t="n">
        <v>1.36313839113588E-013</v>
      </c>
      <c r="D146" s="2" t="n">
        <v>0</v>
      </c>
      <c r="E146" s="2" t="n">
        <v>0</v>
      </c>
    </row>
    <row r="147" customFormat="false" ht="13.8" hidden="false" customHeight="false" outlineLevel="0" collapsed="false">
      <c r="B147" s="2" t="n">
        <v>145</v>
      </c>
      <c r="C147" s="2" t="n">
        <v>0</v>
      </c>
      <c r="D147" s="2" t="n">
        <v>1.27924258138936E-010</v>
      </c>
      <c r="E147" s="2" t="n">
        <v>7.04723413028256E-011</v>
      </c>
    </row>
    <row r="148" customFormat="false" ht="13.8" hidden="false" customHeight="false" outlineLevel="0" collapsed="false">
      <c r="B148" s="2" t="n">
        <v>146</v>
      </c>
      <c r="C148" s="2" t="n">
        <v>5.28195840778016E-015</v>
      </c>
      <c r="D148" s="2" t="n">
        <v>5.09778132873418E-017</v>
      </c>
      <c r="E148" s="2" t="n">
        <v>0</v>
      </c>
    </row>
    <row r="149" customFormat="false" ht="13.8" hidden="false" customHeight="false" outlineLevel="0" collapsed="false">
      <c r="B149" s="2" t="n">
        <v>147</v>
      </c>
      <c r="C149" s="2" t="n">
        <v>2.38055337130497E-016</v>
      </c>
      <c r="D149" s="2" t="n">
        <v>8.36132796962079E-017</v>
      </c>
      <c r="E149" s="2" t="n">
        <v>0</v>
      </c>
    </row>
    <row r="150" customFormat="false" ht="13.8" hidden="false" customHeight="false" outlineLevel="0" collapsed="false">
      <c r="B150" s="2" t="n">
        <v>148</v>
      </c>
      <c r="C150" s="2" t="n">
        <v>0</v>
      </c>
      <c r="D150" s="2" t="n">
        <v>1.67615227174403E-016</v>
      </c>
      <c r="E150" s="2" t="n">
        <v>0</v>
      </c>
    </row>
    <row r="151" customFormat="false" ht="13.8" hidden="false" customHeight="false" outlineLevel="0" collapsed="false">
      <c r="B151" s="2" t="n">
        <v>149</v>
      </c>
      <c r="C151" s="2" t="n">
        <v>0</v>
      </c>
      <c r="D151" s="2" t="n">
        <v>3.35426862691102E-016</v>
      </c>
      <c r="E151" s="2" t="n">
        <v>0</v>
      </c>
    </row>
    <row r="152" customFormat="false" ht="13.8" hidden="false" customHeight="false" outlineLevel="0" collapsed="false">
      <c r="B152" s="2" t="n">
        <v>150</v>
      </c>
      <c r="C152" s="2" t="n">
        <v>1.2587038677812E-013</v>
      </c>
      <c r="D152" s="2" t="n">
        <v>4.12176670239343E-016</v>
      </c>
      <c r="E152" s="2" t="n">
        <v>0</v>
      </c>
    </row>
    <row r="153" customFormat="false" ht="13.8" hidden="false" customHeight="false" outlineLevel="0" collapsed="false">
      <c r="B153" s="2" t="n">
        <v>151</v>
      </c>
      <c r="C153" s="2" t="n">
        <v>3.87562645806207E-016</v>
      </c>
      <c r="D153" s="2" t="n">
        <v>8.4175197492491E-016</v>
      </c>
      <c r="E153" s="2" t="n">
        <v>0</v>
      </c>
    </row>
    <row r="154" customFormat="false" ht="13.8" hidden="false" customHeight="false" outlineLevel="0" collapsed="false">
      <c r="B154" s="2" t="n">
        <v>152</v>
      </c>
      <c r="C154" s="2" t="n">
        <v>0</v>
      </c>
      <c r="D154" s="2" t="n">
        <v>1.71051848107131E-015</v>
      </c>
      <c r="E154" s="2" t="n">
        <v>0</v>
      </c>
    </row>
    <row r="155" customFormat="false" ht="13.8" hidden="false" customHeight="false" outlineLevel="0" collapsed="false">
      <c r="B155" s="2" t="n">
        <v>153</v>
      </c>
      <c r="C155" s="2" t="n">
        <v>4.56848692458399E-012</v>
      </c>
      <c r="D155" s="2" t="n">
        <v>0</v>
      </c>
      <c r="E155" s="2" t="n">
        <v>0</v>
      </c>
    </row>
    <row r="156" customFormat="false" ht="13.8" hidden="false" customHeight="false" outlineLevel="0" collapsed="false">
      <c r="B156" s="2" t="n">
        <v>154</v>
      </c>
      <c r="C156" s="2" t="n">
        <v>0</v>
      </c>
      <c r="D156" s="2" t="n">
        <v>1.66296459784369E-015</v>
      </c>
      <c r="E156" s="2" t="n">
        <v>0</v>
      </c>
    </row>
    <row r="157" customFormat="false" ht="13.8" hidden="false" customHeight="false" outlineLevel="0" collapsed="false">
      <c r="B157" s="2" t="n">
        <v>155</v>
      </c>
      <c r="C157" s="2" t="n">
        <v>0</v>
      </c>
      <c r="D157" s="2" t="n">
        <v>1.47131975119398E-015</v>
      </c>
      <c r="E157" s="2" t="n">
        <v>0</v>
      </c>
    </row>
    <row r="158" customFormat="false" ht="13.8" hidden="false" customHeight="false" outlineLevel="0" collapsed="false">
      <c r="B158" s="2" t="n">
        <v>156</v>
      </c>
      <c r="C158" s="2" t="n">
        <v>0</v>
      </c>
      <c r="D158" s="2" t="n">
        <v>1.108187353401E-015</v>
      </c>
      <c r="E158" s="2" t="n">
        <v>0</v>
      </c>
    </row>
    <row r="159" customFormat="false" ht="13.8" hidden="false" customHeight="false" outlineLevel="0" collapsed="false">
      <c r="B159" s="2" t="n">
        <v>157</v>
      </c>
      <c r="C159" s="2" t="n">
        <v>0</v>
      </c>
      <c r="D159" s="2" t="n">
        <v>7.12609855695764E-016</v>
      </c>
      <c r="E159" s="2" t="n">
        <v>0</v>
      </c>
    </row>
    <row r="160" customFormat="false" ht="13.8" hidden="false" customHeight="false" outlineLevel="0" collapsed="false">
      <c r="B160" s="2" t="n">
        <v>158</v>
      </c>
      <c r="C160" s="2" t="n">
        <v>0</v>
      </c>
      <c r="D160" s="2" t="n">
        <v>8.24353340477456E-016</v>
      </c>
      <c r="E160" s="2" t="n">
        <v>0</v>
      </c>
    </row>
    <row r="161" customFormat="false" ht="13.8" hidden="false" customHeight="false" outlineLevel="0" collapsed="false">
      <c r="B161" s="2" t="n">
        <v>159</v>
      </c>
      <c r="C161" s="2" t="n">
        <v>3.70184580485027E-016</v>
      </c>
      <c r="D161" s="2" t="n">
        <v>1.55413446421038E-015</v>
      </c>
      <c r="E161" s="2" t="n">
        <v>0</v>
      </c>
    </row>
    <row r="162" customFormat="false" ht="13.8" hidden="false" customHeight="false" outlineLevel="0" collapsed="false">
      <c r="B162" s="2" t="n">
        <v>160</v>
      </c>
      <c r="C162" s="2" t="n">
        <v>0</v>
      </c>
      <c r="D162" s="2" t="n">
        <v>2.25497679545428E-015</v>
      </c>
      <c r="E162" s="2" t="n">
        <v>0</v>
      </c>
    </row>
    <row r="163" customFormat="false" ht="13.8" hidden="false" customHeight="false" outlineLevel="0" collapsed="false">
      <c r="B163" s="2" t="n">
        <v>161</v>
      </c>
      <c r="C163" s="2" t="n">
        <v>0</v>
      </c>
      <c r="D163" s="2" t="n">
        <v>4.57479157329544E-015</v>
      </c>
      <c r="E163" s="2" t="n">
        <v>0</v>
      </c>
    </row>
    <row r="164" customFormat="false" ht="13.8" hidden="false" customHeight="false" outlineLevel="0" collapsed="false">
      <c r="B164" s="2" t="n">
        <v>162</v>
      </c>
      <c r="C164" s="2" t="n">
        <v>0</v>
      </c>
      <c r="D164" s="2" t="n">
        <v>0</v>
      </c>
      <c r="E164" s="2" t="n">
        <v>0</v>
      </c>
    </row>
    <row r="165" customFormat="false" ht="13.8" hidden="false" customHeight="false" outlineLevel="0" collapsed="false">
      <c r="B165" s="2" t="n">
        <v>163</v>
      </c>
      <c r="C165" s="2" t="n">
        <v>0</v>
      </c>
      <c r="D165" s="2" t="n">
        <v>0</v>
      </c>
      <c r="E165" s="2" t="n">
        <v>0</v>
      </c>
    </row>
    <row r="166" customFormat="false" ht="13.8" hidden="false" customHeight="false" outlineLevel="0" collapsed="false">
      <c r="B166" s="2" t="n">
        <v>164</v>
      </c>
      <c r="C166" s="2" t="n">
        <v>2.12960404081062E-008</v>
      </c>
      <c r="D166" s="2" t="n">
        <v>0</v>
      </c>
      <c r="E166" s="2" t="n">
        <v>0.0267429690761053</v>
      </c>
    </row>
    <row r="167" customFormat="false" ht="13.8" hidden="false" customHeight="false" outlineLevel="0" collapsed="false">
      <c r="B167" s="2" t="n">
        <v>165</v>
      </c>
      <c r="C167" s="2" t="n">
        <v>0</v>
      </c>
      <c r="D167" s="2" t="n">
        <v>0</v>
      </c>
      <c r="E167" s="2" t="n">
        <v>0</v>
      </c>
    </row>
    <row r="168" customFormat="false" ht="13.8" hidden="false" customHeight="false" outlineLevel="0" collapsed="false">
      <c r="B168" s="2" t="n">
        <v>166</v>
      </c>
      <c r="C168" s="2" t="n">
        <v>2.02286439801559E-008</v>
      </c>
      <c r="D168" s="2" t="n">
        <v>0</v>
      </c>
      <c r="E168" s="2" t="n">
        <v>0.00369953706864313</v>
      </c>
    </row>
    <row r="169" customFormat="false" ht="13.8" hidden="false" customHeight="false" outlineLevel="0" collapsed="false">
      <c r="B169" s="2" t="n">
        <v>167</v>
      </c>
      <c r="C169" s="2" t="n">
        <v>1.9692670801909E-008</v>
      </c>
      <c r="D169" s="2" t="n">
        <v>0</v>
      </c>
      <c r="E169" s="2" t="n">
        <v>0.0202806294772788</v>
      </c>
    </row>
    <row r="170" customFormat="false" ht="13.8" hidden="false" customHeight="false" outlineLevel="0" collapsed="false">
      <c r="B170" s="2" t="n">
        <v>168</v>
      </c>
      <c r="C170" s="2" t="n">
        <v>1.91632524636966E-008</v>
      </c>
      <c r="D170" s="2" t="n">
        <v>0</v>
      </c>
      <c r="E170" s="2" t="n">
        <v>0.097160871885914</v>
      </c>
    </row>
    <row r="171" customFormat="false" ht="13.8" hidden="false" customHeight="false" outlineLevel="0" collapsed="false">
      <c r="B171" s="2" t="n">
        <v>169</v>
      </c>
      <c r="C171" s="2" t="n">
        <v>1.86343748106029E-008</v>
      </c>
      <c r="D171" s="2" t="n">
        <v>0</v>
      </c>
      <c r="E171" s="2" t="n">
        <v>0.0801579809612157</v>
      </c>
    </row>
    <row r="172" customFormat="false" ht="13.8" hidden="false" customHeight="false" outlineLevel="0" collapsed="false">
      <c r="B172" s="2" t="n">
        <v>170</v>
      </c>
      <c r="C172" s="2" t="n">
        <v>1.81061176527074E-008</v>
      </c>
      <c r="D172" s="2" t="n">
        <v>0</v>
      </c>
      <c r="E172" s="2" t="n">
        <v>0.0945526648896107</v>
      </c>
    </row>
    <row r="173" customFormat="false" ht="13.8" hidden="false" customHeight="false" outlineLevel="0" collapsed="false">
      <c r="B173" s="2" t="n">
        <v>171</v>
      </c>
      <c r="C173" s="2" t="n">
        <v>1.75638163491591E-008</v>
      </c>
      <c r="D173" s="2" t="n">
        <v>0</v>
      </c>
      <c r="E173" s="2" t="n">
        <v>0.0442139154846724</v>
      </c>
    </row>
    <row r="174" customFormat="false" ht="13.8" hidden="false" customHeight="false" outlineLevel="0" collapsed="false">
      <c r="B174" s="2" t="n">
        <v>172</v>
      </c>
      <c r="C174" s="2" t="n">
        <v>1.70121889283578E-008</v>
      </c>
      <c r="D174" s="2" t="n">
        <v>0</v>
      </c>
      <c r="E174" s="2" t="n">
        <v>0.0892918827464024</v>
      </c>
    </row>
    <row r="175" customFormat="false" ht="13.8" hidden="false" customHeight="false" outlineLevel="0" collapsed="false">
      <c r="B175" s="2" t="n">
        <v>173</v>
      </c>
      <c r="C175" s="2" t="n">
        <v>1.64566466482833E-008</v>
      </c>
      <c r="D175" s="2" t="n">
        <v>9.0842084717606E-009</v>
      </c>
      <c r="E175" s="2" t="n">
        <v>0.123120200004148</v>
      </c>
    </row>
    <row r="176" customFormat="false" ht="13.8" hidden="false" customHeight="false" outlineLevel="0" collapsed="false">
      <c r="B176" s="2" t="n">
        <v>174</v>
      </c>
      <c r="C176" s="2" t="n">
        <v>1.59051747824447E-008</v>
      </c>
      <c r="D176" s="2" t="n">
        <v>8.54690566102988E-009</v>
      </c>
      <c r="E176" s="2" t="n">
        <v>0.193120250004287</v>
      </c>
    </row>
    <row r="177" customFormat="false" ht="13.8" hidden="false" customHeight="false" outlineLevel="0" collapsed="false">
      <c r="B177" s="2" t="n">
        <v>175</v>
      </c>
      <c r="C177" s="2" t="n">
        <v>1.53536986457896E-008</v>
      </c>
      <c r="D177" s="2" t="n">
        <v>8.01026351335593E-009</v>
      </c>
      <c r="E177" s="2" t="n">
        <v>0.22570418333776</v>
      </c>
    </row>
    <row r="178" customFormat="false" ht="13.8" hidden="false" customHeight="false" outlineLevel="0" collapsed="false">
      <c r="B178" s="2" t="n">
        <v>176</v>
      </c>
      <c r="C178" s="2" t="n">
        <v>1.48022159075915E-008</v>
      </c>
      <c r="D178" s="2" t="n">
        <v>7.47363330563999E-009</v>
      </c>
      <c r="E178" s="2" t="n">
        <v>0.207137100004565</v>
      </c>
    </row>
    <row r="179" customFormat="false" ht="13.8" hidden="false" customHeight="false" outlineLevel="0" collapsed="false">
      <c r="B179" s="2" t="n">
        <v>177</v>
      </c>
      <c r="C179" s="2" t="n">
        <v>1.42507285456536E-008</v>
      </c>
      <c r="D179" s="2" t="n">
        <v>6.9370198873595E-009</v>
      </c>
      <c r="E179" s="2" t="n">
        <v>0.223187466671371</v>
      </c>
    </row>
    <row r="180" customFormat="false" ht="13.8" hidden="false" customHeight="false" outlineLevel="0" collapsed="false">
      <c r="B180" s="2" t="n">
        <v>178</v>
      </c>
      <c r="C180" s="2" t="n">
        <v>1.36992351980692E-008</v>
      </c>
      <c r="D180" s="2" t="n">
        <v>6.40042879518434E-009</v>
      </c>
      <c r="E180" s="2" t="n">
        <v>0.209704450004843</v>
      </c>
    </row>
    <row r="181" customFormat="false" ht="13.8" hidden="false" customHeight="false" outlineLevel="0" collapsed="false">
      <c r="B181" s="2" t="n">
        <v>179</v>
      </c>
      <c r="C181" s="2" t="n">
        <v>1.31477369048621E-008</v>
      </c>
      <c r="D181" s="2" t="n">
        <v>5.86386887398609E-009</v>
      </c>
      <c r="E181" s="2" t="n">
        <v>0.220904366671648</v>
      </c>
    </row>
    <row r="182" customFormat="false" ht="13.8" hidden="false" customHeight="false" outlineLevel="0" collapsed="false">
      <c r="B182" s="2" t="n">
        <v>180</v>
      </c>
      <c r="C182" s="2" t="n">
        <v>1.25962327464035E-008</v>
      </c>
      <c r="D182" s="2" t="n">
        <v>5.32735171401601E-009</v>
      </c>
      <c r="E182" s="2" t="n">
        <v>0.198171083338454</v>
      </c>
    </row>
    <row r="183" customFormat="false" ht="13.8" hidden="false" customHeight="false" outlineLevel="0" collapsed="false">
      <c r="B183" s="2" t="n">
        <v>181</v>
      </c>
      <c r="C183" s="2" t="n">
        <v>1.20447235152358E-008</v>
      </c>
      <c r="D183" s="2" t="n">
        <v>4.79089644005824E-009</v>
      </c>
      <c r="E183" s="2" t="n">
        <v>0.210737366671926</v>
      </c>
    </row>
    <row r="184" customFormat="false" ht="13.8" hidden="false" customHeight="false" outlineLevel="0" collapsed="false">
      <c r="B184" s="2" t="n">
        <v>182</v>
      </c>
      <c r="C184" s="2" t="n">
        <v>1.14932085711977E-008</v>
      </c>
      <c r="D184" s="2" t="n">
        <v>4.25453165228565E-009</v>
      </c>
      <c r="E184" s="2" t="n">
        <v>0.199087300005398</v>
      </c>
    </row>
    <row r="185" customFormat="false" ht="13.8" hidden="false" customHeight="false" outlineLevel="0" collapsed="false">
      <c r="B185" s="2" t="n">
        <v>183</v>
      </c>
      <c r="C185" s="2" t="n">
        <v>1.09416883671608E-008</v>
      </c>
      <c r="D185" s="2" t="n">
        <v>3.71830633906238E-009</v>
      </c>
      <c r="E185" s="2" t="n">
        <v>0.173786716672204</v>
      </c>
    </row>
    <row r="186" customFormat="false" ht="13.8" hidden="false" customHeight="false" outlineLevel="0" collapsed="false">
      <c r="B186" s="2" t="n">
        <v>184</v>
      </c>
      <c r="C186" s="2" t="n">
        <v>1.0390162925009E-008</v>
      </c>
      <c r="D186" s="2" t="n">
        <v>3.18230859495152E-009</v>
      </c>
      <c r="E186" s="2" t="n">
        <v>0.158237350005676</v>
      </c>
    </row>
    <row r="187" customFormat="false" ht="13.8" hidden="false" customHeight="false" outlineLevel="0" collapsed="false">
      <c r="B187" s="2" t="n">
        <v>185</v>
      </c>
      <c r="C187" s="2" t="n">
        <v>9.83863078337238E-009</v>
      </c>
      <c r="D187" s="2" t="n">
        <v>2.64671495989581E-009</v>
      </c>
      <c r="E187" s="2" t="n">
        <v>0.241470633339148</v>
      </c>
    </row>
    <row r="188" customFormat="false" ht="13.8" hidden="false" customHeight="false" outlineLevel="0" collapsed="false">
      <c r="B188" s="2" t="n">
        <v>186</v>
      </c>
      <c r="C188" s="2" t="n">
        <v>9.28709473516859E-009</v>
      </c>
      <c r="D188" s="2" t="n">
        <v>2.11193631019536E-009</v>
      </c>
      <c r="E188" s="2" t="n">
        <v>0.149787533339287</v>
      </c>
    </row>
    <row r="189" customFormat="false" ht="13.8" hidden="false" customHeight="false" outlineLevel="0" collapsed="false">
      <c r="B189" s="2" t="n">
        <v>187</v>
      </c>
      <c r="C189" s="2" t="n">
        <v>8.73555226485561E-009</v>
      </c>
      <c r="D189" s="2" t="n">
        <v>1.57915552793123E-009</v>
      </c>
      <c r="E189" s="2" t="n">
        <v>0.207503300006093</v>
      </c>
    </row>
    <row r="190" customFormat="false" ht="13.8" hidden="false" customHeight="false" outlineLevel="0" collapsed="false">
      <c r="B190" s="2" t="n">
        <v>188</v>
      </c>
      <c r="C190" s="2" t="n">
        <v>8.18407720809652E-009</v>
      </c>
      <c r="D190" s="2" t="n">
        <v>1.03755225776156E-009</v>
      </c>
      <c r="E190" s="2" t="n">
        <v>0.196086366672908</v>
      </c>
    </row>
    <row r="191" customFormat="false" ht="13.8" hidden="false" customHeight="false" outlineLevel="0" collapsed="false">
      <c r="B191" s="2" t="n">
        <v>189</v>
      </c>
      <c r="C191" s="2" t="n">
        <v>7.38902060550493E-009</v>
      </c>
      <c r="D191" s="2" t="n">
        <v>0.0436324273386419</v>
      </c>
      <c r="E191" s="2" t="n">
        <v>0.158687289333491</v>
      </c>
    </row>
    <row r="192" customFormat="false" ht="13.8" hidden="false" customHeight="false" outlineLevel="0" collapsed="false">
      <c r="B192" s="2" t="n">
        <v>190</v>
      </c>
      <c r="C192" s="2" t="n">
        <v>7.1134373690597E-009</v>
      </c>
      <c r="D192" s="2" t="n">
        <v>0.0727010904331974</v>
      </c>
      <c r="E192" s="2" t="n">
        <v>0.119752376239192</v>
      </c>
    </row>
    <row r="193" customFormat="false" ht="13.8" hidden="false" customHeight="false" outlineLevel="0" collapsed="false">
      <c r="B193" s="2" t="n">
        <v>191</v>
      </c>
      <c r="C193" s="2" t="n">
        <v>6.83768100732461E-009</v>
      </c>
      <c r="D193" s="2" t="n">
        <v>0.0578900640504512</v>
      </c>
      <c r="E193" s="2" t="n">
        <v>0.0419287692886334</v>
      </c>
    </row>
    <row r="194" customFormat="false" ht="13.8" hidden="false" customHeight="false" outlineLevel="0" collapsed="false">
      <c r="B194" s="2" t="n">
        <v>192</v>
      </c>
      <c r="C194" s="2" t="n">
        <v>6.61339052423157E-009</v>
      </c>
      <c r="D194" s="2" t="n">
        <v>1.02085351549158E-010</v>
      </c>
      <c r="E194" s="2" t="n">
        <v>0.0515859500065856</v>
      </c>
    </row>
    <row r="195" customFormat="false" ht="13.8" hidden="false" customHeight="false" outlineLevel="0" collapsed="false">
      <c r="B195" s="2" t="n">
        <v>193</v>
      </c>
      <c r="C195" s="2" t="n">
        <v>6.32445214873683E-009</v>
      </c>
      <c r="D195" s="2" t="n">
        <v>7.56964881145168E-011</v>
      </c>
      <c r="E195" s="2" t="n">
        <v>0.0103525666733114</v>
      </c>
    </row>
    <row r="196" customFormat="false" ht="13.8" hidden="false" customHeight="false" outlineLevel="0" collapsed="false">
      <c r="B196" s="2" t="n">
        <v>194</v>
      </c>
      <c r="C196" s="2" t="n">
        <v>6.03552891324639E-009</v>
      </c>
      <c r="D196" s="2" t="n">
        <v>4.93480071729028E-011</v>
      </c>
      <c r="E196" s="2" t="n">
        <v>0.0562023833400372</v>
      </c>
    </row>
    <row r="197" customFormat="false" ht="13.8" hidden="false" customHeight="false" outlineLevel="0" collapsed="false">
      <c r="B197" s="2" t="n">
        <v>195</v>
      </c>
      <c r="C197" s="2" t="n">
        <v>5.73469393751184E-009</v>
      </c>
      <c r="D197" s="2" t="n">
        <v>0.0913705638078555</v>
      </c>
      <c r="E197" s="2" t="n">
        <v>0.0914808195314351</v>
      </c>
    </row>
    <row r="198" customFormat="false" ht="13.8" hidden="false" customHeight="false" outlineLevel="0" collapsed="false">
      <c r="B198" s="2" t="n">
        <v>196</v>
      </c>
      <c r="C198" s="2" t="n">
        <v>5.45894600634578E-009</v>
      </c>
      <c r="D198" s="2" t="n">
        <v>0.0814142216746073</v>
      </c>
      <c r="E198" s="2" t="n">
        <v>0.0590862616647421</v>
      </c>
    </row>
    <row r="199" customFormat="false" ht="13.8" hidden="false" customHeight="false" outlineLevel="0" collapsed="false">
      <c r="B199" s="2" t="n">
        <v>197</v>
      </c>
      <c r="C199" s="2" t="n">
        <v>5.18713573726243E-009</v>
      </c>
      <c r="D199" s="2" t="n">
        <v>0.100000000001376</v>
      </c>
      <c r="E199" s="2" t="n">
        <v>0.0853668833380092</v>
      </c>
    </row>
    <row r="200" customFormat="false" ht="13.8" hidden="false" customHeight="false" outlineLevel="0" collapsed="false">
      <c r="B200" s="2" t="n">
        <v>198</v>
      </c>
      <c r="C200" s="2" t="n">
        <v>4.90742764268726E-009</v>
      </c>
      <c r="D200" s="2" t="n">
        <v>0.071333053913703</v>
      </c>
      <c r="E200" s="2" t="n">
        <v>0.0696670627590774</v>
      </c>
    </row>
    <row r="201" customFormat="false" ht="13.8" hidden="false" customHeight="false" outlineLevel="0" collapsed="false">
      <c r="B201" s="2" t="n">
        <v>199</v>
      </c>
      <c r="C201" s="2" t="n">
        <v>4.6316652787069E-009</v>
      </c>
      <c r="D201" s="2" t="n">
        <v>0.0804892677901205</v>
      </c>
      <c r="E201" s="2" t="n">
        <v>0.0738443155493753</v>
      </c>
    </row>
    <row r="202" customFormat="false" ht="13.8" hidden="false" customHeight="false" outlineLevel="0" collapsed="false">
      <c r="B202" s="2" t="n">
        <v>200</v>
      </c>
      <c r="C202" s="2" t="n">
        <v>4.35590011338712E-009</v>
      </c>
      <c r="D202" s="2" t="n">
        <v>0.0693453177616634</v>
      </c>
      <c r="E202" s="2" t="n">
        <v>0.0731546822445481</v>
      </c>
    </row>
    <row r="203" customFormat="false" ht="13.8" hidden="false" customHeight="false" outlineLevel="0" collapsed="false">
      <c r="B203" s="2" t="n">
        <v>201</v>
      </c>
      <c r="C203" s="2" t="n">
        <v>4.08013156910931E-009</v>
      </c>
      <c r="D203" s="2" t="n">
        <v>0.0952776689569206</v>
      </c>
      <c r="E203" s="2" t="n">
        <v>0.0923890810493398</v>
      </c>
    </row>
    <row r="204" customFormat="false" ht="13.8" hidden="false" customHeight="false" outlineLevel="0" collapsed="false">
      <c r="B204" s="2" t="n">
        <v>202</v>
      </c>
      <c r="C204" s="2" t="n">
        <v>3.80436143501343E-009</v>
      </c>
      <c r="D204" s="2" t="n">
        <v>0.0604493385612573</v>
      </c>
      <c r="E204" s="2" t="n">
        <v>0.0554508947783853</v>
      </c>
    </row>
    <row r="205" customFormat="false" ht="13.8" hidden="false" customHeight="false" outlineLevel="0" collapsed="false">
      <c r="B205" s="2" t="n">
        <v>203</v>
      </c>
      <c r="C205" s="2" t="n">
        <v>3.52858846184505E-009</v>
      </c>
      <c r="D205" s="2" t="n">
        <v>0.0660032760979072</v>
      </c>
      <c r="E205" s="2" t="n">
        <v>0.0689636405751175</v>
      </c>
    </row>
    <row r="206" customFormat="false" ht="13.8" hidden="false" customHeight="false" outlineLevel="0" collapsed="false">
      <c r="B206" s="2" t="n">
        <v>204</v>
      </c>
      <c r="C206" s="2" t="n">
        <v>3.25281288080266E-009</v>
      </c>
      <c r="D206" s="2" t="n">
        <v>0.0922621957400207</v>
      </c>
      <c r="E206" s="2" t="n">
        <v>0.0919879375997197</v>
      </c>
    </row>
    <row r="207" customFormat="false" ht="13.8" hidden="false" customHeight="false" outlineLevel="0" collapsed="false">
      <c r="B207" s="2" t="n">
        <v>205</v>
      </c>
      <c r="C207" s="2" t="n">
        <v>2.97703169332181E-009</v>
      </c>
      <c r="D207" s="2" t="n">
        <v>0.0699786544246809</v>
      </c>
      <c r="E207" s="2" t="n">
        <v>0.0727213789151083</v>
      </c>
    </row>
    <row r="208" customFormat="false" ht="13.8" hidden="false" customHeight="false" outlineLevel="0" collapsed="false">
      <c r="B208" s="2" t="n">
        <v>206</v>
      </c>
      <c r="C208" s="2" t="n">
        <v>2.70125208397976E-009</v>
      </c>
      <c r="D208" s="2" t="n">
        <v>0.0917389153722935</v>
      </c>
      <c r="E208" s="2" t="n">
        <v>0.0927612179675446</v>
      </c>
    </row>
    <row r="209" customFormat="false" ht="13.8" hidden="false" customHeight="false" outlineLevel="0" collapsed="false">
      <c r="B209" s="2" t="n">
        <v>207</v>
      </c>
      <c r="C209" s="2" t="n">
        <v>2.4254709473448E-009</v>
      </c>
      <c r="D209" s="2" t="n">
        <v>0.0625899077047596</v>
      </c>
      <c r="E209" s="2" t="n">
        <v>0.0605769089684608</v>
      </c>
    </row>
    <row r="210" customFormat="false" ht="13.8" hidden="false" customHeight="false" outlineLevel="0" collapsed="false">
      <c r="B210" s="2" t="n">
        <v>208</v>
      </c>
      <c r="C210" s="2" t="n">
        <v>2.14968817602243E-009</v>
      </c>
      <c r="D210" s="2" t="n">
        <v>0.0872780097097468</v>
      </c>
      <c r="E210" s="2" t="n">
        <v>0.0841889569635223</v>
      </c>
    </row>
    <row r="211" customFormat="false" ht="13.8" hidden="false" customHeight="false" outlineLevel="0" collapsed="false">
      <c r="B211" s="2" t="n">
        <v>209</v>
      </c>
      <c r="C211" s="2" t="n">
        <v>1.87390478792521E-009</v>
      </c>
      <c r="D211" s="2" t="n">
        <v>0.0616885632768627</v>
      </c>
      <c r="E211" s="2" t="n">
        <v>0.0580951533964553</v>
      </c>
    </row>
    <row r="212" customFormat="false" ht="13.8" hidden="false" customHeight="false" outlineLevel="0" collapsed="false">
      <c r="B212" s="2" t="n">
        <v>210</v>
      </c>
      <c r="C212" s="2" t="n">
        <v>1.59812145034014E-009</v>
      </c>
      <c r="D212" s="2" t="n">
        <v>0.0841873937542249</v>
      </c>
      <c r="E212" s="2" t="n">
        <v>0.0937461895858086</v>
      </c>
    </row>
    <row r="213" customFormat="false" ht="13.8" hidden="false" customHeight="false" outlineLevel="0" collapsed="false">
      <c r="B213" s="2" t="n">
        <v>211</v>
      </c>
      <c r="C213" s="2" t="n">
        <v>1.32234024466286E-009</v>
      </c>
      <c r="D213" s="2" t="n">
        <v>0.073123899468111</v>
      </c>
      <c r="E213" s="2" t="n">
        <v>0.0689595172053048</v>
      </c>
    </row>
    <row r="214" customFormat="false" ht="13.8" hidden="false" customHeight="false" outlineLevel="0" collapsed="false">
      <c r="B214" s="2" t="n">
        <v>212</v>
      </c>
      <c r="C214" s="2" t="n">
        <v>1.04656483092885E-009</v>
      </c>
      <c r="D214" s="2" t="n">
        <v>0.0858783230330481</v>
      </c>
      <c r="E214" s="2" t="n">
        <v>0.0812886103070831</v>
      </c>
    </row>
    <row r="215" customFormat="false" ht="13.8" hidden="false" customHeight="false" outlineLevel="0" collapsed="false">
      <c r="B215" s="2" t="n">
        <v>213</v>
      </c>
      <c r="C215" s="2" t="n">
        <v>7.70804390728109E-010</v>
      </c>
      <c r="D215" s="2" t="n">
        <v>0.0955911161185902</v>
      </c>
      <c r="E215" s="2" t="n">
        <v>0.0883257172215899</v>
      </c>
    </row>
    <row r="216" customFormat="false" ht="13.8" hidden="false" customHeight="false" outlineLevel="0" collapsed="false">
      <c r="B216" s="2" t="n">
        <v>214</v>
      </c>
      <c r="C216" s="2" t="n">
        <v>4.95264761188663E-010</v>
      </c>
      <c r="D216" s="2" t="n">
        <v>0.0875474025633097</v>
      </c>
      <c r="E216" s="2" t="n">
        <v>0.0948224662618683</v>
      </c>
    </row>
    <row r="217" customFormat="false" ht="13.8" hidden="false" customHeight="false" outlineLevel="0" collapsed="false">
      <c r="B217" s="2" t="n">
        <v>215</v>
      </c>
      <c r="C217" s="2" t="n">
        <v>0.039215326499233</v>
      </c>
      <c r="D217" s="2" t="n">
        <v>0.0761657077665015</v>
      </c>
      <c r="E217" s="2" t="n">
        <v>0.077625436702585</v>
      </c>
    </row>
    <row r="218" customFormat="false" ht="13.8" hidden="false" customHeight="false" outlineLevel="0" collapsed="false">
      <c r="B218" s="2" t="n">
        <v>216</v>
      </c>
      <c r="C218" s="2" t="n">
        <v>0.0343331941362715</v>
      </c>
      <c r="D218" s="2" t="n">
        <v>0.0651284126078186</v>
      </c>
      <c r="E218" s="2" t="n">
        <v>0.0617811663683967</v>
      </c>
    </row>
    <row r="219" customFormat="false" ht="13.8" hidden="false" customHeight="false" outlineLevel="0" collapsed="false">
      <c r="B219" s="2" t="n">
        <v>217</v>
      </c>
      <c r="C219" s="2" t="n">
        <v>0.0528903492502947</v>
      </c>
      <c r="D219" s="2" t="n">
        <v>0.0655972635065939</v>
      </c>
      <c r="E219" s="2" t="n">
        <v>0.0554252291663335</v>
      </c>
    </row>
    <row r="220" customFormat="false" ht="13.8" hidden="false" customHeight="false" outlineLevel="0" collapsed="false">
      <c r="B220" s="2" t="n">
        <v>218</v>
      </c>
      <c r="C220" s="2" t="n">
        <v>0.0227053540802267</v>
      </c>
      <c r="D220" s="2" t="n">
        <v>0.0583250251051158</v>
      </c>
      <c r="E220" s="2" t="n">
        <v>0.023033954429125</v>
      </c>
    </row>
    <row r="221" customFormat="false" ht="13.8" hidden="false" customHeight="false" outlineLevel="0" collapsed="false">
      <c r="B221" s="2" t="n">
        <v>219</v>
      </c>
      <c r="C221" s="2" t="n">
        <v>0.0169104589446001</v>
      </c>
      <c r="D221" s="2" t="n">
        <v>0.0182538081536808</v>
      </c>
      <c r="E221" s="2" t="n">
        <v>0.0300014248740989</v>
      </c>
    </row>
    <row r="222" customFormat="false" ht="13.8" hidden="false" customHeight="false" outlineLevel="0" collapsed="false">
      <c r="B222" s="2" t="n">
        <v>220</v>
      </c>
      <c r="C222" s="2" t="n">
        <v>3.99757791389171E-016</v>
      </c>
      <c r="D222" s="2" t="n">
        <v>0</v>
      </c>
      <c r="E222" s="2" t="n">
        <v>0</v>
      </c>
    </row>
    <row r="223" customFormat="false" ht="13.8" hidden="false" customHeight="false" outlineLevel="0" collapsed="false">
      <c r="B223" s="2" t="n">
        <v>221</v>
      </c>
      <c r="C223" s="2" t="n">
        <v>5.03608476576076E-016</v>
      </c>
      <c r="D223" s="2" t="n">
        <v>6.01142311644764E-019</v>
      </c>
      <c r="E223" s="2" t="n">
        <v>0</v>
      </c>
    </row>
    <row r="224" customFormat="false" ht="13.8" hidden="false" customHeight="false" outlineLevel="0" collapsed="false">
      <c r="B224" s="2" t="n">
        <v>222</v>
      </c>
      <c r="C224" s="2" t="n">
        <v>6.7851617367757E-016</v>
      </c>
      <c r="D224" s="2" t="n">
        <v>0</v>
      </c>
      <c r="E224" s="2" t="n">
        <v>0</v>
      </c>
    </row>
    <row r="225" customFormat="false" ht="13.8" hidden="false" customHeight="false" outlineLevel="0" collapsed="false">
      <c r="B225" s="2" t="n">
        <v>223</v>
      </c>
      <c r="C225" s="2" t="n">
        <v>8.51450724277739E-016</v>
      </c>
      <c r="D225" s="2" t="n">
        <v>0</v>
      </c>
      <c r="E225" s="2" t="n">
        <v>0</v>
      </c>
    </row>
    <row r="226" customFormat="false" ht="13.8" hidden="false" customHeight="false" outlineLevel="0" collapsed="false">
      <c r="B226" s="2" t="n">
        <v>224</v>
      </c>
      <c r="C226" s="2" t="n">
        <v>1.02390920187292E-015</v>
      </c>
      <c r="D226" s="2" t="n">
        <v>0</v>
      </c>
      <c r="E226" s="2" t="n">
        <v>0</v>
      </c>
    </row>
    <row r="227" customFormat="false" ht="13.8" hidden="false" customHeight="false" outlineLevel="0" collapsed="false">
      <c r="B227" s="2" t="n">
        <v>225</v>
      </c>
      <c r="C227" s="2" t="n">
        <v>1.19535948891313E-015</v>
      </c>
      <c r="D227" s="2" t="n">
        <v>6.9839677989334E-018</v>
      </c>
      <c r="E227" s="2" t="n">
        <v>0</v>
      </c>
    </row>
    <row r="228" customFormat="false" ht="13.8" hidden="false" customHeight="false" outlineLevel="0" collapsed="false">
      <c r="B228" s="2" t="n">
        <v>226</v>
      </c>
      <c r="C228" s="2" t="n">
        <v>9.90388690240017E-015</v>
      </c>
      <c r="D228" s="2" t="n">
        <v>0</v>
      </c>
      <c r="E228" s="2" t="n">
        <v>0</v>
      </c>
    </row>
    <row r="229" customFormat="false" ht="13.8" hidden="false" customHeight="false" outlineLevel="0" collapsed="false">
      <c r="B229" s="2" t="n">
        <v>227</v>
      </c>
      <c r="C229" s="2" t="n">
        <v>3.36071534132978E-015</v>
      </c>
      <c r="D229" s="2" t="n">
        <v>1.39679355978668E-017</v>
      </c>
      <c r="E229" s="2" t="n">
        <v>0</v>
      </c>
    </row>
    <row r="230" customFormat="false" ht="13.8" hidden="false" customHeight="false" outlineLevel="0" collapsed="false">
      <c r="B230" s="2" t="n">
        <v>228</v>
      </c>
      <c r="C230" s="2" t="n">
        <v>6.66614307670342E-011</v>
      </c>
      <c r="D230" s="2" t="n">
        <v>9.61827698631623E-018</v>
      </c>
      <c r="E230" s="2" t="n">
        <v>0</v>
      </c>
    </row>
    <row r="231" customFormat="false" ht="13.8" hidden="false" customHeight="false" outlineLevel="0" collapsed="false">
      <c r="B231" s="2" t="n">
        <v>229</v>
      </c>
      <c r="C231" s="2" t="n">
        <v>3.56206005131374E-011</v>
      </c>
      <c r="D231" s="2" t="n">
        <v>9.61827698631623E-018</v>
      </c>
      <c r="E231" s="2" t="n">
        <v>0</v>
      </c>
    </row>
    <row r="232" customFormat="false" ht="13.8" hidden="false" customHeight="false" outlineLevel="0" collapsed="false">
      <c r="B232" s="2" t="n">
        <v>230</v>
      </c>
      <c r="C232" s="2" t="n">
        <v>1.9005692162213E-011</v>
      </c>
      <c r="D232" s="2" t="n">
        <v>0</v>
      </c>
      <c r="E232" s="2" t="n">
        <v>0</v>
      </c>
    </row>
    <row r="233" customFormat="false" ht="13.8" hidden="false" customHeight="false" outlineLevel="0" collapsed="false">
      <c r="B233" s="2" t="n">
        <v>231</v>
      </c>
      <c r="C233" s="2" t="n">
        <v>1.00875829515275E-011</v>
      </c>
      <c r="D233" s="2" t="n">
        <v>0</v>
      </c>
      <c r="E233" s="2" t="n">
        <v>0</v>
      </c>
    </row>
    <row r="234" customFormat="false" ht="13.8" hidden="false" customHeight="false" outlineLevel="0" collapsed="false">
      <c r="B234" s="2" t="n">
        <v>232</v>
      </c>
      <c r="C234" s="2" t="n">
        <v>8.81297413263063E-017</v>
      </c>
      <c r="D234" s="2" t="n">
        <v>0</v>
      </c>
      <c r="E234" s="2" t="n">
        <v>2.26110686685276E-015</v>
      </c>
    </row>
    <row r="235" customFormat="false" ht="13.8" hidden="false" customHeight="false" outlineLevel="0" collapsed="false">
      <c r="B235" s="2" t="n">
        <v>233</v>
      </c>
      <c r="C235" s="2" t="n">
        <v>9.07579220085761E-017</v>
      </c>
      <c r="D235" s="2" t="n">
        <v>0</v>
      </c>
      <c r="E235" s="2" t="n">
        <v>0</v>
      </c>
    </row>
    <row r="236" customFormat="false" ht="13.8" hidden="false" customHeight="false" outlineLevel="0" collapsed="false">
      <c r="B236" s="2" t="n">
        <v>234</v>
      </c>
      <c r="C236" s="2" t="n">
        <v>7.07550610010058E-013</v>
      </c>
      <c r="D236" s="2" t="n">
        <v>0</v>
      </c>
      <c r="E236" s="2" t="n">
        <v>4.33955805640239E-011</v>
      </c>
    </row>
    <row r="237" customFormat="false" ht="13.8" hidden="false" customHeight="false" outlineLevel="0" collapsed="false">
      <c r="B237" s="2" t="n">
        <v>235</v>
      </c>
      <c r="C237" s="2" t="n">
        <v>0</v>
      </c>
      <c r="D237" s="2" t="n">
        <v>0</v>
      </c>
      <c r="E237" s="2" t="n">
        <v>2.30360991209384E-011</v>
      </c>
    </row>
    <row r="238" customFormat="false" ht="13.8" hidden="false" customHeight="false" outlineLevel="0" collapsed="false">
      <c r="B238" s="2" t="n">
        <v>236</v>
      </c>
      <c r="C238" s="2" t="n">
        <v>4.07925130910365E-016</v>
      </c>
      <c r="D238" s="2" t="n">
        <v>0</v>
      </c>
      <c r="E238" s="2" t="n">
        <v>0</v>
      </c>
    </row>
    <row r="239" customFormat="false" ht="13.8" hidden="false" customHeight="false" outlineLevel="0" collapsed="false">
      <c r="B239" s="2" t="n">
        <v>237</v>
      </c>
      <c r="C239" s="2" t="n">
        <v>7.62121166183136E-016</v>
      </c>
      <c r="D239" s="2" t="n">
        <v>0</v>
      </c>
      <c r="E239" s="2" t="n">
        <v>0</v>
      </c>
    </row>
    <row r="240" customFormat="false" ht="13.8" hidden="false" customHeight="false" outlineLevel="0" collapsed="false">
      <c r="B240" s="2" t="n">
        <v>238</v>
      </c>
      <c r="C240" s="2" t="n">
        <v>0</v>
      </c>
      <c r="D240" s="2" t="n">
        <v>0</v>
      </c>
      <c r="E240" s="2" t="n">
        <v>2.00151517502207E-012</v>
      </c>
    </row>
    <row r="241" customFormat="false" ht="13.8" hidden="false" customHeight="false" outlineLevel="0" collapsed="false">
      <c r="B241" s="2" t="n">
        <v>239</v>
      </c>
      <c r="C241" s="2" t="n">
        <v>2.64855894584005E-015</v>
      </c>
      <c r="D241" s="2" t="n">
        <v>5.58717423914674E-017</v>
      </c>
      <c r="E241" s="2" t="n">
        <v>0</v>
      </c>
    </row>
    <row r="242" customFormat="false" ht="13.8" hidden="false" customHeight="false" outlineLevel="0" collapsed="false">
      <c r="B242" s="2" t="n">
        <v>240</v>
      </c>
      <c r="C242" s="2" t="n">
        <v>1.12125602400171E-013</v>
      </c>
      <c r="D242" s="2" t="n">
        <v>5.12861689080895E-011</v>
      </c>
      <c r="E242" s="2" t="n">
        <v>2.47160090922774E-011</v>
      </c>
    </row>
    <row r="243" customFormat="false" ht="13.8" hidden="false" customHeight="false" outlineLevel="0" collapsed="false">
      <c r="B243" s="2" t="n">
        <v>241</v>
      </c>
      <c r="C243" s="2" t="n">
        <v>2.20774113743423E-010</v>
      </c>
      <c r="D243" s="2" t="n">
        <v>2.48871551011927E-016</v>
      </c>
      <c r="E243" s="2" t="n">
        <v>0</v>
      </c>
    </row>
    <row r="244" customFormat="false" ht="13.8" hidden="false" customHeight="false" outlineLevel="0" collapsed="false">
      <c r="B244" s="2" t="n">
        <v>242</v>
      </c>
      <c r="C244" s="2" t="n">
        <v>0</v>
      </c>
      <c r="D244" s="2" t="n">
        <v>4.325492080539E-013</v>
      </c>
      <c r="E244" s="2" t="n">
        <v>1.16245958584428E-013</v>
      </c>
    </row>
    <row r="245" customFormat="false" ht="13.8" hidden="false" customHeight="false" outlineLevel="0" collapsed="false">
      <c r="B245" s="2" t="n">
        <v>243</v>
      </c>
      <c r="C245" s="2" t="n">
        <v>2.90830939794582E-014</v>
      </c>
      <c r="D245" s="2" t="n">
        <v>2.54784001261452E-016</v>
      </c>
      <c r="E245" s="2" t="n">
        <v>0</v>
      </c>
    </row>
    <row r="246" customFormat="false" ht="13.8" hidden="false" customHeight="false" outlineLevel="0" collapsed="false">
      <c r="B246" s="2" t="n">
        <v>244</v>
      </c>
      <c r="C246" s="2" t="n">
        <v>7.11681004068796E-016</v>
      </c>
      <c r="D246" s="2" t="n">
        <v>1.67615227174403E-016</v>
      </c>
      <c r="E246" s="2" t="n">
        <v>0</v>
      </c>
    </row>
    <row r="247" customFormat="false" ht="13.8" hidden="false" customHeight="false" outlineLevel="0" collapsed="false">
      <c r="B247" s="2" t="n">
        <v>245</v>
      </c>
      <c r="C247" s="2" t="n">
        <v>4.20513039891633E-014</v>
      </c>
      <c r="D247" s="2" t="n">
        <v>0</v>
      </c>
      <c r="E247" s="2" t="n">
        <v>0</v>
      </c>
    </row>
    <row r="248" customFormat="false" ht="13.8" hidden="false" customHeight="false" outlineLevel="0" collapsed="false">
      <c r="B248" s="2" t="n">
        <v>246</v>
      </c>
      <c r="C248" s="2" t="n">
        <v>8.09033711751303E-016</v>
      </c>
      <c r="D248" s="2" t="n">
        <v>5.58717423914674E-017</v>
      </c>
      <c r="E248" s="2" t="n">
        <v>0</v>
      </c>
    </row>
    <row r="249" customFormat="false" ht="13.8" hidden="false" customHeight="false" outlineLevel="0" collapsed="false">
      <c r="B249" s="2" t="n">
        <v>247</v>
      </c>
      <c r="C249" s="2" t="n">
        <v>0</v>
      </c>
      <c r="D249" s="2" t="n">
        <v>9.43448503367327E-017</v>
      </c>
      <c r="E249" s="2" t="n">
        <v>0</v>
      </c>
    </row>
    <row r="250" customFormat="false" ht="13.8" hidden="false" customHeight="false" outlineLevel="0" collapsed="false">
      <c r="B250" s="2" t="n">
        <v>248</v>
      </c>
      <c r="C250" s="2" t="n">
        <v>9.51644958502974E-013</v>
      </c>
      <c r="D250" s="2" t="n">
        <v>0</v>
      </c>
      <c r="E250" s="2" t="n">
        <v>0</v>
      </c>
    </row>
    <row r="251" customFormat="false" ht="13.8" hidden="false" customHeight="false" outlineLevel="0" collapsed="false">
      <c r="B251" s="2" t="n">
        <v>249</v>
      </c>
      <c r="C251" s="2" t="n">
        <v>0</v>
      </c>
      <c r="D251" s="2" t="n">
        <v>1.11743484782935E-016</v>
      </c>
      <c r="E251" s="2" t="n">
        <v>0</v>
      </c>
    </row>
    <row r="252" customFormat="false" ht="13.8" hidden="false" customHeight="false" outlineLevel="0" collapsed="false">
      <c r="B252" s="2" t="n">
        <v>250</v>
      </c>
      <c r="C252" s="2" t="n">
        <v>0</v>
      </c>
      <c r="D252" s="2" t="n">
        <v>1.11743484782935E-016</v>
      </c>
      <c r="E252" s="2" t="n">
        <v>0</v>
      </c>
    </row>
    <row r="253" customFormat="false" ht="13.8" hidden="false" customHeight="false" outlineLevel="0" collapsed="false">
      <c r="B253" s="2" t="n">
        <v>251</v>
      </c>
      <c r="C253" s="2" t="n">
        <v>0</v>
      </c>
      <c r="D253" s="2" t="n">
        <v>1.76668291734039E-016</v>
      </c>
      <c r="E253" s="2" t="n">
        <v>0</v>
      </c>
    </row>
    <row r="254" customFormat="false" ht="13.8" hidden="false" customHeight="false" outlineLevel="0" collapsed="false">
      <c r="B254" s="2" t="n">
        <v>252</v>
      </c>
      <c r="C254" s="2" t="n">
        <v>0</v>
      </c>
      <c r="D254" s="2" t="n">
        <v>2.23486969565003E-016</v>
      </c>
      <c r="E254" s="2" t="n">
        <v>0</v>
      </c>
    </row>
    <row r="255" customFormat="false" ht="13.8" hidden="false" customHeight="false" outlineLevel="0" collapsed="false">
      <c r="B255" s="2" t="n">
        <v>253</v>
      </c>
      <c r="C255" s="2" t="n">
        <v>0</v>
      </c>
      <c r="D255" s="2" t="n">
        <v>5.23920155018333E-016</v>
      </c>
      <c r="E255" s="2" t="n">
        <v>0</v>
      </c>
    </row>
    <row r="256" customFormat="false" ht="13.8" hidden="false" customHeight="false" outlineLevel="0" collapsed="false">
      <c r="B256" s="2" t="n">
        <v>254</v>
      </c>
      <c r="C256" s="2" t="n">
        <v>0</v>
      </c>
      <c r="D256" s="2" t="n">
        <v>3.78523550171466E-015</v>
      </c>
      <c r="E256" s="2" t="n">
        <v>0</v>
      </c>
    </row>
    <row r="257" customFormat="false" ht="13.8" hidden="false" customHeight="false" outlineLevel="0" collapsed="false">
      <c r="B257" s="2" t="n">
        <v>255</v>
      </c>
      <c r="C257" s="2" t="n">
        <v>0</v>
      </c>
      <c r="D257" s="2" t="n">
        <v>0</v>
      </c>
      <c r="E257" s="2" t="n">
        <v>0</v>
      </c>
    </row>
    <row r="258" customFormat="false" ht="13.8" hidden="false" customHeight="false" outlineLevel="0" collapsed="false">
      <c r="B258" s="2" t="n">
        <v>256</v>
      </c>
      <c r="C258" s="2" t="n">
        <v>0</v>
      </c>
      <c r="D258" s="2" t="n">
        <v>0</v>
      </c>
      <c r="E258" s="2" t="n">
        <v>0</v>
      </c>
    </row>
    <row r="259" customFormat="false" ht="13.8" hidden="false" customHeight="false" outlineLevel="0" collapsed="false">
      <c r="B259" s="2" t="n">
        <v>257</v>
      </c>
      <c r="C259" s="2" t="n">
        <v>2.05405366422711E-008</v>
      </c>
      <c r="D259" s="2" t="n">
        <v>0</v>
      </c>
      <c r="E259" s="2" t="n">
        <v>0.00191156548163124</v>
      </c>
    </row>
    <row r="260" customFormat="false" ht="13.8" hidden="false" customHeight="false" outlineLevel="0" collapsed="false">
      <c r="B260" s="2" t="n">
        <v>258</v>
      </c>
      <c r="C260" s="2" t="n">
        <v>2.00042168177925E-008</v>
      </c>
      <c r="D260" s="2" t="n">
        <v>0</v>
      </c>
      <c r="E260" s="2" t="n">
        <v>0.0405586042445016</v>
      </c>
    </row>
    <row r="261" customFormat="false" ht="13.8" hidden="false" customHeight="false" outlineLevel="0" collapsed="false">
      <c r="B261" s="2" t="n">
        <v>259</v>
      </c>
      <c r="C261" s="2" t="n">
        <v>1.94744951533305E-008</v>
      </c>
      <c r="D261" s="2" t="n">
        <v>0</v>
      </c>
      <c r="E261" s="2" t="n">
        <v>0.0204554763407056</v>
      </c>
    </row>
    <row r="262" customFormat="false" ht="13.8" hidden="false" customHeight="false" outlineLevel="0" collapsed="false">
      <c r="B262" s="2" t="n">
        <v>260</v>
      </c>
      <c r="C262" s="2" t="n">
        <v>1.89453009275333E-008</v>
      </c>
      <c r="D262" s="2" t="n">
        <v>0</v>
      </c>
      <c r="E262" s="2" t="n">
        <v>0.0557687317702428</v>
      </c>
    </row>
    <row r="263" customFormat="false" ht="13.8" hidden="false" customHeight="false" outlineLevel="0" collapsed="false">
      <c r="B263" s="2" t="n">
        <v>261</v>
      </c>
      <c r="C263" s="2" t="n">
        <v>1.84166885902066E-008</v>
      </c>
      <c r="D263" s="2" t="n">
        <v>0</v>
      </c>
      <c r="E263" s="2" t="n">
        <v>0.0508652371997798</v>
      </c>
    </row>
    <row r="264" customFormat="false" ht="13.8" hidden="false" customHeight="false" outlineLevel="0" collapsed="false">
      <c r="B264" s="2" t="n">
        <v>262</v>
      </c>
      <c r="C264" s="2" t="n">
        <v>1.78881948804389E-008</v>
      </c>
      <c r="D264" s="2" t="n">
        <v>0</v>
      </c>
      <c r="E264" s="2" t="n">
        <v>0.104586677901774</v>
      </c>
    </row>
    <row r="265" customFormat="false" ht="13.8" hidden="false" customHeight="false" outlineLevel="0" collapsed="false">
      <c r="B265" s="2" t="n">
        <v>263</v>
      </c>
      <c r="C265" s="2" t="n">
        <v>1.73366044138563E-008</v>
      </c>
      <c r="D265" s="2" t="n">
        <v>0</v>
      </c>
      <c r="E265" s="2" t="n">
        <v>0.0797081852704358</v>
      </c>
    </row>
    <row r="266" customFormat="false" ht="13.8" hidden="false" customHeight="false" outlineLevel="0" collapsed="false">
      <c r="B266" s="2" t="n">
        <v>264</v>
      </c>
      <c r="C266" s="2" t="n">
        <v>1.67850061835E-008</v>
      </c>
      <c r="D266" s="2" t="n">
        <v>9.61686381607881E-009</v>
      </c>
      <c r="E266" s="2" t="n">
        <v>0.164663125972429</v>
      </c>
    </row>
    <row r="267" customFormat="false" ht="13.8" hidden="false" customHeight="false" outlineLevel="0" collapsed="false">
      <c r="B267" s="2" t="n">
        <v>265</v>
      </c>
      <c r="C267" s="2" t="n">
        <v>1.62294501970529E-008</v>
      </c>
      <c r="D267" s="2" t="n">
        <v>9.07578008825556E-009</v>
      </c>
      <c r="E267" s="2" t="n">
        <v>0.191385233337291</v>
      </c>
    </row>
    <row r="268" customFormat="false" ht="13.8" hidden="false" customHeight="false" outlineLevel="0" collapsed="false">
      <c r="B268" s="2" t="n">
        <v>266</v>
      </c>
      <c r="C268" s="2" t="n">
        <v>1.56779752357338E-008</v>
      </c>
      <c r="D268" s="2" t="n">
        <v>8.53912955038393E-009</v>
      </c>
      <c r="E268" s="2" t="n">
        <v>0.229885750004097</v>
      </c>
    </row>
    <row r="269" customFormat="false" ht="13.8" hidden="false" customHeight="false" outlineLevel="0" collapsed="false">
      <c r="B269" s="2" t="n">
        <v>267</v>
      </c>
      <c r="C269" s="2" t="n">
        <v>1.51264973635944E-008</v>
      </c>
      <c r="D269" s="2" t="n">
        <v>8.00248755083063E-009</v>
      </c>
      <c r="E269" s="2" t="n">
        <v>0.169236616670903</v>
      </c>
    </row>
    <row r="270" customFormat="false" ht="13.8" hidden="false" customHeight="false" outlineLevel="0" collapsed="false">
      <c r="B270" s="2" t="n">
        <v>268</v>
      </c>
      <c r="C270" s="2" t="n">
        <v>1.4575011718094E-008</v>
      </c>
      <c r="D270" s="2" t="n">
        <v>7.4658578845862E-009</v>
      </c>
      <c r="E270" s="2" t="n">
        <v>0.217070183337708</v>
      </c>
    </row>
    <row r="271" customFormat="false" ht="13.8" hidden="false" customHeight="false" outlineLevel="0" collapsed="false">
      <c r="B271" s="2" t="n">
        <v>269</v>
      </c>
      <c r="C271" s="2" t="n">
        <v>1.4023522221971E-008</v>
      </c>
      <c r="D271" s="2" t="n">
        <v>6.92924456187947E-009</v>
      </c>
      <c r="E271" s="2" t="n">
        <v>0.232252983337847</v>
      </c>
    </row>
    <row r="272" customFormat="false" ht="13.8" hidden="false" customHeight="false" outlineLevel="0" collapsed="false">
      <c r="B272" s="2" t="n">
        <v>270</v>
      </c>
      <c r="C272" s="2" t="n">
        <v>1.34720262859105E-008</v>
      </c>
      <c r="D272" s="2" t="n">
        <v>6.39265401745161E-009</v>
      </c>
      <c r="E272" s="2" t="n">
        <v>0.253085333337986</v>
      </c>
    </row>
    <row r="273" customFormat="false" ht="13.8" hidden="false" customHeight="false" outlineLevel="0" collapsed="false">
      <c r="B273" s="2" t="n">
        <v>271</v>
      </c>
      <c r="C273" s="2" t="n">
        <v>1.29205261638047E-008</v>
      </c>
      <c r="D273" s="2" t="n">
        <v>5.85609443934458E-009</v>
      </c>
      <c r="E273" s="2" t="n">
        <v>0.224952983338124</v>
      </c>
    </row>
    <row r="274" customFormat="false" ht="13.8" hidden="false" customHeight="false" outlineLevel="0" collapsed="false">
      <c r="B274" s="2" t="n">
        <v>272</v>
      </c>
      <c r="C274" s="2" t="n">
        <v>1.23690193054017E-008</v>
      </c>
      <c r="D274" s="2" t="n">
        <v>5.31957823097588E-009</v>
      </c>
      <c r="E274" s="2" t="n">
        <v>0.24677025000493</v>
      </c>
    </row>
    <row r="275" customFormat="false" ht="13.8" hidden="false" customHeight="false" outlineLevel="0" collapsed="false">
      <c r="B275" s="2" t="n">
        <v>273</v>
      </c>
      <c r="C275" s="2" t="n">
        <v>1.18175078280237E-008</v>
      </c>
      <c r="D275" s="2" t="n">
        <v>4.78312388933466E-009</v>
      </c>
      <c r="E275" s="2" t="n">
        <v>0.248053983338402</v>
      </c>
    </row>
    <row r="276" customFormat="false" ht="13.8" hidden="false" customHeight="false" outlineLevel="0" collapsed="false">
      <c r="B276" s="2" t="n">
        <v>274</v>
      </c>
      <c r="C276" s="2" t="n">
        <v>1.12659904478296E-008</v>
      </c>
      <c r="D276" s="2" t="n">
        <v>4.24676103914718E-009</v>
      </c>
      <c r="E276" s="2" t="n">
        <v>0.249086950005208</v>
      </c>
    </row>
    <row r="277" customFormat="false" ht="13.8" hidden="false" customHeight="false" outlineLevel="0" collapsed="false">
      <c r="B277" s="2" t="n">
        <v>275</v>
      </c>
      <c r="C277" s="2" t="n">
        <v>1.07144681775027E-008</v>
      </c>
      <c r="D277" s="2" t="n">
        <v>3.71053831063748E-009</v>
      </c>
      <c r="E277" s="2" t="n">
        <v>0.233637116672013</v>
      </c>
    </row>
    <row r="278" customFormat="false" ht="13.8" hidden="false" customHeight="false" outlineLevel="0" collapsed="false">
      <c r="B278" s="2" t="n">
        <v>276</v>
      </c>
      <c r="C278" s="2" t="n">
        <v>1.01629399130528E-008</v>
      </c>
      <c r="D278" s="2" t="n">
        <v>3.1745447381625E-009</v>
      </c>
      <c r="E278" s="2" t="n">
        <v>0.227320216672152</v>
      </c>
    </row>
    <row r="279" customFormat="false" ht="13.8" hidden="false" customHeight="false" outlineLevel="0" collapsed="false">
      <c r="B279" s="2" t="n">
        <v>277</v>
      </c>
      <c r="C279" s="2" t="n">
        <v>9.61140643478892E-009</v>
      </c>
      <c r="D279" s="2" t="n">
        <v>2.63895926329739E-009</v>
      </c>
      <c r="E279" s="2" t="n">
        <v>0.225837450005624</v>
      </c>
    </row>
    <row r="280" customFormat="false" ht="13.8" hidden="false" customHeight="false" outlineLevel="0" collapsed="false">
      <c r="B280" s="2" t="n">
        <v>278</v>
      </c>
      <c r="C280" s="2" t="n">
        <v>9.05986750160298E-009</v>
      </c>
      <c r="D280" s="2" t="n">
        <v>2.10419802688958E-009</v>
      </c>
      <c r="E280" s="2" t="n">
        <v>0.231036750005763</v>
      </c>
    </row>
    <row r="281" customFormat="false" ht="13.8" hidden="false" customHeight="false" outlineLevel="0" collapsed="false">
      <c r="B281" s="2" t="n">
        <v>279</v>
      </c>
      <c r="C281" s="2" t="n">
        <v>8.50832322697628E-009</v>
      </c>
      <c r="D281" s="2" t="n">
        <v>1.57146494023844E-009</v>
      </c>
      <c r="E281" s="2" t="n">
        <v>0.252353133339235</v>
      </c>
    </row>
    <row r="282" customFormat="false" ht="13.8" hidden="false" customHeight="false" outlineLevel="0" collapsed="false">
      <c r="B282" s="2" t="n">
        <v>280</v>
      </c>
      <c r="C282" s="2" t="n">
        <v>7.95684540179167E-009</v>
      </c>
      <c r="D282" s="2" t="n">
        <v>1.02955771765309E-009</v>
      </c>
      <c r="E282" s="2" t="n">
        <v>0.227503283339374</v>
      </c>
    </row>
    <row r="283" customFormat="false" ht="13.8" hidden="false" customHeight="false" outlineLevel="0" collapsed="false">
      <c r="B283" s="2" t="n">
        <v>281</v>
      </c>
      <c r="C283" s="2" t="n">
        <v>7.16579513451162E-009</v>
      </c>
      <c r="D283" s="2" t="n">
        <v>0.0110246207213951</v>
      </c>
      <c r="E283" s="2" t="n">
        <v>0.190295779283913</v>
      </c>
    </row>
    <row r="284" customFormat="false" ht="13.8" hidden="false" customHeight="false" outlineLevel="0" collapsed="false">
      <c r="B284" s="2" t="n">
        <v>282</v>
      </c>
      <c r="C284" s="2" t="n">
        <v>6.89020862891777E-009</v>
      </c>
      <c r="D284" s="2" t="n">
        <v>0.0586690142106407</v>
      </c>
      <c r="E284" s="2" t="n">
        <v>0.151051819128255</v>
      </c>
    </row>
    <row r="285" customFormat="false" ht="13.8" hidden="false" customHeight="false" outlineLevel="0" collapsed="false">
      <c r="B285" s="2" t="n">
        <v>283</v>
      </c>
      <c r="C285" s="2" t="n">
        <v>6.61446521052743E-009</v>
      </c>
      <c r="D285" s="2" t="n">
        <v>0.0788630414412505</v>
      </c>
      <c r="E285" s="2" t="n">
        <v>0.0580581085643607</v>
      </c>
    </row>
    <row r="286" customFormat="false" ht="13.8" hidden="false" customHeight="false" outlineLevel="0" collapsed="false">
      <c r="B286" s="2" t="n">
        <v>284</v>
      </c>
      <c r="C286" s="2" t="n">
        <v>6.33871828943766E-009</v>
      </c>
      <c r="D286" s="2" t="n">
        <v>0.0850802123992205</v>
      </c>
      <c r="E286" s="2" t="n">
        <v>0.0801903709397729</v>
      </c>
    </row>
    <row r="287" customFormat="false" ht="13.8" hidden="false" customHeight="false" outlineLevel="0" collapsed="false">
      <c r="B287" s="2" t="n">
        <v>285</v>
      </c>
      <c r="C287" s="2" t="n">
        <v>6.06296879215498E-009</v>
      </c>
      <c r="D287" s="2" t="n">
        <v>0.0870374842588682</v>
      </c>
      <c r="E287" s="2" t="n">
        <v>0.0802995657468408</v>
      </c>
    </row>
    <row r="288" customFormat="false" ht="13.8" hidden="false" customHeight="false" outlineLevel="0" collapsed="false">
      <c r="B288" s="2" t="n">
        <v>286</v>
      </c>
      <c r="C288" s="2" t="n">
        <v>5.78721682307008E-009</v>
      </c>
      <c r="D288" s="2" t="n">
        <v>0.0875755786158254</v>
      </c>
      <c r="E288" s="2" t="n">
        <v>0.0878775880565992</v>
      </c>
    </row>
    <row r="289" customFormat="false" ht="13.8" hidden="false" customHeight="false" outlineLevel="0" collapsed="false">
      <c r="B289" s="2" t="n">
        <v>287</v>
      </c>
      <c r="C289" s="2" t="n">
        <v>5.51146218812679E-009</v>
      </c>
      <c r="D289" s="2" t="n">
        <v>0.0820137365268534</v>
      </c>
      <c r="E289" s="2" t="n">
        <v>0.0764718301456199</v>
      </c>
    </row>
    <row r="290" customFormat="false" ht="13.8" hidden="false" customHeight="false" outlineLevel="0" collapsed="false">
      <c r="B290" s="2" t="n">
        <v>288</v>
      </c>
      <c r="C290" s="2" t="n">
        <v>5.23570449175507E-009</v>
      </c>
      <c r="D290" s="2" t="n">
        <v>0.0992818617235351</v>
      </c>
      <c r="E290" s="2" t="n">
        <v>0.0856546049489872</v>
      </c>
    </row>
    <row r="291" customFormat="false" ht="13.8" hidden="false" customHeight="false" outlineLevel="0" collapsed="false">
      <c r="B291" s="2" t="n">
        <v>289</v>
      </c>
      <c r="C291" s="2" t="n">
        <v>4.96077064353446E-009</v>
      </c>
      <c r="D291" s="2" t="n">
        <v>1.33920771249966E-012</v>
      </c>
      <c r="E291" s="2" t="n">
        <v>0.0152196166712194</v>
      </c>
    </row>
    <row r="292" customFormat="false" ht="13.8" hidden="false" customHeight="false" outlineLevel="0" collapsed="false">
      <c r="B292" s="2" t="n">
        <v>290</v>
      </c>
      <c r="C292" s="2" t="n">
        <v>4.68418241699857E-009</v>
      </c>
      <c r="D292" s="2" t="n">
        <v>0.0282087515479216</v>
      </c>
      <c r="E292" s="2" t="n">
        <v>0.049260081791365</v>
      </c>
    </row>
    <row r="293" customFormat="false" ht="13.8" hidden="false" customHeight="false" outlineLevel="0" collapsed="false">
      <c r="B293" s="2" t="n">
        <v>291</v>
      </c>
      <c r="C293" s="2" t="n">
        <v>4.40841739371182E-009</v>
      </c>
      <c r="D293" s="2" t="n">
        <v>0.0877571557877647</v>
      </c>
      <c r="E293" s="2" t="n">
        <v>0.0790276275515707</v>
      </c>
    </row>
    <row r="294" customFormat="false" ht="13.8" hidden="false" customHeight="false" outlineLevel="0" collapsed="false">
      <c r="B294" s="2" t="n">
        <v>292</v>
      </c>
      <c r="C294" s="2" t="n">
        <v>4.13264984333423E-009</v>
      </c>
      <c r="D294" s="2" t="n">
        <v>0.0769814900496726</v>
      </c>
      <c r="E294" s="2" t="n">
        <v>0.0677356599563784</v>
      </c>
    </row>
    <row r="295" customFormat="false" ht="13.8" hidden="false" customHeight="false" outlineLevel="0" collapsed="false">
      <c r="B295" s="2" t="n">
        <v>293</v>
      </c>
      <c r="C295" s="2" t="n">
        <v>3.85687975911518E-009</v>
      </c>
      <c r="D295" s="2" t="n">
        <v>0.0841771927413037</v>
      </c>
      <c r="E295" s="2" t="n">
        <v>0.0881729739314628</v>
      </c>
    </row>
    <row r="296" customFormat="false" ht="13.8" hidden="false" customHeight="false" outlineLevel="0" collapsed="false">
      <c r="B296" s="2" t="n">
        <v>294</v>
      </c>
      <c r="C296" s="2" t="n">
        <v>3.58110725550592E-009</v>
      </c>
      <c r="D296" s="2" t="n">
        <v>0.0775402469227876</v>
      </c>
      <c r="E296" s="2" t="n">
        <v>0.0711100030833611</v>
      </c>
    </row>
    <row r="297" customFormat="false" ht="13.8" hidden="false" customHeight="false" outlineLevel="0" collapsed="false">
      <c r="B297" s="2" t="n">
        <v>295</v>
      </c>
      <c r="C297" s="2" t="n">
        <v>3.30533253070256E-009</v>
      </c>
      <c r="D297" s="2" t="n">
        <v>0.0749046163649312</v>
      </c>
      <c r="E297" s="2" t="n">
        <v>0.080195800307933</v>
      </c>
    </row>
    <row r="298" customFormat="false" ht="13.8" hidden="false" customHeight="false" outlineLevel="0" collapsed="false">
      <c r="B298" s="2" t="n">
        <v>296</v>
      </c>
      <c r="C298" s="2" t="n">
        <v>3.02955540222968E-009</v>
      </c>
      <c r="D298" s="2" t="n">
        <v>0.0736135188897245</v>
      </c>
      <c r="E298" s="2" t="n">
        <v>0.067786831116522</v>
      </c>
    </row>
    <row r="299" customFormat="false" ht="13.8" hidden="false" customHeight="false" outlineLevel="0" collapsed="false">
      <c r="B299" s="2" t="n">
        <v>297</v>
      </c>
      <c r="C299" s="2" t="n">
        <v>2.75377635525853E-009</v>
      </c>
      <c r="D299" s="2" t="n">
        <v>0.074830863098945</v>
      </c>
      <c r="E299" s="2" t="n">
        <v>0.0804025369073503</v>
      </c>
    </row>
    <row r="300" customFormat="false" ht="13.8" hidden="false" customHeight="false" outlineLevel="0" collapsed="false">
      <c r="B300" s="2" t="n">
        <v>298</v>
      </c>
      <c r="C300" s="2" t="n">
        <v>2.47799532508981E-009</v>
      </c>
      <c r="D300" s="2" t="n">
        <v>0.0792454863375066</v>
      </c>
      <c r="E300" s="2" t="n">
        <v>0.0735546803355043</v>
      </c>
    </row>
    <row r="301" customFormat="false" ht="13.8" hidden="false" customHeight="false" outlineLevel="0" collapsed="false">
      <c r="B301" s="2" t="n">
        <v>299</v>
      </c>
      <c r="C301" s="2" t="n">
        <v>2.20221301180809E-009</v>
      </c>
      <c r="D301" s="2" t="n">
        <v>0.069262320730895</v>
      </c>
      <c r="E301" s="2" t="n">
        <v>0.074871279275498</v>
      </c>
    </row>
    <row r="302" customFormat="false" ht="13.8" hidden="false" customHeight="false" outlineLevel="0" collapsed="false">
      <c r="B302" s="2" t="n">
        <v>300</v>
      </c>
      <c r="C302" s="2" t="n">
        <v>1.9264295261169E-009</v>
      </c>
      <c r="D302" s="2" t="n">
        <v>0.0759418353561326</v>
      </c>
      <c r="E302" s="2" t="n">
        <v>0.0702419146503094</v>
      </c>
    </row>
    <row r="303" customFormat="false" ht="13.8" hidden="false" customHeight="false" outlineLevel="0" collapsed="false">
      <c r="B303" s="2" t="n">
        <v>301</v>
      </c>
      <c r="C303" s="2" t="n">
        <v>1.65064617581962E-009</v>
      </c>
      <c r="D303" s="2" t="n">
        <v>0.06855043632931</v>
      </c>
      <c r="E303" s="2" t="n">
        <v>0.0740998303438475</v>
      </c>
    </row>
    <row r="304" customFormat="false" ht="13.8" hidden="false" customHeight="false" outlineLevel="0" collapsed="false">
      <c r="B304" s="2" t="n">
        <v>302</v>
      </c>
      <c r="C304" s="2" t="n">
        <v>1.3748641828992E-009</v>
      </c>
      <c r="D304" s="2" t="n">
        <v>0.0691417364089177</v>
      </c>
      <c r="E304" s="2" t="n">
        <v>0.063275013597622</v>
      </c>
    </row>
    <row r="305" customFormat="false" ht="13.8" hidden="false" customHeight="false" outlineLevel="0" collapsed="false">
      <c r="B305" s="2" t="n">
        <v>303</v>
      </c>
      <c r="C305" s="2" t="n">
        <v>1.09908718742187E-009</v>
      </c>
      <c r="D305" s="2" t="n">
        <v>0.0864397027966504</v>
      </c>
      <c r="E305" s="2" t="n">
        <v>0.0916769972099381</v>
      </c>
    </row>
    <row r="306" customFormat="false" ht="13.8" hidden="false" customHeight="false" outlineLevel="0" collapsed="false">
      <c r="B306" s="2" t="n">
        <v>304</v>
      </c>
      <c r="C306" s="2" t="n">
        <v>8.23322661335913E-010</v>
      </c>
      <c r="D306" s="2" t="n">
        <v>0.0746655428307887</v>
      </c>
      <c r="E306" s="2" t="n">
        <v>0.0680680571758486</v>
      </c>
    </row>
    <row r="307" customFormat="false" ht="13.8" hidden="false" customHeight="false" outlineLevel="0" collapsed="false">
      <c r="B307" s="2" t="n">
        <v>305</v>
      </c>
      <c r="C307" s="2" t="n">
        <v>5.47593122803249E-010</v>
      </c>
      <c r="D307" s="2" t="n">
        <v>0.0881048270726229</v>
      </c>
      <c r="E307" s="2" t="n">
        <v>0.0917619229340634</v>
      </c>
    </row>
    <row r="308" customFormat="false" ht="13.8" hidden="false" customHeight="false" outlineLevel="0" collapsed="false">
      <c r="B308" s="2" t="n">
        <v>306</v>
      </c>
      <c r="C308" s="2" t="n">
        <v>2.72004260889922E-010</v>
      </c>
      <c r="D308" s="2" t="n">
        <v>0.076539226181773</v>
      </c>
      <c r="E308" s="2" t="n">
        <v>0.0665443238249778</v>
      </c>
    </row>
    <row r="309" customFormat="false" ht="13.8" hidden="false" customHeight="false" outlineLevel="0" collapsed="false">
      <c r="B309" s="2" t="n">
        <v>307</v>
      </c>
      <c r="C309" s="2" t="n">
        <v>0.00390679538613632</v>
      </c>
      <c r="D309" s="2" t="n">
        <v>0.0873169960823471</v>
      </c>
      <c r="E309" s="2" t="n">
        <v>0.0836597418707189</v>
      </c>
    </row>
    <row r="310" customFormat="false" ht="13.8" hidden="false" customHeight="false" outlineLevel="0" collapsed="false">
      <c r="B310" s="2" t="n">
        <v>308</v>
      </c>
      <c r="C310" s="2" t="n">
        <v>0.0379999999782912</v>
      </c>
      <c r="D310" s="2" t="n">
        <v>0.065124930753338</v>
      </c>
      <c r="E310" s="2" t="n">
        <v>0.0393750692511138</v>
      </c>
    </row>
    <row r="311" customFormat="false" ht="13.8" hidden="false" customHeight="false" outlineLevel="0" collapsed="false">
      <c r="B311" s="2" t="n">
        <v>309</v>
      </c>
      <c r="C311" s="2" t="n">
        <v>0.0460167666216522</v>
      </c>
      <c r="D311" s="2" t="n">
        <v>0.0573574909043735</v>
      </c>
      <c r="E311" s="2" t="n">
        <v>0.0398091757663055</v>
      </c>
    </row>
    <row r="312" customFormat="false" ht="13.8" hidden="false" customHeight="false" outlineLevel="0" collapsed="false">
      <c r="B312" s="2" t="n">
        <v>310</v>
      </c>
      <c r="C312" s="2" t="n">
        <v>0</v>
      </c>
      <c r="D312" s="2" t="n">
        <v>0</v>
      </c>
      <c r="E312" s="2" t="n">
        <v>0.00508760762270257</v>
      </c>
    </row>
    <row r="313" customFormat="false" ht="13.8" hidden="false" customHeight="false" outlineLevel="0" collapsed="false">
      <c r="B313" s="2" t="n">
        <v>311</v>
      </c>
      <c r="C313" s="2" t="n">
        <v>0.0341287435422357</v>
      </c>
      <c r="D313" s="2" t="n">
        <v>6.45132212982201E-010</v>
      </c>
      <c r="E313" s="2" t="n">
        <v>0.0127958215977919</v>
      </c>
    </row>
    <row r="314" customFormat="false" ht="13.8" hidden="false" customHeight="false" outlineLevel="0" collapsed="false">
      <c r="B314" s="2" t="n">
        <v>312</v>
      </c>
      <c r="C314" s="2" t="n">
        <v>0.0102616061791488</v>
      </c>
      <c r="D314" s="2" t="n">
        <v>2.64145332974605E-012</v>
      </c>
      <c r="E314" s="2" t="n">
        <v>9.6944828485669E-010</v>
      </c>
    </row>
    <row r="315" customFormat="false" ht="13.8" hidden="false" customHeight="false" outlineLevel="0" collapsed="false">
      <c r="B315" s="2" t="n">
        <v>313</v>
      </c>
      <c r="C315" s="2" t="n">
        <v>0.0260654804518276</v>
      </c>
      <c r="D315" s="2" t="n">
        <v>0</v>
      </c>
      <c r="E315" s="2" t="n">
        <v>0</v>
      </c>
    </row>
    <row r="316" customFormat="false" ht="13.8" hidden="false" customHeight="false" outlineLevel="0" collapsed="false">
      <c r="B316" s="2" t="n">
        <v>314</v>
      </c>
      <c r="C316" s="2" t="n">
        <v>0.00767443019212641</v>
      </c>
      <c r="D316" s="2" t="n">
        <v>7.24117756592196E-012</v>
      </c>
      <c r="E316" s="2" t="n">
        <v>2.31970802804878E-010</v>
      </c>
    </row>
    <row r="317" customFormat="false" ht="13.8" hidden="false" customHeight="false" outlineLevel="0" collapsed="false">
      <c r="B317" s="2" t="n">
        <v>315</v>
      </c>
      <c r="C317" s="2" t="n">
        <v>2.85112471519691E-016</v>
      </c>
      <c r="D317" s="2" t="n">
        <v>2.90980210213823E-015</v>
      </c>
      <c r="E317" s="2" t="n">
        <v>8.91094738249814E-014</v>
      </c>
    </row>
    <row r="318" customFormat="false" ht="13.8" hidden="false" customHeight="false" outlineLevel="0" collapsed="false">
      <c r="B318" s="2" t="n">
        <v>316</v>
      </c>
      <c r="C318" s="2" t="n">
        <v>3.7527722314515E-016</v>
      </c>
      <c r="D318" s="2" t="n">
        <v>2.68293710464032E-015</v>
      </c>
      <c r="E318" s="2" t="n">
        <v>0</v>
      </c>
    </row>
    <row r="319" customFormat="false" ht="13.8" hidden="false" customHeight="false" outlineLevel="0" collapsed="false">
      <c r="B319" s="2" t="n">
        <v>317</v>
      </c>
      <c r="C319" s="2" t="n">
        <v>4.65370933059586E-016</v>
      </c>
      <c r="D319" s="2" t="n">
        <v>3.78479102822541E-015</v>
      </c>
      <c r="E319" s="2" t="n">
        <v>0</v>
      </c>
    </row>
    <row r="320" customFormat="false" ht="13.8" hidden="false" customHeight="false" outlineLevel="0" collapsed="false">
      <c r="B320" s="2" t="n">
        <v>318</v>
      </c>
      <c r="C320" s="2" t="n">
        <v>6.48629740517952E-016</v>
      </c>
      <c r="D320" s="2" t="n">
        <v>3.7664948644077E-015</v>
      </c>
      <c r="E320" s="2" t="n">
        <v>0</v>
      </c>
    </row>
    <row r="321" customFormat="false" ht="13.8" hidden="false" customHeight="false" outlineLevel="0" collapsed="false">
      <c r="B321" s="2" t="n">
        <v>319</v>
      </c>
      <c r="C321" s="2" t="n">
        <v>0</v>
      </c>
      <c r="D321" s="2" t="n">
        <v>3.6079771492868E-015</v>
      </c>
      <c r="E321" s="2" t="n">
        <v>0</v>
      </c>
    </row>
    <row r="322" customFormat="false" ht="13.8" hidden="false" customHeight="false" outlineLevel="0" collapsed="false">
      <c r="B322" s="2" t="n">
        <v>320</v>
      </c>
      <c r="C322" s="2" t="n">
        <v>0</v>
      </c>
      <c r="D322" s="2" t="n">
        <v>3.376498190584E-015</v>
      </c>
      <c r="E322" s="2" t="n">
        <v>0</v>
      </c>
    </row>
    <row r="323" customFormat="false" ht="13.8" hidden="false" customHeight="false" outlineLevel="0" collapsed="false">
      <c r="B323" s="2" t="n">
        <v>321</v>
      </c>
      <c r="C323" s="2" t="n">
        <v>1.20322045046285E-015</v>
      </c>
      <c r="D323" s="2" t="n">
        <v>3.06959607025724E-015</v>
      </c>
      <c r="E323" s="2" t="n">
        <v>0</v>
      </c>
    </row>
    <row r="324" customFormat="false" ht="13.8" hidden="false" customHeight="false" outlineLevel="0" collapsed="false">
      <c r="B324" s="2" t="n">
        <v>322</v>
      </c>
      <c r="C324" s="2" t="n">
        <v>1.96951346471732E-015</v>
      </c>
      <c r="D324" s="2" t="n">
        <v>2.66159093547994E-015</v>
      </c>
      <c r="E324" s="2" t="n">
        <v>0</v>
      </c>
    </row>
    <row r="325" customFormat="false" ht="13.8" hidden="false" customHeight="false" outlineLevel="0" collapsed="false">
      <c r="B325" s="2" t="n">
        <v>323</v>
      </c>
      <c r="C325" s="2" t="n">
        <v>7.09564610747358E-015</v>
      </c>
      <c r="D325" s="2" t="n">
        <v>2.4375889329853E-015</v>
      </c>
      <c r="E325" s="2" t="n">
        <v>3.69618151117635E-016</v>
      </c>
    </row>
    <row r="326" customFormat="false" ht="13.8" hidden="false" customHeight="false" outlineLevel="0" collapsed="false">
      <c r="B326" s="2" t="n">
        <v>324</v>
      </c>
      <c r="C326" s="2" t="n">
        <v>1.14063341208383E-015</v>
      </c>
      <c r="D326" s="2" t="n">
        <v>2.09971270544094E-015</v>
      </c>
      <c r="E326" s="2" t="n">
        <v>0</v>
      </c>
    </row>
    <row r="327" customFormat="false" ht="13.8" hidden="false" customHeight="false" outlineLevel="0" collapsed="false">
      <c r="B327" s="2" t="n">
        <v>325</v>
      </c>
      <c r="C327" s="2" t="n">
        <v>8.27360138487271E-011</v>
      </c>
      <c r="D327" s="2" t="n">
        <v>1.67253803374623E-015</v>
      </c>
      <c r="E327" s="2" t="n">
        <v>0</v>
      </c>
    </row>
    <row r="328" customFormat="false" ht="13.8" hidden="false" customHeight="false" outlineLevel="0" collapsed="false">
      <c r="B328" s="2" t="n">
        <v>326</v>
      </c>
      <c r="C328" s="2" t="n">
        <v>2.15848814691903E-015</v>
      </c>
      <c r="D328" s="2" t="n">
        <v>1.05243510886068E-015</v>
      </c>
      <c r="E328" s="2" t="n">
        <v>1.56616009399572E-016</v>
      </c>
    </row>
    <row r="329" customFormat="false" ht="13.8" hidden="false" customHeight="false" outlineLevel="0" collapsed="false">
      <c r="B329" s="2" t="n">
        <v>327</v>
      </c>
      <c r="C329" s="2" t="n">
        <v>1.95814343874651E-012</v>
      </c>
      <c r="D329" s="2" t="n">
        <v>3.10970422167622E-016</v>
      </c>
      <c r="E329" s="2" t="n">
        <v>0</v>
      </c>
    </row>
    <row r="330" customFormat="false" ht="13.8" hidden="false" customHeight="false" outlineLevel="0" collapsed="false">
      <c r="B330" s="2" t="n">
        <v>328</v>
      </c>
      <c r="C330" s="2" t="n">
        <v>1.95192599893643E-015</v>
      </c>
      <c r="D330" s="2" t="n">
        <v>0</v>
      </c>
      <c r="E330" s="2" t="n">
        <v>0</v>
      </c>
    </row>
    <row r="331" customFormat="false" ht="13.8" hidden="false" customHeight="false" outlineLevel="0" collapsed="false">
      <c r="B331" s="2" t="n">
        <v>329</v>
      </c>
      <c r="C331" s="2" t="n">
        <v>2.98359535705108E-012</v>
      </c>
      <c r="D331" s="2" t="n">
        <v>0</v>
      </c>
      <c r="E331" s="2" t="n">
        <v>0</v>
      </c>
    </row>
    <row r="332" customFormat="false" ht="13.8" hidden="false" customHeight="false" outlineLevel="0" collapsed="false">
      <c r="B332" s="2" t="n">
        <v>330</v>
      </c>
      <c r="C332" s="2" t="n">
        <v>5.13318774371529E-016</v>
      </c>
      <c r="D332" s="2" t="n">
        <v>0</v>
      </c>
      <c r="E332" s="2" t="n">
        <v>0</v>
      </c>
    </row>
    <row r="333" customFormat="false" ht="13.8" hidden="false" customHeight="false" outlineLevel="0" collapsed="false">
      <c r="B333" s="2" t="n">
        <v>331</v>
      </c>
      <c r="C333" s="2" t="n">
        <v>1.03994431261374E-013</v>
      </c>
      <c r="D333" s="2" t="n">
        <v>0</v>
      </c>
      <c r="E333" s="2" t="n">
        <v>0</v>
      </c>
    </row>
    <row r="334" customFormat="false" ht="13.8" hidden="false" customHeight="false" outlineLevel="0" collapsed="false">
      <c r="B334" s="2" t="n">
        <v>332</v>
      </c>
      <c r="C334" s="2" t="n">
        <v>5.41717173901235E-016</v>
      </c>
      <c r="D334" s="2" t="n">
        <v>0</v>
      </c>
      <c r="E334" s="2" t="n">
        <v>0</v>
      </c>
    </row>
    <row r="335" customFormat="false" ht="13.8" hidden="false" customHeight="false" outlineLevel="0" collapsed="false">
      <c r="B335" s="2" t="n">
        <v>333</v>
      </c>
      <c r="C335" s="2" t="n">
        <v>3.00612785709693E-014</v>
      </c>
      <c r="D335" s="2" t="n">
        <v>0</v>
      </c>
      <c r="E335" s="2" t="n">
        <v>2.59088062236131E-012</v>
      </c>
    </row>
    <row r="336" customFormat="false" ht="13.8" hidden="false" customHeight="false" outlineLevel="0" collapsed="false">
      <c r="B336" s="2" t="n">
        <v>334</v>
      </c>
      <c r="C336" s="2" t="n">
        <v>3.5695075406535E-011</v>
      </c>
      <c r="D336" s="2" t="n">
        <v>0</v>
      </c>
      <c r="E336" s="2" t="n">
        <v>0</v>
      </c>
    </row>
    <row r="337" customFormat="false" ht="13.8" hidden="false" customHeight="false" outlineLevel="0" collapsed="false">
      <c r="B337" s="2" t="n">
        <v>335</v>
      </c>
      <c r="C337" s="2" t="n">
        <v>2.48598416006741E-014</v>
      </c>
      <c r="D337" s="2" t="n">
        <v>0</v>
      </c>
      <c r="E337" s="2" t="n">
        <v>6.32059044767452E-012</v>
      </c>
    </row>
    <row r="338" customFormat="false" ht="13.8" hidden="false" customHeight="false" outlineLevel="0" collapsed="false">
      <c r="B338" s="2" t="n">
        <v>336</v>
      </c>
      <c r="C338" s="2" t="n">
        <v>0</v>
      </c>
      <c r="D338" s="2" t="n">
        <v>0</v>
      </c>
      <c r="E338" s="2" t="n">
        <v>3.40894226943324E-011</v>
      </c>
    </row>
    <row r="339" customFormat="false" ht="13.8" hidden="false" customHeight="false" outlineLevel="0" collapsed="false">
      <c r="B339" s="2" t="n">
        <v>337</v>
      </c>
      <c r="C339" s="2" t="n">
        <v>2.17314819818383E-013</v>
      </c>
      <c r="D339" s="2" t="n">
        <v>0</v>
      </c>
      <c r="E339" s="2" t="n">
        <v>7.9848957596331E-012</v>
      </c>
    </row>
    <row r="340" customFormat="false" ht="13.8" hidden="false" customHeight="false" outlineLevel="0" collapsed="false">
      <c r="B340" s="2" t="n">
        <v>338</v>
      </c>
      <c r="C340" s="2" t="n">
        <v>2.37079561960828E-010</v>
      </c>
      <c r="D340" s="2" t="n">
        <v>0</v>
      </c>
      <c r="E340" s="2" t="n">
        <v>0</v>
      </c>
    </row>
    <row r="341" customFormat="false" ht="13.8" hidden="false" customHeight="false" outlineLevel="0" collapsed="false">
      <c r="B341" s="2" t="n">
        <v>339</v>
      </c>
      <c r="C341" s="2" t="n">
        <v>2.40755611575685E-013</v>
      </c>
      <c r="D341" s="2" t="n">
        <v>0</v>
      </c>
      <c r="E341" s="2" t="n">
        <v>0</v>
      </c>
    </row>
    <row r="342" customFormat="false" ht="13.8" hidden="false" customHeight="false" outlineLevel="0" collapsed="false">
      <c r="B342" s="2" t="n">
        <v>340</v>
      </c>
      <c r="C342" s="2" t="n">
        <v>6.33177792575645E-016</v>
      </c>
      <c r="D342" s="2" t="n">
        <v>0</v>
      </c>
      <c r="E342" s="2" t="n">
        <v>0</v>
      </c>
    </row>
    <row r="343" customFormat="false" ht="13.8" hidden="false" customHeight="false" outlineLevel="0" collapsed="false">
      <c r="B343" s="2" t="n">
        <v>341</v>
      </c>
      <c r="C343" s="2" t="n">
        <v>0</v>
      </c>
      <c r="D343" s="2" t="n">
        <v>0</v>
      </c>
      <c r="E343" s="2" t="n">
        <v>0</v>
      </c>
    </row>
    <row r="344" customFormat="false" ht="13.8" hidden="false" customHeight="false" outlineLevel="0" collapsed="false">
      <c r="B344" s="2" t="n">
        <v>342</v>
      </c>
      <c r="C344" s="2" t="n">
        <v>0</v>
      </c>
      <c r="D344" s="2" t="n">
        <v>0</v>
      </c>
      <c r="E344" s="2" t="n">
        <v>0</v>
      </c>
    </row>
    <row r="345" customFormat="false" ht="13.8" hidden="false" customHeight="false" outlineLevel="0" collapsed="false">
      <c r="B345" s="2" t="n">
        <v>343</v>
      </c>
      <c r="C345" s="2" t="n">
        <v>5.89855936368668E-013</v>
      </c>
      <c r="D345" s="2" t="n">
        <v>0</v>
      </c>
      <c r="E345" s="2" t="n">
        <v>5.77418329463942E-013</v>
      </c>
    </row>
    <row r="346" customFormat="false" ht="13.8" hidden="false" customHeight="false" outlineLevel="0" collapsed="false">
      <c r="B346" s="2" t="n">
        <v>344</v>
      </c>
      <c r="C346" s="2" t="n">
        <v>0</v>
      </c>
      <c r="D346" s="2" t="n">
        <v>0</v>
      </c>
      <c r="E346" s="2" t="n">
        <v>0</v>
      </c>
    </row>
    <row r="347" customFormat="false" ht="13.8" hidden="false" customHeight="false" outlineLevel="0" collapsed="false">
      <c r="B347" s="2" t="n">
        <v>345</v>
      </c>
      <c r="C347" s="2" t="n">
        <v>0</v>
      </c>
      <c r="D347" s="2" t="n">
        <v>0</v>
      </c>
      <c r="E347" s="2" t="n">
        <v>0</v>
      </c>
    </row>
    <row r="348" customFormat="false" ht="13.8" hidden="false" customHeight="false" outlineLevel="0" collapsed="false">
      <c r="B348" s="2" t="n">
        <v>346</v>
      </c>
      <c r="C348" s="2" t="n">
        <v>0</v>
      </c>
      <c r="D348" s="2" t="n">
        <v>0</v>
      </c>
      <c r="E348" s="2" t="n">
        <v>0</v>
      </c>
    </row>
    <row r="349" customFormat="false" ht="13.8" hidden="false" customHeight="false" outlineLevel="0" collapsed="false">
      <c r="B349" s="2" t="n">
        <v>347</v>
      </c>
      <c r="C349" s="2" t="n">
        <v>0</v>
      </c>
      <c r="D349" s="2" t="n">
        <v>0</v>
      </c>
      <c r="E349" s="2" t="n">
        <v>0</v>
      </c>
    </row>
    <row r="350" customFormat="false" ht="13.8" hidden="false" customHeight="false" outlineLevel="0" collapsed="false">
      <c r="B350" s="2" t="n">
        <v>348</v>
      </c>
      <c r="C350" s="2" t="n">
        <v>0</v>
      </c>
      <c r="D350" s="2" t="n">
        <v>0</v>
      </c>
      <c r="E350" s="2" t="n">
        <v>0</v>
      </c>
    </row>
    <row r="351" customFormat="false" ht="13.8" hidden="false" customHeight="false" outlineLevel="0" collapsed="false">
      <c r="B351" s="2" t="n">
        <v>349</v>
      </c>
      <c r="C351" s="2" t="n">
        <v>0</v>
      </c>
      <c r="D351" s="2" t="n">
        <v>0</v>
      </c>
      <c r="E351" s="2" t="n">
        <v>0</v>
      </c>
    </row>
    <row r="352" customFormat="false" ht="13.8" hidden="false" customHeight="false" outlineLevel="0" collapsed="false">
      <c r="B352" s="2" t="n">
        <v>350</v>
      </c>
      <c r="C352" s="2" t="n">
        <v>0</v>
      </c>
      <c r="D352" s="2" t="n">
        <v>0</v>
      </c>
      <c r="E352" s="2" t="n">
        <v>0</v>
      </c>
    </row>
    <row r="353" customFormat="false" ht="13.8" hidden="false" customHeight="false" outlineLevel="0" collapsed="false">
      <c r="B353" s="2" t="n">
        <v>351</v>
      </c>
      <c r="C353" s="2" t="n">
        <v>0</v>
      </c>
      <c r="D353" s="2" t="n">
        <v>0</v>
      </c>
      <c r="E353" s="2" t="n">
        <v>0</v>
      </c>
    </row>
    <row r="354" customFormat="false" ht="13.8" hidden="false" customHeight="false" outlineLevel="0" collapsed="false">
      <c r="B354" s="2" t="n">
        <v>352</v>
      </c>
      <c r="C354" s="2" t="n">
        <v>0</v>
      </c>
      <c r="D354" s="2" t="n">
        <v>0</v>
      </c>
      <c r="E354" s="2" t="n">
        <v>0</v>
      </c>
    </row>
    <row r="355" customFormat="false" ht="13.8" hidden="false" customHeight="false" outlineLevel="0" collapsed="false">
      <c r="B355" s="2" t="n">
        <v>353</v>
      </c>
      <c r="C355" s="2" t="n">
        <v>0</v>
      </c>
      <c r="D355" s="2" t="n">
        <v>0</v>
      </c>
      <c r="E355" s="2" t="n">
        <v>0</v>
      </c>
    </row>
    <row r="356" customFormat="false" ht="13.8" hidden="false" customHeight="false" outlineLevel="0" collapsed="false">
      <c r="B356" s="2" t="n">
        <v>354</v>
      </c>
      <c r="C356" s="2" t="n">
        <v>2.10436224885783E-008</v>
      </c>
      <c r="D356" s="2" t="n">
        <v>0</v>
      </c>
      <c r="E356" s="2" t="n">
        <v>0.0453152500780359</v>
      </c>
    </row>
    <row r="357" customFormat="false" ht="13.8" hidden="false" customHeight="false" outlineLevel="0" collapsed="false">
      <c r="B357" s="2" t="n">
        <v>355</v>
      </c>
      <c r="C357" s="2" t="n">
        <v>2.05067801540489E-008</v>
      </c>
      <c r="D357" s="2" t="n">
        <v>0</v>
      </c>
      <c r="E357" s="2" t="n">
        <v>0.0115108179814333</v>
      </c>
    </row>
    <row r="358" customFormat="false" ht="13.8" hidden="false" customHeight="false" outlineLevel="0" collapsed="false">
      <c r="B358" s="2" t="n">
        <v>356</v>
      </c>
      <c r="C358" s="2" t="n">
        <v>1.9976596757913E-008</v>
      </c>
      <c r="D358" s="2" t="n">
        <v>0</v>
      </c>
      <c r="E358" s="2" t="n">
        <v>0.0831229692181622</v>
      </c>
    </row>
    <row r="359" customFormat="false" ht="13.8" hidden="false" customHeight="false" outlineLevel="0" collapsed="false">
      <c r="B359" s="2" t="n">
        <v>357</v>
      </c>
      <c r="C359" s="2" t="n">
        <v>1.94469026208204E-008</v>
      </c>
      <c r="D359" s="2" t="n">
        <v>0</v>
      </c>
      <c r="E359" s="2" t="n">
        <v>0.0317684204548918</v>
      </c>
    </row>
    <row r="360" customFormat="false" ht="13.8" hidden="false" customHeight="false" outlineLevel="0" collapsed="false">
      <c r="B360" s="2" t="n">
        <v>358</v>
      </c>
      <c r="C360" s="2" t="n">
        <v>1.89177368595149E-008</v>
      </c>
      <c r="D360" s="2" t="n">
        <v>0</v>
      </c>
      <c r="E360" s="2" t="n">
        <v>0.118284769509041</v>
      </c>
    </row>
    <row r="361" customFormat="false" ht="13.8" hidden="false" customHeight="false" outlineLevel="0" collapsed="false">
      <c r="B361" s="2" t="n">
        <v>359</v>
      </c>
      <c r="C361" s="2" t="n">
        <v>1.83891566696E-008</v>
      </c>
      <c r="D361" s="2" t="n">
        <v>0</v>
      </c>
      <c r="E361" s="2" t="n">
        <v>0.0680342852298563</v>
      </c>
    </row>
    <row r="362" customFormat="false" ht="13.8" hidden="false" customHeight="false" outlineLevel="0" collapsed="false">
      <c r="B362" s="2" t="n">
        <v>360</v>
      </c>
      <c r="C362" s="2" t="n">
        <v>1.78594417693084E-008</v>
      </c>
      <c r="D362" s="2" t="n">
        <v>0</v>
      </c>
      <c r="E362" s="2" t="n">
        <v>0.140917384284006</v>
      </c>
    </row>
    <row r="363" customFormat="false" ht="13.8" hidden="false" customHeight="false" outlineLevel="0" collapsed="false">
      <c r="B363" s="2" t="n">
        <v>361</v>
      </c>
      <c r="C363" s="2" t="n">
        <v>1.73036348007549E-008</v>
      </c>
      <c r="D363" s="2" t="n">
        <v>9.07664994965632E-009</v>
      </c>
      <c r="E363" s="2" t="n">
        <v>0.0685007000024598</v>
      </c>
    </row>
    <row r="364" customFormat="false" ht="13.8" hidden="false" customHeight="false" outlineLevel="0" collapsed="false">
      <c r="B364" s="2" t="n">
        <v>362</v>
      </c>
      <c r="C364" s="2" t="n">
        <v>1.67521707103639E-008</v>
      </c>
      <c r="D364" s="2" t="n">
        <v>8.53773186302639E-009</v>
      </c>
      <c r="E364" s="2" t="n">
        <v>0.140001200002599</v>
      </c>
    </row>
    <row r="365" customFormat="false" ht="13.8" hidden="false" customHeight="false" outlineLevel="0" collapsed="false">
      <c r="B365" s="2" t="n">
        <v>363</v>
      </c>
      <c r="C365" s="2" t="n">
        <v>1.62007035128257E-008</v>
      </c>
      <c r="D365" s="2" t="n">
        <v>8.00119693763678E-009</v>
      </c>
      <c r="E365" s="2" t="n">
        <v>0.0805181500027374</v>
      </c>
    </row>
    <row r="366" customFormat="false" ht="13.8" hidden="false" customHeight="false" outlineLevel="0" collapsed="false">
      <c r="B366" s="2" t="n">
        <v>364</v>
      </c>
      <c r="C366" s="2" t="n">
        <v>1.56492288256923E-008</v>
      </c>
      <c r="D366" s="2" t="n">
        <v>7.4646741343869E-009</v>
      </c>
      <c r="E366" s="2" t="n">
        <v>0.167152066669543</v>
      </c>
    </row>
    <row r="367" customFormat="false" ht="13.8" hidden="false" customHeight="false" outlineLevel="0" collapsed="false">
      <c r="B367" s="2" t="n">
        <v>365</v>
      </c>
      <c r="C367" s="2" t="n">
        <v>1.50977502789798E-008</v>
      </c>
      <c r="D367" s="2" t="n">
        <v>6.92949733730555E-009</v>
      </c>
      <c r="E367" s="2" t="n">
        <v>0.214569816669682</v>
      </c>
    </row>
    <row r="368" customFormat="false" ht="13.8" hidden="false" customHeight="false" outlineLevel="0" collapsed="false">
      <c r="B368" s="2" t="n">
        <v>366</v>
      </c>
      <c r="C368" s="2" t="n">
        <v>1.45462654536663E-008</v>
      </c>
      <c r="D368" s="2" t="n">
        <v>6.39290678445916E-009</v>
      </c>
      <c r="E368" s="2" t="n">
        <v>0.273754150003154</v>
      </c>
    </row>
    <row r="369" customFormat="false" ht="13.8" hidden="false" customHeight="false" outlineLevel="0" collapsed="false">
      <c r="B369" s="2" t="n">
        <v>367</v>
      </c>
      <c r="C369" s="2" t="n">
        <v>1.39947759753345E-008</v>
      </c>
      <c r="D369" s="2" t="n">
        <v>5.85634749524024E-009</v>
      </c>
      <c r="E369" s="2" t="n">
        <v>0.191854133336626</v>
      </c>
    </row>
    <row r="370" customFormat="false" ht="13.8" hidden="false" customHeight="false" outlineLevel="0" collapsed="false">
      <c r="B370" s="2" t="n">
        <v>368</v>
      </c>
      <c r="C370" s="2" t="n">
        <v>1.34432801939861E-008</v>
      </c>
      <c r="D370" s="2" t="n">
        <v>5.3198315126191E-009</v>
      </c>
      <c r="E370" s="2" t="n">
        <v>0.233520933336765</v>
      </c>
    </row>
    <row r="371" customFormat="false" ht="13.8" hidden="false" customHeight="false" outlineLevel="0" collapsed="false">
      <c r="B371" s="2" t="n">
        <v>369</v>
      </c>
      <c r="C371" s="2" t="n">
        <v>1.28917795995215E-008</v>
      </c>
      <c r="D371" s="2" t="n">
        <v>4.78337759625158E-009</v>
      </c>
      <c r="E371" s="2" t="n">
        <v>0.231003866670237</v>
      </c>
    </row>
    <row r="372" customFormat="false" ht="13.8" hidden="false" customHeight="false" outlineLevel="0" collapsed="false">
      <c r="B372" s="2" t="n">
        <v>370</v>
      </c>
      <c r="C372" s="2" t="n">
        <v>1.23402730372247E-008</v>
      </c>
      <c r="D372" s="2" t="n">
        <v>4.24701473037987E-009</v>
      </c>
      <c r="E372" s="2" t="n">
        <v>0.261203283337043</v>
      </c>
    </row>
    <row r="373" customFormat="false" ht="13.8" hidden="false" customHeight="false" outlineLevel="0" collapsed="false">
      <c r="B373" s="2" t="n">
        <v>371</v>
      </c>
      <c r="C373" s="2" t="n">
        <v>1.17887615515069E-008</v>
      </c>
      <c r="D373" s="2" t="n">
        <v>3.7107924129214E-009</v>
      </c>
      <c r="E373" s="2" t="n">
        <v>0.211986633337181</v>
      </c>
    </row>
    <row r="374" customFormat="false" ht="13.8" hidden="false" customHeight="false" outlineLevel="0" collapsed="false">
      <c r="B374" s="2" t="n">
        <v>372</v>
      </c>
      <c r="C374" s="2" t="n">
        <v>1.12372441899435E-008</v>
      </c>
      <c r="D374" s="2" t="n">
        <v>3.17479923614941E-009</v>
      </c>
      <c r="E374" s="2" t="n">
        <v>0.27298728333732</v>
      </c>
    </row>
    <row r="375" customFormat="false" ht="13.8" hidden="false" customHeight="false" outlineLevel="0" collapsed="false">
      <c r="B375" s="2" t="n">
        <v>373</v>
      </c>
      <c r="C375" s="2" t="n">
        <v>1.06857219096053E-008</v>
      </c>
      <c r="D375" s="2" t="n">
        <v>2.63921409989851E-009</v>
      </c>
      <c r="E375" s="2" t="n">
        <v>0.197204416670793</v>
      </c>
    </row>
    <row r="376" customFormat="false" ht="13.8" hidden="false" customHeight="false" outlineLevel="0" collapsed="false">
      <c r="B376" s="2" t="n">
        <v>374</v>
      </c>
      <c r="C376" s="2" t="n">
        <v>1.01341939193917E-008</v>
      </c>
      <c r="D376" s="2" t="n">
        <v>2.10445340257795E-009</v>
      </c>
      <c r="E376" s="2" t="n">
        <v>0.206488266670931</v>
      </c>
    </row>
    <row r="377" customFormat="false" ht="13.8" hidden="false" customHeight="false" outlineLevel="0" collapsed="false">
      <c r="B377" s="2" t="n">
        <v>375</v>
      </c>
      <c r="C377" s="2" t="n">
        <v>9.5826603707241E-009</v>
      </c>
      <c r="D377" s="2" t="n">
        <v>1.57172104267409E-009</v>
      </c>
      <c r="E377" s="2" t="n">
        <v>0.191004183337737</v>
      </c>
    </row>
    <row r="378" customFormat="false" ht="13.8" hidden="false" customHeight="false" outlineLevel="0" collapsed="false">
      <c r="B378" s="2" t="n">
        <v>376</v>
      </c>
      <c r="C378" s="2" t="n">
        <v>9.03119319095354E-009</v>
      </c>
      <c r="D378" s="2" t="n">
        <v>1.02981733685798E-009</v>
      </c>
      <c r="E378" s="2" t="n">
        <v>0.178154200004548</v>
      </c>
    </row>
    <row r="379" customFormat="false" ht="13.8" hidden="false" customHeight="false" outlineLevel="0" collapsed="false">
      <c r="B379" s="2" t="n">
        <v>377</v>
      </c>
      <c r="C379" s="2" t="n">
        <v>8.24011343139471E-009</v>
      </c>
      <c r="D379" s="2" t="n">
        <v>0.0429309468382748</v>
      </c>
      <c r="E379" s="2" t="n">
        <v>0.104057053165707</v>
      </c>
    </row>
    <row r="380" customFormat="false" ht="13.8" hidden="false" customHeight="false" outlineLevel="0" collapsed="false">
      <c r="B380" s="2" t="n">
        <v>378</v>
      </c>
      <c r="C380" s="2" t="n">
        <v>7.96453728552252E-009</v>
      </c>
      <c r="D380" s="2" t="n">
        <v>0.0719519176270392</v>
      </c>
      <c r="E380" s="2" t="n">
        <v>0.07315216571053</v>
      </c>
    </row>
    <row r="381" customFormat="false" ht="13.8" hidden="false" customHeight="false" outlineLevel="0" collapsed="false">
      <c r="B381" s="2" t="n">
        <v>379</v>
      </c>
      <c r="C381" s="2" t="n">
        <v>7.68880363419519E-009</v>
      </c>
      <c r="D381" s="2" t="n">
        <v>0.0913906692384909</v>
      </c>
      <c r="E381" s="2" t="n">
        <v>0.121946364099127</v>
      </c>
    </row>
    <row r="382" customFormat="false" ht="13.8" hidden="false" customHeight="false" outlineLevel="0" collapsed="false">
      <c r="B382" s="2" t="n">
        <v>380</v>
      </c>
      <c r="C382" s="2" t="n">
        <v>7.4130677178706E-009</v>
      </c>
      <c r="D382" s="2" t="n">
        <v>0.0959609132860217</v>
      </c>
      <c r="E382" s="2" t="n">
        <v>0.0769753867183117</v>
      </c>
    </row>
    <row r="383" customFormat="false" ht="13.8" hidden="false" customHeight="false" outlineLevel="0" collapsed="false">
      <c r="B383" s="2" t="n">
        <v>381</v>
      </c>
      <c r="C383" s="2" t="n">
        <v>7.13732900601101E-009</v>
      </c>
      <c r="D383" s="2" t="n">
        <v>0.0980570003071535</v>
      </c>
      <c r="E383" s="2" t="n">
        <v>0.106946216363896</v>
      </c>
    </row>
    <row r="384" customFormat="false" ht="13.8" hidden="false" customHeight="false" outlineLevel="0" collapsed="false">
      <c r="B384" s="2" t="n">
        <v>382</v>
      </c>
      <c r="C384" s="2" t="n">
        <v>6.8615861797446E-009</v>
      </c>
      <c r="D384" s="2" t="n">
        <v>0.00998443759994986</v>
      </c>
      <c r="E384" s="2" t="n">
        <v>0.0706028290711458</v>
      </c>
    </row>
    <row r="385" customFormat="false" ht="13.8" hidden="false" customHeight="false" outlineLevel="0" collapsed="false">
      <c r="B385" s="2" t="n">
        <v>383</v>
      </c>
      <c r="C385" s="2" t="n">
        <v>6.59110993531812E-009</v>
      </c>
      <c r="D385" s="2" t="n">
        <v>9.92810982694936E-012</v>
      </c>
      <c r="E385" s="2" t="n">
        <v>0.0494192666717453</v>
      </c>
    </row>
    <row r="386" customFormat="false" ht="13.8" hidden="false" customHeight="false" outlineLevel="0" collapsed="false">
      <c r="B386" s="2" t="n">
        <v>384</v>
      </c>
      <c r="C386" s="2" t="n">
        <v>6.31411592043133E-009</v>
      </c>
      <c r="D386" s="2" t="n">
        <v>7.43009859989773E-012</v>
      </c>
      <c r="E386" s="2" t="n">
        <v>0.0905529000051343</v>
      </c>
    </row>
    <row r="387" customFormat="false" ht="13.8" hidden="false" customHeight="false" outlineLevel="0" collapsed="false">
      <c r="B387" s="2" t="n">
        <v>385</v>
      </c>
      <c r="C387" s="2" t="n">
        <v>6.03711947287923E-009</v>
      </c>
      <c r="D387" s="2" t="n">
        <v>1.03673986647483E-012</v>
      </c>
      <c r="E387" s="2" t="n">
        <v>0.0751866166701959</v>
      </c>
    </row>
    <row r="388" customFormat="false" ht="13.8" hidden="false" customHeight="false" outlineLevel="0" collapsed="false">
      <c r="B388" s="2" t="n">
        <v>386</v>
      </c>
      <c r="C388" s="2" t="n">
        <v>5.75859513006206E-009</v>
      </c>
      <c r="D388" s="2" t="n">
        <v>0.0658485544978986</v>
      </c>
      <c r="E388" s="2" t="n">
        <v>0.0477540788400613</v>
      </c>
    </row>
    <row r="389" customFormat="false" ht="13.8" hidden="false" customHeight="false" outlineLevel="0" collapsed="false">
      <c r="B389" s="2" t="n">
        <v>387</v>
      </c>
      <c r="C389" s="2" t="n">
        <v>5.48404832956901E-009</v>
      </c>
      <c r="D389" s="2" t="n">
        <v>0.10000000000106</v>
      </c>
      <c r="E389" s="2" t="n">
        <v>0.0918180500036049</v>
      </c>
    </row>
    <row r="390" customFormat="false" ht="13.8" hidden="false" customHeight="false" outlineLevel="0" collapsed="false">
      <c r="B390" s="2" t="n">
        <v>388</v>
      </c>
      <c r="C390" s="2" t="n">
        <v>5.20797421690109E-009</v>
      </c>
      <c r="D390" s="2" t="n">
        <v>0.100000000001072</v>
      </c>
      <c r="E390" s="2" t="n">
        <v>0.0579009500036427</v>
      </c>
    </row>
    <row r="391" customFormat="false" ht="13.8" hidden="false" customHeight="false" outlineLevel="0" collapsed="false">
      <c r="B391" s="2" t="n">
        <v>389</v>
      </c>
      <c r="C391" s="2" t="n">
        <v>4.93189439388617E-009</v>
      </c>
      <c r="D391" s="2" t="n">
        <v>0.100000000001083</v>
      </c>
      <c r="E391" s="2" t="n">
        <v>0.10430035000368</v>
      </c>
    </row>
    <row r="392" customFormat="false" ht="13.8" hidden="false" customHeight="false" outlineLevel="0" collapsed="false">
      <c r="B392" s="2" t="n">
        <v>390</v>
      </c>
      <c r="C392" s="2" t="n">
        <v>4.65556095861579E-009</v>
      </c>
      <c r="D392" s="2" t="n">
        <v>0.0874857206163762</v>
      </c>
      <c r="E392" s="2" t="n">
        <v>0.0367644127217791</v>
      </c>
    </row>
    <row r="393" customFormat="false" ht="13.8" hidden="false" customHeight="false" outlineLevel="0" collapsed="false">
      <c r="B393" s="2" t="n">
        <v>391</v>
      </c>
      <c r="C393" s="2" t="n">
        <v>4.37979575463563E-009</v>
      </c>
      <c r="D393" s="2" t="n">
        <v>0.0925100365844517</v>
      </c>
      <c r="E393" s="2" t="n">
        <v>0.0747402134204191</v>
      </c>
    </row>
    <row r="394" customFormat="false" ht="13.8" hidden="false" customHeight="false" outlineLevel="0" collapsed="false">
      <c r="B394" s="2" t="n">
        <v>392</v>
      </c>
      <c r="C394" s="2" t="n">
        <v>4.10402805713277E-009</v>
      </c>
      <c r="D394" s="2" t="n">
        <v>0.0909365818681047</v>
      </c>
      <c r="E394" s="2" t="n">
        <v>0.0802472181368149</v>
      </c>
    </row>
    <row r="395" customFormat="false" ht="13.8" hidden="false" customHeight="false" outlineLevel="0" collapsed="false">
      <c r="B395" s="2" t="n">
        <v>393</v>
      </c>
      <c r="C395" s="2" t="n">
        <v>3.82825801964746E-009</v>
      </c>
      <c r="D395" s="2" t="n">
        <v>0.0788026860556784</v>
      </c>
      <c r="E395" s="2" t="n">
        <v>0.0725307639492901</v>
      </c>
    </row>
    <row r="396" customFormat="false" ht="13.8" hidden="false" customHeight="false" outlineLevel="0" collapsed="false">
      <c r="B396" s="2" t="n">
        <v>394</v>
      </c>
      <c r="C396" s="2" t="n">
        <v>3.55248539704889E-009</v>
      </c>
      <c r="D396" s="2" t="n">
        <v>0.0877528962461099</v>
      </c>
      <c r="E396" s="2" t="n">
        <v>0.0816473537589074</v>
      </c>
    </row>
    <row r="397" customFormat="false" ht="13.8" hidden="false" customHeight="false" outlineLevel="0" collapsed="false">
      <c r="B397" s="2" t="n">
        <v>395</v>
      </c>
      <c r="C397" s="2" t="n">
        <v>3.27671059964245E-009</v>
      </c>
      <c r="D397" s="2" t="n">
        <v>0.0803408851585697</v>
      </c>
      <c r="E397" s="2" t="n">
        <v>0.0705926315131632</v>
      </c>
    </row>
    <row r="398" customFormat="false" ht="13.8" hidden="false" customHeight="false" outlineLevel="0" collapsed="false">
      <c r="B398" s="2" t="n">
        <v>396</v>
      </c>
      <c r="C398" s="2" t="n">
        <v>3.00093357698349E-009</v>
      </c>
      <c r="D398" s="2" t="n">
        <v>0.0660028767599442</v>
      </c>
      <c r="E398" s="2" t="n">
        <v>0.0740980232451708</v>
      </c>
    </row>
    <row r="399" customFormat="false" ht="13.8" hidden="false" customHeight="false" outlineLevel="0" collapsed="false">
      <c r="B399" s="2" t="n">
        <v>397</v>
      </c>
      <c r="C399" s="2" t="n">
        <v>2.72515431599402E-009</v>
      </c>
      <c r="D399" s="2" t="n">
        <v>0.0911833123241339</v>
      </c>
      <c r="E399" s="2" t="n">
        <v>0.0946837376810299</v>
      </c>
    </row>
    <row r="400" customFormat="false" ht="13.8" hidden="false" customHeight="false" outlineLevel="0" collapsed="false">
      <c r="B400" s="2" t="n">
        <v>398</v>
      </c>
      <c r="C400" s="2" t="n">
        <v>2.44937353426179E-009</v>
      </c>
      <c r="D400" s="2" t="n">
        <v>0.0668039978182164</v>
      </c>
      <c r="E400" s="2" t="n">
        <v>0.0677628021869963</v>
      </c>
    </row>
    <row r="401" customFormat="false" ht="13.8" hidden="false" customHeight="false" outlineLevel="0" collapsed="false">
      <c r="B401" s="2" t="n">
        <v>399</v>
      </c>
      <c r="C401" s="2" t="n">
        <v>2.17359103320798E-009</v>
      </c>
      <c r="D401" s="2" t="n">
        <v>0.0922492396022884</v>
      </c>
      <c r="E401" s="2" t="n">
        <v>0.0913676937363065</v>
      </c>
    </row>
    <row r="402" customFormat="false" ht="13.8" hidden="false" customHeight="false" outlineLevel="0" collapsed="false">
      <c r="B402" s="2" t="n">
        <v>400</v>
      </c>
      <c r="C402" s="2" t="n">
        <v>1.89780797888226E-009</v>
      </c>
      <c r="D402" s="2" t="n">
        <v>0.0630272929869916</v>
      </c>
      <c r="E402" s="2" t="n">
        <v>0.0596399570183188</v>
      </c>
    </row>
    <row r="403" customFormat="false" ht="13.8" hidden="false" customHeight="false" outlineLevel="0" collapsed="false">
      <c r="B403" s="2" t="n">
        <v>401</v>
      </c>
      <c r="C403" s="2" t="n">
        <v>1.62202461162416E-009</v>
      </c>
      <c r="D403" s="2" t="n">
        <v>0.0936609905262922</v>
      </c>
      <c r="E403" s="2" t="n">
        <v>0.0858059428124004</v>
      </c>
    </row>
    <row r="404" customFormat="false" ht="13.8" hidden="false" customHeight="false" outlineLevel="0" collapsed="false">
      <c r="B404" s="2" t="n">
        <v>402</v>
      </c>
      <c r="C404" s="2" t="n">
        <v>1.34656095731741E-009</v>
      </c>
      <c r="D404" s="2" t="n">
        <v>0.0783799443700498</v>
      </c>
      <c r="E404" s="2" t="n">
        <v>0.061103472302025</v>
      </c>
    </row>
    <row r="405" customFormat="false" ht="13.8" hidden="false" customHeight="false" outlineLevel="0" collapsed="false">
      <c r="B405" s="2" t="n">
        <v>403</v>
      </c>
      <c r="C405" s="2" t="n">
        <v>0.00447301624075736</v>
      </c>
      <c r="D405" s="2" t="n">
        <v>0.0999999998905746</v>
      </c>
      <c r="E405" s="2" t="n">
        <v>0.0721273837630749</v>
      </c>
    </row>
    <row r="406" customFormat="false" ht="13.8" hidden="false" customHeight="false" outlineLevel="0" collapsed="false">
      <c r="B406" s="2" t="n">
        <v>404</v>
      </c>
      <c r="C406" s="2" t="n">
        <v>3.50296285805218E-010</v>
      </c>
      <c r="D406" s="2" t="n">
        <v>0.0999999998821776</v>
      </c>
      <c r="E406" s="2" t="n">
        <v>0.0386169333378369</v>
      </c>
    </row>
    <row r="407" customFormat="false" ht="13.8" hidden="false" customHeight="false" outlineLevel="0" collapsed="false">
      <c r="B407" s="2" t="n">
        <v>405</v>
      </c>
      <c r="C407" s="2" t="n">
        <v>0.0380728642165928</v>
      </c>
      <c r="D407" s="2" t="n">
        <v>0.0199999998439566</v>
      </c>
      <c r="E407" s="2" t="n">
        <v>0.0278439524544524</v>
      </c>
    </row>
    <row r="408" customFormat="false" ht="13.8" hidden="false" customHeight="false" outlineLevel="0" collapsed="false">
      <c r="B408" s="2" t="n">
        <v>406</v>
      </c>
      <c r="C408" s="2" t="n">
        <v>0.0376560294672394</v>
      </c>
      <c r="D408" s="2" t="n">
        <v>0</v>
      </c>
      <c r="E408" s="2" t="n">
        <v>0.0159642298761198</v>
      </c>
    </row>
    <row r="409" customFormat="false" ht="13.8" hidden="false" customHeight="false" outlineLevel="0" collapsed="false">
      <c r="B409" s="2" t="n">
        <v>407</v>
      </c>
      <c r="C409" s="2" t="n">
        <v>0.0448439223741277</v>
      </c>
      <c r="D409" s="2" t="n">
        <v>0</v>
      </c>
      <c r="E409" s="2" t="n">
        <v>0.0232289629676367</v>
      </c>
    </row>
    <row r="410" customFormat="false" ht="13.8" hidden="false" customHeight="false" outlineLevel="0" collapsed="false">
      <c r="B410" s="2" t="n">
        <v>408</v>
      </c>
      <c r="C410" s="2" t="n">
        <v>0.0223687646493432</v>
      </c>
      <c r="D410" s="2" t="n">
        <v>0</v>
      </c>
      <c r="E410" s="2" t="n">
        <v>0.016423913357493</v>
      </c>
    </row>
    <row r="411" customFormat="false" ht="13.8" hidden="false" customHeight="false" outlineLevel="0" collapsed="false">
      <c r="B411" s="2" t="n">
        <v>409</v>
      </c>
      <c r="C411" s="2" t="n">
        <v>0.0186286208196328</v>
      </c>
      <c r="D411" s="2" t="n">
        <v>5.7840070804082E-012</v>
      </c>
      <c r="E411" s="2" t="n">
        <v>0.0182007998457339</v>
      </c>
    </row>
    <row r="412" customFormat="false" ht="13.8" hidden="false" customHeight="false" outlineLevel="0" collapsed="false">
      <c r="B412" s="2" t="n">
        <v>410</v>
      </c>
      <c r="C412" s="2" t="n">
        <v>0</v>
      </c>
      <c r="D412" s="2" t="n">
        <v>7.75939369045774E-016</v>
      </c>
      <c r="E412" s="2" t="n">
        <v>0</v>
      </c>
    </row>
    <row r="413" customFormat="false" ht="13.8" hidden="false" customHeight="false" outlineLevel="0" collapsed="false">
      <c r="B413" s="2" t="n">
        <v>411</v>
      </c>
      <c r="C413" s="2" t="n">
        <v>0</v>
      </c>
      <c r="D413" s="2" t="n">
        <v>8.21480694220024E-016</v>
      </c>
      <c r="E413" s="2" t="n">
        <v>0</v>
      </c>
    </row>
    <row r="414" customFormat="false" ht="13.8" hidden="false" customHeight="false" outlineLevel="0" collapsed="false">
      <c r="B414" s="2" t="n">
        <v>412</v>
      </c>
      <c r="C414" s="2" t="n">
        <v>0</v>
      </c>
      <c r="D414" s="2" t="n">
        <v>2.30232767402631E-016</v>
      </c>
      <c r="E414" s="2" t="n">
        <v>0</v>
      </c>
    </row>
    <row r="415" customFormat="false" ht="13.8" hidden="false" customHeight="false" outlineLevel="0" collapsed="false">
      <c r="B415" s="2" t="n">
        <v>413</v>
      </c>
      <c r="C415" s="2" t="n">
        <v>0</v>
      </c>
      <c r="D415" s="2" t="n">
        <v>1.88856379809233E-015</v>
      </c>
      <c r="E415" s="2" t="n">
        <v>0</v>
      </c>
    </row>
    <row r="416" customFormat="false" ht="13.8" hidden="false" customHeight="false" outlineLevel="0" collapsed="false">
      <c r="B416" s="2" t="n">
        <v>414</v>
      </c>
      <c r="C416" s="2" t="n">
        <v>0</v>
      </c>
      <c r="D416" s="2" t="n">
        <v>2.39879944475696E-015</v>
      </c>
      <c r="E416" s="2" t="n">
        <v>0</v>
      </c>
    </row>
    <row r="417" customFormat="false" ht="13.8" hidden="false" customHeight="false" outlineLevel="0" collapsed="false">
      <c r="B417" s="2" t="n">
        <v>415</v>
      </c>
      <c r="C417" s="2" t="n">
        <v>0</v>
      </c>
      <c r="D417" s="2" t="n">
        <v>3.21521144207948E-015</v>
      </c>
      <c r="E417" s="2" t="n">
        <v>0</v>
      </c>
    </row>
    <row r="418" customFormat="false" ht="13.8" hidden="false" customHeight="false" outlineLevel="0" collapsed="false">
      <c r="B418" s="2" t="n">
        <v>416</v>
      </c>
      <c r="C418" s="2" t="n">
        <v>6.31016641241362E-016</v>
      </c>
      <c r="D418" s="2" t="n">
        <v>3.52489748139532E-015</v>
      </c>
      <c r="E418" s="2" t="n">
        <v>0</v>
      </c>
    </row>
    <row r="419" customFormat="false" ht="13.8" hidden="false" customHeight="false" outlineLevel="0" collapsed="false">
      <c r="B419" s="2" t="n">
        <v>417</v>
      </c>
      <c r="C419" s="2" t="n">
        <v>0</v>
      </c>
      <c r="D419" s="2" t="n">
        <v>4.22654447439946E-015</v>
      </c>
      <c r="E419" s="2" t="n">
        <v>0</v>
      </c>
    </row>
    <row r="420" customFormat="false" ht="13.8" hidden="false" customHeight="false" outlineLevel="0" collapsed="false">
      <c r="B420" s="2" t="n">
        <v>418</v>
      </c>
      <c r="C420" s="2" t="n">
        <v>0</v>
      </c>
      <c r="D420" s="2" t="n">
        <v>4.5714285976024E-015</v>
      </c>
      <c r="E420" s="2" t="n">
        <v>0</v>
      </c>
    </row>
    <row r="421" customFormat="false" ht="13.8" hidden="false" customHeight="false" outlineLevel="0" collapsed="false">
      <c r="B421" s="2" t="n">
        <v>419</v>
      </c>
      <c r="C421" s="2" t="n">
        <v>3.88384520848531E-010</v>
      </c>
      <c r="D421" s="2" t="n">
        <v>0</v>
      </c>
      <c r="E421" s="2" t="n">
        <v>0</v>
      </c>
    </row>
    <row r="422" customFormat="false" ht="13.8" hidden="false" customHeight="false" outlineLevel="0" collapsed="false">
      <c r="B422" s="2" t="n">
        <v>420</v>
      </c>
      <c r="C422" s="2" t="n">
        <v>2.05518501803857E-015</v>
      </c>
      <c r="D422" s="2" t="n">
        <v>4.85715059492875E-015</v>
      </c>
      <c r="E422" s="2" t="n">
        <v>8.31780915537607E-016</v>
      </c>
    </row>
    <row r="423" customFormat="false" ht="13.8" hidden="false" customHeight="false" outlineLevel="0" collapsed="false">
      <c r="B423" s="2" t="n">
        <v>421</v>
      </c>
      <c r="C423" s="2" t="n">
        <v>7.98719847309408E-011</v>
      </c>
      <c r="D423" s="2" t="n">
        <v>0</v>
      </c>
      <c r="E423" s="2" t="n">
        <v>0</v>
      </c>
    </row>
    <row r="424" customFormat="false" ht="13.8" hidden="false" customHeight="false" outlineLevel="0" collapsed="false">
      <c r="B424" s="2" t="n">
        <v>422</v>
      </c>
      <c r="C424" s="2" t="n">
        <v>2.28474129345664E-015</v>
      </c>
      <c r="D424" s="2" t="n">
        <v>4.32015251245231E-015</v>
      </c>
      <c r="E424" s="2" t="n">
        <v>0</v>
      </c>
    </row>
    <row r="425" customFormat="false" ht="13.8" hidden="false" customHeight="false" outlineLevel="0" collapsed="false">
      <c r="B425" s="2" t="n">
        <v>423</v>
      </c>
      <c r="C425" s="2" t="n">
        <v>1.50231941651339E-011</v>
      </c>
      <c r="D425" s="2" t="n">
        <v>0</v>
      </c>
      <c r="E425" s="2" t="n">
        <v>0</v>
      </c>
    </row>
    <row r="426" customFormat="false" ht="13.8" hidden="false" customHeight="false" outlineLevel="0" collapsed="false">
      <c r="B426" s="2" t="n">
        <v>424</v>
      </c>
      <c r="C426" s="2" t="n">
        <v>2.97336789529126E-015</v>
      </c>
      <c r="D426" s="2" t="n">
        <v>1.04757530149774E-015</v>
      </c>
      <c r="E426" s="2" t="n">
        <v>0</v>
      </c>
    </row>
    <row r="427" customFormat="false" ht="13.8" hidden="false" customHeight="false" outlineLevel="0" collapsed="false">
      <c r="B427" s="2" t="n">
        <v>425</v>
      </c>
      <c r="C427" s="2" t="n">
        <v>1.72608158904675E-015</v>
      </c>
      <c r="D427" s="2" t="n">
        <v>0</v>
      </c>
      <c r="E427" s="2" t="n">
        <v>0</v>
      </c>
    </row>
    <row r="428" customFormat="false" ht="13.8" hidden="false" customHeight="false" outlineLevel="0" collapsed="false">
      <c r="B428" s="2" t="n">
        <v>426</v>
      </c>
      <c r="C428" s="2" t="n">
        <v>2.12460016893491E-015</v>
      </c>
      <c r="D428" s="2" t="n">
        <v>0</v>
      </c>
      <c r="E428" s="2" t="n">
        <v>0</v>
      </c>
    </row>
    <row r="429" customFormat="false" ht="13.8" hidden="false" customHeight="false" outlineLevel="0" collapsed="false">
      <c r="B429" s="2" t="n">
        <v>427</v>
      </c>
      <c r="C429" s="2" t="n">
        <v>0</v>
      </c>
      <c r="D429" s="2" t="n">
        <v>0</v>
      </c>
      <c r="E429" s="2" t="n">
        <v>3.80086426658295E-011</v>
      </c>
    </row>
    <row r="430" customFormat="false" ht="13.8" hidden="false" customHeight="false" outlineLevel="0" collapsed="false">
      <c r="B430" s="2" t="n">
        <v>428</v>
      </c>
      <c r="C430" s="2" t="n">
        <v>2.18807806624809E-013</v>
      </c>
      <c r="D430" s="2" t="n">
        <v>0</v>
      </c>
      <c r="E430" s="2" t="n">
        <v>0</v>
      </c>
    </row>
    <row r="431" customFormat="false" ht="13.8" hidden="false" customHeight="false" outlineLevel="0" collapsed="false">
      <c r="B431" s="2" t="n">
        <v>429</v>
      </c>
      <c r="C431" s="2" t="n">
        <v>2.38032204931416E-010</v>
      </c>
      <c r="D431" s="2" t="n">
        <v>0</v>
      </c>
      <c r="E431" s="2" t="n">
        <v>0</v>
      </c>
    </row>
    <row r="432" customFormat="false" ht="13.8" hidden="false" customHeight="false" outlineLevel="0" collapsed="false">
      <c r="B432" s="2" t="n">
        <v>430</v>
      </c>
      <c r="C432" s="2" t="n">
        <v>2.23376277583928E-013</v>
      </c>
      <c r="D432" s="2" t="n">
        <v>0</v>
      </c>
      <c r="E432" s="2" t="n">
        <v>0</v>
      </c>
    </row>
    <row r="433" customFormat="false" ht="13.8" hidden="false" customHeight="false" outlineLevel="0" collapsed="false">
      <c r="B433" s="2" t="n">
        <v>431</v>
      </c>
      <c r="C433" s="2" t="n">
        <v>5.00055348012952E-011</v>
      </c>
      <c r="D433" s="2" t="n">
        <v>0</v>
      </c>
      <c r="E433" s="2" t="n">
        <v>0</v>
      </c>
    </row>
    <row r="434" customFormat="false" ht="13.8" hidden="false" customHeight="false" outlineLevel="0" collapsed="false">
      <c r="B434" s="2" t="n">
        <v>432</v>
      </c>
      <c r="C434" s="2" t="n">
        <v>1.11895891561869E-014</v>
      </c>
      <c r="D434" s="2" t="n">
        <v>0</v>
      </c>
      <c r="E434" s="2" t="n">
        <v>0</v>
      </c>
    </row>
    <row r="435" customFormat="false" ht="13.8" hidden="false" customHeight="false" outlineLevel="0" collapsed="false">
      <c r="B435" s="2" t="n">
        <v>433</v>
      </c>
      <c r="C435" s="2" t="n">
        <v>4.68057424478007E-016</v>
      </c>
      <c r="D435" s="2" t="n">
        <v>0</v>
      </c>
      <c r="E435" s="2" t="n">
        <v>0</v>
      </c>
    </row>
    <row r="436" customFormat="false" ht="13.8" hidden="false" customHeight="false" outlineLevel="0" collapsed="false">
      <c r="B436" s="2" t="n">
        <v>434</v>
      </c>
      <c r="C436" s="2" t="n">
        <v>0</v>
      </c>
      <c r="D436" s="2" t="n">
        <v>0</v>
      </c>
      <c r="E436" s="2" t="n">
        <v>0</v>
      </c>
    </row>
    <row r="437" customFormat="false" ht="13.8" hidden="false" customHeight="false" outlineLevel="0" collapsed="false">
      <c r="B437" s="2" t="n">
        <v>435</v>
      </c>
      <c r="C437" s="2" t="n">
        <v>0</v>
      </c>
      <c r="D437" s="2" t="n">
        <v>0</v>
      </c>
      <c r="E437" s="2" t="n">
        <v>0</v>
      </c>
    </row>
    <row r="438" customFormat="false" ht="13.8" hidden="false" customHeight="false" outlineLevel="0" collapsed="false">
      <c r="B438" s="2" t="n">
        <v>436</v>
      </c>
      <c r="C438" s="2" t="n">
        <v>1.55956252850673E-012</v>
      </c>
      <c r="D438" s="2" t="n">
        <v>0</v>
      </c>
      <c r="E438" s="2" t="n">
        <v>1.53968679231317E-012</v>
      </c>
    </row>
    <row r="439" customFormat="false" ht="13.8" hidden="false" customHeight="false" outlineLevel="0" collapsed="false">
      <c r="B439" s="2" t="n">
        <v>437</v>
      </c>
      <c r="C439" s="2" t="n">
        <v>1.37468942285137E-012</v>
      </c>
      <c r="D439" s="2" t="n">
        <v>0</v>
      </c>
      <c r="E439" s="2" t="n">
        <v>1.35330902950966E-012</v>
      </c>
    </row>
    <row r="440" customFormat="false" ht="13.8" hidden="false" customHeight="false" outlineLevel="0" collapsed="false">
      <c r="B440" s="2" t="n">
        <v>438</v>
      </c>
      <c r="C440" s="2" t="n">
        <v>0</v>
      </c>
      <c r="D440" s="2" t="n">
        <v>0</v>
      </c>
      <c r="E440" s="2" t="n">
        <v>0</v>
      </c>
    </row>
    <row r="441" customFormat="false" ht="13.8" hidden="false" customHeight="false" outlineLevel="0" collapsed="false">
      <c r="B441" s="2" t="n">
        <v>439</v>
      </c>
      <c r="C441" s="2" t="n">
        <v>0</v>
      </c>
      <c r="D441" s="2" t="n">
        <v>0</v>
      </c>
      <c r="E441" s="2" t="n">
        <v>0</v>
      </c>
    </row>
    <row r="442" customFormat="false" ht="13.8" hidden="false" customHeight="false" outlineLevel="0" collapsed="false">
      <c r="B442" s="2" t="n">
        <v>440</v>
      </c>
      <c r="C442" s="2" t="n">
        <v>0</v>
      </c>
      <c r="D442" s="2" t="n">
        <v>0</v>
      </c>
      <c r="E442" s="2" t="n">
        <v>0</v>
      </c>
    </row>
    <row r="443" customFormat="false" ht="13.8" hidden="false" customHeight="false" outlineLevel="0" collapsed="false">
      <c r="B443" s="2" t="n">
        <v>441</v>
      </c>
      <c r="C443" s="2" t="n">
        <v>0</v>
      </c>
      <c r="D443" s="2" t="n">
        <v>0</v>
      </c>
      <c r="E443" s="2" t="n">
        <v>0</v>
      </c>
    </row>
    <row r="444" customFormat="false" ht="13.8" hidden="false" customHeight="false" outlineLevel="0" collapsed="false">
      <c r="B444" s="2" t="n">
        <v>442</v>
      </c>
      <c r="C444" s="2" t="n">
        <v>0</v>
      </c>
      <c r="D444" s="2" t="n">
        <v>0</v>
      </c>
      <c r="E444" s="2" t="n">
        <v>0</v>
      </c>
    </row>
    <row r="445" customFormat="false" ht="13.8" hidden="false" customHeight="false" outlineLevel="0" collapsed="false">
      <c r="B445" s="2" t="n">
        <v>443</v>
      </c>
      <c r="C445" s="2" t="n">
        <v>0</v>
      </c>
      <c r="D445" s="2" t="n">
        <v>0</v>
      </c>
      <c r="E445" s="2" t="n">
        <v>0</v>
      </c>
    </row>
    <row r="446" customFormat="false" ht="13.8" hidden="false" customHeight="false" outlineLevel="0" collapsed="false">
      <c r="B446" s="2" t="n">
        <v>444</v>
      </c>
      <c r="C446" s="2" t="n">
        <v>0</v>
      </c>
      <c r="D446" s="2" t="n">
        <v>0</v>
      </c>
      <c r="E446" s="2" t="n">
        <v>0</v>
      </c>
    </row>
    <row r="447" customFormat="false" ht="13.8" hidden="false" customHeight="false" outlineLevel="0" collapsed="false">
      <c r="B447" s="2" t="n">
        <v>445</v>
      </c>
      <c r="C447" s="2" t="n">
        <v>0</v>
      </c>
      <c r="D447" s="2" t="n">
        <v>0</v>
      </c>
      <c r="E447" s="2" t="n">
        <v>0</v>
      </c>
    </row>
    <row r="448" customFormat="false" ht="13.8" hidden="false" customHeight="false" outlineLevel="0" collapsed="false">
      <c r="B448" s="2" t="n">
        <v>446</v>
      </c>
      <c r="C448" s="2" t="n">
        <v>0</v>
      </c>
      <c r="D448" s="2" t="n">
        <v>0</v>
      </c>
      <c r="E448" s="2" t="n">
        <v>2.36518404195602E-010</v>
      </c>
    </row>
    <row r="449" customFormat="false" ht="13.8" hidden="false" customHeight="false" outlineLevel="0" collapsed="false">
      <c r="B449" s="2" t="n">
        <v>447</v>
      </c>
      <c r="C449" s="2" t="n">
        <v>0</v>
      </c>
      <c r="D449" s="2" t="n">
        <v>4.86729011121684E-010</v>
      </c>
      <c r="E449" s="2" t="n">
        <v>0</v>
      </c>
    </row>
    <row r="450" customFormat="false" ht="13.8" hidden="false" customHeight="false" outlineLevel="0" collapsed="false">
      <c r="B450" s="2" t="n">
        <v>448</v>
      </c>
      <c r="C450" s="2" t="n">
        <v>0</v>
      </c>
      <c r="D450" s="2" t="n">
        <v>4.3475406109904E-013</v>
      </c>
      <c r="E450" s="2" t="n">
        <v>0</v>
      </c>
    </row>
    <row r="451" customFormat="false" ht="13.8" hidden="false" customHeight="false" outlineLevel="0" collapsed="false">
      <c r="B451" s="2" t="n">
        <v>449</v>
      </c>
      <c r="C451" s="2" t="n">
        <v>0</v>
      </c>
      <c r="D451" s="2" t="n">
        <v>0</v>
      </c>
      <c r="E451" s="2" t="n">
        <v>0</v>
      </c>
    </row>
    <row r="452" customFormat="false" ht="13.8" hidden="false" customHeight="false" outlineLevel="0" collapsed="false">
      <c r="B452" s="2" t="n">
        <v>450</v>
      </c>
      <c r="C452" s="2" t="n">
        <v>0</v>
      </c>
      <c r="D452" s="2" t="n">
        <v>0</v>
      </c>
      <c r="E452" s="2" t="n">
        <v>0</v>
      </c>
    </row>
    <row r="453" customFormat="false" ht="13.8" hidden="false" customHeight="false" outlineLevel="0" collapsed="false">
      <c r="B453" s="2" t="n">
        <v>451</v>
      </c>
      <c r="C453" s="2" t="n">
        <v>0</v>
      </c>
      <c r="D453" s="2" t="n">
        <v>0</v>
      </c>
      <c r="E453" s="2" t="n">
        <v>0</v>
      </c>
    </row>
    <row r="454" customFormat="false" ht="13.8" hidden="false" customHeight="false" outlineLevel="0" collapsed="false">
      <c r="B454" s="2" t="n">
        <v>452</v>
      </c>
      <c r="C454" s="2" t="n">
        <v>0</v>
      </c>
      <c r="D454" s="2" t="n">
        <v>0</v>
      </c>
      <c r="E454" s="2" t="n">
        <v>0</v>
      </c>
    </row>
    <row r="455" customFormat="false" ht="13.8" hidden="false" customHeight="false" outlineLevel="0" collapsed="false">
      <c r="B455" s="2" t="n">
        <v>453</v>
      </c>
      <c r="C455" s="2" t="n">
        <v>0</v>
      </c>
      <c r="D455" s="2" t="n">
        <v>0</v>
      </c>
      <c r="E455" s="2" t="n">
        <v>0.0075277245422696</v>
      </c>
    </row>
    <row r="456" customFormat="false" ht="13.8" hidden="false" customHeight="false" outlineLevel="0" collapsed="false">
      <c r="B456" s="2" t="n">
        <v>454</v>
      </c>
      <c r="C456" s="2" t="n">
        <v>0</v>
      </c>
      <c r="D456" s="2" t="n">
        <v>4.31749361623533E-014</v>
      </c>
      <c r="E456" s="2" t="n">
        <v>7.9314637760179E-014</v>
      </c>
    </row>
    <row r="457" customFormat="false" ht="13.8" hidden="false" customHeight="false" outlineLevel="0" collapsed="false">
      <c r="B457" s="2" t="n">
        <v>455</v>
      </c>
      <c r="C457" s="2" t="n">
        <v>2.12996861092231E-008</v>
      </c>
      <c r="D457" s="2" t="n">
        <v>1.69388609218614E-012</v>
      </c>
      <c r="E457" s="2" t="n">
        <v>0.0846806824961049</v>
      </c>
    </row>
    <row r="458" customFormat="false" ht="13.8" hidden="false" customHeight="false" outlineLevel="0" collapsed="false">
      <c r="B458" s="2" t="n">
        <v>456</v>
      </c>
      <c r="C458" s="2" t="n">
        <v>2.07598887953272E-008</v>
      </c>
      <c r="D458" s="2" t="n">
        <v>0</v>
      </c>
      <c r="E458" s="2" t="n">
        <v>0.0319576448257336</v>
      </c>
    </row>
    <row r="459" customFormat="false" ht="13.8" hidden="false" customHeight="false" outlineLevel="0" collapsed="false">
      <c r="B459" s="2" t="n">
        <v>457</v>
      </c>
      <c r="C459" s="2" t="n">
        <v>2.02294898233091E-008</v>
      </c>
      <c r="D459" s="2" t="n">
        <v>1.39146246982095E-008</v>
      </c>
      <c r="E459" s="2" t="n">
        <v>0.18766812382188</v>
      </c>
    </row>
    <row r="460" customFormat="false" ht="13.8" hidden="false" customHeight="false" outlineLevel="0" collapsed="false">
      <c r="B460" s="2" t="n">
        <v>458</v>
      </c>
      <c r="C460" s="2" t="n">
        <v>1.96995561860481E-008</v>
      </c>
      <c r="D460" s="2" t="n">
        <v>1.33743106279526E-008</v>
      </c>
      <c r="E460" s="2" t="n">
        <v>0.166172955358566</v>
      </c>
    </row>
    <row r="461" customFormat="false" ht="13.8" hidden="false" customHeight="false" outlineLevel="0" collapsed="false">
      <c r="B461" s="2" t="n">
        <v>459</v>
      </c>
      <c r="C461" s="2" t="n">
        <v>1.91701323170904E-008</v>
      </c>
      <c r="D461" s="2" t="n">
        <v>1.28375380211047E-008</v>
      </c>
      <c r="E461" s="2" t="n">
        <v>0.228476986895252</v>
      </c>
    </row>
    <row r="462" customFormat="false" ht="13.8" hidden="false" customHeight="false" outlineLevel="0" collapsed="false">
      <c r="B462" s="2" t="n">
        <v>460</v>
      </c>
      <c r="C462" s="2" t="n">
        <v>1.86412656263765E-008</v>
      </c>
      <c r="D462" s="2" t="n">
        <v>1.23007637002688E-008</v>
      </c>
      <c r="E462" s="2" t="n">
        <v>0.188231801765272</v>
      </c>
    </row>
    <row r="463" customFormat="false" ht="13.8" hidden="false" customHeight="false" outlineLevel="0" collapsed="false">
      <c r="B463" s="2" t="n">
        <v>461</v>
      </c>
      <c r="C463" s="2" t="n">
        <v>1.81086135015938E-008</v>
      </c>
      <c r="D463" s="2" t="n">
        <v>1.17616471998069E-008</v>
      </c>
      <c r="E463" s="2" t="n">
        <v>0.236052533317418</v>
      </c>
    </row>
    <row r="464" customFormat="false" ht="13.8" hidden="false" customHeight="false" outlineLevel="0" collapsed="false">
      <c r="B464" s="2" t="n">
        <v>462</v>
      </c>
      <c r="C464" s="2" t="n">
        <v>1.75666281343463E-008</v>
      </c>
      <c r="D464" s="2" t="n">
        <v>1.12249772310717E-008</v>
      </c>
      <c r="E464" s="2" t="n">
        <v>0.188619883317555</v>
      </c>
    </row>
    <row r="465" customFormat="false" ht="13.8" hidden="false" customHeight="false" outlineLevel="0" collapsed="false">
      <c r="B465" s="2" t="n">
        <v>463</v>
      </c>
      <c r="C465" s="2" t="n">
        <v>1.70151643318768E-008</v>
      </c>
      <c r="D465" s="2" t="n">
        <v>1.06883078137446E-008</v>
      </c>
      <c r="E465" s="2" t="n">
        <v>0.254519649984359</v>
      </c>
    </row>
    <row r="466" customFormat="false" ht="13.8" hidden="false" customHeight="false" outlineLevel="0" collapsed="false">
      <c r="B466" s="2" t="n">
        <v>464</v>
      </c>
      <c r="C466" s="2" t="n">
        <v>1.6463695023238E-008</v>
      </c>
      <c r="D466" s="2" t="n">
        <v>1.01516397944397E-008</v>
      </c>
      <c r="E466" s="2" t="n">
        <v>0.220152883317829</v>
      </c>
    </row>
    <row r="467" customFormat="false" ht="13.8" hidden="false" customHeight="false" outlineLevel="0" collapsed="false">
      <c r="B467" s="2" t="n">
        <v>465</v>
      </c>
      <c r="C467" s="2" t="n">
        <v>1.59122201634116E-008</v>
      </c>
      <c r="D467" s="2" t="n">
        <v>9.61497482238911E-009</v>
      </c>
      <c r="E467" s="2" t="n">
        <v>0.267420099984633</v>
      </c>
    </row>
    <row r="468" customFormat="false" ht="13.8" hidden="false" customHeight="false" outlineLevel="0" collapsed="false">
      <c r="B468" s="2" t="n">
        <v>466</v>
      </c>
      <c r="C468" s="2" t="n">
        <v>1.53607398424837E-008</v>
      </c>
      <c r="D468" s="2" t="n">
        <v>9.07831394444925E-009</v>
      </c>
      <c r="E468" s="2" t="n">
        <v>0.184321016651436</v>
      </c>
    </row>
    <row r="469" customFormat="false" ht="13.8" hidden="false" customHeight="false" outlineLevel="0" collapsed="false">
      <c r="B469" s="2" t="n">
        <v>467</v>
      </c>
      <c r="C469" s="2" t="n">
        <v>1.4809253985983E-008</v>
      </c>
      <c r="D469" s="2" t="n">
        <v>8.541659460627E-009</v>
      </c>
      <c r="E469" s="2" t="n">
        <v>0.20763783331824</v>
      </c>
    </row>
    <row r="470" customFormat="false" ht="13.8" hidden="false" customHeight="false" outlineLevel="0" collapsed="false">
      <c r="B470" s="2" t="n">
        <v>468</v>
      </c>
      <c r="C470" s="2" t="n">
        <v>1.42577625929288E-008</v>
      </c>
      <c r="D470" s="2" t="n">
        <v>8.00501388865852E-009</v>
      </c>
      <c r="E470" s="2" t="n">
        <v>0.205020399985044</v>
      </c>
    </row>
    <row r="471" customFormat="false" ht="13.8" hidden="false" customHeight="false" outlineLevel="0" collapsed="false">
      <c r="B471" s="2" t="n">
        <v>469</v>
      </c>
      <c r="C471" s="2" t="n">
        <v>1.37062656726912E-008</v>
      </c>
      <c r="D471" s="2" t="n">
        <v>7.46838058238684E-009</v>
      </c>
      <c r="E471" s="2" t="n">
        <v>0.197137699985181</v>
      </c>
    </row>
    <row r="472" customFormat="false" ht="13.8" hidden="false" customHeight="false" outlineLevel="0" collapsed="false">
      <c r="B472" s="2" t="n">
        <v>470</v>
      </c>
      <c r="C472" s="2" t="n">
        <v>1.31547632657889E-008</v>
      </c>
      <c r="D472" s="2" t="n">
        <v>6.93176349173722E-009</v>
      </c>
      <c r="E472" s="2" t="n">
        <v>0.226953699985318</v>
      </c>
    </row>
    <row r="473" customFormat="false" ht="13.8" hidden="false" customHeight="false" outlineLevel="0" collapsed="false">
      <c r="B473" s="2" t="n">
        <v>471</v>
      </c>
      <c r="C473" s="2" t="n">
        <v>1.26032553728674E-008</v>
      </c>
      <c r="D473" s="2" t="n">
        <v>6.39516931444001E-009</v>
      </c>
      <c r="E473" s="2" t="n">
        <v>0.170504133318788</v>
      </c>
    </row>
    <row r="474" customFormat="false" ht="13.8" hidden="false" customHeight="false" outlineLevel="0" collapsed="false">
      <c r="B474" s="2" t="n">
        <v>472</v>
      </c>
      <c r="C474" s="2" t="n">
        <v>1.20517419724894E-008</v>
      </c>
      <c r="D474" s="2" t="n">
        <v>5.85860617396496E-009</v>
      </c>
      <c r="E474" s="2" t="n">
        <v>0.218754049985592</v>
      </c>
    </row>
    <row r="475" customFormat="false" ht="13.8" hidden="false" customHeight="false" outlineLevel="0" collapsed="false">
      <c r="B475" s="2" t="n">
        <v>473</v>
      </c>
      <c r="C475" s="2" t="n">
        <v>1.15002230459063E-008</v>
      </c>
      <c r="D475" s="2" t="n">
        <v>5.32208688331382E-009</v>
      </c>
      <c r="E475" s="2" t="n">
        <v>0.173853816652396</v>
      </c>
    </row>
    <row r="476" customFormat="false" ht="13.8" hidden="false" customHeight="false" outlineLevel="0" collapsed="false">
      <c r="B476" s="2" t="n">
        <v>474</v>
      </c>
      <c r="C476" s="2" t="n">
        <v>1.09486986651008E-008</v>
      </c>
      <c r="D476" s="2" t="n">
        <v>4.78562955368766E-009</v>
      </c>
      <c r="E476" s="2" t="n">
        <v>0.219420516652533</v>
      </c>
    </row>
    <row r="477" customFormat="false" ht="13.8" hidden="false" customHeight="false" outlineLevel="0" collapsed="false">
      <c r="B477" s="2" t="n">
        <v>475</v>
      </c>
      <c r="C477" s="2" t="n">
        <v>1.03971688028152E-008</v>
      </c>
      <c r="D477" s="2" t="n">
        <v>4.24926383300321E-009</v>
      </c>
      <c r="E477" s="2" t="n">
        <v>0.158837049986003</v>
      </c>
    </row>
    <row r="478" customFormat="false" ht="13.8" hidden="false" customHeight="false" outlineLevel="0" collapsed="false">
      <c r="B478" s="2" t="n">
        <v>476</v>
      </c>
      <c r="C478" s="2" t="n">
        <v>9.84563347698792E-009</v>
      </c>
      <c r="D478" s="2" t="n">
        <v>3.71303898950395E-009</v>
      </c>
      <c r="E478" s="2" t="n">
        <v>0.155704433319473</v>
      </c>
    </row>
    <row r="479" customFormat="false" ht="13.8" hidden="false" customHeight="false" outlineLevel="0" collapsed="false">
      <c r="B479" s="2" t="n">
        <v>477</v>
      </c>
      <c r="C479" s="2" t="n">
        <v>9.29409269161993E-009</v>
      </c>
      <c r="D479" s="2" t="n">
        <v>3.1770444367899E-009</v>
      </c>
      <c r="E479" s="2" t="n">
        <v>0.163752883319611</v>
      </c>
    </row>
    <row r="480" customFormat="false" ht="13.8" hidden="false" customHeight="false" outlineLevel="0" collapsed="false">
      <c r="B480" s="2" t="n">
        <v>478</v>
      </c>
      <c r="C480" s="2" t="n">
        <v>8.74254644062391E-009</v>
      </c>
      <c r="D480" s="2" t="n">
        <v>2.64145899334842E-009</v>
      </c>
      <c r="E480" s="2" t="n">
        <v>0.154469116653081</v>
      </c>
    </row>
    <row r="481" customFormat="false" ht="13.8" hidden="false" customHeight="false" outlineLevel="0" collapsed="false">
      <c r="B481" s="2" t="n">
        <v>479</v>
      </c>
      <c r="C481" s="2" t="n">
        <v>8.19099479841498E-009</v>
      </c>
      <c r="D481" s="2" t="n">
        <v>2.10670097910286E-009</v>
      </c>
      <c r="E481" s="2" t="n">
        <v>0.179069016653218</v>
      </c>
    </row>
    <row r="482" customFormat="false" ht="13.8" hidden="false" customHeight="false" outlineLevel="0" collapsed="false">
      <c r="B482" s="2" t="n">
        <v>480</v>
      </c>
      <c r="C482" s="2" t="n">
        <v>7.63943773116213E-009</v>
      </c>
      <c r="D482" s="2" t="n">
        <v>1.57397684068317E-009</v>
      </c>
      <c r="E482" s="2" t="n">
        <v>0.116120049986688</v>
      </c>
    </row>
    <row r="483" customFormat="false" ht="13.8" hidden="false" customHeight="false" outlineLevel="0" collapsed="false">
      <c r="B483" s="2" t="n">
        <v>481</v>
      </c>
      <c r="C483" s="2" t="n">
        <v>7.0879471212722E-009</v>
      </c>
      <c r="D483" s="2" t="n">
        <v>1.03207446384649E-009</v>
      </c>
      <c r="E483" s="2" t="n">
        <v>0.0751863666534919</v>
      </c>
    </row>
    <row r="484" customFormat="false" ht="13.8" hidden="false" customHeight="false" outlineLevel="0" collapsed="false">
      <c r="B484" s="2" t="n">
        <v>482</v>
      </c>
      <c r="C484" s="2" t="n">
        <v>6.29687867979164E-009</v>
      </c>
      <c r="D484" s="2" t="n">
        <v>0.00605721044048795</v>
      </c>
      <c r="E484" s="2" t="n">
        <v>0.133045522881427</v>
      </c>
    </row>
    <row r="485" customFormat="false" ht="13.8" hidden="false" customHeight="false" outlineLevel="0" collapsed="false">
      <c r="B485" s="2" t="n">
        <v>483</v>
      </c>
      <c r="C485" s="2" t="n">
        <v>6.02128172417274E-009</v>
      </c>
      <c r="D485" s="2" t="n">
        <v>0.0623254397912477</v>
      </c>
      <c r="E485" s="2" t="n">
        <v>0.125242710197587</v>
      </c>
    </row>
    <row r="486" customFormat="false" ht="13.8" hidden="false" customHeight="false" outlineLevel="0" collapsed="false">
      <c r="B486" s="2" t="n">
        <v>484</v>
      </c>
      <c r="C486" s="2" t="n">
        <v>5.74552756868499E-009</v>
      </c>
      <c r="D486" s="2" t="n">
        <v>0.0646001882445949</v>
      </c>
      <c r="E486" s="2" t="n">
        <v>0.0937842950776199</v>
      </c>
    </row>
    <row r="487" customFormat="false" ht="13.8" hidden="false" customHeight="false" outlineLevel="0" collapsed="false">
      <c r="B487" s="2" t="n">
        <v>485</v>
      </c>
      <c r="C487" s="2" t="n">
        <v>5.4697707308332E-009</v>
      </c>
      <c r="D487" s="2" t="n">
        <v>0.0771334408308136</v>
      </c>
      <c r="E487" s="2" t="n">
        <v>0.0891002591581154</v>
      </c>
    </row>
    <row r="488" customFormat="false" ht="13.8" hidden="false" customHeight="false" outlineLevel="0" collapsed="false">
      <c r="B488" s="2" t="n">
        <v>486</v>
      </c>
      <c r="C488" s="2" t="n">
        <v>5.19401119734037E-009</v>
      </c>
      <c r="D488" s="2" t="n">
        <v>0.0648278975834319</v>
      </c>
      <c r="E488" s="2" t="n">
        <v>0.0717724024055443</v>
      </c>
    </row>
    <row r="489" customFormat="false" ht="13.8" hidden="false" customHeight="false" outlineLevel="0" collapsed="false">
      <c r="B489" s="2" t="n">
        <v>487</v>
      </c>
      <c r="C489" s="2" t="n">
        <v>4.91824904933784E-009</v>
      </c>
      <c r="D489" s="2" t="n">
        <v>0.067763534472738</v>
      </c>
      <c r="E489" s="2" t="n">
        <v>0.0674869821829521</v>
      </c>
    </row>
    <row r="490" customFormat="false" ht="13.8" hidden="false" customHeight="false" outlineLevel="0" collapsed="false">
      <c r="B490" s="2" t="n">
        <v>488</v>
      </c>
      <c r="C490" s="2" t="n">
        <v>4.64248377542199E-009</v>
      </c>
      <c r="D490" s="2" t="n">
        <v>0.0671257746079869</v>
      </c>
      <c r="E490" s="2" t="n">
        <v>0.0659742753810836</v>
      </c>
    </row>
    <row r="491" customFormat="false" ht="13.8" hidden="false" customHeight="false" outlineLevel="0" collapsed="false">
      <c r="B491" s="2" t="n">
        <v>489</v>
      </c>
      <c r="C491" s="2" t="n">
        <v>4.36848453950303E-009</v>
      </c>
      <c r="D491" s="2" t="n">
        <v>0.0999999999976272</v>
      </c>
      <c r="E491" s="2" t="n">
        <v>0.10828334999149</v>
      </c>
    </row>
    <row r="492" customFormat="false" ht="13.8" hidden="false" customHeight="false" outlineLevel="0" collapsed="false">
      <c r="B492" s="2" t="n">
        <v>490</v>
      </c>
      <c r="C492" s="2" t="n">
        <v>4.09094644540447E-009</v>
      </c>
      <c r="D492" s="2" t="n">
        <v>0.0692344207190127</v>
      </c>
      <c r="E492" s="2" t="n">
        <v>0.063498945936819</v>
      </c>
    </row>
    <row r="493" customFormat="false" ht="13.8" hidden="false" customHeight="false" outlineLevel="0" collapsed="false">
      <c r="B493" s="2" t="n">
        <v>491</v>
      </c>
      <c r="C493" s="2" t="n">
        <v>3.81555767855019E-009</v>
      </c>
      <c r="D493" s="2" t="n">
        <v>0.0999999999976478</v>
      </c>
      <c r="E493" s="2" t="n">
        <v>0.104116699991564</v>
      </c>
    </row>
    <row r="494" customFormat="false" ht="13.8" hidden="false" customHeight="false" outlineLevel="0" collapsed="false">
      <c r="B494" s="2" t="n">
        <v>492</v>
      </c>
      <c r="C494" s="2" t="n">
        <v>3.53939986685172E-009</v>
      </c>
      <c r="D494" s="2" t="n">
        <v>0.0722972876490897</v>
      </c>
      <c r="E494" s="2" t="n">
        <v>0.0625528790068362</v>
      </c>
    </row>
    <row r="495" customFormat="false" ht="13.8" hidden="false" customHeight="false" outlineLevel="0" collapsed="false">
      <c r="B495" s="2" t="n">
        <v>493</v>
      </c>
      <c r="C495" s="2" t="n">
        <v>3.26308185959168E-009</v>
      </c>
      <c r="D495" s="2" t="n">
        <v>0.0999999999975766</v>
      </c>
      <c r="E495" s="2" t="n">
        <v>0.115116833324972</v>
      </c>
    </row>
    <row r="496" customFormat="false" ht="13.8" hidden="false" customHeight="false" outlineLevel="0" collapsed="false">
      <c r="B496" s="2" t="n">
        <v>494</v>
      </c>
      <c r="C496" s="2" t="n">
        <v>2.98784403469596E-009</v>
      </c>
      <c r="D496" s="2" t="n">
        <v>0.0889069492776201</v>
      </c>
      <c r="E496" s="2" t="n">
        <v>0.0750265340450669</v>
      </c>
    </row>
    <row r="497" customFormat="false" ht="13.8" hidden="false" customHeight="false" outlineLevel="0" collapsed="false">
      <c r="B497" s="2" t="n">
        <v>495</v>
      </c>
      <c r="C497" s="2" t="n">
        <v>2.70991725320168E-009</v>
      </c>
      <c r="D497" s="2" t="n">
        <v>0.0999999999973254</v>
      </c>
      <c r="E497" s="2" t="n">
        <v>0.117750083325046</v>
      </c>
    </row>
    <row r="498" customFormat="false" ht="13.8" hidden="false" customHeight="false" outlineLevel="0" collapsed="false">
      <c r="B498" s="2" t="n">
        <v>496</v>
      </c>
      <c r="C498" s="2" t="n">
        <v>2.43628096244917E-009</v>
      </c>
      <c r="D498" s="2" t="n">
        <v>0.0868256338163665</v>
      </c>
      <c r="E498" s="2" t="n">
        <v>0.0719245995064149</v>
      </c>
    </row>
    <row r="499" customFormat="false" ht="13.8" hidden="false" customHeight="false" outlineLevel="0" collapsed="false">
      <c r="B499" s="2" t="n">
        <v>497</v>
      </c>
      <c r="C499" s="2" t="n">
        <v>2.15408515703594E-009</v>
      </c>
      <c r="D499" s="2" t="n">
        <v>0.0999999999966256</v>
      </c>
      <c r="E499" s="2" t="n">
        <v>0.11306678332512</v>
      </c>
    </row>
    <row r="500" customFormat="false" ht="13.8" hidden="false" customHeight="false" outlineLevel="0" collapsed="false">
      <c r="B500" s="2" t="n">
        <v>498</v>
      </c>
      <c r="C500" s="2" t="n">
        <v>1.88471534708472E-009</v>
      </c>
      <c r="D500" s="2" t="n">
        <v>0.083940519868432</v>
      </c>
      <c r="E500" s="2" t="n">
        <v>0.0686429967877771</v>
      </c>
    </row>
    <row r="501" customFormat="false" ht="13.8" hidden="false" customHeight="false" outlineLevel="0" collapsed="false">
      <c r="B501" s="2" t="n">
        <v>499</v>
      </c>
      <c r="C501" s="2" t="n">
        <v>1.5903256680575E-009</v>
      </c>
      <c r="D501" s="2" t="n">
        <v>0.0999999999945869</v>
      </c>
      <c r="E501" s="2" t="n">
        <v>0.106366699991861</v>
      </c>
    </row>
    <row r="502" customFormat="false" ht="13.8" hidden="false" customHeight="false" outlineLevel="0" collapsed="false">
      <c r="B502" s="2" t="n">
        <v>500</v>
      </c>
      <c r="C502" s="2" t="n">
        <v>1.3331596348322E-009</v>
      </c>
      <c r="D502" s="2" t="n">
        <v>0.0869154059087083</v>
      </c>
      <c r="E502" s="2" t="n">
        <v>0.0643345940809287</v>
      </c>
    </row>
    <row r="503" customFormat="false" ht="13.8" hidden="false" customHeight="false" outlineLevel="0" collapsed="false">
      <c r="B503" s="2" t="n">
        <v>501</v>
      </c>
      <c r="C503" s="2" t="n">
        <v>1.00360635467645E-009</v>
      </c>
      <c r="D503" s="2" t="n">
        <v>0.099999999988667</v>
      </c>
      <c r="E503" s="2" t="n">
        <v>0.106300133325271</v>
      </c>
    </row>
    <row r="504" customFormat="false" ht="13.8" hidden="false" customHeight="false" outlineLevel="0" collapsed="false">
      <c r="B504" s="2" t="n">
        <v>502</v>
      </c>
      <c r="C504" s="2" t="n">
        <v>7.81944024801451E-010</v>
      </c>
      <c r="D504" s="2" t="n">
        <v>0.0752542907378003</v>
      </c>
      <c r="E504" s="2" t="n">
        <v>0.0763804586623354</v>
      </c>
    </row>
    <row r="505" customFormat="false" ht="13.8" hidden="false" customHeight="false" outlineLevel="0" collapsed="false">
      <c r="B505" s="2" t="n">
        <v>503</v>
      </c>
      <c r="C505" s="2" t="n">
        <v>0.011341516919448</v>
      </c>
      <c r="D505" s="2" t="n">
        <v>0.0445772853131396</v>
      </c>
      <c r="E505" s="2" t="n">
        <v>0.122700896590973</v>
      </c>
    </row>
    <row r="506" customFormat="false" ht="13.8" hidden="false" customHeight="false" outlineLevel="0" collapsed="false">
      <c r="B506" s="2" t="n">
        <v>504</v>
      </c>
      <c r="C506" s="2" t="n">
        <v>2.16888865476714E-010</v>
      </c>
      <c r="D506" s="2" t="n">
        <v>1.47709169983562E-012</v>
      </c>
      <c r="E506" s="2" t="n">
        <v>0.0291876315754288</v>
      </c>
    </row>
    <row r="507" customFormat="false" ht="13.8" hidden="false" customHeight="false" outlineLevel="0" collapsed="false">
      <c r="B507" s="2" t="n">
        <v>505</v>
      </c>
      <c r="C507" s="2" t="n">
        <v>0.0361095504051129</v>
      </c>
      <c r="D507" s="2" t="n">
        <v>1.46821940924172E-012</v>
      </c>
      <c r="E507" s="2" t="n">
        <v>0.0547292472603737</v>
      </c>
    </row>
    <row r="508" customFormat="false" ht="13.8" hidden="false" customHeight="false" outlineLevel="0" collapsed="false">
      <c r="B508" s="2" t="n">
        <v>506</v>
      </c>
      <c r="C508" s="2" t="n">
        <v>0.0073038007392499</v>
      </c>
      <c r="D508" s="2" t="n">
        <v>1.4611967618525E-012</v>
      </c>
      <c r="E508" s="2" t="n">
        <v>0.0494452012736532</v>
      </c>
    </row>
    <row r="509" customFormat="false" ht="13.8" hidden="false" customHeight="false" outlineLevel="0" collapsed="false">
      <c r="B509" s="2" t="n">
        <v>507</v>
      </c>
      <c r="C509" s="2" t="n">
        <v>0.0456269686127376</v>
      </c>
      <c r="D509" s="2" t="n">
        <v>1.45416001835167E-012</v>
      </c>
      <c r="E509" s="2" t="n">
        <v>0.0371990210808715</v>
      </c>
    </row>
    <row r="510" customFormat="false" ht="13.8" hidden="false" customHeight="false" outlineLevel="0" collapsed="false">
      <c r="B510" s="2" t="n">
        <v>508</v>
      </c>
      <c r="C510" s="2" t="n">
        <v>0.0147229979144748</v>
      </c>
      <c r="D510" s="2" t="n">
        <v>1.44714708976605E-012</v>
      </c>
      <c r="E510" s="2" t="n">
        <v>0.0346631961263415</v>
      </c>
    </row>
    <row r="511" customFormat="false" ht="13.8" hidden="false" customHeight="false" outlineLevel="0" collapsed="false">
      <c r="B511" s="2" t="n">
        <v>509</v>
      </c>
      <c r="C511" s="2" t="n">
        <v>0.0487957959026046</v>
      </c>
      <c r="D511" s="2" t="n">
        <v>1.4401001508176E-012</v>
      </c>
      <c r="E511" s="2" t="n">
        <v>0.041900602399005</v>
      </c>
    </row>
    <row r="512" customFormat="false" ht="13.8" hidden="false" customHeight="false" outlineLevel="0" collapsed="false">
      <c r="B512" s="2" t="n">
        <v>510</v>
      </c>
      <c r="C512" s="2" t="n">
        <v>0.00215853245603411</v>
      </c>
      <c r="D512" s="2" t="n">
        <v>1.44436048063456E-012</v>
      </c>
      <c r="E512" s="2" t="n">
        <v>4.29019163395206E-010</v>
      </c>
    </row>
    <row r="513" customFormat="false" ht="13.8" hidden="false" customHeight="false" outlineLevel="0" collapsed="false">
      <c r="B513" s="2" t="n">
        <v>511</v>
      </c>
      <c r="C513" s="2" t="n">
        <v>0</v>
      </c>
      <c r="D513" s="2" t="n">
        <v>1.03642687894366E-012</v>
      </c>
      <c r="E513" s="2" t="n">
        <v>1.10135841127794E-012</v>
      </c>
    </row>
    <row r="514" customFormat="false" ht="13.8" hidden="false" customHeight="false" outlineLevel="0" collapsed="false">
      <c r="B514" s="2" t="n">
        <v>512</v>
      </c>
      <c r="C514" s="2" t="n">
        <v>0</v>
      </c>
      <c r="D514" s="2" t="n">
        <v>1.01541788310981E-012</v>
      </c>
      <c r="E514" s="2" t="n">
        <v>9.36057782944131E-013</v>
      </c>
    </row>
    <row r="515" customFormat="false" ht="13.8" hidden="false" customHeight="false" outlineLevel="0" collapsed="false">
      <c r="B515" s="2" t="n">
        <v>513</v>
      </c>
      <c r="C515" s="2" t="n">
        <v>0</v>
      </c>
      <c r="D515" s="2" t="n">
        <v>9.94027499552288E-013</v>
      </c>
      <c r="E515" s="2" t="n">
        <v>9.36633324451972E-013</v>
      </c>
    </row>
    <row r="516" customFormat="false" ht="13.8" hidden="false" customHeight="false" outlineLevel="0" collapsed="false">
      <c r="B516" s="2" t="n">
        <v>514</v>
      </c>
      <c r="C516" s="2" t="n">
        <v>0</v>
      </c>
      <c r="D516" s="2" t="n">
        <v>9.71273523730238E-013</v>
      </c>
      <c r="E516" s="2" t="n">
        <v>9.3714206605794E-013</v>
      </c>
    </row>
    <row r="517" customFormat="false" ht="13.8" hidden="false" customHeight="false" outlineLevel="0" collapsed="false">
      <c r="B517" s="2" t="n">
        <v>515</v>
      </c>
      <c r="C517" s="2" t="n">
        <v>0</v>
      </c>
      <c r="D517" s="2" t="n">
        <v>9.57655979439059E-013</v>
      </c>
      <c r="E517" s="2" t="n">
        <v>9.31702798339578E-013</v>
      </c>
    </row>
    <row r="518" customFormat="false" ht="13.8" hidden="false" customHeight="false" outlineLevel="0" collapsed="false">
      <c r="B518" s="2" t="n">
        <v>516</v>
      </c>
      <c r="C518" s="2" t="n">
        <v>0</v>
      </c>
      <c r="D518" s="2" t="n">
        <v>9.44850642745744E-013</v>
      </c>
      <c r="E518" s="2" t="n">
        <v>9.22102590772542E-013</v>
      </c>
    </row>
    <row r="519" customFormat="false" ht="13.8" hidden="false" customHeight="false" outlineLevel="0" collapsed="false">
      <c r="B519" s="2" t="n">
        <v>517</v>
      </c>
      <c r="C519" s="2" t="n">
        <v>0</v>
      </c>
      <c r="D519" s="2" t="n">
        <v>9.34606680139131E-013</v>
      </c>
      <c r="E519" s="2" t="n">
        <v>9.12234579331234E-013</v>
      </c>
    </row>
    <row r="520" customFormat="false" ht="13.8" hidden="false" customHeight="false" outlineLevel="0" collapsed="false">
      <c r="B520" s="2" t="n">
        <v>518</v>
      </c>
      <c r="C520" s="2" t="n">
        <v>0</v>
      </c>
      <c r="D520" s="2" t="n">
        <v>9.26870618453551E-013</v>
      </c>
      <c r="E520" s="2" t="n">
        <v>9.02188968051359E-013</v>
      </c>
    </row>
    <row r="521" customFormat="false" ht="13.8" hidden="false" customHeight="false" outlineLevel="0" collapsed="false">
      <c r="B521" s="2" t="n">
        <v>519</v>
      </c>
      <c r="C521" s="2" t="n">
        <v>0</v>
      </c>
      <c r="D521" s="2" t="n">
        <v>9.20484833543192E-013</v>
      </c>
      <c r="E521" s="2" t="n">
        <v>8.89228519770497E-013</v>
      </c>
    </row>
    <row r="522" customFormat="false" ht="13.8" hidden="false" customHeight="false" outlineLevel="0" collapsed="false">
      <c r="B522" s="2" t="n">
        <v>520</v>
      </c>
      <c r="C522" s="2" t="n">
        <v>0</v>
      </c>
      <c r="D522" s="2" t="n">
        <v>9.18724849053769E-013</v>
      </c>
      <c r="E522" s="2" t="n">
        <v>8.72943134370177E-013</v>
      </c>
    </row>
    <row r="523" customFormat="false" ht="13.8" hidden="false" customHeight="false" outlineLevel="0" collapsed="false">
      <c r="B523" s="2" t="n">
        <v>521</v>
      </c>
      <c r="C523" s="2" t="n">
        <v>0</v>
      </c>
      <c r="D523" s="2" t="n">
        <v>0</v>
      </c>
      <c r="E523" s="2" t="n">
        <v>1.04338327857372E-012</v>
      </c>
    </row>
    <row r="524" customFormat="false" ht="13.8" hidden="false" customHeight="false" outlineLevel="0" collapsed="false">
      <c r="B524" s="2" t="n">
        <v>522</v>
      </c>
      <c r="C524" s="2" t="n">
        <v>0</v>
      </c>
      <c r="D524" s="2" t="n">
        <v>0</v>
      </c>
      <c r="E524" s="2" t="n">
        <v>1.10664479217345E-012</v>
      </c>
    </row>
    <row r="525" customFormat="false" ht="13.8" hidden="false" customHeight="false" outlineLevel="0" collapsed="false">
      <c r="B525" s="2" t="n">
        <v>523</v>
      </c>
      <c r="C525" s="2" t="n">
        <v>0</v>
      </c>
      <c r="D525" s="2" t="n">
        <v>0</v>
      </c>
      <c r="E525" s="2" t="n">
        <v>7.21216380237051E-012</v>
      </c>
    </row>
    <row r="526" customFormat="false" ht="13.8" hidden="false" customHeight="false" outlineLevel="0" collapsed="false">
      <c r="B526" s="2" t="n">
        <v>524</v>
      </c>
      <c r="C526" s="2" t="n">
        <v>0</v>
      </c>
      <c r="D526" s="2" t="n">
        <v>0</v>
      </c>
      <c r="E526" s="2" t="n">
        <v>8.69842082353147E-012</v>
      </c>
    </row>
    <row r="527" customFormat="false" ht="13.8" hidden="false" customHeight="false" outlineLevel="0" collapsed="false">
      <c r="B527" s="2" t="n">
        <v>525</v>
      </c>
      <c r="C527" s="2" t="n">
        <v>0</v>
      </c>
      <c r="D527" s="2" t="n">
        <v>0</v>
      </c>
      <c r="E527" s="2" t="n">
        <v>2.84372961088447E-010</v>
      </c>
    </row>
    <row r="528" customFormat="false" ht="13.8" hidden="false" customHeight="false" outlineLevel="0" collapsed="false">
      <c r="B528" s="2" t="n">
        <v>526</v>
      </c>
      <c r="C528" s="2" t="n">
        <v>0</v>
      </c>
      <c r="D528" s="2" t="n">
        <v>0</v>
      </c>
      <c r="E528" s="2" t="n">
        <v>1.16760845379983E-011</v>
      </c>
    </row>
    <row r="529" customFormat="false" ht="13.8" hidden="false" customHeight="false" outlineLevel="0" collapsed="false">
      <c r="B529" s="2" t="n">
        <v>527</v>
      </c>
      <c r="C529" s="2" t="n">
        <v>0</v>
      </c>
      <c r="D529" s="2" t="n">
        <v>0</v>
      </c>
      <c r="E529" s="2" t="n">
        <v>1.31676471578721E-011</v>
      </c>
    </row>
    <row r="530" customFormat="false" ht="13.8" hidden="false" customHeight="false" outlineLevel="0" collapsed="false">
      <c r="B530" s="2" t="n">
        <v>528</v>
      </c>
      <c r="C530" s="2" t="n">
        <v>0</v>
      </c>
      <c r="D530" s="2" t="n">
        <v>0</v>
      </c>
      <c r="E530" s="2" t="n">
        <v>4.23618979102925E-010</v>
      </c>
    </row>
    <row r="531" customFormat="false" ht="13.8" hidden="false" customHeight="false" outlineLevel="0" collapsed="false">
      <c r="B531" s="2" t="n">
        <v>529</v>
      </c>
      <c r="C531" s="2" t="n">
        <v>0</v>
      </c>
      <c r="D531" s="2" t="n">
        <v>0</v>
      </c>
      <c r="E531" s="2" t="n">
        <v>1.61542416789657E-011</v>
      </c>
    </row>
    <row r="532" customFormat="false" ht="13.8" hidden="false" customHeight="false" outlineLevel="0" collapsed="false">
      <c r="B532" s="2" t="n">
        <v>530</v>
      </c>
      <c r="C532" s="2" t="n">
        <v>0</v>
      </c>
      <c r="D532" s="2" t="n">
        <v>0</v>
      </c>
      <c r="E532" s="2" t="n">
        <v>1.76487441295016E-011</v>
      </c>
    </row>
    <row r="533" customFormat="false" ht="13.8" hidden="false" customHeight="false" outlineLevel="0" collapsed="false">
      <c r="B533" s="2" t="n">
        <v>531</v>
      </c>
      <c r="C533" s="2" t="n">
        <v>1.28409152622464E-012</v>
      </c>
      <c r="D533" s="2" t="n">
        <v>0</v>
      </c>
      <c r="E533" s="2" t="n">
        <v>1.71982983915654E-012</v>
      </c>
    </row>
    <row r="534" customFormat="false" ht="13.8" hidden="false" customHeight="false" outlineLevel="0" collapsed="false">
      <c r="B534" s="2" t="n">
        <v>532</v>
      </c>
      <c r="C534" s="2" t="n">
        <v>0</v>
      </c>
      <c r="D534" s="2" t="n">
        <v>0</v>
      </c>
      <c r="E534" s="2" t="n">
        <v>2.06413332917463E-011</v>
      </c>
    </row>
    <row r="535" customFormat="false" ht="13.8" hidden="false" customHeight="false" outlineLevel="0" collapsed="false">
      <c r="B535" s="2" t="n">
        <v>533</v>
      </c>
      <c r="C535" s="2" t="n">
        <v>1.64114793224562E-012</v>
      </c>
      <c r="D535" s="2" t="n">
        <v>0</v>
      </c>
      <c r="E535" s="2" t="n">
        <v>1.86691505476762E-012</v>
      </c>
    </row>
    <row r="536" customFormat="false" ht="13.8" hidden="false" customHeight="false" outlineLevel="0" collapsed="false">
      <c r="B536" s="2" t="n">
        <v>534</v>
      </c>
      <c r="C536" s="2" t="n">
        <v>1.82075754894505E-012</v>
      </c>
      <c r="D536" s="2" t="n">
        <v>0</v>
      </c>
      <c r="E536" s="2" t="n">
        <v>1.94093768999072E-012</v>
      </c>
    </row>
    <row r="537" customFormat="false" ht="13.8" hidden="false" customHeight="false" outlineLevel="0" collapsed="false">
      <c r="B537" s="2" t="n">
        <v>535</v>
      </c>
      <c r="C537" s="2" t="n">
        <v>4.59267007076508E-013</v>
      </c>
      <c r="D537" s="2" t="n">
        <v>0</v>
      </c>
      <c r="E537" s="2" t="n">
        <v>2.51353914687747E-011</v>
      </c>
    </row>
    <row r="538" customFormat="false" ht="13.8" hidden="false" customHeight="false" outlineLevel="0" collapsed="false">
      <c r="B538" s="2" t="n">
        <v>536</v>
      </c>
      <c r="C538" s="2" t="n">
        <v>3.13589298323934E-012</v>
      </c>
      <c r="D538" s="2" t="n">
        <v>0</v>
      </c>
      <c r="E538" s="2" t="n">
        <v>2.08962495666424E-012</v>
      </c>
    </row>
    <row r="539" customFormat="false" ht="13.8" hidden="false" customHeight="false" outlineLevel="0" collapsed="false">
      <c r="B539" s="2" t="n">
        <v>537</v>
      </c>
      <c r="C539" s="2" t="n">
        <v>3.78003484066252E-012</v>
      </c>
      <c r="D539" s="2" t="n">
        <v>0</v>
      </c>
      <c r="E539" s="2" t="n">
        <v>2.16458817851002E-012</v>
      </c>
    </row>
    <row r="540" customFormat="false" ht="13.8" hidden="false" customHeight="false" outlineLevel="0" collapsed="false">
      <c r="B540" s="2" t="n">
        <v>538</v>
      </c>
      <c r="C540" s="2" t="n">
        <v>3.94435252749526E-012</v>
      </c>
      <c r="D540" s="2" t="n">
        <v>0</v>
      </c>
      <c r="E540" s="2" t="n">
        <v>2.239355864118E-012</v>
      </c>
    </row>
    <row r="541" customFormat="false" ht="13.8" hidden="false" customHeight="false" outlineLevel="0" collapsed="false">
      <c r="B541" s="2" t="n">
        <v>539</v>
      </c>
      <c r="C541" s="2" t="n">
        <v>4.10714164641131E-012</v>
      </c>
      <c r="D541" s="2" t="n">
        <v>0</v>
      </c>
      <c r="E541" s="2" t="n">
        <v>2.31382945494033E-012</v>
      </c>
    </row>
    <row r="542" customFormat="false" ht="13.8" hidden="false" customHeight="false" outlineLevel="0" collapsed="false">
      <c r="B542" s="2" t="n">
        <v>540</v>
      </c>
      <c r="C542" s="2" t="n">
        <v>0</v>
      </c>
      <c r="D542" s="2" t="n">
        <v>0</v>
      </c>
      <c r="E542" s="2" t="n">
        <v>1.88035519660395E-012</v>
      </c>
    </row>
    <row r="543" customFormat="false" ht="13.8" hidden="false" customHeight="false" outlineLevel="0" collapsed="false">
      <c r="B543" s="2" t="n">
        <v>541</v>
      </c>
      <c r="C543" s="2" t="n">
        <v>2.34828124021937E-008</v>
      </c>
      <c r="D543" s="2" t="n">
        <v>0</v>
      </c>
      <c r="E543" s="2" t="n">
        <v>0.0173154451279731</v>
      </c>
    </row>
    <row r="544" customFormat="false" ht="13.8" hidden="false" customHeight="false" outlineLevel="0" collapsed="false">
      <c r="B544" s="2" t="n">
        <v>542</v>
      </c>
      <c r="C544" s="2" t="n">
        <v>2.29407287684006E-008</v>
      </c>
      <c r="D544" s="2" t="n">
        <v>0</v>
      </c>
      <c r="E544" s="2" t="n">
        <v>0.0609114044352485</v>
      </c>
    </row>
    <row r="545" customFormat="false" ht="13.8" hidden="false" customHeight="false" outlineLevel="0" collapsed="false">
      <c r="B545" s="2" t="n">
        <v>543</v>
      </c>
      <c r="C545" s="2" t="n">
        <v>2.24088076156823E-008</v>
      </c>
      <c r="D545" s="2" t="n">
        <v>0</v>
      </c>
      <c r="E545" s="2" t="n">
        <v>0.0544405137430345</v>
      </c>
    </row>
    <row r="546" customFormat="false" ht="13.8" hidden="false" customHeight="false" outlineLevel="0" collapsed="false">
      <c r="B546" s="2" t="n">
        <v>544</v>
      </c>
      <c r="C546" s="2" t="n">
        <v>2.18772042349218E-008</v>
      </c>
      <c r="D546" s="2" t="n">
        <v>0</v>
      </c>
      <c r="E546" s="2" t="n">
        <v>0.0680365897174872</v>
      </c>
    </row>
    <row r="547" customFormat="false" ht="13.8" hidden="false" customHeight="false" outlineLevel="0" collapsed="false">
      <c r="B547" s="2" t="n">
        <v>545</v>
      </c>
      <c r="C547" s="2" t="n">
        <v>2.13459481190325E-008</v>
      </c>
      <c r="D547" s="2" t="n">
        <v>0</v>
      </c>
      <c r="E547" s="2" t="n">
        <v>0.107931999025273</v>
      </c>
    </row>
    <row r="548" customFormat="false" ht="13.8" hidden="false" customHeight="false" outlineLevel="0" collapsed="false">
      <c r="B548" s="2" t="n">
        <v>546</v>
      </c>
      <c r="C548" s="2" t="n">
        <v>2.08150730770142E-008</v>
      </c>
      <c r="D548" s="2" t="n">
        <v>0</v>
      </c>
      <c r="E548" s="2" t="n">
        <v>0.137234531651161</v>
      </c>
    </row>
    <row r="549" customFormat="false" ht="13.8" hidden="false" customHeight="false" outlineLevel="0" collapsed="false">
      <c r="B549" s="2" t="n">
        <v>547</v>
      </c>
      <c r="C549" s="2" t="n">
        <v>2.02846165692222E-008</v>
      </c>
      <c r="D549" s="2" t="n">
        <v>0</v>
      </c>
      <c r="E549" s="2" t="n">
        <v>0.101287664277049</v>
      </c>
    </row>
    <row r="550" customFormat="false" ht="13.8" hidden="false" customHeight="false" outlineLevel="0" collapsed="false">
      <c r="B550" s="2" t="n">
        <v>548</v>
      </c>
      <c r="C550" s="2" t="n">
        <v>1.9754619678298E-008</v>
      </c>
      <c r="D550" s="2" t="n">
        <v>0</v>
      </c>
      <c r="E550" s="2" t="n">
        <v>0.211589896902938</v>
      </c>
    </row>
    <row r="551" customFormat="false" ht="13.8" hidden="false" customHeight="false" outlineLevel="0" collapsed="false">
      <c r="B551" s="2" t="n">
        <v>549</v>
      </c>
      <c r="C551" s="2" t="n">
        <v>1.9225127028899E-008</v>
      </c>
      <c r="D551" s="2" t="n">
        <v>0</v>
      </c>
      <c r="E551" s="2" t="n">
        <v>0.188475879528826</v>
      </c>
    </row>
    <row r="552" customFormat="false" ht="13.8" hidden="false" customHeight="false" outlineLevel="0" collapsed="false">
      <c r="B552" s="2" t="n">
        <v>550</v>
      </c>
      <c r="C552" s="2" t="n">
        <v>1.86961866676559E-008</v>
      </c>
      <c r="D552" s="2" t="n">
        <v>0</v>
      </c>
      <c r="E552" s="2" t="n">
        <v>0.140469905511644</v>
      </c>
    </row>
    <row r="553" customFormat="false" ht="13.8" hidden="false" customHeight="false" outlineLevel="0" collapsed="false">
      <c r="B553" s="2" t="n">
        <v>551</v>
      </c>
      <c r="C553" s="2" t="n">
        <v>1.81678487582996E-008</v>
      </c>
      <c r="D553" s="2" t="n">
        <v>0</v>
      </c>
      <c r="E553" s="2" t="n">
        <v>0.122646948161128</v>
      </c>
    </row>
    <row r="554" customFormat="false" ht="13.8" hidden="false" customHeight="false" outlineLevel="0" collapsed="false">
      <c r="B554" s="2" t="n">
        <v>552</v>
      </c>
      <c r="C554" s="2" t="n">
        <v>1.76286350536714E-008</v>
      </c>
      <c r="D554" s="2" t="n">
        <v>9.60983160958147E-009</v>
      </c>
      <c r="E554" s="2" t="n">
        <v>0.125990390810612</v>
      </c>
    </row>
    <row r="555" customFormat="false" ht="13.8" hidden="false" customHeight="false" outlineLevel="0" collapsed="false">
      <c r="B555" s="2" t="n">
        <v>553</v>
      </c>
      <c r="C555" s="2" t="n">
        <v>1.70728803731913E-008</v>
      </c>
      <c r="D555" s="2" t="n">
        <v>9.06875025722638E-009</v>
      </c>
      <c r="E555" s="2" t="n">
        <v>0.21520113339801</v>
      </c>
    </row>
    <row r="556" customFormat="false" ht="13.8" hidden="false" customHeight="false" outlineLevel="0" collapsed="false">
      <c r="B556" s="2" t="n">
        <v>554</v>
      </c>
      <c r="C556" s="2" t="n">
        <v>1.65214147051302E-008</v>
      </c>
      <c r="D556" s="2" t="n">
        <v>8.53209741163935E-009</v>
      </c>
      <c r="E556" s="2" t="n">
        <v>0.218150966731482</v>
      </c>
    </row>
    <row r="557" customFormat="false" ht="13.8" hidden="false" customHeight="false" outlineLevel="0" collapsed="false">
      <c r="B557" s="2" t="n">
        <v>555</v>
      </c>
      <c r="C557" s="2" t="n">
        <v>1.59699438659692E-008</v>
      </c>
      <c r="D557" s="2" t="n">
        <v>7.99545374115579E-009</v>
      </c>
      <c r="E557" s="2" t="n">
        <v>0.242201566731622</v>
      </c>
    </row>
    <row r="558" customFormat="false" ht="13.8" hidden="false" customHeight="false" outlineLevel="0" collapsed="false">
      <c r="B558" s="2" t="n">
        <v>556</v>
      </c>
      <c r="C558" s="2" t="n">
        <v>1.5418467448344E-008</v>
      </c>
      <c r="D558" s="2" t="n">
        <v>7.45882148714017E-009</v>
      </c>
      <c r="E558" s="2" t="n">
        <v>0.230869133398428</v>
      </c>
    </row>
    <row r="559" customFormat="false" ht="13.8" hidden="false" customHeight="false" outlineLevel="0" collapsed="false">
      <c r="B559" s="2" t="n">
        <v>557</v>
      </c>
      <c r="C559" s="2" t="n">
        <v>1.48669856099191E-008</v>
      </c>
      <c r="D559" s="2" t="n">
        <v>6.92220579674887E-009</v>
      </c>
      <c r="E559" s="2" t="n">
        <v>0.261569433398567</v>
      </c>
    </row>
    <row r="560" customFormat="false" ht="13.8" hidden="false" customHeight="false" outlineLevel="0" collapsed="false">
      <c r="B560" s="2" t="n">
        <v>558</v>
      </c>
      <c r="C560" s="2" t="n">
        <v>1.43154983590242E-008</v>
      </c>
      <c r="D560" s="2" t="n">
        <v>6.38561207873553E-009</v>
      </c>
      <c r="E560" s="2" t="n">
        <v>0.229636533398707</v>
      </c>
    </row>
    <row r="561" customFormat="false" ht="13.8" hidden="false" customHeight="false" outlineLevel="0" collapsed="false">
      <c r="B561" s="2" t="n">
        <v>559</v>
      </c>
      <c r="C561" s="2" t="n">
        <v>1.37640057349153E-008</v>
      </c>
      <c r="D561" s="2" t="n">
        <v>5.84904934854866E-009</v>
      </c>
      <c r="E561" s="2" t="n">
        <v>0.186304050065513</v>
      </c>
    </row>
    <row r="562" customFormat="false" ht="13.8" hidden="false" customHeight="false" outlineLevel="0" collapsed="false">
      <c r="B562" s="2" t="n">
        <v>560</v>
      </c>
      <c r="C562" s="2" t="n">
        <v>1.32125077333248E-008</v>
      </c>
      <c r="D562" s="2" t="n">
        <v>5.31252947335875E-009</v>
      </c>
      <c r="E562" s="2" t="n">
        <v>0.229937200065653</v>
      </c>
    </row>
    <row r="563" customFormat="false" ht="13.8" hidden="false" customHeight="false" outlineLevel="0" collapsed="false">
      <c r="B563" s="2" t="n">
        <v>561</v>
      </c>
      <c r="C563" s="2" t="n">
        <v>1.26610043426703E-008</v>
      </c>
      <c r="D563" s="2" t="n">
        <v>4.77607059579392E-009</v>
      </c>
      <c r="E563" s="2" t="n">
        <v>0.215037350065792</v>
      </c>
    </row>
    <row r="564" customFormat="false" ht="13.8" hidden="false" customHeight="false" outlineLevel="0" collapsed="false">
      <c r="B564" s="2" t="n">
        <v>562</v>
      </c>
      <c r="C564" s="2" t="n">
        <v>1.21094955917235E-008</v>
      </c>
      <c r="D564" s="2" t="n">
        <v>4.23970166284636E-009</v>
      </c>
      <c r="E564" s="2" t="n">
        <v>0.170971583399265</v>
      </c>
    </row>
    <row r="565" customFormat="false" ht="13.8" hidden="false" customHeight="false" outlineLevel="0" collapsed="false">
      <c r="B565" s="2" t="n">
        <v>563</v>
      </c>
      <c r="C565" s="2" t="n">
        <v>1.15579814523472E-008</v>
      </c>
      <c r="D565" s="2" t="n">
        <v>3.70347152195163E-009</v>
      </c>
      <c r="E565" s="2" t="n">
        <v>0.201954133399404</v>
      </c>
    </row>
    <row r="566" customFormat="false" ht="13.8" hidden="false" customHeight="false" outlineLevel="0" collapsed="false">
      <c r="B566" s="2" t="n">
        <v>564</v>
      </c>
      <c r="C566" s="2" t="n">
        <v>1.100646198932E-008</v>
      </c>
      <c r="D566" s="2" t="n">
        <v>3.16746758255872E-009</v>
      </c>
      <c r="E566" s="2" t="n">
        <v>0.217686783399544</v>
      </c>
    </row>
    <row r="567" customFormat="false" ht="13.8" hidden="false" customHeight="false" outlineLevel="0" collapsed="false">
      <c r="B567" s="2" t="n">
        <v>565</v>
      </c>
      <c r="C567" s="2" t="n">
        <v>1.04549370982628E-008</v>
      </c>
      <c r="D567" s="2" t="n">
        <v>2.6318669393094E-009</v>
      </c>
      <c r="E567" s="2" t="n">
        <v>0.243703616733016</v>
      </c>
    </row>
    <row r="568" customFormat="false" ht="13.8" hidden="false" customHeight="false" outlineLevel="0" collapsed="false">
      <c r="B568" s="2" t="n">
        <v>566</v>
      </c>
      <c r="C568" s="2" t="n">
        <v>9.90340687717333E-009</v>
      </c>
      <c r="D568" s="2" t="n">
        <v>2.09708129395029E-009</v>
      </c>
      <c r="E568" s="2" t="n">
        <v>0.193820566733155</v>
      </c>
    </row>
    <row r="569" customFormat="false" ht="13.8" hidden="false" customHeight="false" outlineLevel="0" collapsed="false">
      <c r="B569" s="2" t="n">
        <v>567</v>
      </c>
      <c r="C569" s="2" t="n">
        <v>9.35187134837154E-009</v>
      </c>
      <c r="D569" s="2" t="n">
        <v>1.56430493840206E-009</v>
      </c>
      <c r="E569" s="2" t="n">
        <v>0.196970150066629</v>
      </c>
    </row>
    <row r="570" customFormat="false" ht="13.8" hidden="false" customHeight="false" outlineLevel="0" collapsed="false">
      <c r="B570" s="2" t="n">
        <v>568</v>
      </c>
      <c r="C570" s="2" t="n">
        <v>8.80040235443003E-009</v>
      </c>
      <c r="D570" s="2" t="n">
        <v>1.02237165396939E-009</v>
      </c>
      <c r="E570" s="2" t="n">
        <v>0.211837766733435</v>
      </c>
    </row>
    <row r="571" customFormat="false" ht="13.8" hidden="false" customHeight="false" outlineLevel="0" collapsed="false">
      <c r="B571" s="2" t="n">
        <v>569</v>
      </c>
      <c r="C571" s="2" t="n">
        <v>8.00935071803031E-009</v>
      </c>
      <c r="D571" s="2" t="n">
        <v>0.00998378886078685</v>
      </c>
      <c r="E571" s="2" t="n">
        <v>0.167054094531409</v>
      </c>
    </row>
    <row r="572" customFormat="false" ht="13.8" hidden="false" customHeight="false" outlineLevel="0" collapsed="false">
      <c r="B572" s="2" t="n">
        <v>570</v>
      </c>
      <c r="C572" s="2" t="n">
        <v>7.73377259062531E-009</v>
      </c>
      <c r="D572" s="2" t="n">
        <v>0.0575055410441847</v>
      </c>
      <c r="E572" s="2" t="n">
        <v>0.149282325681599</v>
      </c>
    </row>
    <row r="573" customFormat="false" ht="13.8" hidden="false" customHeight="false" outlineLevel="0" collapsed="false">
      <c r="B573" s="2" t="n">
        <v>571</v>
      </c>
      <c r="C573" s="2" t="n">
        <v>7.45803733342716E-009</v>
      </c>
      <c r="D573" s="2" t="n">
        <v>0.0863998583905042</v>
      </c>
      <c r="E573" s="2" t="n">
        <v>0.109787908335329</v>
      </c>
    </row>
    <row r="574" customFormat="false" ht="13.8" hidden="false" customHeight="false" outlineLevel="0" collapsed="false">
      <c r="B574" s="2" t="n">
        <v>572</v>
      </c>
      <c r="C574" s="2" t="n">
        <v>7.18229956247463E-009</v>
      </c>
      <c r="D574" s="2" t="n">
        <v>0.0828620852869205</v>
      </c>
      <c r="E574" s="2" t="n">
        <v>0.0911917314389622</v>
      </c>
    </row>
    <row r="575" customFormat="false" ht="13.8" hidden="false" customHeight="false" outlineLevel="0" collapsed="false">
      <c r="B575" s="2" t="n">
        <v>573</v>
      </c>
      <c r="C575" s="2" t="n">
        <v>6.90655893062021E-009</v>
      </c>
      <c r="D575" s="2" t="n">
        <v>0.0877587207550273</v>
      </c>
      <c r="E575" s="2" t="n">
        <v>0.0923454459709049</v>
      </c>
    </row>
    <row r="576" customFormat="false" ht="13.8" hidden="false" customHeight="false" outlineLevel="0" collapsed="false">
      <c r="B576" s="2" t="n">
        <v>574</v>
      </c>
      <c r="C576" s="2" t="n">
        <v>6.63081564342314E-009</v>
      </c>
      <c r="D576" s="2" t="n">
        <v>0.0869684724007639</v>
      </c>
      <c r="E576" s="2" t="n">
        <v>0.077401727658551</v>
      </c>
    </row>
    <row r="577" customFormat="false" ht="13.8" hidden="false" customHeight="false" outlineLevel="0" collapsed="false">
      <c r="B577" s="2" t="n">
        <v>575</v>
      </c>
      <c r="C577" s="2" t="n">
        <v>6.35506894357084E-009</v>
      </c>
      <c r="D577" s="2" t="n">
        <v>0.0929632842623198</v>
      </c>
      <c r="E577" s="2" t="n">
        <v>0.0665230324637112</v>
      </c>
    </row>
    <row r="578" customFormat="false" ht="13.8" hidden="false" customHeight="false" outlineLevel="0" collapsed="false">
      <c r="B578" s="2" t="n">
        <v>576</v>
      </c>
      <c r="C578" s="2" t="n">
        <v>6.08210998498742E-009</v>
      </c>
      <c r="D578" s="2" t="n">
        <v>0.100000000013475</v>
      </c>
      <c r="E578" s="2" t="n">
        <v>0.0520036833791463</v>
      </c>
    </row>
    <row r="579" customFormat="false" ht="13.8" hidden="false" customHeight="false" outlineLevel="0" collapsed="false">
      <c r="B579" s="2" t="n">
        <v>577</v>
      </c>
      <c r="C579" s="2" t="n">
        <v>5.80596028432956E-009</v>
      </c>
      <c r="D579" s="2" t="n">
        <v>1.34861775790586E-011</v>
      </c>
      <c r="E579" s="2" t="n">
        <v>0.0454859000458511</v>
      </c>
    </row>
    <row r="580" customFormat="false" ht="13.8" hidden="false" customHeight="false" outlineLevel="0" collapsed="false">
      <c r="B580" s="2" t="n">
        <v>578</v>
      </c>
      <c r="C580" s="2" t="n">
        <v>5.52980615629067E-009</v>
      </c>
      <c r="D580" s="2" t="n">
        <v>1.34973799426024E-011</v>
      </c>
      <c r="E580" s="2" t="n">
        <v>0.0287357833792226</v>
      </c>
    </row>
    <row r="581" customFormat="false" ht="13.8" hidden="false" customHeight="false" outlineLevel="0" collapsed="false">
      <c r="B581" s="2" t="n">
        <v>579</v>
      </c>
      <c r="C581" s="2" t="n">
        <v>5.25364671361083E-009</v>
      </c>
      <c r="D581" s="2" t="n">
        <v>1.35085458279425E-011</v>
      </c>
      <c r="E581" s="2" t="n">
        <v>0.0856680667125942</v>
      </c>
    </row>
    <row r="582" customFormat="false" ht="13.8" hidden="false" customHeight="false" outlineLevel="0" collapsed="false">
      <c r="B582" s="2" t="n">
        <v>580</v>
      </c>
      <c r="C582" s="2" t="n">
        <v>4.97748201627683E-009</v>
      </c>
      <c r="D582" s="2" t="n">
        <v>0.0133333333468531</v>
      </c>
      <c r="E582" s="2" t="n">
        <v>0.047834333379299</v>
      </c>
    </row>
    <row r="583" customFormat="false" ht="13.8" hidden="false" customHeight="false" outlineLevel="0" collapsed="false">
      <c r="B583" s="2" t="n">
        <v>581</v>
      </c>
      <c r="C583" s="2" t="n">
        <v>4.70131207145235E-009</v>
      </c>
      <c r="D583" s="2" t="n">
        <v>0.100000000013531</v>
      </c>
      <c r="E583" s="2" t="n">
        <v>0.0781337500460038</v>
      </c>
    </row>
    <row r="584" customFormat="false" ht="13.8" hidden="false" customHeight="false" outlineLevel="0" collapsed="false">
      <c r="B584" s="2" t="n">
        <v>582</v>
      </c>
      <c r="C584" s="2" t="n">
        <v>4.42477567938899E-009</v>
      </c>
      <c r="D584" s="2" t="n">
        <v>0.0898795185648224</v>
      </c>
      <c r="E584" s="2" t="n">
        <v>0.0512872981615543</v>
      </c>
    </row>
    <row r="585" customFormat="false" ht="13.8" hidden="false" customHeight="false" outlineLevel="0" collapsed="false">
      <c r="B585" s="2" t="n">
        <v>583</v>
      </c>
      <c r="C585" s="2" t="n">
        <v>4.14900955539783E-009</v>
      </c>
      <c r="D585" s="2" t="n">
        <v>0.0889099998892609</v>
      </c>
      <c r="E585" s="2" t="n">
        <v>0.073540133503832</v>
      </c>
    </row>
    <row r="586" customFormat="false" ht="13.8" hidden="false" customHeight="false" outlineLevel="0" collapsed="false">
      <c r="B586" s="2" t="n">
        <v>584</v>
      </c>
      <c r="C586" s="2" t="n">
        <v>3.87324076545047E-009</v>
      </c>
      <c r="D586" s="2" t="n">
        <v>0.0945284318978146</v>
      </c>
      <c r="E586" s="2" t="n">
        <v>0.0863718681619942</v>
      </c>
    </row>
    <row r="587" customFormat="false" ht="13.8" hidden="false" customHeight="false" outlineLevel="0" collapsed="false">
      <c r="B587" s="2" t="n">
        <v>585</v>
      </c>
      <c r="C587" s="2" t="n">
        <v>3.59746960436309E-009</v>
      </c>
      <c r="D587" s="2" t="n">
        <v>0.0699103614892365</v>
      </c>
      <c r="E587" s="2" t="n">
        <v>0.0621065885706217</v>
      </c>
    </row>
    <row r="588" customFormat="false" ht="13.8" hidden="false" customHeight="false" outlineLevel="0" collapsed="false">
      <c r="B588" s="2" t="n">
        <v>586</v>
      </c>
      <c r="C588" s="2" t="n">
        <v>3.32169619309748E-009</v>
      </c>
      <c r="D588" s="2" t="n">
        <v>0.0755640933316278</v>
      </c>
      <c r="E588" s="2" t="n">
        <v>0.0766694067282799</v>
      </c>
    </row>
    <row r="589" customFormat="false" ht="13.8" hidden="false" customHeight="false" outlineLevel="0" collapsed="false">
      <c r="B589" s="2" t="n">
        <v>587</v>
      </c>
      <c r="C589" s="2" t="n">
        <v>3.04592065352678E-009</v>
      </c>
      <c r="D589" s="2" t="n">
        <v>0.0931020012774864</v>
      </c>
      <c r="E589" s="2" t="n">
        <v>0.092181432115804</v>
      </c>
    </row>
    <row r="590" customFormat="false" ht="13.8" hidden="false" customHeight="false" outlineLevel="0" collapsed="false">
      <c r="B590" s="2" t="n">
        <v>588</v>
      </c>
      <c r="C590" s="2" t="n">
        <v>2.7701431133487E-009</v>
      </c>
      <c r="D590" s="2" t="n">
        <v>0.0660852954289343</v>
      </c>
      <c r="E590" s="2" t="n">
        <v>0.0642647379644055</v>
      </c>
    </row>
    <row r="591" customFormat="false" ht="13.8" hidden="false" customHeight="false" outlineLevel="0" collapsed="false">
      <c r="B591" s="2" t="n">
        <v>589</v>
      </c>
      <c r="C591" s="2" t="n">
        <v>2.49436386851988E-009</v>
      </c>
      <c r="D591" s="2" t="n">
        <v>0.0853891413026865</v>
      </c>
      <c r="E591" s="2" t="n">
        <v>0.0895277420907027</v>
      </c>
    </row>
    <row r="592" customFormat="false" ht="13.8" hidden="false" customHeight="false" outlineLevel="0" collapsed="false">
      <c r="B592" s="2" t="n">
        <v>590</v>
      </c>
      <c r="C592" s="2" t="n">
        <v>2.21858334433356E-009</v>
      </c>
      <c r="D592" s="2" t="n">
        <v>0.0740893843528841</v>
      </c>
      <c r="E592" s="2" t="n">
        <v>0.0689107157072212</v>
      </c>
    </row>
    <row r="593" customFormat="false" ht="13.8" hidden="false" customHeight="false" outlineLevel="0" collapsed="false">
      <c r="B593" s="2" t="n">
        <v>591</v>
      </c>
      <c r="C593" s="2" t="n">
        <v>1.94280198069371E-009</v>
      </c>
      <c r="D593" s="2" t="n">
        <v>0.081080052076529</v>
      </c>
      <c r="E593" s="2" t="n">
        <v>0.0816533479836257</v>
      </c>
    </row>
    <row r="594" customFormat="false" ht="13.8" hidden="false" customHeight="false" outlineLevel="0" collapsed="false">
      <c r="B594" s="2" t="n">
        <v>592</v>
      </c>
      <c r="C594" s="2" t="n">
        <v>1.66702076241611E-009</v>
      </c>
      <c r="D594" s="2" t="n">
        <v>0.0796519441122807</v>
      </c>
      <c r="E594" s="2" t="n">
        <v>0.0826648059479232</v>
      </c>
    </row>
    <row r="595" customFormat="false" ht="13.8" hidden="false" customHeight="false" outlineLevel="0" collapsed="false">
      <c r="B595" s="2" t="n">
        <v>593</v>
      </c>
      <c r="C595" s="2" t="n">
        <v>1.39124152516884E-009</v>
      </c>
      <c r="D595" s="2" t="n">
        <v>0.0656554611572232</v>
      </c>
      <c r="E595" s="2" t="n">
        <v>0.0598615555696969</v>
      </c>
    </row>
    <row r="596" customFormat="false" ht="13.8" hidden="false" customHeight="false" outlineLevel="0" collapsed="false">
      <c r="B596" s="2" t="n">
        <v>594</v>
      </c>
      <c r="C596" s="2" t="n">
        <v>1.11546773267938E-009</v>
      </c>
      <c r="D596" s="2" t="n">
        <v>0.0803339255532618</v>
      </c>
      <c r="E596" s="2" t="n">
        <v>0.0773495078403744</v>
      </c>
    </row>
    <row r="597" customFormat="false" ht="13.8" hidden="false" customHeight="false" outlineLevel="0" collapsed="false">
      <c r="B597" s="2" t="n">
        <v>595</v>
      </c>
      <c r="C597" s="2" t="n">
        <v>8.39706739636783E-010</v>
      </c>
      <c r="D597" s="2" t="n">
        <v>0.0817133593157424</v>
      </c>
      <c r="E597" s="2" t="n">
        <v>0.0810034740779464</v>
      </c>
    </row>
    <row r="598" customFormat="false" ht="13.8" hidden="false" customHeight="false" outlineLevel="0" collapsed="false">
      <c r="B598" s="2" t="n">
        <v>596</v>
      </c>
      <c r="C598" s="2" t="n">
        <v>5.64065966516318E-010</v>
      </c>
      <c r="D598" s="2" t="n">
        <v>0.0738066522061019</v>
      </c>
      <c r="E598" s="2" t="n">
        <v>0.061860314520988</v>
      </c>
    </row>
    <row r="599" customFormat="false" ht="13.8" hidden="false" customHeight="false" outlineLevel="0" collapsed="false">
      <c r="B599" s="2" t="n">
        <v>597</v>
      </c>
      <c r="C599" s="2" t="n">
        <v>0.0314877256363092</v>
      </c>
      <c r="D599" s="2" t="n">
        <v>0.0805569414808691</v>
      </c>
      <c r="E599" s="2" t="n">
        <v>0.0629721662684153</v>
      </c>
    </row>
    <row r="600" customFormat="false" ht="13.8" hidden="false" customHeight="false" outlineLevel="0" collapsed="false">
      <c r="B600" s="2" t="n">
        <v>598</v>
      </c>
      <c r="C600" s="2" t="n">
        <v>0.0145191263576572</v>
      </c>
      <c r="D600" s="2" t="n">
        <v>0.0671167947813001</v>
      </c>
      <c r="E600" s="2" t="n">
        <v>0.0331321715899287</v>
      </c>
    </row>
    <row r="601" customFormat="false" ht="13.8" hidden="false" customHeight="false" outlineLevel="0" collapsed="false">
      <c r="B601" s="2" t="n">
        <v>599</v>
      </c>
      <c r="C601" s="2" t="n">
        <v>0.058351060106903</v>
      </c>
      <c r="D601" s="2" t="n">
        <v>0</v>
      </c>
      <c r="E601" s="2" t="n">
        <v>0.0107841252470326</v>
      </c>
    </row>
    <row r="602" customFormat="false" ht="13.8" hidden="false" customHeight="false" outlineLevel="0" collapsed="false">
      <c r="B602" s="2" t="n">
        <v>600</v>
      </c>
      <c r="C602" s="2" t="n">
        <v>0.0395883829151109</v>
      </c>
      <c r="D602" s="2" t="n">
        <v>2.28052811210471E-012</v>
      </c>
      <c r="E602" s="2" t="n">
        <v>0.0113644283410825</v>
      </c>
    </row>
    <row r="603" customFormat="false" ht="13.8" hidden="false" customHeight="false" outlineLevel="0" collapsed="false">
      <c r="B603" s="2" t="n">
        <v>601</v>
      </c>
      <c r="C603" s="2" t="n">
        <v>0.0221027818654991</v>
      </c>
      <c r="D603" s="2" t="n">
        <v>1.22949036383373E-010</v>
      </c>
      <c r="E603" s="2" t="n">
        <v>0.00893477201917023</v>
      </c>
    </row>
    <row r="604" customFormat="false" ht="13.8" hidden="false" customHeight="false" outlineLevel="0" collapsed="false">
      <c r="B604" s="2" t="n">
        <v>602</v>
      </c>
      <c r="C604" s="2" t="n">
        <v>1.95592869517157E-016</v>
      </c>
      <c r="D604" s="2" t="n">
        <v>1.64787130720142E-013</v>
      </c>
      <c r="E604" s="2" t="n">
        <v>6.4200543083751E-017</v>
      </c>
    </row>
    <row r="605" customFormat="false" ht="13.8" hidden="false" customHeight="false" outlineLevel="0" collapsed="false">
      <c r="B605" s="2" t="n">
        <v>603</v>
      </c>
      <c r="C605" s="2" t="n">
        <v>2.94551241272336E-016</v>
      </c>
      <c r="D605" s="2" t="n">
        <v>1.21013367295789E-013</v>
      </c>
      <c r="E605" s="2" t="n">
        <v>0</v>
      </c>
    </row>
    <row r="606" customFormat="false" ht="13.8" hidden="false" customHeight="false" outlineLevel="0" collapsed="false">
      <c r="B606" s="2" t="n">
        <v>604</v>
      </c>
      <c r="C606" s="2" t="n">
        <v>3.96468609243003E-016</v>
      </c>
      <c r="D606" s="2" t="n">
        <v>1.20958582364055E-013</v>
      </c>
      <c r="E606" s="2" t="n">
        <v>0</v>
      </c>
    </row>
    <row r="607" customFormat="false" ht="13.8" hidden="false" customHeight="false" outlineLevel="0" collapsed="false">
      <c r="B607" s="2" t="n">
        <v>605</v>
      </c>
      <c r="C607" s="2" t="n">
        <v>4.97365549837742E-016</v>
      </c>
      <c r="D607" s="2" t="n">
        <v>1.20857155564141E-013</v>
      </c>
      <c r="E607" s="2" t="n">
        <v>0</v>
      </c>
    </row>
    <row r="608" customFormat="false" ht="13.8" hidden="false" customHeight="false" outlineLevel="0" collapsed="false">
      <c r="B608" s="2" t="n">
        <v>606</v>
      </c>
      <c r="C608" s="2" t="n">
        <v>6.7178031618371E-016</v>
      </c>
      <c r="D608" s="2" t="n">
        <v>1.20691785616071E-013</v>
      </c>
      <c r="E608" s="2" t="n">
        <v>0</v>
      </c>
    </row>
    <row r="609" customFormat="false" ht="13.8" hidden="false" customHeight="false" outlineLevel="0" collapsed="false">
      <c r="B609" s="2" t="n">
        <v>607</v>
      </c>
      <c r="C609" s="2" t="n">
        <v>8.44226859916369E-016</v>
      </c>
      <c r="D609" s="2" t="n">
        <v>1.20438954547018E-013</v>
      </c>
      <c r="E609" s="2" t="n">
        <v>0</v>
      </c>
    </row>
    <row r="610" customFormat="false" ht="13.8" hidden="false" customHeight="false" outlineLevel="0" collapsed="false">
      <c r="B610" s="2" t="n">
        <v>608</v>
      </c>
      <c r="C610" s="2" t="n">
        <v>1.01766289019531E-015</v>
      </c>
      <c r="D610" s="2" t="n">
        <v>1.20072343760474E-013</v>
      </c>
      <c r="E610" s="2" t="n">
        <v>0</v>
      </c>
    </row>
    <row r="611" customFormat="false" ht="13.8" hidden="false" customHeight="false" outlineLevel="0" collapsed="false">
      <c r="B611" s="2" t="n">
        <v>609</v>
      </c>
      <c r="C611" s="2" t="n">
        <v>0</v>
      </c>
      <c r="D611" s="2" t="n">
        <v>3.1986219381962E-014</v>
      </c>
      <c r="E611" s="2" t="n">
        <v>4.57504464687942E-011</v>
      </c>
    </row>
    <row r="612" customFormat="false" ht="13.8" hidden="false" customHeight="false" outlineLevel="0" collapsed="false">
      <c r="B612" s="2" t="n">
        <v>610</v>
      </c>
      <c r="C612" s="2" t="n">
        <v>1.33823895573116E-015</v>
      </c>
      <c r="D612" s="2" t="n">
        <v>1.18907064068241E-013</v>
      </c>
      <c r="E612" s="2" t="n">
        <v>0</v>
      </c>
    </row>
    <row r="613" customFormat="false" ht="13.8" hidden="false" customHeight="false" outlineLevel="0" collapsed="false">
      <c r="B613" s="2" t="n">
        <v>611</v>
      </c>
      <c r="C613" s="2" t="n">
        <v>1.8018589454262E-015</v>
      </c>
      <c r="D613" s="2" t="n">
        <v>1.19829113261248E-013</v>
      </c>
      <c r="E613" s="2" t="n">
        <v>1.70898681492829E-015</v>
      </c>
    </row>
    <row r="614" customFormat="false" ht="13.8" hidden="false" customHeight="false" outlineLevel="0" collapsed="false">
      <c r="B614" s="2" t="n">
        <v>612</v>
      </c>
      <c r="C614" s="2" t="n">
        <v>7.83404523252141E-017</v>
      </c>
      <c r="D614" s="2" t="n">
        <v>1.16981560740615E-013</v>
      </c>
      <c r="E614" s="2" t="n">
        <v>0</v>
      </c>
    </row>
    <row r="615" customFormat="false" ht="13.8" hidden="false" customHeight="false" outlineLevel="0" collapsed="false">
      <c r="B615" s="2" t="n">
        <v>613</v>
      </c>
      <c r="C615" s="2" t="n">
        <v>1.06624436203985E-016</v>
      </c>
      <c r="D615" s="2" t="n">
        <v>1.15732251372267E-013</v>
      </c>
      <c r="E615" s="2" t="n">
        <v>0</v>
      </c>
    </row>
    <row r="616" customFormat="false" ht="13.8" hidden="false" customHeight="false" outlineLevel="0" collapsed="false">
      <c r="B616" s="2" t="n">
        <v>614</v>
      </c>
      <c r="C616" s="2" t="n">
        <v>1.7512930192712E-015</v>
      </c>
      <c r="D616" s="2" t="n">
        <v>1.14238457189725E-013</v>
      </c>
      <c r="E616" s="2" t="n">
        <v>4.44073019101118E-016</v>
      </c>
    </row>
    <row r="617" customFormat="false" ht="13.8" hidden="false" customHeight="false" outlineLevel="0" collapsed="false">
      <c r="B617" s="2" t="n">
        <v>615</v>
      </c>
      <c r="C617" s="2" t="n">
        <v>2.46468753630789E-016</v>
      </c>
      <c r="D617" s="2" t="n">
        <v>1.12444508362531E-013</v>
      </c>
      <c r="E617" s="2" t="n">
        <v>1.20542597448042E-016</v>
      </c>
    </row>
    <row r="618" customFormat="false" ht="13.8" hidden="false" customHeight="false" outlineLevel="0" collapsed="false">
      <c r="B618" s="2" t="n">
        <v>616</v>
      </c>
      <c r="C618" s="2" t="n">
        <v>2.38470565657276E-015</v>
      </c>
      <c r="D618" s="2" t="n">
        <v>1.10479683057707E-013</v>
      </c>
      <c r="E618" s="2" t="n">
        <v>7.44544626246969E-016</v>
      </c>
    </row>
    <row r="619" customFormat="false" ht="13.8" hidden="false" customHeight="false" outlineLevel="0" collapsed="false">
      <c r="B619" s="2" t="n">
        <v>617</v>
      </c>
      <c r="C619" s="2" t="n">
        <v>7.94194547414166E-015</v>
      </c>
      <c r="D619" s="2" t="n">
        <v>1.08095577667994E-013</v>
      </c>
      <c r="E619" s="2" t="n">
        <v>7.36818454259447E-017</v>
      </c>
    </row>
    <row r="620" customFormat="false" ht="13.8" hidden="false" customHeight="false" outlineLevel="0" collapsed="false">
      <c r="B620" s="2" t="n">
        <v>618</v>
      </c>
      <c r="C620" s="2" t="n">
        <v>7.80034975924247E-012</v>
      </c>
      <c r="D620" s="2" t="n">
        <v>1.05575486977915E-013</v>
      </c>
      <c r="E620" s="2" t="n">
        <v>6.45445444205974E-017</v>
      </c>
    </row>
    <row r="621" customFormat="false" ht="13.8" hidden="false" customHeight="false" outlineLevel="0" collapsed="false">
      <c r="B621" s="2" t="n">
        <v>619</v>
      </c>
      <c r="C621" s="2" t="n">
        <v>8.64131784641097E-015</v>
      </c>
      <c r="D621" s="2" t="n">
        <v>1.02608405974262E-013</v>
      </c>
      <c r="E621" s="2" t="n">
        <v>8.64867505832604E-017</v>
      </c>
    </row>
    <row r="622" customFormat="false" ht="13.8" hidden="false" customHeight="false" outlineLevel="0" collapsed="false">
      <c r="B622" s="2" t="n">
        <v>620</v>
      </c>
      <c r="C622" s="2" t="n">
        <v>2.03362054383563E-015</v>
      </c>
      <c r="D622" s="2" t="n">
        <v>9.93532659220702E-014</v>
      </c>
      <c r="E622" s="2" t="n">
        <v>1.35277313444623E-016</v>
      </c>
    </row>
    <row r="623" customFormat="false" ht="13.8" hidden="false" customHeight="false" outlineLevel="0" collapsed="false">
      <c r="B623" s="2" t="n">
        <v>621</v>
      </c>
      <c r="C623" s="2" t="n">
        <v>5.13169987719259E-015</v>
      </c>
      <c r="D623" s="2" t="n">
        <v>9.72813888611017E-014</v>
      </c>
      <c r="E623" s="2" t="n">
        <v>1.66201992122486E-015</v>
      </c>
    </row>
    <row r="624" customFormat="false" ht="13.8" hidden="false" customHeight="false" outlineLevel="0" collapsed="false">
      <c r="B624" s="2" t="n">
        <v>622</v>
      </c>
      <c r="C624" s="2" t="n">
        <v>7.63329170407441E-015</v>
      </c>
      <c r="D624" s="2" t="n">
        <v>9.19445299164856E-014</v>
      </c>
      <c r="E624" s="2" t="n">
        <v>7.1437913478978E-016</v>
      </c>
    </row>
    <row r="625" customFormat="false" ht="13.8" hidden="false" customHeight="false" outlineLevel="0" collapsed="false">
      <c r="B625" s="2" t="n">
        <v>623</v>
      </c>
      <c r="C625" s="2" t="n">
        <v>0</v>
      </c>
      <c r="D625" s="2" t="n">
        <v>0</v>
      </c>
      <c r="E625" s="2" t="n">
        <v>7.77488619544948E-011</v>
      </c>
    </row>
    <row r="626" customFormat="false" ht="13.8" hidden="false" customHeight="false" outlineLevel="0" collapsed="false">
      <c r="B626" s="2" t="n">
        <v>624</v>
      </c>
      <c r="C626" s="2" t="n">
        <v>0</v>
      </c>
      <c r="D626" s="2" t="n">
        <v>8.31825286000993E-014</v>
      </c>
      <c r="E626" s="2" t="n">
        <v>4.0455679456223E-016</v>
      </c>
    </row>
    <row r="627" customFormat="false" ht="13.8" hidden="false" customHeight="false" outlineLevel="0" collapsed="false">
      <c r="B627" s="2" t="n">
        <v>625</v>
      </c>
      <c r="C627" s="2" t="n">
        <v>5.33829842792857E-015</v>
      </c>
      <c r="D627" s="2" t="n">
        <v>7.93822067746279E-014</v>
      </c>
      <c r="E627" s="2" t="n">
        <v>1.06436146224757E-015</v>
      </c>
    </row>
    <row r="628" customFormat="false" ht="13.8" hidden="false" customHeight="false" outlineLevel="0" collapsed="false">
      <c r="B628" s="2" t="n">
        <v>626</v>
      </c>
      <c r="C628" s="2" t="n">
        <v>0</v>
      </c>
      <c r="D628" s="2" t="n">
        <v>7.31160165952708E-014</v>
      </c>
      <c r="E628" s="2" t="n">
        <v>0</v>
      </c>
    </row>
    <row r="629" customFormat="false" ht="13.8" hidden="false" customHeight="false" outlineLevel="0" collapsed="false">
      <c r="B629" s="2" t="n">
        <v>627</v>
      </c>
      <c r="C629" s="2" t="n">
        <v>1.40273648765223E-015</v>
      </c>
      <c r="D629" s="2" t="n">
        <v>6.86474241270584E-014</v>
      </c>
      <c r="E629" s="2" t="n">
        <v>2.56161766907128E-016</v>
      </c>
    </row>
    <row r="630" customFormat="false" ht="13.8" hidden="false" customHeight="false" outlineLevel="0" collapsed="false">
      <c r="B630" s="2" t="n">
        <v>628</v>
      </c>
      <c r="C630" s="2" t="n">
        <v>0</v>
      </c>
      <c r="D630" s="2" t="n">
        <v>6.17886600803714E-014</v>
      </c>
      <c r="E630" s="2" t="n">
        <v>0</v>
      </c>
    </row>
    <row r="631" customFormat="false" ht="13.8" hidden="false" customHeight="false" outlineLevel="0" collapsed="false">
      <c r="B631" s="2" t="n">
        <v>629</v>
      </c>
      <c r="C631" s="2" t="n">
        <v>8.03183786498174E-011</v>
      </c>
      <c r="D631" s="2" t="n">
        <v>0</v>
      </c>
      <c r="E631" s="2" t="n">
        <v>0</v>
      </c>
    </row>
    <row r="632" customFormat="false" ht="13.8" hidden="false" customHeight="false" outlineLevel="0" collapsed="false">
      <c r="B632" s="2" t="n">
        <v>630</v>
      </c>
      <c r="C632" s="2" t="n">
        <v>0</v>
      </c>
      <c r="D632" s="2" t="n">
        <v>4.96799496143694E-014</v>
      </c>
      <c r="E632" s="2" t="n">
        <v>0</v>
      </c>
    </row>
    <row r="633" customFormat="false" ht="13.8" hidden="false" customHeight="false" outlineLevel="0" collapsed="false">
      <c r="B633" s="2" t="n">
        <v>631</v>
      </c>
      <c r="C633" s="2" t="n">
        <v>3.92092598809137E-016</v>
      </c>
      <c r="D633" s="2" t="n">
        <v>4.36255107187308E-014</v>
      </c>
      <c r="E633" s="2" t="n">
        <v>0</v>
      </c>
    </row>
    <row r="634" customFormat="false" ht="13.8" hidden="false" customHeight="false" outlineLevel="0" collapsed="false">
      <c r="B634" s="2" t="n">
        <v>632</v>
      </c>
      <c r="C634" s="2" t="n">
        <v>0</v>
      </c>
      <c r="D634" s="2" t="n">
        <v>3.7314654095787E-014</v>
      </c>
      <c r="E634" s="2" t="n">
        <v>0</v>
      </c>
    </row>
    <row r="635" customFormat="false" ht="13.8" hidden="false" customHeight="false" outlineLevel="0" collapsed="false">
      <c r="B635" s="2" t="n">
        <v>633</v>
      </c>
      <c r="C635" s="2" t="n">
        <v>8.50783454048036E-016</v>
      </c>
      <c r="D635" s="2" t="n">
        <v>3.12068284882188E-014</v>
      </c>
      <c r="E635" s="2" t="n">
        <v>0</v>
      </c>
    </row>
    <row r="636" customFormat="false" ht="13.8" hidden="false" customHeight="false" outlineLevel="0" collapsed="false">
      <c r="B636" s="2" t="n">
        <v>634</v>
      </c>
      <c r="C636" s="2" t="n">
        <v>0</v>
      </c>
      <c r="D636" s="2" t="n">
        <v>2.33220113730645E-014</v>
      </c>
      <c r="E636" s="2" t="n">
        <v>0</v>
      </c>
    </row>
    <row r="637" customFormat="false" ht="13.8" hidden="false" customHeight="false" outlineLevel="0" collapsed="false">
      <c r="B637" s="2" t="n">
        <v>635</v>
      </c>
      <c r="C637" s="2" t="n">
        <v>6.49293263753459E-016</v>
      </c>
      <c r="D637" s="2" t="n">
        <v>1.74671166925471E-014</v>
      </c>
      <c r="E637" s="2" t="n">
        <v>0</v>
      </c>
    </row>
    <row r="638" customFormat="false" ht="13.8" hidden="false" customHeight="false" outlineLevel="0" collapsed="false">
      <c r="B638" s="2" t="n">
        <v>636</v>
      </c>
      <c r="C638" s="2" t="n">
        <v>0</v>
      </c>
      <c r="D638" s="2" t="n">
        <v>9.35181550084412E-015</v>
      </c>
      <c r="E638" s="2" t="n">
        <v>0</v>
      </c>
    </row>
    <row r="639" customFormat="false" ht="13.8" hidden="false" customHeight="false" outlineLevel="0" collapsed="false">
      <c r="B639" s="2" t="n">
        <v>637</v>
      </c>
      <c r="C639" s="2" t="n">
        <v>0</v>
      </c>
      <c r="D639" s="2" t="n">
        <v>3.75288950719195E-015</v>
      </c>
      <c r="E639" s="2" t="n">
        <v>0</v>
      </c>
    </row>
    <row r="640" customFormat="false" ht="13.8" hidden="false" customHeight="false" outlineLevel="0" collapsed="false">
      <c r="B640" s="2" t="n">
        <v>638</v>
      </c>
      <c r="C640" s="2" t="n">
        <v>0</v>
      </c>
      <c r="D640" s="2" t="n">
        <v>0</v>
      </c>
      <c r="E640" s="2" t="n">
        <v>0</v>
      </c>
    </row>
    <row r="641" customFormat="false" ht="13.8" hidden="false" customHeight="false" outlineLevel="0" collapsed="false">
      <c r="B641" s="2" t="n">
        <v>639</v>
      </c>
      <c r="C641" s="2" t="n">
        <v>1.57948278862873E-008</v>
      </c>
      <c r="D641" s="2" t="n">
        <v>0</v>
      </c>
      <c r="E641" s="2" t="n">
        <v>0.0487521019458488</v>
      </c>
    </row>
    <row r="642" customFormat="false" ht="13.8" hidden="false" customHeight="false" outlineLevel="0" collapsed="false">
      <c r="B642" s="2" t="n">
        <v>640</v>
      </c>
      <c r="C642" s="2" t="n">
        <v>1.52383013899872E-008</v>
      </c>
      <c r="D642" s="2" t="n">
        <v>0</v>
      </c>
      <c r="E642" s="2" t="n">
        <v>0.10915015442563</v>
      </c>
    </row>
    <row r="643" customFormat="false" ht="13.8" hidden="false" customHeight="false" outlineLevel="0" collapsed="false">
      <c r="B643" s="2" t="n">
        <v>641</v>
      </c>
      <c r="C643" s="2" t="n">
        <v>1.46866895633532E-008</v>
      </c>
      <c r="D643" s="2" t="n">
        <v>0</v>
      </c>
      <c r="E643" s="2" t="n">
        <v>0.183181256905412</v>
      </c>
    </row>
    <row r="644" customFormat="false" ht="13.8" hidden="false" customHeight="false" outlineLevel="0" collapsed="false">
      <c r="B644" s="2" t="n">
        <v>642</v>
      </c>
      <c r="C644" s="2" t="n">
        <v>1.41350724035785E-008</v>
      </c>
      <c r="D644" s="2" t="n">
        <v>0</v>
      </c>
      <c r="E644" s="2" t="n">
        <v>0.121362455519327</v>
      </c>
    </row>
    <row r="645" customFormat="false" ht="13.8" hidden="false" customHeight="false" outlineLevel="0" collapsed="false">
      <c r="B645" s="2" t="n">
        <v>643</v>
      </c>
      <c r="C645" s="2" t="n">
        <v>1.35834467249738E-008</v>
      </c>
      <c r="D645" s="2" t="n">
        <v>0</v>
      </c>
      <c r="E645" s="2" t="n">
        <v>0.0700434374665762</v>
      </c>
    </row>
    <row r="646" customFormat="false" ht="13.8" hidden="false" customHeight="false" outlineLevel="0" collapsed="false">
      <c r="B646" s="2" t="n">
        <v>644</v>
      </c>
      <c r="C646" s="2" t="n">
        <v>1.30318180419487E-008</v>
      </c>
      <c r="D646" s="2" t="n">
        <v>0</v>
      </c>
      <c r="E646" s="2" t="n">
        <v>0.0670076360804918</v>
      </c>
    </row>
    <row r="647" customFormat="false" ht="13.8" hidden="false" customHeight="false" outlineLevel="0" collapsed="false">
      <c r="B647" s="2" t="n">
        <v>645</v>
      </c>
      <c r="C647" s="2" t="n">
        <v>1.24801827525183E-008</v>
      </c>
      <c r="D647" s="2" t="n">
        <v>0</v>
      </c>
      <c r="E647" s="2" t="n">
        <v>0.109205118027741</v>
      </c>
    </row>
    <row r="648" customFormat="false" ht="13.8" hidden="false" customHeight="false" outlineLevel="0" collapsed="false">
      <c r="B648" s="2" t="n">
        <v>646</v>
      </c>
      <c r="C648" s="2" t="n">
        <v>1.19285430682042E-008</v>
      </c>
      <c r="D648" s="2" t="n">
        <v>0</v>
      </c>
      <c r="E648" s="2" t="n">
        <v>0.0639543301879843</v>
      </c>
    </row>
    <row r="649" customFormat="false" ht="13.8" hidden="false" customHeight="false" outlineLevel="0" collapsed="false">
      <c r="B649" s="2" t="n">
        <v>647</v>
      </c>
      <c r="C649" s="2" t="n">
        <v>1.13768971726937E-008</v>
      </c>
      <c r="D649" s="2" t="n">
        <v>0</v>
      </c>
      <c r="E649" s="2" t="n">
        <v>0.121636859014894</v>
      </c>
    </row>
    <row r="650" customFormat="false" ht="13.8" hidden="false" customHeight="false" outlineLevel="0" collapsed="false">
      <c r="B650" s="2" t="n">
        <v>648</v>
      </c>
      <c r="C650" s="2" t="n">
        <v>1.08252464388233E-008</v>
      </c>
      <c r="D650" s="2" t="n">
        <v>0</v>
      </c>
      <c r="E650" s="2" t="n">
        <v>0.107368987841805</v>
      </c>
    </row>
    <row r="651" customFormat="false" ht="13.8" hidden="false" customHeight="false" outlineLevel="0" collapsed="false">
      <c r="B651" s="2" t="n">
        <v>649</v>
      </c>
      <c r="C651" s="2" t="n">
        <v>1.02710828857291E-008</v>
      </c>
      <c r="D651" s="2" t="n">
        <v>0</v>
      </c>
      <c r="E651" s="2" t="n">
        <v>0.118968650001039</v>
      </c>
    </row>
    <row r="652" customFormat="false" ht="13.8" hidden="false" customHeight="false" outlineLevel="0" collapsed="false">
      <c r="B652" s="2" t="n">
        <v>650</v>
      </c>
      <c r="C652" s="2" t="n">
        <v>9.71955563277827E-009</v>
      </c>
      <c r="D652" s="2" t="n">
        <v>0</v>
      </c>
      <c r="E652" s="2" t="n">
        <v>0.125968700001077</v>
      </c>
    </row>
    <row r="653" customFormat="false" ht="13.8" hidden="false" customHeight="false" outlineLevel="0" collapsed="false">
      <c r="B653" s="2" t="n">
        <v>651</v>
      </c>
      <c r="C653" s="2" t="n">
        <v>9.16806051483587E-009</v>
      </c>
      <c r="D653" s="2" t="n">
        <v>7.62725911295473E-010</v>
      </c>
      <c r="E653" s="2" t="n">
        <v>0.239985116667788</v>
      </c>
    </row>
    <row r="654" customFormat="false" ht="13.8" hidden="false" customHeight="false" outlineLevel="0" collapsed="false">
      <c r="B654" s="2" t="n">
        <v>652</v>
      </c>
      <c r="C654" s="2" t="n">
        <v>8.51099630293444E-009</v>
      </c>
      <c r="D654" s="2" t="n">
        <v>0.0394255504330847</v>
      </c>
      <c r="E654" s="2" t="n">
        <v>0.196993766234408</v>
      </c>
    </row>
    <row r="655" customFormat="false" ht="13.8" hidden="false" customHeight="false" outlineLevel="0" collapsed="false">
      <c r="B655" s="2" t="n">
        <v>653</v>
      </c>
      <c r="C655" s="2" t="n">
        <v>8.2354972048963E-009</v>
      </c>
      <c r="D655" s="2" t="n">
        <v>0.0883794577107085</v>
      </c>
      <c r="E655" s="2" t="n">
        <v>0.108940692290318</v>
      </c>
    </row>
    <row r="656" customFormat="false" ht="13.8" hidden="false" customHeight="false" outlineLevel="0" collapsed="false">
      <c r="B656" s="2" t="n">
        <v>654</v>
      </c>
      <c r="C656" s="2" t="n">
        <v>7.57890962776064E-009</v>
      </c>
      <c r="D656" s="2" t="n">
        <v>0.0999999999358038</v>
      </c>
      <c r="E656" s="2" t="n">
        <v>0.115269833334365</v>
      </c>
    </row>
    <row r="657" customFormat="false" ht="13.8" hidden="false" customHeight="false" outlineLevel="0" collapsed="false">
      <c r="B657" s="2" t="n">
        <v>655</v>
      </c>
      <c r="C657" s="2" t="n">
        <v>7.02774211837588E-009</v>
      </c>
      <c r="D657" s="2" t="n">
        <v>0.0999999998891927</v>
      </c>
      <c r="E657" s="2" t="n">
        <v>0.167602516667864</v>
      </c>
    </row>
    <row r="658" customFormat="false" ht="13.8" hidden="false" customHeight="false" outlineLevel="0" collapsed="false">
      <c r="B658" s="2" t="n">
        <v>656</v>
      </c>
      <c r="C658" s="2" t="n">
        <v>6.47653762117845E-009</v>
      </c>
      <c r="D658" s="2" t="n">
        <v>0.0999999998425815</v>
      </c>
      <c r="E658" s="2" t="n">
        <v>0.137503250001362</v>
      </c>
    </row>
    <row r="659" customFormat="false" ht="13.8" hidden="false" customHeight="false" outlineLevel="0" collapsed="false">
      <c r="B659" s="2" t="n">
        <v>657</v>
      </c>
      <c r="C659" s="2" t="n">
        <v>5.92532771975277E-009</v>
      </c>
      <c r="D659" s="2" t="n">
        <v>0.0999999997959698</v>
      </c>
      <c r="E659" s="2" t="n">
        <v>0.0955536333348599</v>
      </c>
    </row>
    <row r="660" customFormat="false" ht="13.8" hidden="false" customHeight="false" outlineLevel="0" collapsed="false">
      <c r="B660" s="2" t="n">
        <v>658</v>
      </c>
      <c r="C660" s="2" t="n">
        <v>5.37411222670529E-009</v>
      </c>
      <c r="D660" s="2" t="n">
        <v>0.0999999997493578</v>
      </c>
      <c r="E660" s="2" t="n">
        <v>0.151153483335024</v>
      </c>
    </row>
    <row r="661" customFormat="false" ht="13.8" hidden="false" customHeight="false" outlineLevel="0" collapsed="false">
      <c r="B661" s="2" t="n">
        <v>659</v>
      </c>
      <c r="C661" s="2" t="n">
        <v>4.82289137320471E-009</v>
      </c>
      <c r="D661" s="2" t="n">
        <v>0.0999999997027452</v>
      </c>
      <c r="E661" s="2" t="n">
        <v>0.0905702333351889</v>
      </c>
    </row>
    <row r="662" customFormat="false" ht="13.8" hidden="false" customHeight="false" outlineLevel="0" collapsed="false">
      <c r="B662" s="2" t="n">
        <v>660</v>
      </c>
      <c r="C662" s="2" t="n">
        <v>4.27166495442576E-009</v>
      </c>
      <c r="D662" s="2" t="n">
        <v>0.0999999996561322</v>
      </c>
      <c r="E662" s="2" t="n">
        <v>0.14502020000202</v>
      </c>
    </row>
    <row r="663" customFormat="false" ht="13.8" hidden="false" customHeight="false" outlineLevel="0" collapsed="false">
      <c r="B663" s="2" t="n">
        <v>661</v>
      </c>
      <c r="C663" s="2" t="n">
        <v>3.72043312071261E-009</v>
      </c>
      <c r="D663" s="2" t="n">
        <v>0.0999999996095188</v>
      </c>
      <c r="E663" s="2" t="n">
        <v>0.107920550002185</v>
      </c>
    </row>
    <row r="664" customFormat="false" ht="13.8" hidden="false" customHeight="false" outlineLevel="0" collapsed="false">
      <c r="B664" s="2" t="n">
        <v>662</v>
      </c>
      <c r="C664" s="2" t="n">
        <v>3.16919582446E-009</v>
      </c>
      <c r="D664" s="2" t="n">
        <v>0.0999999995629048</v>
      </c>
      <c r="E664" s="2" t="n">
        <v>0.127720500002349</v>
      </c>
    </row>
    <row r="665" customFormat="false" ht="13.8" hidden="false" customHeight="false" outlineLevel="0" collapsed="false">
      <c r="B665" s="2" t="n">
        <v>663</v>
      </c>
      <c r="C665" s="2" t="n">
        <v>2.6179531752929E-009</v>
      </c>
      <c r="D665" s="2" t="n">
        <v>0.0999999995162906</v>
      </c>
      <c r="E665" s="2" t="n">
        <v>0.103721233335847</v>
      </c>
    </row>
    <row r="666" customFormat="false" ht="13.8" hidden="false" customHeight="false" outlineLevel="0" collapsed="false">
      <c r="B666" s="2" t="n">
        <v>664</v>
      </c>
      <c r="C666" s="2" t="n">
        <v>2.06670511570299E-009</v>
      </c>
      <c r="D666" s="2" t="n">
        <v>0.099999999469676</v>
      </c>
      <c r="E666" s="2" t="n">
        <v>0.110454383336011</v>
      </c>
    </row>
    <row r="667" customFormat="false" ht="13.8" hidden="false" customHeight="false" outlineLevel="0" collapsed="false">
      <c r="B667" s="2" t="n">
        <v>665</v>
      </c>
      <c r="C667" s="2" t="n">
        <v>1.51545187409435E-009</v>
      </c>
      <c r="D667" s="2" t="n">
        <v>0.0999999994230609</v>
      </c>
      <c r="E667" s="2" t="n">
        <v>0.0944712500028425</v>
      </c>
    </row>
    <row r="668" customFormat="false" ht="13.8" hidden="false" customHeight="false" outlineLevel="0" collapsed="false">
      <c r="B668" s="2" t="n">
        <v>666</v>
      </c>
      <c r="C668" s="2" t="n">
        <v>9.64315238038721E-010</v>
      </c>
      <c r="D668" s="2" t="n">
        <v>0.0999999993764452</v>
      </c>
      <c r="E668" s="2" t="n">
        <v>0.102521400003023</v>
      </c>
    </row>
    <row r="669" customFormat="false" ht="13.8" hidden="false" customHeight="false" outlineLevel="0" collapsed="false">
      <c r="B669" s="2" t="n">
        <v>667</v>
      </c>
      <c r="C669" s="2" t="n">
        <v>0.00412423498099504</v>
      </c>
      <c r="D669" s="2" t="n">
        <v>0.0999999993124484</v>
      </c>
      <c r="E669" s="2" t="n">
        <v>0.0751964483576965</v>
      </c>
    </row>
    <row r="670" customFormat="false" ht="13.8" hidden="false" customHeight="false" outlineLevel="0" collapsed="false">
      <c r="B670" s="2" t="n">
        <v>668</v>
      </c>
      <c r="C670" s="2" t="n">
        <v>0.0558434867775045</v>
      </c>
      <c r="D670" s="2" t="n">
        <v>0.0999999992891367</v>
      </c>
      <c r="E670" s="2" t="n">
        <v>0.0737268798948466</v>
      </c>
    </row>
    <row r="671" customFormat="false" ht="13.8" hidden="false" customHeight="false" outlineLevel="0" collapsed="false">
      <c r="B671" s="2" t="n">
        <v>669</v>
      </c>
      <c r="C671" s="2" t="n">
        <v>0.035144664706503</v>
      </c>
      <c r="D671" s="2" t="n">
        <v>0.0999999992658248</v>
      </c>
      <c r="E671" s="2" t="n">
        <v>0.0407761519659819</v>
      </c>
    </row>
    <row r="672" customFormat="false" ht="13.8" hidden="false" customHeight="false" outlineLevel="0" collapsed="false">
      <c r="B672" s="2" t="n">
        <v>670</v>
      </c>
      <c r="C672" s="2" t="n">
        <v>0.0709815230422155</v>
      </c>
      <c r="D672" s="2" t="n">
        <v>0.0999999992425127</v>
      </c>
      <c r="E672" s="2" t="n">
        <v>0.0357723602970699</v>
      </c>
    </row>
    <row r="673" customFormat="false" ht="13.8" hidden="false" customHeight="false" outlineLevel="0" collapsed="false">
      <c r="B673" s="2" t="n">
        <v>671</v>
      </c>
      <c r="C673" s="2" t="n">
        <v>3.51863449462774E-012</v>
      </c>
      <c r="D673" s="2" t="n">
        <v>0.0999999991785148</v>
      </c>
      <c r="E673" s="2" t="n">
        <v>0.0897371000027669</v>
      </c>
    </row>
    <row r="674" customFormat="false" ht="13.8" hidden="false" customHeight="false" outlineLevel="0" collapsed="false">
      <c r="B674" s="2" t="n">
        <v>672</v>
      </c>
      <c r="C674" s="2" t="n">
        <v>0.0537541666666864</v>
      </c>
      <c r="D674" s="2" t="n">
        <v>0.0933333333333384</v>
      </c>
      <c r="E674" s="2" t="n">
        <v>2.49999963362173E-007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674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0" sqref="C3"/>
    </sheetView>
  </sheetViews>
  <sheetFormatPr defaultColWidth="8.5429687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B3" s="2" t="n">
        <v>1</v>
      </c>
      <c r="C3" s="2" t="n">
        <v>0.129225551091428</v>
      </c>
      <c r="D3" s="2" t="n">
        <v>1.60694001067781</v>
      </c>
      <c r="E3" s="2" t="n">
        <v>5.50774364878239</v>
      </c>
    </row>
    <row r="4" customFormat="false" ht="13.8" hidden="false" customHeight="false" outlineLevel="0" collapsed="false">
      <c r="B4" s="2" t="n">
        <v>2</v>
      </c>
      <c r="C4" s="2" t="n">
        <v>0.12922425883164</v>
      </c>
      <c r="D4" s="2" t="n">
        <v>1.60692394125825</v>
      </c>
      <c r="E4" s="2" t="n">
        <v>5.44170470104131</v>
      </c>
    </row>
    <row r="5" customFormat="false" ht="13.8" hidden="false" customHeight="false" outlineLevel="0" collapsed="false">
      <c r="B5" s="2" t="n">
        <v>3</v>
      </c>
      <c r="C5" s="2" t="n">
        <v>0.129222966474615</v>
      </c>
      <c r="D5" s="2" t="n">
        <v>1.60690787199917</v>
      </c>
      <c r="E5" s="2" t="n">
        <v>5.36477770998567</v>
      </c>
    </row>
    <row r="6" customFormat="false" ht="13.8" hidden="false" customHeight="false" outlineLevel="0" collapsed="false">
      <c r="B6" s="2" t="n">
        <v>4</v>
      </c>
      <c r="C6" s="2" t="n">
        <v>0.12922167454515</v>
      </c>
      <c r="D6" s="2" t="n">
        <v>1.60689180290078</v>
      </c>
      <c r="E6" s="2" t="n">
        <v>5.25750058079241</v>
      </c>
    </row>
    <row r="7" customFormat="false" ht="13.8" hidden="false" customHeight="false" outlineLevel="0" collapsed="false">
      <c r="B7" s="2" t="n">
        <v>5</v>
      </c>
      <c r="C7" s="2" t="n">
        <v>0.129220382134888</v>
      </c>
      <c r="D7" s="2" t="n">
        <v>1.60383290159226</v>
      </c>
      <c r="E7" s="2" t="n">
        <v>5.0624348011857</v>
      </c>
    </row>
    <row r="8" customFormat="false" ht="13.8" hidden="false" customHeight="false" outlineLevel="0" collapsed="false">
      <c r="B8" s="2" t="n">
        <v>6</v>
      </c>
      <c r="C8" s="2" t="n">
        <v>0.129219089919082</v>
      </c>
      <c r="D8" s="2" t="n">
        <v>1.5896704767573</v>
      </c>
      <c r="E8" s="2" t="n">
        <v>4.90904884116703</v>
      </c>
    </row>
    <row r="9" customFormat="false" ht="13.8" hidden="false" customHeight="false" outlineLevel="0" collapsed="false">
      <c r="B9" s="2" t="n">
        <v>7</v>
      </c>
      <c r="C9" s="2" t="n">
        <v>0.129217797656863</v>
      </c>
      <c r="D9" s="2" t="n">
        <v>1.55567222837214</v>
      </c>
      <c r="E9" s="2" t="n">
        <v>4.74516713944123</v>
      </c>
    </row>
    <row r="10" customFormat="false" ht="13.8" hidden="false" customHeight="false" outlineLevel="0" collapsed="false">
      <c r="B10" s="2" t="n">
        <v>8</v>
      </c>
      <c r="C10" s="2" t="n">
        <v>0.129216505501004</v>
      </c>
      <c r="D10" s="2" t="n">
        <v>1.44454556054348</v>
      </c>
      <c r="E10" s="2" t="n">
        <v>4.6872120952184</v>
      </c>
    </row>
    <row r="11" customFormat="false" ht="13.8" hidden="false" customHeight="false" outlineLevel="0" collapsed="false">
      <c r="B11" s="2" t="n">
        <v>9</v>
      </c>
      <c r="C11" s="2" t="n">
        <v>0.12921521332442</v>
      </c>
      <c r="D11" s="2" t="n">
        <v>1.33342000398131</v>
      </c>
      <c r="E11" s="2" t="n">
        <v>4.59910953795302</v>
      </c>
    </row>
    <row r="12" customFormat="false" ht="13.8" hidden="false" customHeight="false" outlineLevel="0" collapsed="false">
      <c r="B12" s="2" t="n">
        <v>10</v>
      </c>
      <c r="C12" s="2" t="n">
        <v>0.129213921160672</v>
      </c>
      <c r="D12" s="2" t="n">
        <v>1.22229555867479</v>
      </c>
      <c r="E12" s="2" t="n">
        <v>4.54234102837919</v>
      </c>
    </row>
    <row r="13" customFormat="false" ht="13.8" hidden="false" customHeight="false" outlineLevel="0" collapsed="false">
      <c r="B13" s="2" t="n">
        <v>11</v>
      </c>
      <c r="C13" s="2" t="n">
        <v>0.129212629009824</v>
      </c>
      <c r="D13" s="2" t="n">
        <v>1.11117222461284</v>
      </c>
      <c r="E13" s="2" t="n">
        <v>4.50396193834137</v>
      </c>
    </row>
    <row r="14" customFormat="false" ht="13.8" hidden="false" customHeight="false" outlineLevel="0" collapsed="false">
      <c r="B14" s="2" t="n">
        <v>12</v>
      </c>
      <c r="C14" s="2" t="n">
        <v>0.129211336871878</v>
      </c>
      <c r="D14" s="2" t="n">
        <v>1.00005000178441</v>
      </c>
      <c r="E14" s="2" t="n">
        <v>4.42806486172289</v>
      </c>
    </row>
    <row r="15" customFormat="false" ht="13.8" hidden="false" customHeight="false" outlineLevel="0" collapsed="false">
      <c r="B15" s="2" t="n">
        <v>13</v>
      </c>
      <c r="C15" s="2" t="n">
        <v>0.129210044746828</v>
      </c>
      <c r="D15" s="2" t="n">
        <v>0.888928890178305</v>
      </c>
      <c r="E15" s="2" t="n">
        <v>4.32740934037057</v>
      </c>
    </row>
    <row r="16" customFormat="false" ht="13.8" hidden="false" customHeight="false" outlineLevel="0" collapsed="false">
      <c r="B16" s="2" t="n">
        <v>14</v>
      </c>
      <c r="C16" s="2" t="n">
        <v>0.129208752634678</v>
      </c>
      <c r="D16" s="2" t="n">
        <v>0.77780888978341</v>
      </c>
      <c r="E16" s="2" t="n">
        <v>4.21832899223922</v>
      </c>
    </row>
    <row r="17" customFormat="false" ht="13.8" hidden="false" customHeight="false" outlineLevel="0" collapsed="false">
      <c r="B17" s="2" t="n">
        <v>15</v>
      </c>
      <c r="C17" s="2" t="n">
        <v>0.129207460535427</v>
      </c>
      <c r="D17" s="2" t="n">
        <v>0.666690000588617</v>
      </c>
      <c r="E17" s="2" t="n">
        <v>4.14265716083635</v>
      </c>
    </row>
    <row r="18" customFormat="false" ht="13.8" hidden="false" customHeight="false" outlineLevel="0" collapsed="false">
      <c r="B18" s="2" t="n">
        <v>16</v>
      </c>
      <c r="C18" s="2" t="n">
        <v>0.129206168449074</v>
      </c>
      <c r="D18" s="2" t="n">
        <v>0.555572222582814</v>
      </c>
      <c r="E18" s="2" t="n">
        <v>4.04874517874348</v>
      </c>
    </row>
    <row r="19" customFormat="false" ht="13.8" hidden="false" customHeight="false" outlineLevel="0" collapsed="false">
      <c r="B19" s="2" t="n">
        <v>17</v>
      </c>
      <c r="C19" s="2" t="n">
        <v>0.129204876375619</v>
      </c>
      <c r="D19" s="2" t="n">
        <v>0.444455555754889</v>
      </c>
      <c r="E19" s="2" t="n">
        <v>4.00070417280655</v>
      </c>
    </row>
    <row r="20" customFormat="false" ht="13.8" hidden="false" customHeight="false" outlineLevel="0" collapsed="false">
      <c r="B20" s="2" t="n">
        <v>18</v>
      </c>
      <c r="C20" s="2" t="n">
        <v>0.129203584315063</v>
      </c>
      <c r="D20" s="2" t="n">
        <v>0.33334000009373</v>
      </c>
      <c r="E20" s="2" t="n">
        <v>3.88220094357506</v>
      </c>
    </row>
    <row r="21" customFormat="false" ht="13.8" hidden="false" customHeight="false" outlineLevel="0" collapsed="false">
      <c r="B21" s="2" t="n">
        <v>19</v>
      </c>
      <c r="C21" s="2" t="n">
        <v>0.129202292267405</v>
      </c>
      <c r="D21" s="2" t="n">
        <v>0.222225555588226</v>
      </c>
      <c r="E21" s="2" t="n">
        <v>3.83523599196753</v>
      </c>
    </row>
    <row r="22" customFormat="false" ht="13.8" hidden="false" customHeight="false" outlineLevel="0" collapsed="false">
      <c r="B22" s="2" t="n">
        <v>20</v>
      </c>
      <c r="C22" s="2" t="n">
        <v>0.129201000232645</v>
      </c>
      <c r="D22" s="2" t="n">
        <v>0.111112222227763</v>
      </c>
      <c r="E22" s="2" t="n">
        <v>3.74591938037898</v>
      </c>
    </row>
    <row r="23" customFormat="false" ht="13.8" hidden="false" customHeight="false" outlineLevel="0" collapsed="false">
      <c r="B23" s="2" t="n">
        <v>21</v>
      </c>
      <c r="C23" s="2" t="n">
        <v>0.129199708210783</v>
      </c>
      <c r="D23" s="2" t="n">
        <v>1.05032560922454E-011</v>
      </c>
      <c r="E23" s="2" t="n">
        <v>3.66221477306674</v>
      </c>
    </row>
    <row r="24" customFormat="false" ht="13.8" hidden="false" customHeight="false" outlineLevel="0" collapsed="false">
      <c r="B24" s="2" t="n">
        <v>22</v>
      </c>
      <c r="C24" s="2" t="n">
        <v>0.129198416201818</v>
      </c>
      <c r="D24" s="2" t="n">
        <v>1.7566719061494E-011</v>
      </c>
      <c r="E24" s="2" t="n">
        <v>3.55788029980639</v>
      </c>
    </row>
    <row r="25" customFormat="false" ht="13.8" hidden="false" customHeight="false" outlineLevel="0" collapsed="false">
      <c r="B25" s="2" t="n">
        <v>23</v>
      </c>
      <c r="C25" s="2" t="n">
        <v>0.129197124205752</v>
      </c>
      <c r="D25" s="2" t="n">
        <v>3.38174667282993E-011</v>
      </c>
      <c r="E25" s="2" t="n">
        <v>3.50424887052997</v>
      </c>
    </row>
    <row r="26" customFormat="false" ht="13.8" hidden="false" customHeight="false" outlineLevel="0" collapsed="false">
      <c r="B26" s="2" t="n">
        <v>24</v>
      </c>
      <c r="C26" s="2" t="n">
        <v>0.129195832222582</v>
      </c>
      <c r="D26" s="2" t="n">
        <v>5.01495063106687E-011</v>
      </c>
      <c r="E26" s="2" t="n">
        <v>3.38372751524409</v>
      </c>
    </row>
    <row r="27" customFormat="false" ht="13.8" hidden="false" customHeight="false" outlineLevel="0" collapsed="false">
      <c r="B27" s="2" t="n">
        <v>25</v>
      </c>
      <c r="C27" s="2" t="n">
        <v>0.129194540252407</v>
      </c>
      <c r="D27" s="2" t="n">
        <v>6.60650160703277E-011</v>
      </c>
      <c r="E27" s="2" t="n">
        <v>3.31346518062577</v>
      </c>
    </row>
    <row r="28" customFormat="false" ht="13.8" hidden="false" customHeight="false" outlineLevel="0" collapsed="false">
      <c r="B28" s="2" t="n">
        <v>26</v>
      </c>
      <c r="C28" s="2" t="n">
        <v>0.11267305573878</v>
      </c>
      <c r="D28" s="2" t="n">
        <v>8.15690965162716E-011</v>
      </c>
      <c r="E28" s="2" t="n">
        <v>3.22483245358327</v>
      </c>
    </row>
    <row r="29" customFormat="false" ht="13.8" hidden="false" customHeight="false" outlineLevel="0" collapsed="false">
      <c r="B29" s="2" t="n">
        <v>27</v>
      </c>
      <c r="C29" s="2" t="n">
        <v>0.07482740818221</v>
      </c>
      <c r="D29" s="2" t="n">
        <v>9.66502496454121E-011</v>
      </c>
      <c r="E29" s="2" t="n">
        <v>3.21930022759789</v>
      </c>
    </row>
    <row r="30" customFormat="false" ht="13.8" hidden="false" customHeight="false" outlineLevel="0" collapsed="false">
      <c r="B30" s="2" t="n">
        <v>28</v>
      </c>
      <c r="C30" s="2" t="n">
        <v>0.00590524404756556</v>
      </c>
      <c r="D30" s="2" t="n">
        <v>1.11311641673247E-010</v>
      </c>
      <c r="E30" s="2" t="n">
        <v>3.21926803453226</v>
      </c>
    </row>
    <row r="31" customFormat="false" ht="13.8" hidden="false" customHeight="false" outlineLevel="0" collapsed="false">
      <c r="B31" s="2" t="n">
        <v>29</v>
      </c>
      <c r="C31" s="2" t="n">
        <v>1.9443485193912E-012</v>
      </c>
      <c r="D31" s="2" t="n">
        <v>1.2529348168234E-010</v>
      </c>
      <c r="E31" s="2" t="n">
        <v>3.21923584163279</v>
      </c>
    </row>
    <row r="32" customFormat="false" ht="13.8" hidden="false" customHeight="false" outlineLevel="0" collapsed="false">
      <c r="B32" s="2" t="n">
        <v>30</v>
      </c>
      <c r="C32" s="2" t="n">
        <v>2.73394865044141E-013</v>
      </c>
      <c r="D32" s="2" t="n">
        <v>0.0100563344117829</v>
      </c>
      <c r="E32" s="2" t="n">
        <v>3.21920364942027</v>
      </c>
    </row>
    <row r="33" customFormat="false" ht="13.8" hidden="false" customHeight="false" outlineLevel="0" collapsed="false">
      <c r="B33" s="2" t="n">
        <v>31</v>
      </c>
      <c r="C33" s="2" t="n">
        <v>5.26205670275206E-016</v>
      </c>
      <c r="D33" s="2" t="n">
        <v>0.0265084521483402</v>
      </c>
      <c r="E33" s="2" t="n">
        <v>3.21917145737393</v>
      </c>
    </row>
    <row r="34" customFormat="false" ht="13.8" hidden="false" customHeight="false" outlineLevel="0" collapsed="false">
      <c r="B34" s="2" t="n">
        <v>32</v>
      </c>
      <c r="C34" s="2" t="n">
        <v>9.51560915452085E-018</v>
      </c>
      <c r="D34" s="2" t="n">
        <v>0.0485408517320395</v>
      </c>
      <c r="E34" s="2" t="n">
        <v>3.21913926564982</v>
      </c>
    </row>
    <row r="35" customFormat="false" ht="13.8" hidden="false" customHeight="false" outlineLevel="0" collapsed="false">
      <c r="B35" s="2" t="n">
        <v>33</v>
      </c>
      <c r="C35" s="2" t="n">
        <v>2.94506798023663E-018</v>
      </c>
      <c r="D35" s="2" t="n">
        <v>0.0761534773600625</v>
      </c>
      <c r="E35" s="2" t="n">
        <v>3.21910707424804</v>
      </c>
    </row>
    <row r="36" customFormat="false" ht="13.8" hidden="false" customHeight="false" outlineLevel="0" collapsed="false">
      <c r="B36" s="2" t="n">
        <v>34</v>
      </c>
      <c r="C36" s="2" t="n">
        <v>2.839094969289E-018</v>
      </c>
      <c r="D36" s="2" t="n">
        <v>0.105479801341519</v>
      </c>
      <c r="E36" s="2" t="n">
        <v>3.21907488316859</v>
      </c>
    </row>
    <row r="37" customFormat="false" ht="13.8" hidden="false" customHeight="false" outlineLevel="0" collapsed="false">
      <c r="B37" s="2" t="n">
        <v>35</v>
      </c>
      <c r="C37" s="2" t="n">
        <v>2.84077232543877E-018</v>
      </c>
      <c r="D37" s="2" t="n">
        <v>0.136519806539426</v>
      </c>
      <c r="E37" s="2" t="n">
        <v>3.21904269241147</v>
      </c>
    </row>
    <row r="38" customFormat="false" ht="13.8" hidden="false" customHeight="false" outlineLevel="0" collapsed="false">
      <c r="B38" s="2" t="n">
        <v>36</v>
      </c>
      <c r="C38" s="2" t="n">
        <v>2.7798467184505E-018</v>
      </c>
      <c r="D38" s="2" t="n">
        <v>0.16927347581697</v>
      </c>
      <c r="E38" s="2" t="n">
        <v>3.21901050197667</v>
      </c>
    </row>
    <row r="39" customFormat="false" ht="13.8" hidden="false" customHeight="false" outlineLevel="0" collapsed="false">
      <c r="B39" s="2" t="n">
        <v>37</v>
      </c>
      <c r="C39" s="2" t="n">
        <v>2.0124070256194E-017</v>
      </c>
      <c r="D39" s="2" t="n">
        <v>0.20374079203751</v>
      </c>
      <c r="E39" s="2" t="n">
        <v>3.21897831186419</v>
      </c>
    </row>
    <row r="40" customFormat="false" ht="13.8" hidden="false" customHeight="false" outlineLevel="0" collapsed="false">
      <c r="B40" s="2" t="n">
        <v>38</v>
      </c>
      <c r="C40" s="2" t="n">
        <v>1.99401264016828E-017</v>
      </c>
      <c r="D40" s="2" t="n">
        <v>0.249997044462739</v>
      </c>
      <c r="E40" s="2" t="n">
        <v>3.21894612207403</v>
      </c>
    </row>
    <row r="41" customFormat="false" ht="13.8" hidden="false" customHeight="false" outlineLevel="0" collapsed="false">
      <c r="B41" s="2" t="n">
        <v>39</v>
      </c>
      <c r="C41" s="2" t="n">
        <v>0</v>
      </c>
      <c r="D41" s="2" t="n">
        <v>0.308042115203294</v>
      </c>
      <c r="E41" s="2" t="n">
        <v>3.21891393260619</v>
      </c>
    </row>
    <row r="42" customFormat="false" ht="13.8" hidden="false" customHeight="false" outlineLevel="0" collapsed="false">
      <c r="B42" s="2" t="n">
        <v>40</v>
      </c>
      <c r="C42" s="2" t="n">
        <v>0</v>
      </c>
      <c r="D42" s="2" t="n">
        <v>0.377875886370991</v>
      </c>
      <c r="E42" s="2" t="n">
        <v>3.21888174346066</v>
      </c>
    </row>
    <row r="43" customFormat="false" ht="13.8" hidden="false" customHeight="false" outlineLevel="0" collapsed="false">
      <c r="B43" s="2" t="n">
        <v>41</v>
      </c>
      <c r="C43" s="2" t="n">
        <v>0.0312292298407172</v>
      </c>
      <c r="D43" s="2" t="n">
        <v>0.459498240078826</v>
      </c>
      <c r="E43" s="2" t="n">
        <v>3.21884955463743</v>
      </c>
    </row>
    <row r="44" customFormat="false" ht="13.8" hidden="false" customHeight="false" outlineLevel="0" collapsed="false">
      <c r="B44" s="2" t="n">
        <v>42</v>
      </c>
      <c r="C44" s="2" t="n">
        <v>0.0312289175487456</v>
      </c>
      <c r="D44" s="2" t="n">
        <v>0.54281438509954</v>
      </c>
      <c r="E44" s="2" t="n">
        <v>3.21881736613652</v>
      </c>
    </row>
    <row r="45" customFormat="false" ht="13.8" hidden="false" customHeight="false" outlineLevel="0" collapsed="false">
      <c r="B45" s="2" t="n">
        <v>43</v>
      </c>
      <c r="C45" s="2" t="n">
        <v>0.0312286055753367</v>
      </c>
      <c r="D45" s="2" t="n">
        <v>0.627824304495221</v>
      </c>
      <c r="E45" s="2" t="n">
        <v>3.2187851779579</v>
      </c>
    </row>
    <row r="46" customFormat="false" ht="13.8" hidden="false" customHeight="false" outlineLevel="0" collapsed="false">
      <c r="B46" s="2" t="n">
        <v>44</v>
      </c>
      <c r="C46" s="2" t="n">
        <v>0.065766505211699</v>
      </c>
      <c r="D46" s="2" t="n">
        <v>0.714527981328088</v>
      </c>
      <c r="E46" s="2" t="n">
        <v>3.21875299010158</v>
      </c>
    </row>
    <row r="47" customFormat="false" ht="13.8" hidden="false" customHeight="false" outlineLevel="0" collapsed="false">
      <c r="B47" s="2" t="n">
        <v>45</v>
      </c>
      <c r="C47" s="2" t="n">
        <v>0.0745455991509276</v>
      </c>
      <c r="D47" s="2" t="n">
        <v>0.802925398657627</v>
      </c>
      <c r="E47" s="2" t="n">
        <v>3.21872080256756</v>
      </c>
    </row>
    <row r="48" customFormat="false" ht="13.8" hidden="false" customHeight="false" outlineLevel="0" collapsed="false">
      <c r="B48" s="2" t="n">
        <v>46</v>
      </c>
      <c r="C48" s="2" t="n">
        <v>0.107510753233557</v>
      </c>
      <c r="D48" s="2" t="n">
        <v>0.89164736583082</v>
      </c>
      <c r="E48" s="2" t="n">
        <v>3.21868861535583</v>
      </c>
    </row>
    <row r="49" customFormat="false" ht="13.8" hidden="false" customHeight="false" outlineLevel="0" collapsed="false">
      <c r="B49" s="2" t="n">
        <v>47</v>
      </c>
      <c r="C49" s="2" t="n">
        <v>0.155436619866315</v>
      </c>
      <c r="D49" s="2" t="n">
        <v>0.980693879599227</v>
      </c>
      <c r="E49" s="2" t="n">
        <v>3.21865642846639</v>
      </c>
    </row>
    <row r="50" customFormat="false" ht="13.8" hidden="false" customHeight="false" outlineLevel="0" collapsed="false">
      <c r="B50" s="2" t="n">
        <v>48</v>
      </c>
      <c r="C50" s="2" t="n">
        <v>0.155435066972885</v>
      </c>
      <c r="D50" s="2" t="n">
        <v>1.07006493671735</v>
      </c>
      <c r="E50" s="2" t="n">
        <v>3.21862424190122</v>
      </c>
    </row>
    <row r="51" customFormat="false" ht="13.8" hidden="false" customHeight="false" outlineLevel="0" collapsed="false">
      <c r="B51" s="2" t="n">
        <v>49</v>
      </c>
      <c r="C51" s="2" t="n">
        <v>0.184607930234655</v>
      </c>
      <c r="D51" s="2" t="n">
        <v>1.15976053393972</v>
      </c>
      <c r="E51" s="2" t="n">
        <v>3.21859205565238</v>
      </c>
    </row>
    <row r="52" customFormat="false" ht="13.8" hidden="false" customHeight="false" outlineLevel="0" collapsed="false">
      <c r="B52" s="2" t="n">
        <v>50</v>
      </c>
      <c r="C52" s="2" t="n">
        <v>0.184607930233384</v>
      </c>
      <c r="D52" s="2" t="n">
        <v>1.25011647698154</v>
      </c>
      <c r="E52" s="2" t="n">
        <v>3.21855986973177</v>
      </c>
    </row>
    <row r="53" customFormat="false" ht="13.8" hidden="false" customHeight="false" outlineLevel="0" collapsed="false">
      <c r="B53" s="2" t="n">
        <v>51</v>
      </c>
      <c r="C53" s="2" t="n">
        <v>0.184607930233413</v>
      </c>
      <c r="D53" s="2" t="n">
        <v>1.3411327592417</v>
      </c>
      <c r="E53" s="2" t="n">
        <v>3.21852768413145</v>
      </c>
    </row>
    <row r="54" customFormat="false" ht="13.8" hidden="false" customHeight="false" outlineLevel="0" collapsed="false">
      <c r="B54" s="2" t="n">
        <v>52</v>
      </c>
      <c r="C54" s="2" t="n">
        <v>0.184607930233413</v>
      </c>
      <c r="D54" s="2" t="n">
        <v>1.43280937411682</v>
      </c>
      <c r="E54" s="2" t="n">
        <v>3.21849549885341</v>
      </c>
    </row>
    <row r="55" customFormat="false" ht="13.8" hidden="false" customHeight="false" outlineLevel="0" collapsed="false">
      <c r="B55" s="2" t="n">
        <v>53</v>
      </c>
      <c r="C55" s="2" t="n">
        <v>0.184607930233413</v>
      </c>
      <c r="D55" s="2" t="n">
        <v>1.52514631500358</v>
      </c>
      <c r="E55" s="2" t="n">
        <v>3.21846331389764</v>
      </c>
    </row>
    <row r="56" customFormat="false" ht="13.8" hidden="false" customHeight="false" outlineLevel="0" collapsed="false">
      <c r="B56" s="2" t="n">
        <v>54</v>
      </c>
      <c r="C56" s="2" t="n">
        <v>0.184607930233413</v>
      </c>
      <c r="D56" s="2" t="n">
        <v>1.61442028045498</v>
      </c>
      <c r="E56" s="2" t="n">
        <v>3.34460105160421</v>
      </c>
    </row>
    <row r="57" customFormat="false" ht="13.8" hidden="false" customHeight="false" outlineLevel="0" collapsed="false">
      <c r="B57" s="2" t="n">
        <v>55</v>
      </c>
      <c r="C57" s="2" t="n">
        <v>0.184607930233413</v>
      </c>
      <c r="D57" s="2" t="n">
        <v>1.70063130110078</v>
      </c>
      <c r="E57" s="2" t="n">
        <v>3.88181537435894</v>
      </c>
    </row>
    <row r="58" customFormat="false" ht="13.8" hidden="false" customHeight="false" outlineLevel="0" collapsed="false">
      <c r="B58" s="2" t="n">
        <v>56</v>
      </c>
      <c r="C58" s="2" t="n">
        <v>0.184607930233412</v>
      </c>
      <c r="D58" s="2" t="n">
        <v>1.78377940757042</v>
      </c>
      <c r="E58" s="2" t="n">
        <v>4.46957821729196</v>
      </c>
    </row>
    <row r="59" customFormat="false" ht="13.8" hidden="false" customHeight="false" outlineLevel="0" collapsed="false">
      <c r="B59" s="2" t="n">
        <v>57</v>
      </c>
      <c r="C59" s="2" t="n">
        <v>0.184607930233388</v>
      </c>
      <c r="D59" s="2" t="n">
        <v>1.86386463049304</v>
      </c>
      <c r="E59" s="2" t="n">
        <v>5.02269447387255</v>
      </c>
    </row>
    <row r="60" customFormat="false" ht="13.8" hidden="false" customHeight="false" outlineLevel="0" collapsed="false">
      <c r="B60" s="2" t="n">
        <v>58</v>
      </c>
      <c r="C60" s="2" t="n">
        <v>0.184606084152883</v>
      </c>
      <c r="D60" s="2" t="n">
        <v>1.93550333610668</v>
      </c>
      <c r="E60" s="2" t="n">
        <v>5.54929085219652</v>
      </c>
    </row>
    <row r="61" customFormat="false" ht="13.8" hidden="false" customHeight="false" outlineLevel="0" collapsed="false">
      <c r="B61" s="2" t="n">
        <v>59</v>
      </c>
      <c r="C61" s="2" t="n">
        <v>0.18460793023031</v>
      </c>
      <c r="D61" s="2" t="n">
        <v>1.99869560887645</v>
      </c>
      <c r="E61" s="2" t="n">
        <v>5.98146276746266</v>
      </c>
    </row>
    <row r="62" customFormat="false" ht="13.8" hidden="false" customHeight="false" outlineLevel="0" collapsed="false">
      <c r="B62" s="2" t="n">
        <v>60</v>
      </c>
      <c r="C62" s="2" t="n">
        <v>0.184606084152882</v>
      </c>
      <c r="D62" s="2" t="n">
        <v>2.05344153326716</v>
      </c>
      <c r="E62" s="2" t="n">
        <v>6.34583538323085</v>
      </c>
    </row>
    <row r="63" customFormat="false" ht="13.8" hidden="false" customHeight="false" outlineLevel="0" collapsed="false">
      <c r="B63" s="2" t="n">
        <v>61</v>
      </c>
      <c r="C63" s="2" t="n">
        <v>0.184604238097237</v>
      </c>
      <c r="D63" s="2" t="n">
        <v>2.0997411937415</v>
      </c>
      <c r="E63" s="2" t="n">
        <v>6.64476725411989</v>
      </c>
    </row>
    <row r="64" customFormat="false" ht="13.8" hidden="false" customHeight="false" outlineLevel="0" collapsed="false">
      <c r="B64" s="2" t="n">
        <v>62</v>
      </c>
      <c r="C64" s="2" t="n">
        <v>0.18460239206015</v>
      </c>
      <c r="D64" s="2" t="n">
        <v>2.14172917131205</v>
      </c>
      <c r="E64" s="2" t="n">
        <v>6.90081572120136</v>
      </c>
    </row>
    <row r="65" customFormat="false" ht="13.8" hidden="false" customHeight="false" outlineLevel="0" collapsed="false">
      <c r="B65" s="2" t="n">
        <v>63</v>
      </c>
      <c r="C65" s="2" t="n">
        <v>0.18460054604149</v>
      </c>
      <c r="D65" s="2" t="n">
        <v>2.17940550909561</v>
      </c>
      <c r="E65" s="2" t="n">
        <v>7.05270639330955</v>
      </c>
    </row>
    <row r="66" customFormat="false" ht="13.8" hidden="false" customHeight="false" outlineLevel="0" collapsed="false">
      <c r="B66" s="2" t="n">
        <v>64</v>
      </c>
      <c r="C66" s="2" t="n">
        <v>0.18459870004126</v>
      </c>
      <c r="D66" s="2" t="n">
        <v>2.21277025020855</v>
      </c>
      <c r="E66" s="2" t="n">
        <v>7.15729005702229</v>
      </c>
    </row>
    <row r="67" customFormat="false" ht="13.8" hidden="false" customHeight="false" outlineLevel="0" collapsed="false">
      <c r="B67" s="2" t="n">
        <v>65</v>
      </c>
      <c r="C67" s="2" t="n">
        <v>0.184596854059457</v>
      </c>
      <c r="D67" s="2" t="n">
        <v>2.24182343776682</v>
      </c>
      <c r="E67" s="2" t="n">
        <v>7.23151717040991</v>
      </c>
    </row>
    <row r="68" customFormat="false" ht="13.8" hidden="false" customHeight="false" outlineLevel="0" collapsed="false">
      <c r="B68" s="2" t="n">
        <v>66</v>
      </c>
      <c r="C68" s="2" t="n">
        <v>0.184595008096082</v>
      </c>
      <c r="D68" s="2" t="n">
        <v>2.26648522624495</v>
      </c>
      <c r="E68" s="2" t="n">
        <v>7.33239171446</v>
      </c>
    </row>
    <row r="69" customFormat="false" ht="13.8" hidden="false" customHeight="false" outlineLevel="0" collapsed="false">
      <c r="B69" s="2" t="n">
        <v>67</v>
      </c>
      <c r="C69" s="2" t="n">
        <v>0.184593162154777</v>
      </c>
      <c r="D69" s="2" t="n">
        <v>2.28675565955697</v>
      </c>
      <c r="E69" s="2" t="n">
        <v>7.44603858769835</v>
      </c>
    </row>
    <row r="70" customFormat="false" ht="13.8" hidden="false" customHeight="false" outlineLevel="0" collapsed="false">
      <c r="B70" s="2" t="n">
        <v>68</v>
      </c>
      <c r="C70" s="2" t="n">
        <v>0.184591318130952</v>
      </c>
      <c r="D70" s="2" t="n">
        <v>2.2956285867091</v>
      </c>
      <c r="E70" s="2" t="n">
        <v>7.44596412731446</v>
      </c>
    </row>
    <row r="71" customFormat="false" ht="13.8" hidden="false" customHeight="false" outlineLevel="0" collapsed="false">
      <c r="B71" s="2" t="n">
        <v>69</v>
      </c>
      <c r="C71" s="2" t="n">
        <v>0.184589470268026</v>
      </c>
      <c r="D71" s="2" t="n">
        <v>2.29560563042591</v>
      </c>
      <c r="E71" s="2" t="n">
        <v>7.41536913567901</v>
      </c>
    </row>
    <row r="72" customFormat="false" ht="13.8" hidden="false" customHeight="false" outlineLevel="0" collapsed="false">
      <c r="B72" s="2" t="n">
        <v>70</v>
      </c>
      <c r="C72" s="2" t="n">
        <v>0.184587624374634</v>
      </c>
      <c r="D72" s="2" t="n">
        <v>2.29558267437287</v>
      </c>
      <c r="E72" s="2" t="n">
        <v>7.3033672959509</v>
      </c>
    </row>
    <row r="73" customFormat="false" ht="13.8" hidden="false" customHeight="false" outlineLevel="0" collapsed="false">
      <c r="B73" s="2" t="n">
        <v>71</v>
      </c>
      <c r="C73" s="2" t="n">
        <v>0.184585778503398</v>
      </c>
      <c r="D73" s="2" t="n">
        <v>2.2955597185515</v>
      </c>
      <c r="E73" s="2" t="n">
        <v>7.15368166293944</v>
      </c>
    </row>
    <row r="74" customFormat="false" ht="13.8" hidden="false" customHeight="false" outlineLevel="0" collapsed="false">
      <c r="B74" s="2" t="n">
        <v>72</v>
      </c>
      <c r="C74" s="2" t="n">
        <v>0.184583932650588</v>
      </c>
      <c r="D74" s="2" t="n">
        <v>2.29553676404127</v>
      </c>
      <c r="E74" s="2" t="n">
        <v>6.95716435422329</v>
      </c>
    </row>
    <row r="75" customFormat="false" ht="13.8" hidden="false" customHeight="false" outlineLevel="0" collapsed="false">
      <c r="B75" s="2" t="n">
        <v>73</v>
      </c>
      <c r="C75" s="2" t="n">
        <v>0.184582086816163</v>
      </c>
      <c r="D75" s="2" t="n">
        <v>2.29551380754114</v>
      </c>
      <c r="E75" s="2" t="n">
        <v>6.7518158381277</v>
      </c>
    </row>
    <row r="76" customFormat="false" ht="13.8" hidden="false" customHeight="false" outlineLevel="0" collapsed="false">
      <c r="B76" s="2" t="n">
        <v>74</v>
      </c>
      <c r="C76" s="2" t="n">
        <v>0.184580241000196</v>
      </c>
      <c r="D76" s="2" t="n">
        <v>2.29549085240418</v>
      </c>
      <c r="E76" s="2" t="n">
        <v>6.53072835699861</v>
      </c>
    </row>
    <row r="77" customFormat="false" ht="13.8" hidden="false" customHeight="false" outlineLevel="0" collapsed="false">
      <c r="B77" s="2" t="n">
        <v>75</v>
      </c>
      <c r="C77" s="2" t="n">
        <v>0.184578395202665</v>
      </c>
      <c r="D77" s="2" t="n">
        <v>2.29546789749893</v>
      </c>
      <c r="E77" s="2" t="n">
        <v>6.32695729044792</v>
      </c>
    </row>
    <row r="78" customFormat="false" ht="13.8" hidden="false" customHeight="false" outlineLevel="0" collapsed="false">
      <c r="B78" s="2" t="n">
        <v>76</v>
      </c>
      <c r="C78" s="2" t="n">
        <v>0.184576549423559</v>
      </c>
      <c r="D78" s="2" t="n">
        <v>2.29544494282323</v>
      </c>
      <c r="E78" s="2" t="n">
        <v>6.17416855790404</v>
      </c>
    </row>
    <row r="79" customFormat="false" ht="13.8" hidden="false" customHeight="false" outlineLevel="0" collapsed="false">
      <c r="B79" s="2" t="n">
        <v>77</v>
      </c>
      <c r="C79" s="2" t="n">
        <v>0.18457470366288</v>
      </c>
      <c r="D79" s="2" t="n">
        <v>2.29542198837706</v>
      </c>
      <c r="E79" s="2" t="n">
        <v>5.99847366806218</v>
      </c>
    </row>
    <row r="80" customFormat="false" ht="13.8" hidden="false" customHeight="false" outlineLevel="0" collapsed="false">
      <c r="B80" s="2" t="n">
        <v>78</v>
      </c>
      <c r="C80" s="2" t="n">
        <v>0.184572857920626</v>
      </c>
      <c r="D80" s="2" t="n">
        <v>2.29539903416043</v>
      </c>
      <c r="E80" s="2" t="n">
        <v>5.84837327590982</v>
      </c>
    </row>
    <row r="81" customFormat="false" ht="13.8" hidden="false" customHeight="false" outlineLevel="0" collapsed="false">
      <c r="B81" s="2" t="n">
        <v>79</v>
      </c>
      <c r="C81" s="2" t="n">
        <v>0.184571012196798</v>
      </c>
      <c r="D81" s="2" t="n">
        <v>2.29537608017333</v>
      </c>
      <c r="E81" s="2" t="n">
        <v>5.55719997735385</v>
      </c>
    </row>
    <row r="82" customFormat="false" ht="13.8" hidden="false" customHeight="false" outlineLevel="0" collapsed="false">
      <c r="B82" s="2" t="n">
        <v>80</v>
      </c>
      <c r="C82" s="2" t="n">
        <v>0.184569166491396</v>
      </c>
      <c r="D82" s="2" t="n">
        <v>2.29535312641576</v>
      </c>
      <c r="E82" s="2" t="n">
        <v>5.34845423867887</v>
      </c>
    </row>
    <row r="83" customFormat="false" ht="13.8" hidden="false" customHeight="false" outlineLevel="0" collapsed="false">
      <c r="B83" s="2" t="n">
        <v>81</v>
      </c>
      <c r="C83" s="2" t="n">
        <v>0.184567320804418</v>
      </c>
      <c r="D83" s="2" t="n">
        <v>2.29533017288773</v>
      </c>
      <c r="E83" s="2" t="n">
        <v>5.08447012449819</v>
      </c>
    </row>
    <row r="84" customFormat="false" ht="13.8" hidden="false" customHeight="false" outlineLevel="0" collapsed="false">
      <c r="B84" s="2" t="n">
        <v>82</v>
      </c>
      <c r="C84" s="2" t="n">
        <v>0.184565475135866</v>
      </c>
      <c r="D84" s="2" t="n">
        <v>2.29530721958922</v>
      </c>
      <c r="E84" s="2" t="n">
        <v>4.86139629830666</v>
      </c>
    </row>
    <row r="85" customFormat="false" ht="13.8" hidden="false" customHeight="false" outlineLevel="0" collapsed="false">
      <c r="B85" s="2" t="n">
        <v>83</v>
      </c>
      <c r="C85" s="2" t="n">
        <v>0.184563629485738</v>
      </c>
      <c r="D85" s="2" t="n">
        <v>2.29528426652024</v>
      </c>
      <c r="E85" s="2" t="n">
        <v>4.60573255470511</v>
      </c>
    </row>
    <row r="86" customFormat="false" ht="13.8" hidden="false" customHeight="false" outlineLevel="0" collapsed="false">
      <c r="B86" s="2" t="n">
        <v>84</v>
      </c>
      <c r="C86" s="2" t="n">
        <v>0.184561783854036</v>
      </c>
      <c r="D86" s="2" t="n">
        <v>2.29526131368077</v>
      </c>
      <c r="E86" s="2" t="n">
        <v>4.3358677010742</v>
      </c>
    </row>
    <row r="87" customFormat="false" ht="13.8" hidden="false" customHeight="false" outlineLevel="0" collapsed="false">
      <c r="B87" s="2" t="n">
        <v>85</v>
      </c>
      <c r="C87" s="2" t="n">
        <v>0.184559938240757</v>
      </c>
      <c r="D87" s="2" t="n">
        <v>2.29523836107083</v>
      </c>
      <c r="E87" s="2" t="n">
        <v>4.09057908312873</v>
      </c>
    </row>
    <row r="88" customFormat="false" ht="13.8" hidden="false" customHeight="false" outlineLevel="0" collapsed="false">
      <c r="B88" s="2" t="n">
        <v>86</v>
      </c>
      <c r="C88" s="2" t="n">
        <v>0.184558092645903</v>
      </c>
      <c r="D88" s="2" t="n">
        <v>2.29521540869041</v>
      </c>
      <c r="E88" s="2" t="n">
        <v>3.85160784399523</v>
      </c>
    </row>
    <row r="89" customFormat="false" ht="13.8" hidden="false" customHeight="false" outlineLevel="0" collapsed="false">
      <c r="B89" s="2" t="n">
        <v>87</v>
      </c>
      <c r="C89" s="2" t="n">
        <v>0.184556247069473</v>
      </c>
      <c r="D89" s="2" t="n">
        <v>2.2951924565395</v>
      </c>
      <c r="E89" s="2" t="n">
        <v>3.62638029087029</v>
      </c>
    </row>
    <row r="90" customFormat="false" ht="13.8" hidden="false" customHeight="false" outlineLevel="0" collapsed="false">
      <c r="B90" s="2" t="n">
        <v>88</v>
      </c>
      <c r="C90" s="2" t="n">
        <v>0.184554401511467</v>
      </c>
      <c r="D90" s="2" t="n">
        <v>2.29516950461811</v>
      </c>
      <c r="E90" s="2" t="n">
        <v>3.36891469372445</v>
      </c>
    </row>
    <row r="91" customFormat="false" ht="13.8" hidden="false" customHeight="false" outlineLevel="0" collapsed="false">
      <c r="B91" s="2" t="n">
        <v>89</v>
      </c>
      <c r="C91" s="2" t="n">
        <v>0.184552555971885</v>
      </c>
      <c r="D91" s="2" t="n">
        <v>2.29514655292623</v>
      </c>
      <c r="E91" s="2" t="n">
        <v>3.15126620827149</v>
      </c>
    </row>
    <row r="92" customFormat="false" ht="13.8" hidden="false" customHeight="false" outlineLevel="0" collapsed="false">
      <c r="B92" s="2" t="n">
        <v>90</v>
      </c>
      <c r="C92" s="2" t="n">
        <v>0.184550710450726</v>
      </c>
      <c r="D92" s="2" t="n">
        <v>2.29512360146386</v>
      </c>
      <c r="E92" s="2" t="n">
        <v>2.97398956596991</v>
      </c>
    </row>
    <row r="93" customFormat="false" ht="13.8" hidden="false" customHeight="false" outlineLevel="0" collapsed="false">
      <c r="B93" s="2" t="n">
        <v>91</v>
      </c>
      <c r="C93" s="2" t="n">
        <v>0.184548864947948</v>
      </c>
      <c r="D93" s="2" t="n">
        <v>2.29510065023091</v>
      </c>
      <c r="E93" s="2" t="n">
        <v>2.801178066805</v>
      </c>
    </row>
    <row r="94" customFormat="false" ht="13.8" hidden="false" customHeight="false" outlineLevel="0" collapsed="false">
      <c r="B94" s="2" t="n">
        <v>92</v>
      </c>
      <c r="C94" s="2" t="n">
        <v>0.184547019441133</v>
      </c>
      <c r="D94" s="2" t="n">
        <v>2.2950776991825</v>
      </c>
      <c r="E94" s="2" t="n">
        <v>2.56040577723642</v>
      </c>
    </row>
    <row r="95" customFormat="false" ht="13.8" hidden="false" customHeight="false" outlineLevel="0" collapsed="false">
      <c r="B95" s="2" t="n">
        <v>93</v>
      </c>
      <c r="C95" s="2" t="n">
        <v>0.184545174023833</v>
      </c>
      <c r="D95" s="2" t="n">
        <v>2.27549525680487</v>
      </c>
      <c r="E95" s="2" t="n">
        <v>2.40849286857295</v>
      </c>
    </row>
    <row r="96" customFormat="false" ht="13.8" hidden="false" customHeight="false" outlineLevel="0" collapsed="false">
      <c r="B96" s="2" t="n">
        <v>94</v>
      </c>
      <c r="C96" s="2" t="n">
        <v>0.184543328576459</v>
      </c>
      <c r="D96" s="2" t="n">
        <v>2.20284574705437</v>
      </c>
      <c r="E96" s="2" t="n">
        <v>2.20987116806475</v>
      </c>
    </row>
    <row r="97" customFormat="false" ht="13.8" hidden="false" customHeight="false" outlineLevel="0" collapsed="false">
      <c r="B97" s="2" t="n">
        <v>95</v>
      </c>
      <c r="C97" s="2" t="n">
        <v>0.184541483147416</v>
      </c>
      <c r="D97" s="2" t="n">
        <v>2.13532346400404</v>
      </c>
      <c r="E97" s="2" t="n">
        <v>2.12034662023494</v>
      </c>
    </row>
    <row r="98" customFormat="false" ht="13.8" hidden="false" customHeight="false" outlineLevel="0" collapsed="false">
      <c r="B98" s="2" t="n">
        <v>96</v>
      </c>
      <c r="C98" s="2" t="n">
        <v>0.184539637736796</v>
      </c>
      <c r="D98" s="2" t="n">
        <v>2.06743857897627</v>
      </c>
      <c r="E98" s="2" t="n">
        <v>2.04475985596193</v>
      </c>
    </row>
    <row r="99" customFormat="false" ht="13.8" hidden="false" customHeight="false" outlineLevel="0" collapsed="false">
      <c r="B99" s="2" t="n">
        <v>97</v>
      </c>
      <c r="C99" s="2" t="n">
        <v>0.184537792345365</v>
      </c>
      <c r="D99" s="2" t="n">
        <v>1.98569218028905</v>
      </c>
      <c r="E99" s="2" t="n">
        <v>1.96607263265744</v>
      </c>
    </row>
    <row r="100" customFormat="false" ht="13.8" hidden="false" customHeight="false" outlineLevel="0" collapsed="false">
      <c r="B100" s="2" t="n">
        <v>98</v>
      </c>
      <c r="C100" s="2" t="n">
        <v>0.184535946970049</v>
      </c>
      <c r="D100" s="2" t="n">
        <v>1.87456121225539</v>
      </c>
      <c r="E100" s="2" t="n">
        <v>1.82012519414667</v>
      </c>
    </row>
    <row r="101" customFormat="false" ht="13.8" hidden="false" customHeight="false" outlineLevel="0" collapsed="false">
      <c r="B101" s="2" t="n">
        <v>99</v>
      </c>
      <c r="C101" s="2" t="n">
        <v>0.184534101615462</v>
      </c>
      <c r="D101" s="2" t="n">
        <v>1.78310653033642</v>
      </c>
      <c r="E101" s="2" t="n">
        <v>1.7404302995645</v>
      </c>
    </row>
    <row r="102" customFormat="false" ht="13.8" hidden="false" customHeight="false" outlineLevel="0" collapsed="false">
      <c r="B102" s="2" t="n">
        <v>100</v>
      </c>
      <c r="C102" s="2" t="n">
        <v>0.18453225627853</v>
      </c>
      <c r="D102" s="2" t="n">
        <v>1.68293529507121</v>
      </c>
      <c r="E102" s="2" t="n">
        <v>1.6386760587132</v>
      </c>
    </row>
    <row r="103" customFormat="false" ht="13.8" hidden="false" customHeight="false" outlineLevel="0" collapsed="false">
      <c r="B103" s="2" t="n">
        <v>101</v>
      </c>
      <c r="C103" s="2" t="n">
        <v>0.184530410960019</v>
      </c>
      <c r="D103" s="2" t="n">
        <v>1.58714438623703</v>
      </c>
      <c r="E103" s="2" t="n">
        <v>1.56306321438928</v>
      </c>
    </row>
    <row r="104" customFormat="false" ht="13.8" hidden="false" customHeight="false" outlineLevel="0" collapsed="false">
      <c r="B104" s="2" t="n">
        <v>102</v>
      </c>
      <c r="C104" s="2" t="n">
        <v>0.184528565659928</v>
      </c>
      <c r="D104" s="2" t="n">
        <v>1.5119071743022</v>
      </c>
      <c r="E104" s="2" t="n">
        <v>1.47380559090722</v>
      </c>
    </row>
    <row r="105" customFormat="false" ht="13.8" hidden="false" customHeight="false" outlineLevel="0" collapsed="false">
      <c r="B105" s="2" t="n">
        <v>103</v>
      </c>
      <c r="C105" s="2" t="n">
        <v>0.184526720378259</v>
      </c>
      <c r="D105" s="2" t="n">
        <v>1.40886079378641</v>
      </c>
      <c r="E105" s="2" t="n">
        <v>1.37500722539888</v>
      </c>
    </row>
    <row r="106" customFormat="false" ht="13.8" hidden="false" customHeight="false" outlineLevel="0" collapsed="false">
      <c r="B106" s="2" t="n">
        <v>104</v>
      </c>
      <c r="C106" s="2" t="n">
        <v>0.184524875115011</v>
      </c>
      <c r="D106" s="2" t="n">
        <v>1.33148399969412</v>
      </c>
      <c r="E106" s="2" t="n">
        <v>1.29396708821075</v>
      </c>
    </row>
    <row r="107" customFormat="false" ht="13.8" hidden="false" customHeight="false" outlineLevel="0" collapsed="false">
      <c r="B107" s="2" t="n">
        <v>105</v>
      </c>
      <c r="C107" s="2" t="n">
        <v>0.184523029870183</v>
      </c>
      <c r="D107" s="2" t="n">
        <v>1.23823424972677</v>
      </c>
      <c r="E107" s="2" t="n">
        <v>1.21580125032623</v>
      </c>
    </row>
    <row r="108" customFormat="false" ht="13.8" hidden="false" customHeight="false" outlineLevel="0" collapsed="false">
      <c r="B108" s="2" t="n">
        <v>106</v>
      </c>
      <c r="C108" s="2" t="n">
        <v>0.184521184643777</v>
      </c>
      <c r="D108" s="2" t="n">
        <v>1.16617384727952</v>
      </c>
      <c r="E108" s="2" t="n">
        <v>1.12737413092929</v>
      </c>
    </row>
    <row r="109" customFormat="false" ht="13.8" hidden="false" customHeight="false" outlineLevel="0" collapsed="false">
      <c r="B109" s="2" t="n">
        <v>107</v>
      </c>
      <c r="C109" s="2" t="n">
        <v>0.18451933943579</v>
      </c>
      <c r="D109" s="2" t="n">
        <v>1.06590888248129</v>
      </c>
      <c r="E109" s="2" t="n">
        <v>1.02867156764741</v>
      </c>
    </row>
    <row r="110" customFormat="false" ht="13.8" hidden="false" customHeight="false" outlineLevel="0" collapsed="false">
      <c r="B110" s="2" t="n">
        <v>108</v>
      </c>
      <c r="C110" s="2" t="n">
        <v>0.184517494246224</v>
      </c>
      <c r="D110" s="2" t="n">
        <v>0.988639918906263</v>
      </c>
      <c r="E110" s="2" t="n">
        <v>0.942956289113862</v>
      </c>
    </row>
    <row r="111" customFormat="false" ht="13.8" hidden="false" customHeight="false" outlineLevel="0" collapsed="false">
      <c r="B111" s="2" t="n">
        <v>109</v>
      </c>
      <c r="C111" s="2" t="n">
        <v>0.184515649075078</v>
      </c>
      <c r="D111" s="2" t="n">
        <v>0.892395494501111</v>
      </c>
      <c r="E111" s="2" t="n">
        <v>0.85195889754912</v>
      </c>
    </row>
    <row r="112" customFormat="false" ht="13.8" hidden="false" customHeight="false" outlineLevel="0" collapsed="false">
      <c r="B112" s="2" t="n">
        <v>110</v>
      </c>
      <c r="C112" s="2" t="n">
        <v>0.184513803922352</v>
      </c>
      <c r="D112" s="2" t="n">
        <v>0.805836629930108</v>
      </c>
      <c r="E112" s="2" t="n">
        <v>0.75862968893872</v>
      </c>
    </row>
    <row r="113" customFormat="false" ht="13.8" hidden="false" customHeight="false" outlineLevel="0" collapsed="false">
      <c r="B113" s="2" t="n">
        <v>111</v>
      </c>
      <c r="C113" s="2" t="n">
        <v>0.184511958788045</v>
      </c>
      <c r="D113" s="2" t="n">
        <v>0.719827035204216</v>
      </c>
      <c r="E113" s="2" t="n">
        <v>0.67864195380835</v>
      </c>
    </row>
    <row r="114" customFormat="false" ht="13.8" hidden="false" customHeight="false" outlineLevel="0" collapsed="false">
      <c r="B114" s="2" t="n">
        <v>112</v>
      </c>
      <c r="C114" s="2" t="n">
        <v>0.184510113672158</v>
      </c>
      <c r="D114" s="2" t="n">
        <v>0.627935643172456</v>
      </c>
      <c r="E114" s="2" t="n">
        <v>0.580259824105258</v>
      </c>
    </row>
    <row r="115" customFormat="false" ht="13.8" hidden="false" customHeight="false" outlineLevel="0" collapsed="false">
      <c r="B115" s="2" t="n">
        <v>113</v>
      </c>
      <c r="C115" s="2" t="n">
        <v>0.184508268574691</v>
      </c>
      <c r="D115" s="2" t="n">
        <v>0.545191321337828</v>
      </c>
      <c r="E115" s="2" t="n">
        <v>0.503547619532806</v>
      </c>
    </row>
    <row r="116" customFormat="false" ht="13.8" hidden="false" customHeight="false" outlineLevel="0" collapsed="false">
      <c r="B116" s="2" t="n">
        <v>114</v>
      </c>
      <c r="C116" s="2" t="n">
        <v>0.184506423495642</v>
      </c>
      <c r="D116" s="2" t="n">
        <v>0.454930745334148</v>
      </c>
      <c r="E116" s="2" t="n">
        <v>0.406519763694635</v>
      </c>
    </row>
    <row r="117" customFormat="false" ht="13.8" hidden="false" customHeight="false" outlineLevel="0" collapsed="false">
      <c r="B117" s="2" t="n">
        <v>115</v>
      </c>
      <c r="C117" s="2" t="n">
        <v>0.184504578434994</v>
      </c>
      <c r="D117" s="2" t="n">
        <v>0.363769369167256</v>
      </c>
      <c r="E117" s="2" t="n">
        <v>0.32063539571877</v>
      </c>
    </row>
    <row r="118" customFormat="false" ht="13.8" hidden="false" customHeight="false" outlineLevel="0" collapsed="false">
      <c r="B118" s="2" t="n">
        <v>116</v>
      </c>
      <c r="C118" s="2" t="n">
        <v>0.184502733382903</v>
      </c>
      <c r="D118" s="2" t="n">
        <v>0.290454815446646</v>
      </c>
      <c r="E118" s="2" t="n">
        <v>0.254035383161435</v>
      </c>
    </row>
    <row r="119" customFormat="false" ht="13.8" hidden="false" customHeight="false" outlineLevel="0" collapsed="false">
      <c r="B119" s="2" t="n">
        <v>117</v>
      </c>
      <c r="C119" s="2" t="n">
        <v>0.155303578975179</v>
      </c>
      <c r="D119" s="2" t="n">
        <v>0.203391646215819</v>
      </c>
      <c r="E119" s="2" t="n">
        <v>0.163679287272366</v>
      </c>
    </row>
    <row r="120" customFormat="false" ht="13.8" hidden="false" customHeight="false" outlineLevel="0" collapsed="false">
      <c r="B120" s="2" t="n">
        <v>118</v>
      </c>
      <c r="C120" s="2" t="n">
        <v>0.152957901798148</v>
      </c>
      <c r="D120" s="2" t="n">
        <v>0.135919612456076</v>
      </c>
      <c r="E120" s="2" t="n">
        <v>0.105415192614918</v>
      </c>
    </row>
    <row r="121" customFormat="false" ht="13.8" hidden="false" customHeight="false" outlineLevel="0" collapsed="false">
      <c r="B121" s="2" t="n">
        <v>119</v>
      </c>
      <c r="C121" s="2" t="n">
        <v>0.121873258696844</v>
      </c>
      <c r="D121" s="2" t="n">
        <v>0.0701693728214063</v>
      </c>
      <c r="E121" s="2" t="n">
        <v>0.0472045800064046</v>
      </c>
    </row>
    <row r="122" customFormat="false" ht="13.8" hidden="false" customHeight="false" outlineLevel="0" collapsed="false">
      <c r="B122" s="2" t="n">
        <v>120</v>
      </c>
      <c r="C122" s="2" t="n">
        <v>0.0461270363504508</v>
      </c>
      <c r="D122" s="2" t="n">
        <v>1.14816427264691E-013</v>
      </c>
      <c r="E122" s="2" t="n">
        <v>1.79570840084984E-009</v>
      </c>
    </row>
    <row r="123" customFormat="false" ht="13.8" hidden="false" customHeight="false" outlineLevel="0" collapsed="false">
      <c r="B123" s="2" t="n">
        <v>121</v>
      </c>
      <c r="C123" s="2" t="n">
        <v>0.0461265750831818</v>
      </c>
      <c r="D123" s="2" t="n">
        <v>3.41930996122201E-012</v>
      </c>
      <c r="E123" s="2" t="n">
        <v>0.00366807500290685</v>
      </c>
    </row>
    <row r="124" customFormat="false" ht="13.8" hidden="false" customHeight="false" outlineLevel="0" collapsed="false">
      <c r="B124" s="2" t="n">
        <v>122</v>
      </c>
      <c r="C124" s="2" t="n">
        <v>0</v>
      </c>
      <c r="D124" s="2" t="n">
        <v>0</v>
      </c>
      <c r="E124" s="2" t="n">
        <v>2.23923457261396E-013</v>
      </c>
    </row>
    <row r="125" customFormat="false" ht="13.8" hidden="false" customHeight="false" outlineLevel="0" collapsed="false">
      <c r="B125" s="2" t="n">
        <v>123</v>
      </c>
      <c r="C125" s="2" t="n">
        <v>2.07149793869027E-014</v>
      </c>
      <c r="D125" s="2" t="n">
        <v>1.29954254724304E-015</v>
      </c>
      <c r="E125" s="2" t="n">
        <v>1.92673352229668E-014</v>
      </c>
    </row>
    <row r="126" customFormat="false" ht="13.8" hidden="false" customHeight="false" outlineLevel="0" collapsed="false">
      <c r="B126" s="2" t="n">
        <v>124</v>
      </c>
      <c r="C126" s="2" t="n">
        <v>3.91790118161567E-014</v>
      </c>
      <c r="D126" s="2" t="n">
        <v>0.00729669511937174</v>
      </c>
      <c r="E126" s="2" t="n">
        <v>3.85244599198385E-014</v>
      </c>
    </row>
    <row r="127" customFormat="false" ht="13.8" hidden="false" customHeight="false" outlineLevel="0" collapsed="false">
      <c r="B127" s="2" t="n">
        <v>125</v>
      </c>
      <c r="C127" s="2" t="n">
        <v>5.47791572040686E-014</v>
      </c>
      <c r="D127" s="2" t="n">
        <v>0.0130659188538577</v>
      </c>
      <c r="E127" s="2" t="n">
        <v>5.77886152493214E-014</v>
      </c>
    </row>
    <row r="128" customFormat="false" ht="13.8" hidden="false" customHeight="false" outlineLevel="0" collapsed="false">
      <c r="B128" s="2" t="n">
        <v>126</v>
      </c>
      <c r="C128" s="2" t="n">
        <v>6.74426049551782E-014</v>
      </c>
      <c r="D128" s="2" t="n">
        <v>0.0252930627465085</v>
      </c>
      <c r="E128" s="2" t="n">
        <v>7.70354751274966E-014</v>
      </c>
    </row>
    <row r="129" customFormat="false" ht="13.8" hidden="false" customHeight="false" outlineLevel="0" collapsed="false">
      <c r="B129" s="2" t="n">
        <v>127</v>
      </c>
      <c r="C129" s="2" t="n">
        <v>7.73761145043229E-014</v>
      </c>
      <c r="D129" s="2" t="n">
        <v>0.0422641664424701</v>
      </c>
      <c r="E129" s="2" t="n">
        <v>9.63298413699098E-014</v>
      </c>
    </row>
    <row r="130" customFormat="false" ht="13.8" hidden="false" customHeight="false" outlineLevel="0" collapsed="false">
      <c r="B130" s="2" t="n">
        <v>128</v>
      </c>
      <c r="C130" s="2" t="n">
        <v>8.4235470665077E-014</v>
      </c>
      <c r="D130" s="2" t="n">
        <v>0.0799619623443316</v>
      </c>
      <c r="E130" s="2" t="n">
        <v>1.1512825570198E-013</v>
      </c>
    </row>
    <row r="131" customFormat="false" ht="13.8" hidden="false" customHeight="false" outlineLevel="0" collapsed="false">
      <c r="B131" s="2" t="n">
        <v>129</v>
      </c>
      <c r="C131" s="2" t="n">
        <v>8.82757709132603E-014</v>
      </c>
      <c r="D131" s="2" t="n">
        <v>0.124436328291443</v>
      </c>
      <c r="E131" s="2" t="n">
        <v>1.32403589331817E-013</v>
      </c>
    </row>
    <row r="132" customFormat="false" ht="13.8" hidden="false" customHeight="false" outlineLevel="0" collapsed="false">
      <c r="B132" s="2" t="n">
        <v>130</v>
      </c>
      <c r="C132" s="2" t="n">
        <v>0.00258022597314658</v>
      </c>
      <c r="D132" s="2" t="n">
        <v>0.172495541563109</v>
      </c>
      <c r="E132" s="2" t="n">
        <v>1.47766780383855E-013</v>
      </c>
    </row>
    <row r="133" customFormat="false" ht="13.8" hidden="false" customHeight="false" outlineLevel="0" collapsed="false">
      <c r="B133" s="2" t="n">
        <v>131</v>
      </c>
      <c r="C133" s="2" t="n">
        <v>0.00947114267156445</v>
      </c>
      <c r="D133" s="2" t="n">
        <v>0.227208907125189</v>
      </c>
      <c r="E133" s="2" t="n">
        <v>1.61176852130495E-013</v>
      </c>
    </row>
    <row r="134" customFormat="false" ht="13.8" hidden="false" customHeight="false" outlineLevel="0" collapsed="false">
      <c r="B134" s="2" t="n">
        <v>132</v>
      </c>
      <c r="C134" s="2" t="n">
        <v>0.00947104796059108</v>
      </c>
      <c r="D134" s="2" t="n">
        <v>0.287066147104962</v>
      </c>
      <c r="E134" s="2" t="n">
        <v>1.72529454452836E-013</v>
      </c>
    </row>
    <row r="135" customFormat="false" ht="13.8" hidden="false" customHeight="false" outlineLevel="0" collapsed="false">
      <c r="B135" s="2" t="n">
        <v>133</v>
      </c>
      <c r="C135" s="2" t="n">
        <v>0.0273291147733367</v>
      </c>
      <c r="D135" s="2" t="n">
        <v>0.352076469003872</v>
      </c>
      <c r="E135" s="2" t="n">
        <v>1.79805338304361E-013</v>
      </c>
    </row>
    <row r="136" customFormat="false" ht="13.8" hidden="false" customHeight="false" outlineLevel="0" collapsed="false">
      <c r="B136" s="2" t="n">
        <v>134</v>
      </c>
      <c r="C136" s="2" t="n">
        <v>0.0273288414823711</v>
      </c>
      <c r="D136" s="2" t="n">
        <v>0.420669671418464</v>
      </c>
      <c r="E136" s="2" t="n">
        <v>1.48758253550295E-013</v>
      </c>
    </row>
    <row r="137" customFormat="false" ht="13.8" hidden="false" customHeight="false" outlineLevel="0" collapsed="false">
      <c r="B137" s="2" t="n">
        <v>135</v>
      </c>
      <c r="C137" s="2" t="n">
        <v>0.0518940006265421</v>
      </c>
      <c r="D137" s="2" t="n">
        <v>0.492837998062144</v>
      </c>
      <c r="E137" s="2" t="n">
        <v>1.51212372339946E-013</v>
      </c>
    </row>
    <row r="138" customFormat="false" ht="13.8" hidden="false" customHeight="false" outlineLevel="0" collapsed="false">
      <c r="B138" s="2" t="n">
        <v>136</v>
      </c>
      <c r="C138" s="2" t="n">
        <v>0.0557057032526108</v>
      </c>
      <c r="D138" s="2" t="n">
        <v>0.568582247162198</v>
      </c>
      <c r="E138" s="2" t="n">
        <v>2.15921928836036E-013</v>
      </c>
    </row>
    <row r="139" customFormat="false" ht="13.8" hidden="false" customHeight="false" outlineLevel="0" collapsed="false">
      <c r="B139" s="2" t="n">
        <v>137</v>
      </c>
      <c r="C139" s="2" t="n">
        <v>0.0839933200764444</v>
      </c>
      <c r="D139" s="2" t="n">
        <v>0.647901291968315</v>
      </c>
      <c r="E139" s="2" t="n">
        <v>9.55893398784365E-014</v>
      </c>
    </row>
    <row r="140" customFormat="false" ht="13.8" hidden="false" customHeight="false" outlineLevel="0" collapsed="false">
      <c r="B140" s="2" t="n">
        <v>138</v>
      </c>
      <c r="C140" s="2" t="n">
        <v>0.0919970445722286</v>
      </c>
      <c r="D140" s="2" t="n">
        <v>0.728804091360264</v>
      </c>
      <c r="E140" s="2" t="n">
        <v>1.66039196537949E-013</v>
      </c>
    </row>
    <row r="141" customFormat="false" ht="13.8" hidden="false" customHeight="false" outlineLevel="0" collapsed="false">
      <c r="B141" s="2" t="n">
        <v>139</v>
      </c>
      <c r="C141" s="2" t="n">
        <v>0.125216611931529</v>
      </c>
      <c r="D141" s="2" t="n">
        <v>0.811287021919579</v>
      </c>
      <c r="E141" s="2" t="n">
        <v>1.54580885337297E-013</v>
      </c>
    </row>
    <row r="142" customFormat="false" ht="13.8" hidden="false" customHeight="false" outlineLevel="0" collapsed="false">
      <c r="B142" s="2" t="n">
        <v>140</v>
      </c>
      <c r="C142" s="2" t="n">
        <v>0.129474995387035</v>
      </c>
      <c r="D142" s="2" t="n">
        <v>0.895347666833936</v>
      </c>
      <c r="E142" s="2" t="n">
        <v>0.00324715542597878</v>
      </c>
    </row>
    <row r="143" customFormat="false" ht="13.8" hidden="false" customHeight="false" outlineLevel="0" collapsed="false">
      <c r="B143" s="2" t="n">
        <v>141</v>
      </c>
      <c r="C143" s="2" t="n">
        <v>0.164178116660259</v>
      </c>
      <c r="D143" s="2" t="n">
        <v>0.98098998116467</v>
      </c>
      <c r="E143" s="2" t="n">
        <v>0.00615347117978463</v>
      </c>
    </row>
    <row r="144" customFormat="false" ht="13.8" hidden="false" customHeight="false" outlineLevel="0" collapsed="false">
      <c r="B144" s="2" t="n">
        <v>142</v>
      </c>
      <c r="C144" s="2" t="n">
        <v>0.164176474903522</v>
      </c>
      <c r="D144" s="2" t="n">
        <v>1.06773190066566</v>
      </c>
      <c r="E144" s="2" t="n">
        <v>0.0170162662468581</v>
      </c>
    </row>
    <row r="145" customFormat="false" ht="13.8" hidden="false" customHeight="false" outlineLevel="0" collapsed="false">
      <c r="B145" s="2" t="n">
        <v>143</v>
      </c>
      <c r="C145" s="2" t="n">
        <v>0.164174833219675</v>
      </c>
      <c r="D145" s="2" t="n">
        <v>1.15551707272262</v>
      </c>
      <c r="E145" s="2" t="n">
        <v>0.0351069977522354</v>
      </c>
    </row>
    <row r="146" customFormat="false" ht="13.8" hidden="false" customHeight="false" outlineLevel="0" collapsed="false">
      <c r="B146" s="2" t="n">
        <v>144</v>
      </c>
      <c r="C146" s="2" t="n">
        <v>0.175273599510997</v>
      </c>
      <c r="D146" s="2" t="n">
        <v>1.24429482274276</v>
      </c>
      <c r="E146" s="2" t="n">
        <v>0.0538241250693678</v>
      </c>
    </row>
    <row r="147" customFormat="false" ht="13.8" hidden="false" customHeight="false" outlineLevel="0" collapsed="false">
      <c r="B147" s="2" t="n">
        <v>145</v>
      </c>
      <c r="C147" s="2" t="n">
        <v>0.184607930233407</v>
      </c>
      <c r="D147" s="2" t="n">
        <v>1.3341448944055</v>
      </c>
      <c r="E147" s="2" t="n">
        <v>0.128921663409611</v>
      </c>
    </row>
    <row r="148" customFormat="false" ht="13.8" hidden="false" customHeight="false" outlineLevel="0" collapsed="false">
      <c r="B148" s="2" t="n">
        <v>146</v>
      </c>
      <c r="C148" s="2" t="n">
        <v>0.184607930233398</v>
      </c>
      <c r="D148" s="2" t="n">
        <v>1.42226659720886</v>
      </c>
      <c r="E148" s="2" t="n">
        <v>0.188033162256196</v>
      </c>
    </row>
    <row r="149" customFormat="false" ht="13.8" hidden="false" customHeight="false" outlineLevel="0" collapsed="false">
      <c r="B149" s="2" t="n">
        <v>147</v>
      </c>
      <c r="C149" s="2" t="n">
        <v>0.184607930233413</v>
      </c>
      <c r="D149" s="2" t="n">
        <v>1.50860551942148</v>
      </c>
      <c r="E149" s="2" t="n">
        <v>0.299136983052649</v>
      </c>
    </row>
    <row r="150" customFormat="false" ht="13.8" hidden="false" customHeight="false" outlineLevel="0" collapsed="false">
      <c r="B150" s="2" t="n">
        <v>148</v>
      </c>
      <c r="C150" s="2" t="n">
        <v>0.184607930233412</v>
      </c>
      <c r="D150" s="2" t="n">
        <v>1.59082235253063</v>
      </c>
      <c r="E150" s="2" t="n">
        <v>0.523843496089113</v>
      </c>
    </row>
    <row r="151" customFormat="false" ht="13.8" hidden="false" customHeight="false" outlineLevel="0" collapsed="false">
      <c r="B151" s="2" t="n">
        <v>149</v>
      </c>
      <c r="C151" s="2" t="n">
        <v>0.184607930233388</v>
      </c>
      <c r="D151" s="2" t="n">
        <v>1.68541534553618</v>
      </c>
      <c r="E151" s="2" t="n">
        <v>1.05049941930939</v>
      </c>
    </row>
    <row r="152" customFormat="false" ht="13.8" hidden="false" customHeight="false" outlineLevel="0" collapsed="false">
      <c r="B152" s="2" t="n">
        <v>150</v>
      </c>
      <c r="C152" s="2" t="n">
        <v>0.184606084152755</v>
      </c>
      <c r="D152" s="2" t="n">
        <v>1.76188419986633</v>
      </c>
      <c r="E152" s="2" t="n">
        <v>1.56368444382724</v>
      </c>
    </row>
    <row r="153" customFormat="false" ht="13.8" hidden="false" customHeight="false" outlineLevel="0" collapsed="false">
      <c r="B153" s="2" t="n">
        <v>151</v>
      </c>
      <c r="C153" s="2" t="n">
        <v>0.184607930233389</v>
      </c>
      <c r="D153" s="2" t="n">
        <v>1.83484016538319</v>
      </c>
      <c r="E153" s="2" t="n">
        <v>2.18489838798643</v>
      </c>
    </row>
    <row r="154" customFormat="false" ht="13.8" hidden="false" customHeight="false" outlineLevel="0" collapsed="false">
      <c r="B154" s="2" t="n">
        <v>152</v>
      </c>
      <c r="C154" s="2" t="n">
        <v>0.184606084152773</v>
      </c>
      <c r="D154" s="2" t="n">
        <v>1.91557988484594</v>
      </c>
      <c r="E154" s="2" t="n">
        <v>2.76890614054128</v>
      </c>
    </row>
    <row r="155" customFormat="false" ht="13.8" hidden="false" customHeight="false" outlineLevel="0" collapsed="false">
      <c r="B155" s="2" t="n">
        <v>153</v>
      </c>
      <c r="C155" s="2" t="n">
        <v>0.184607930233396</v>
      </c>
      <c r="D155" s="2" t="n">
        <v>1.99631949913163</v>
      </c>
      <c r="E155" s="2" t="n">
        <v>3.33886795355358</v>
      </c>
    </row>
    <row r="156" customFormat="false" ht="13.8" hidden="false" customHeight="false" outlineLevel="0" collapsed="false">
      <c r="B156" s="2" t="n">
        <v>154</v>
      </c>
      <c r="C156" s="2" t="n">
        <v>0.184607930233388</v>
      </c>
      <c r="D156" s="2" t="n">
        <v>2.07067067312466</v>
      </c>
      <c r="E156" s="2" t="n">
        <v>3.8787469285718</v>
      </c>
    </row>
    <row r="157" customFormat="false" ht="13.8" hidden="false" customHeight="false" outlineLevel="0" collapsed="false">
      <c r="B157" s="2" t="n">
        <v>155</v>
      </c>
      <c r="C157" s="2" t="n">
        <v>0.184606084152756</v>
      </c>
      <c r="D157" s="2" t="n">
        <v>2.13863347070944</v>
      </c>
      <c r="E157" s="2" t="n">
        <v>4.33347823142445</v>
      </c>
    </row>
    <row r="158" customFormat="false" ht="13.8" hidden="false" customHeight="false" outlineLevel="0" collapsed="false">
      <c r="B158" s="2" t="n">
        <v>156</v>
      </c>
      <c r="C158" s="2" t="n">
        <v>0.184607930233363</v>
      </c>
      <c r="D158" s="2" t="n">
        <v>2.20020795576974</v>
      </c>
      <c r="E158" s="2" t="n">
        <v>4.77047256358825</v>
      </c>
    </row>
    <row r="159" customFormat="false" ht="13.8" hidden="false" customHeight="false" outlineLevel="0" collapsed="false">
      <c r="B159" s="2" t="n">
        <v>157</v>
      </c>
      <c r="C159" s="2" t="n">
        <v>0.184606084152756</v>
      </c>
      <c r="D159" s="2" t="n">
        <v>2.23191940294017</v>
      </c>
      <c r="E159" s="2" t="n">
        <v>5.13200992243312</v>
      </c>
    </row>
    <row r="160" customFormat="false" ht="13.8" hidden="false" customHeight="false" outlineLevel="0" collapsed="false">
      <c r="B160" s="2" t="n">
        <v>158</v>
      </c>
      <c r="C160" s="2" t="n">
        <v>0.184604238091946</v>
      </c>
      <c r="D160" s="2" t="n">
        <v>2.23416995428593</v>
      </c>
      <c r="E160" s="2" t="n">
        <v>5.49642458643372</v>
      </c>
    </row>
    <row r="161" customFormat="false" ht="13.8" hidden="false" customHeight="false" outlineLevel="0" collapsed="false">
      <c r="B161" s="2" t="n">
        <v>159</v>
      </c>
      <c r="C161" s="2" t="n">
        <v>0.184607930233389</v>
      </c>
      <c r="D161" s="2" t="n">
        <v>2.2804228485014</v>
      </c>
      <c r="E161" s="2" t="n">
        <v>5.83548682681674</v>
      </c>
    </row>
    <row r="162" customFormat="false" ht="13.8" hidden="false" customHeight="false" outlineLevel="0" collapsed="false">
      <c r="B162" s="2" t="n">
        <v>160</v>
      </c>
      <c r="C162" s="2" t="n">
        <v>0.18460608415285</v>
      </c>
      <c r="D162" s="2" t="n">
        <v>2.28418823554019</v>
      </c>
      <c r="E162" s="2" t="n">
        <v>6.10130210710693</v>
      </c>
    </row>
    <row r="163" customFormat="false" ht="13.8" hidden="false" customHeight="false" outlineLevel="0" collapsed="false">
      <c r="B163" s="2" t="n">
        <v>161</v>
      </c>
      <c r="C163" s="2" t="n">
        <v>0.184607930231154</v>
      </c>
      <c r="D163" s="2" t="n">
        <v>2.2956285867098</v>
      </c>
      <c r="E163" s="2" t="n">
        <v>6.33650085977335</v>
      </c>
    </row>
    <row r="164" customFormat="false" ht="13.8" hidden="false" customHeight="false" outlineLevel="0" collapsed="false">
      <c r="B164" s="2" t="n">
        <v>162</v>
      </c>
      <c r="C164" s="2" t="n">
        <v>0.184606084156692</v>
      </c>
      <c r="D164" s="2" t="n">
        <v>2.29562858671017</v>
      </c>
      <c r="E164" s="2" t="n">
        <v>6.41594283661306</v>
      </c>
    </row>
    <row r="165" customFormat="false" ht="13.8" hidden="false" customHeight="false" outlineLevel="0" collapsed="false">
      <c r="B165" s="2" t="n">
        <v>163</v>
      </c>
      <c r="C165" s="2" t="n">
        <v>0.184604240113993</v>
      </c>
      <c r="D165" s="2" t="n">
        <v>2.29562858670976</v>
      </c>
      <c r="E165" s="2" t="n">
        <v>6.46513027675738</v>
      </c>
    </row>
    <row r="166" customFormat="false" ht="13.8" hidden="false" customHeight="false" outlineLevel="0" collapsed="false">
      <c r="B166" s="2" t="n">
        <v>164</v>
      </c>
      <c r="C166" s="2" t="n">
        <v>0.184602390042888</v>
      </c>
      <c r="D166" s="2" t="n">
        <v>2.29560563042591</v>
      </c>
      <c r="E166" s="2" t="n">
        <v>6.43535121537055</v>
      </c>
    </row>
    <row r="167" customFormat="false" ht="13.8" hidden="false" customHeight="false" outlineLevel="0" collapsed="false">
      <c r="B167" s="2" t="n">
        <v>165</v>
      </c>
      <c r="C167" s="2" t="n">
        <v>0.18460054795137</v>
      </c>
      <c r="D167" s="2" t="n">
        <v>2.29562858670995</v>
      </c>
      <c r="E167" s="2" t="n">
        <v>6.45746892932664</v>
      </c>
    </row>
    <row r="168" customFormat="false" ht="13.8" hidden="false" customHeight="false" outlineLevel="0" collapsed="false">
      <c r="B168" s="2" t="n">
        <v>166</v>
      </c>
      <c r="C168" s="2" t="n">
        <v>0.184598699987266</v>
      </c>
      <c r="D168" s="2" t="n">
        <v>2.29560563042599</v>
      </c>
      <c r="E168" s="2" t="n">
        <v>6.45329375789493</v>
      </c>
    </row>
    <row r="169" customFormat="false" ht="13.8" hidden="false" customHeight="false" outlineLevel="0" collapsed="false">
      <c r="B169" s="2" t="n">
        <v>167</v>
      </c>
      <c r="C169" s="2" t="n">
        <v>0.184596854000334</v>
      </c>
      <c r="D169" s="2" t="n">
        <v>2.2955826743717</v>
      </c>
      <c r="E169" s="2" t="n">
        <v>6.43069519220534</v>
      </c>
    </row>
    <row r="170" customFormat="false" ht="13.8" hidden="false" customHeight="false" outlineLevel="0" collapsed="false">
      <c r="B170" s="2" t="n">
        <v>168</v>
      </c>
      <c r="C170" s="2" t="n">
        <v>0.18459500803558</v>
      </c>
      <c r="D170" s="2" t="n">
        <v>2.295559718547</v>
      </c>
      <c r="E170" s="2" t="n">
        <v>6.32267436093627</v>
      </c>
    </row>
    <row r="171" customFormat="false" ht="13.8" hidden="false" customHeight="false" outlineLevel="0" collapsed="false">
      <c r="B171" s="2" t="n">
        <v>169</v>
      </c>
      <c r="C171" s="2" t="n">
        <v>0.184593162089255</v>
      </c>
      <c r="D171" s="2" t="n">
        <v>2.29553676295185</v>
      </c>
      <c r="E171" s="2" t="n">
        <v>6.23354671090297</v>
      </c>
    </row>
    <row r="172" customFormat="false" ht="13.8" hidden="false" customHeight="false" outlineLevel="0" collapsed="false">
      <c r="B172" s="2" t="n">
        <v>170</v>
      </c>
      <c r="C172" s="2" t="n">
        <v>0.184591316161326</v>
      </c>
      <c r="D172" s="2" t="n">
        <v>2.29551380758624</v>
      </c>
      <c r="E172" s="2" t="n">
        <v>6.12842585889243</v>
      </c>
    </row>
    <row r="173" customFormat="false" ht="13.8" hidden="false" customHeight="false" outlineLevel="0" collapsed="false">
      <c r="B173" s="2" t="n">
        <v>171</v>
      </c>
      <c r="C173" s="2" t="n">
        <v>0.184589470251834</v>
      </c>
      <c r="D173" s="2" t="n">
        <v>2.29549085245186</v>
      </c>
      <c r="E173" s="2" t="n">
        <v>6.07923800187369</v>
      </c>
    </row>
    <row r="174" customFormat="false" ht="13.8" hidden="false" customHeight="false" outlineLevel="0" collapsed="false">
      <c r="B174" s="2" t="n">
        <v>172</v>
      </c>
      <c r="C174" s="2" t="n">
        <v>0.184587624360789</v>
      </c>
      <c r="D174" s="2" t="n">
        <v>2.29546789842204</v>
      </c>
      <c r="E174" s="2" t="n">
        <v>5.97996400644274</v>
      </c>
    </row>
    <row r="175" customFormat="false" ht="13.8" hidden="false" customHeight="false" outlineLevel="0" collapsed="false">
      <c r="B175" s="2" t="n">
        <v>173</v>
      </c>
      <c r="C175" s="2" t="n">
        <v>0.184585778488172</v>
      </c>
      <c r="D175" s="2" t="n">
        <v>2.29544494281623</v>
      </c>
      <c r="E175" s="2" t="n">
        <v>5.84310398457648</v>
      </c>
    </row>
    <row r="176" customFormat="false" ht="13.8" hidden="false" customHeight="false" outlineLevel="0" collapsed="false">
      <c r="B176" s="2" t="n">
        <v>174</v>
      </c>
      <c r="C176" s="2" t="n">
        <v>0.184583932633981</v>
      </c>
      <c r="D176" s="2" t="n">
        <v>2.29542198836702</v>
      </c>
      <c r="E176" s="2" t="n">
        <v>5.62846749797698</v>
      </c>
    </row>
    <row r="177" customFormat="false" ht="13.8" hidden="false" customHeight="false" outlineLevel="0" collapsed="false">
      <c r="B177" s="2" t="n">
        <v>175</v>
      </c>
      <c r="C177" s="2" t="n">
        <v>0.184582086798217</v>
      </c>
      <c r="D177" s="2" t="n">
        <v>2.29539903414912</v>
      </c>
      <c r="E177" s="2" t="n">
        <v>5.37762878737184</v>
      </c>
    </row>
    <row r="178" customFormat="false" ht="13.8" hidden="false" customHeight="false" outlineLevel="0" collapsed="false">
      <c r="B178" s="2" t="n">
        <v>176</v>
      </c>
      <c r="C178" s="2" t="n">
        <v>0.184580240980879</v>
      </c>
      <c r="D178" s="2" t="n">
        <v>2.29537608016075</v>
      </c>
      <c r="E178" s="2" t="n">
        <v>5.14742267774627</v>
      </c>
    </row>
    <row r="179" customFormat="false" ht="13.8" hidden="false" customHeight="false" outlineLevel="0" collapsed="false">
      <c r="B179" s="2" t="n">
        <v>177</v>
      </c>
      <c r="C179" s="2" t="n">
        <v>0.184578395181968</v>
      </c>
      <c r="D179" s="2" t="n">
        <v>2.29535312640192</v>
      </c>
      <c r="E179" s="2" t="n">
        <v>4.89938512944092</v>
      </c>
    </row>
    <row r="180" customFormat="false" ht="13.8" hidden="false" customHeight="false" outlineLevel="0" collapsed="false">
      <c r="B180" s="2" t="n">
        <v>178</v>
      </c>
      <c r="C180" s="2" t="n">
        <v>0.184576549401483</v>
      </c>
      <c r="D180" s="2" t="n">
        <v>2.29533017287262</v>
      </c>
      <c r="E180" s="2" t="n">
        <v>4.66633119114055</v>
      </c>
    </row>
    <row r="181" customFormat="false" ht="13.8" hidden="false" customHeight="false" outlineLevel="0" collapsed="false">
      <c r="B181" s="2" t="n">
        <v>179</v>
      </c>
      <c r="C181" s="2" t="n">
        <v>0.184574703639423</v>
      </c>
      <c r="D181" s="2" t="n">
        <v>2.29530721957284</v>
      </c>
      <c r="E181" s="2" t="n">
        <v>4.42083523152757</v>
      </c>
    </row>
    <row r="182" customFormat="false" ht="13.8" hidden="false" customHeight="false" outlineLevel="0" collapsed="false">
      <c r="B182" s="2" t="n">
        <v>180</v>
      </c>
      <c r="C182" s="2" t="n">
        <v>0.18457285789579</v>
      </c>
      <c r="D182" s="2" t="n">
        <v>2.29528426650259</v>
      </c>
      <c r="E182" s="2" t="n">
        <v>4.20060093057777</v>
      </c>
    </row>
    <row r="183" customFormat="false" ht="13.8" hidden="false" customHeight="false" outlineLevel="0" collapsed="false">
      <c r="B183" s="2" t="n">
        <v>181</v>
      </c>
      <c r="C183" s="2" t="n">
        <v>0.184571012170582</v>
      </c>
      <c r="D183" s="2" t="n">
        <v>2.29526131366186</v>
      </c>
      <c r="E183" s="2" t="n">
        <v>3.9664062949338</v>
      </c>
    </row>
    <row r="184" customFormat="false" ht="13.8" hidden="false" customHeight="false" outlineLevel="0" collapsed="false">
      <c r="B184" s="2" t="n">
        <v>182</v>
      </c>
      <c r="C184" s="2" t="n">
        <v>0.1845691664638</v>
      </c>
      <c r="D184" s="2" t="n">
        <v>2.29523836105065</v>
      </c>
      <c r="E184" s="2" t="n">
        <v>3.74515851975458</v>
      </c>
    </row>
    <row r="185" customFormat="false" ht="13.8" hidden="false" customHeight="false" outlineLevel="0" collapsed="false">
      <c r="B185" s="2" t="n">
        <v>183</v>
      </c>
      <c r="C185" s="2" t="n">
        <v>0.184567320775443</v>
      </c>
      <c r="D185" s="2" t="n">
        <v>2.29521540866896</v>
      </c>
      <c r="E185" s="2" t="n">
        <v>3.55202471631224</v>
      </c>
    </row>
    <row r="186" customFormat="false" ht="13.8" hidden="false" customHeight="false" outlineLevel="0" collapsed="false">
      <c r="B186" s="2" t="n">
        <v>184</v>
      </c>
      <c r="C186" s="2" t="n">
        <v>0.18456547510551</v>
      </c>
      <c r="D186" s="2" t="n">
        <v>2.29519245651678</v>
      </c>
      <c r="E186" s="2" t="n">
        <v>3.37616991828187</v>
      </c>
    </row>
    <row r="187" customFormat="false" ht="13.8" hidden="false" customHeight="false" outlineLevel="0" collapsed="false">
      <c r="B187" s="2" t="n">
        <v>185</v>
      </c>
      <c r="C187" s="2" t="n">
        <v>0.184563629454003</v>
      </c>
      <c r="D187" s="2" t="n">
        <v>2.29516950459412</v>
      </c>
      <c r="E187" s="2" t="n">
        <v>3.10783545287342</v>
      </c>
    </row>
    <row r="188" customFormat="false" ht="13.8" hidden="false" customHeight="false" outlineLevel="0" collapsed="false">
      <c r="B188" s="2" t="n">
        <v>186</v>
      </c>
      <c r="C188" s="2" t="n">
        <v>0.18456178382092</v>
      </c>
      <c r="D188" s="2" t="n">
        <v>2.29514655290097</v>
      </c>
      <c r="E188" s="2" t="n">
        <v>2.9413737819206</v>
      </c>
    </row>
    <row r="189" customFormat="false" ht="13.8" hidden="false" customHeight="false" outlineLevel="0" collapsed="false">
      <c r="B189" s="2" t="n">
        <v>187</v>
      </c>
      <c r="C189" s="2" t="n">
        <v>0.184559938206219</v>
      </c>
      <c r="D189" s="2" t="n">
        <v>2.29512360143725</v>
      </c>
      <c r="E189" s="2" t="n">
        <v>2.71078514595473</v>
      </c>
    </row>
    <row r="190" customFormat="false" ht="13.8" hidden="false" customHeight="false" outlineLevel="0" collapsed="false">
      <c r="B190" s="2" t="n">
        <v>188</v>
      </c>
      <c r="C190" s="2" t="n">
        <v>0.184558092587113</v>
      </c>
      <c r="D190" s="2" t="n">
        <v>2.29510065015733</v>
      </c>
      <c r="E190" s="2" t="n">
        <v>2.49288429735656</v>
      </c>
    </row>
    <row r="191" customFormat="false" ht="13.8" hidden="false" customHeight="false" outlineLevel="0" collapsed="false">
      <c r="B191" s="2" t="n">
        <v>189</v>
      </c>
      <c r="C191" s="2" t="n">
        <v>0.184556247058261</v>
      </c>
      <c r="D191" s="2" t="n">
        <v>2.24659722442882</v>
      </c>
      <c r="E191" s="2" t="n">
        <v>2.31654015814402</v>
      </c>
    </row>
    <row r="192" customFormat="false" ht="13.8" hidden="false" customHeight="false" outlineLevel="0" collapsed="false">
      <c r="B192" s="2" t="n">
        <v>190</v>
      </c>
      <c r="C192" s="2" t="n">
        <v>0.184554401498978</v>
      </c>
      <c r="D192" s="2" t="n">
        <v>2.16579576908759</v>
      </c>
      <c r="E192" s="2" t="n">
        <v>2.18345879692211</v>
      </c>
    </row>
    <row r="193" customFormat="false" ht="13.8" hidden="false" customHeight="false" outlineLevel="0" collapsed="false">
      <c r="B193" s="2" t="n">
        <v>191</v>
      </c>
      <c r="C193" s="2" t="n">
        <v>0.184552555962858</v>
      </c>
      <c r="D193" s="2" t="n">
        <v>2.1014518177512</v>
      </c>
      <c r="E193" s="2" t="n">
        <v>2.13684944090334</v>
      </c>
    </row>
    <row r="194" customFormat="false" ht="13.8" hidden="false" customHeight="false" outlineLevel="0" collapsed="false">
      <c r="B194" s="2" t="n">
        <v>192</v>
      </c>
      <c r="C194" s="2" t="n">
        <v>0.184550710434232</v>
      </c>
      <c r="D194" s="2" t="n">
        <v>2.10143080322275</v>
      </c>
      <c r="E194" s="2" t="n">
        <v>2.07951035018041</v>
      </c>
    </row>
    <row r="195" customFormat="false" ht="13.8" hidden="false" customHeight="false" outlineLevel="0" collapsed="false">
      <c r="B195" s="2" t="n">
        <v>193</v>
      </c>
      <c r="C195" s="2" t="n">
        <v>0.184548864930102</v>
      </c>
      <c r="D195" s="2" t="n">
        <v>2.10140978891661</v>
      </c>
      <c r="E195" s="2" t="n">
        <v>2.0679867032187</v>
      </c>
    </row>
    <row r="196" customFormat="false" ht="13.8" hidden="false" customHeight="false" outlineLevel="0" collapsed="false">
      <c r="B196" s="2" t="n">
        <v>194</v>
      </c>
      <c r="C196" s="2" t="n">
        <v>0.184547019443292</v>
      </c>
      <c r="D196" s="2" t="n">
        <v>2.10138877481842</v>
      </c>
      <c r="E196" s="2" t="n">
        <v>2.00551893075266</v>
      </c>
    </row>
    <row r="197" customFormat="false" ht="13.8" hidden="false" customHeight="false" outlineLevel="0" collapsed="false">
      <c r="B197" s="2" t="n">
        <v>195</v>
      </c>
      <c r="C197" s="2" t="n">
        <v>0.184545173978388</v>
      </c>
      <c r="D197" s="2" t="n">
        <v>1.99984491226106</v>
      </c>
      <c r="E197" s="2" t="n">
        <v>1.90385352052947</v>
      </c>
    </row>
    <row r="198" customFormat="false" ht="13.8" hidden="false" customHeight="false" outlineLevel="0" collapsed="false">
      <c r="B198" s="2" t="n">
        <v>196</v>
      </c>
      <c r="C198" s="2" t="n">
        <v>0.184543328529918</v>
      </c>
      <c r="D198" s="2" t="n">
        <v>1.90936466750789</v>
      </c>
      <c r="E198" s="2" t="n">
        <v>1.83818308014561</v>
      </c>
    </row>
    <row r="199" customFormat="false" ht="13.8" hidden="false" customHeight="false" outlineLevel="0" collapsed="false">
      <c r="B199" s="2" t="n">
        <v>197</v>
      </c>
      <c r="C199" s="2" t="n">
        <v>0.184541483098751</v>
      </c>
      <c r="D199" s="2" t="n">
        <v>1.79823446274964</v>
      </c>
      <c r="E199" s="2" t="n">
        <v>1.74331260571808</v>
      </c>
    </row>
    <row r="200" customFormat="false" ht="13.8" hidden="false" customHeight="false" outlineLevel="0" collapsed="false">
      <c r="B200" s="2" t="n">
        <v>198</v>
      </c>
      <c r="C200" s="2" t="n">
        <v>0.184539637687121</v>
      </c>
      <c r="D200" s="2" t="n">
        <v>1.7189575316131</v>
      </c>
      <c r="E200" s="2" t="n">
        <v>1.66588732508301</v>
      </c>
    </row>
    <row r="201" customFormat="false" ht="13.8" hidden="false" customHeight="false" outlineLevel="0" collapsed="false">
      <c r="B201" s="2" t="n">
        <v>199</v>
      </c>
      <c r="C201" s="2" t="n">
        <v>0.184537792293543</v>
      </c>
      <c r="D201" s="2" t="n">
        <v>1.62950782227208</v>
      </c>
      <c r="E201" s="2" t="n">
        <v>1.58382142671154</v>
      </c>
    </row>
    <row r="202" customFormat="false" ht="13.8" hidden="false" customHeight="false" outlineLevel="0" collapsed="false">
      <c r="B202" s="2" t="n">
        <v>200</v>
      </c>
      <c r="C202" s="2" t="n">
        <v>0.184535946918386</v>
      </c>
      <c r="D202" s="2" t="n">
        <v>1.55244117412644</v>
      </c>
      <c r="E202" s="2" t="n">
        <v>1.50252260822664</v>
      </c>
    </row>
    <row r="203" customFormat="false" ht="13.8" hidden="false" customHeight="false" outlineLevel="0" collapsed="false">
      <c r="B203" s="2" t="n">
        <v>201</v>
      </c>
      <c r="C203" s="2" t="n">
        <v>0.184534101561651</v>
      </c>
      <c r="D203" s="2" t="n">
        <v>1.44656157309702</v>
      </c>
      <c r="E203" s="2" t="n">
        <v>1.39985304850239</v>
      </c>
    </row>
    <row r="204" customFormat="false" ht="13.8" hidden="false" customHeight="false" outlineLevel="0" collapsed="false">
      <c r="B204" s="2" t="n">
        <v>202</v>
      </c>
      <c r="C204" s="2" t="n">
        <v>0.184532256223338</v>
      </c>
      <c r="D204" s="2" t="n">
        <v>1.37938117574768</v>
      </c>
      <c r="E204" s="2" t="n">
        <v>1.33822694466369</v>
      </c>
    </row>
    <row r="205" customFormat="false" ht="13.8" hidden="false" customHeight="false" outlineLevel="0" collapsed="false">
      <c r="B205" s="2" t="n">
        <v>203</v>
      </c>
      <c r="C205" s="2" t="n">
        <v>0.184530410903447</v>
      </c>
      <c r="D205" s="2" t="n">
        <v>1.30603040849493</v>
      </c>
      <c r="E205" s="2" t="n">
        <v>1.26158729508967</v>
      </c>
    </row>
    <row r="206" customFormat="false" ht="13.8" hidden="false" customHeight="false" outlineLevel="0" collapsed="false">
      <c r="B206" s="2" t="n">
        <v>204</v>
      </c>
      <c r="C206" s="2" t="n">
        <v>0.184528565601976</v>
      </c>
      <c r="D206" s="2" t="n">
        <v>1.20350379736974</v>
      </c>
      <c r="E206" s="2" t="n">
        <v>1.1593658596626</v>
      </c>
    </row>
    <row r="207" customFormat="false" ht="13.8" hidden="false" customHeight="false" outlineLevel="0" collapsed="false">
      <c r="B207" s="2" t="n">
        <v>205</v>
      </c>
      <c r="C207" s="2" t="n">
        <v>0.184526720318928</v>
      </c>
      <c r="D207" s="2" t="n">
        <v>1.12573770186104</v>
      </c>
      <c r="E207" s="2" t="n">
        <v>1.07855273387724</v>
      </c>
    </row>
    <row r="208" customFormat="false" ht="13.8" hidden="false" customHeight="false" outlineLevel="0" collapsed="false">
      <c r="B208" s="2" t="n">
        <v>206</v>
      </c>
      <c r="C208" s="2" t="n">
        <v>0.1845248750543</v>
      </c>
      <c r="D208" s="2" t="n">
        <v>1.02379431629374</v>
      </c>
      <c r="E208" s="2" t="n">
        <v>0.975473928387105</v>
      </c>
    </row>
    <row r="209" customFormat="false" ht="13.8" hidden="false" customHeight="false" outlineLevel="0" collapsed="false">
      <c r="B209" s="2" t="n">
        <v>207</v>
      </c>
      <c r="C209" s="2" t="n">
        <v>0.184523029808093</v>
      </c>
      <c r="D209" s="2" t="n">
        <v>0.954239736457569</v>
      </c>
      <c r="E209" s="2" t="n">
        <v>0.908156497017347</v>
      </c>
    </row>
    <row r="210" customFormat="false" ht="13.8" hidden="false" customHeight="false" outlineLevel="0" collapsed="false">
      <c r="B210" s="2" t="n">
        <v>208</v>
      </c>
      <c r="C210" s="2" t="n">
        <v>0.184521184580306</v>
      </c>
      <c r="D210" s="2" t="n">
        <v>0.857254627717215</v>
      </c>
      <c r="E210" s="2" t="n">
        <v>0.81460412993851</v>
      </c>
    </row>
    <row r="211" customFormat="false" ht="13.8" hidden="false" customHeight="false" outlineLevel="0" collapsed="false">
      <c r="B211" s="2" t="n">
        <v>209</v>
      </c>
      <c r="C211" s="2" t="n">
        <v>0.18451933937094</v>
      </c>
      <c r="D211" s="2" t="n">
        <v>0.788703207086717</v>
      </c>
      <c r="E211" s="2" t="n">
        <v>0.750045813457871</v>
      </c>
    </row>
    <row r="212" customFormat="false" ht="13.8" hidden="false" customHeight="false" outlineLevel="0" collapsed="false">
      <c r="B212" s="2" t="n">
        <v>210</v>
      </c>
      <c r="C212" s="2" t="n">
        <v>0.184517494179994</v>
      </c>
      <c r="D212" s="2" t="n">
        <v>0.695153771440031</v>
      </c>
      <c r="E212" s="2" t="n">
        <v>0.645875880127791</v>
      </c>
    </row>
    <row r="213" customFormat="false" ht="13.8" hidden="false" customHeight="false" outlineLevel="0" collapsed="false">
      <c r="B213" s="2" t="n">
        <v>211</v>
      </c>
      <c r="C213" s="2" t="n">
        <v>0.184515649007468</v>
      </c>
      <c r="D213" s="2" t="n">
        <v>0.613898042716727</v>
      </c>
      <c r="E213" s="2" t="n">
        <v>0.569247735586502</v>
      </c>
    </row>
    <row r="214" customFormat="false" ht="13.8" hidden="false" customHeight="false" outlineLevel="0" collapsed="false">
      <c r="B214" s="2" t="n">
        <v>212</v>
      </c>
      <c r="C214" s="2" t="n">
        <v>0.184513803853362</v>
      </c>
      <c r="D214" s="2" t="n">
        <v>0.518471544811899</v>
      </c>
      <c r="E214" s="2" t="n">
        <v>0.478921364991357</v>
      </c>
    </row>
    <row r="215" customFormat="false" ht="13.8" hidden="false" customHeight="false" outlineLevel="0" collapsed="false">
      <c r="B215" s="2" t="n">
        <v>213</v>
      </c>
      <c r="C215" s="2" t="n">
        <v>0.184511958717635</v>
      </c>
      <c r="D215" s="2" t="n">
        <v>0.412254008854789</v>
      </c>
      <c r="E215" s="2" t="n">
        <v>0.380776889977141</v>
      </c>
    </row>
    <row r="216" customFormat="false" ht="13.8" hidden="false" customHeight="false" outlineLevel="0" collapsed="false">
      <c r="B216" s="2" t="n">
        <v>214</v>
      </c>
      <c r="C216" s="2" t="n">
        <v>0.184510113579382</v>
      </c>
      <c r="D216" s="2" t="n">
        <v>0.314974994578914</v>
      </c>
      <c r="E216" s="2" t="n">
        <v>0.275414786362929</v>
      </c>
    </row>
    <row r="217" customFormat="false" ht="13.8" hidden="false" customHeight="false" outlineLevel="0" collapsed="false">
      <c r="B217" s="2" t="n">
        <v>215</v>
      </c>
      <c r="C217" s="2" t="n">
        <v>0.140935683527316</v>
      </c>
      <c r="D217" s="2" t="n">
        <v>0.230343280645197</v>
      </c>
      <c r="E217" s="2" t="n">
        <v>0.189161546991184</v>
      </c>
    </row>
    <row r="218" customFormat="false" ht="13.8" hidden="false" customHeight="false" outlineLevel="0" collapsed="false">
      <c r="B218" s="2" t="n">
        <v>216</v>
      </c>
      <c r="C218" s="2" t="n">
        <v>0.10278628068707</v>
      </c>
      <c r="D218" s="2" t="n">
        <v>0.157976074316048</v>
      </c>
      <c r="E218" s="2" t="n">
        <v>0.120513914967603</v>
      </c>
    </row>
    <row r="219" customFormat="false" ht="13.8" hidden="false" customHeight="false" outlineLevel="0" collapsed="false">
      <c r="B219" s="2" t="n">
        <v>217</v>
      </c>
      <c r="C219" s="2" t="n">
        <v>0.0440181981029552</v>
      </c>
      <c r="D219" s="2" t="n">
        <v>0.0850886462158808</v>
      </c>
      <c r="E219" s="2" t="n">
        <v>0.0589291218670799</v>
      </c>
    </row>
    <row r="220" customFormat="false" ht="13.8" hidden="false" customHeight="false" outlineLevel="0" collapsed="false">
      <c r="B220" s="2" t="n">
        <v>218</v>
      </c>
      <c r="C220" s="2" t="n">
        <v>0.0187895867219618</v>
      </c>
      <c r="D220" s="2" t="n">
        <v>0.0202822118805268</v>
      </c>
      <c r="E220" s="2" t="n">
        <v>0.0333352498780542</v>
      </c>
    </row>
    <row r="221" customFormat="false" ht="13.8" hidden="false" customHeight="false" outlineLevel="0" collapsed="false">
      <c r="B221" s="2" t="n">
        <v>219</v>
      </c>
      <c r="C221" s="2" t="n">
        <v>0</v>
      </c>
      <c r="D221" s="2" t="n">
        <v>0</v>
      </c>
      <c r="E221" s="2" t="n">
        <v>0</v>
      </c>
    </row>
    <row r="222" customFormat="false" ht="13.8" hidden="false" customHeight="false" outlineLevel="0" collapsed="false">
      <c r="B222" s="2" t="n">
        <v>220</v>
      </c>
      <c r="C222" s="2" t="n">
        <v>6.95961218348079E-018</v>
      </c>
      <c r="D222" s="2" t="n">
        <v>0.00755318461995394</v>
      </c>
      <c r="E222" s="2" t="n">
        <v>1.79348954634161E-014</v>
      </c>
    </row>
    <row r="223" customFormat="false" ht="13.8" hidden="false" customHeight="false" outlineLevel="0" collapsed="false">
      <c r="B223" s="2" t="n">
        <v>221</v>
      </c>
      <c r="C223" s="2" t="n">
        <v>1.18092261759083E-017</v>
      </c>
      <c r="D223" s="2" t="n">
        <v>0.0219838899332455</v>
      </c>
      <c r="E223" s="2" t="n">
        <v>3.58712519590851E-014</v>
      </c>
    </row>
    <row r="224" customFormat="false" ht="13.8" hidden="false" customHeight="false" outlineLevel="0" collapsed="false">
      <c r="B224" s="2" t="n">
        <v>222</v>
      </c>
      <c r="C224" s="2" t="n">
        <v>1.1637240559122E-017</v>
      </c>
      <c r="D224" s="2" t="n">
        <v>0.0442816349308757</v>
      </c>
      <c r="E224" s="2" t="n">
        <v>5.38068113115034E-014</v>
      </c>
    </row>
    <row r="225" customFormat="false" ht="13.8" hidden="false" customHeight="false" outlineLevel="0" collapsed="false">
      <c r="B225" s="2" t="n">
        <v>223</v>
      </c>
      <c r="C225" s="2" t="n">
        <v>1.16364364502924E-017</v>
      </c>
      <c r="D225" s="2" t="n">
        <v>0.0729149761300473</v>
      </c>
      <c r="E225" s="2" t="n">
        <v>7.1742334514777E-014</v>
      </c>
    </row>
    <row r="226" customFormat="false" ht="13.8" hidden="false" customHeight="false" outlineLevel="0" collapsed="false">
      <c r="B226" s="2" t="n">
        <v>224</v>
      </c>
      <c r="C226" s="2" t="n">
        <v>1.14318004342424E-017</v>
      </c>
      <c r="D226" s="2" t="n">
        <v>0.108557993351655</v>
      </c>
      <c r="E226" s="2" t="n">
        <v>8.96777634428084E-014</v>
      </c>
    </row>
    <row r="227" customFormat="false" ht="13.8" hidden="false" customHeight="false" outlineLevel="0" collapsed="false">
      <c r="B227" s="2" t="n">
        <v>225</v>
      </c>
      <c r="C227" s="2" t="n">
        <v>0</v>
      </c>
      <c r="D227" s="2" t="n">
        <v>0.150700681064424</v>
      </c>
      <c r="E227" s="2" t="n">
        <v>1.07588583171808E-013</v>
      </c>
    </row>
    <row r="228" customFormat="false" ht="13.8" hidden="false" customHeight="false" outlineLevel="0" collapsed="false">
      <c r="B228" s="2" t="n">
        <v>226</v>
      </c>
      <c r="C228" s="2" t="n">
        <v>0.00787419181360119</v>
      </c>
      <c r="D228" s="2" t="n">
        <v>0.198525634270985</v>
      </c>
      <c r="E228" s="2" t="n">
        <v>1.25573021444388E-013</v>
      </c>
    </row>
    <row r="229" customFormat="false" ht="13.8" hidden="false" customHeight="false" outlineLevel="0" collapsed="false">
      <c r="B229" s="2" t="n">
        <v>227</v>
      </c>
      <c r="C229" s="2" t="n">
        <v>0.00787411307192922</v>
      </c>
      <c r="D229" s="2" t="n">
        <v>0.251943628344824</v>
      </c>
      <c r="E229" s="2" t="n">
        <v>1.43086907288241E-013</v>
      </c>
    </row>
    <row r="230" customFormat="false" ht="13.8" hidden="false" customHeight="false" outlineLevel="0" collapsed="false">
      <c r="B230" s="2" t="n">
        <v>228</v>
      </c>
      <c r="C230" s="2" t="n">
        <v>0.0255198335753746</v>
      </c>
      <c r="D230" s="2" t="n">
        <v>0.310917248489521</v>
      </c>
      <c r="E230" s="2" t="n">
        <v>1.59274575198041E-013</v>
      </c>
    </row>
    <row r="231" customFormat="false" ht="13.8" hidden="false" customHeight="false" outlineLevel="0" collapsed="false">
      <c r="B231" s="2" t="n">
        <v>229</v>
      </c>
      <c r="C231" s="2" t="n">
        <v>0.0328730176692747</v>
      </c>
      <c r="D231" s="2" t="n">
        <v>0.375430628238103</v>
      </c>
      <c r="E231" s="2" t="n">
        <v>1.7325525099349E-013</v>
      </c>
    </row>
    <row r="232" customFormat="false" ht="13.8" hidden="false" customHeight="false" outlineLevel="0" collapsed="false">
      <c r="B232" s="2" t="n">
        <v>230</v>
      </c>
      <c r="C232" s="2" t="n">
        <v>0.0332806536195074</v>
      </c>
      <c r="D232" s="2" t="n">
        <v>0.443626993236405</v>
      </c>
      <c r="E232" s="2" t="n">
        <v>1.84881029943959E-013</v>
      </c>
    </row>
    <row r="233" customFormat="false" ht="13.8" hidden="false" customHeight="false" outlineLevel="0" collapsed="false">
      <c r="B233" s="2" t="n">
        <v>231</v>
      </c>
      <c r="C233" s="2" t="n">
        <v>0.0368010736379789</v>
      </c>
      <c r="D233" s="2" t="n">
        <v>0.515502251032163</v>
      </c>
      <c r="E233" s="2" t="n">
        <v>1.9177711845529E-013</v>
      </c>
    </row>
    <row r="234" customFormat="false" ht="13.8" hidden="false" customHeight="false" outlineLevel="0" collapsed="false">
      <c r="B234" s="2" t="n">
        <v>232</v>
      </c>
      <c r="C234" s="2" t="n">
        <v>0.0383434593455473</v>
      </c>
      <c r="D234" s="2" t="n">
        <v>0.591052038426837</v>
      </c>
      <c r="E234" s="2" t="n">
        <v>1.57769536775253E-013</v>
      </c>
    </row>
    <row r="235" customFormat="false" ht="13.8" hidden="false" customHeight="false" outlineLevel="0" collapsed="false">
      <c r="B235" s="2" t="n">
        <v>233</v>
      </c>
      <c r="C235" s="2" t="n">
        <v>0.0486127948715239</v>
      </c>
      <c r="D235" s="2" t="n">
        <v>0.670279670770036</v>
      </c>
      <c r="E235" s="2" t="n">
        <v>3.29096179333437E-013</v>
      </c>
    </row>
    <row r="236" customFormat="false" ht="13.8" hidden="false" customHeight="false" outlineLevel="0" collapsed="false">
      <c r="B236" s="2" t="n">
        <v>234</v>
      </c>
      <c r="C236" s="2" t="n">
        <v>0.0567510944330302</v>
      </c>
      <c r="D236" s="2" t="n">
        <v>0.751581917722061</v>
      </c>
      <c r="E236" s="2" t="n">
        <v>0.00193883143347151</v>
      </c>
    </row>
    <row r="237" customFormat="false" ht="13.8" hidden="false" customHeight="false" outlineLevel="0" collapsed="false">
      <c r="B237" s="2" t="n">
        <v>235</v>
      </c>
      <c r="C237" s="2" t="n">
        <v>0.0743152381482059</v>
      </c>
      <c r="D237" s="2" t="n">
        <v>0.834934014468191</v>
      </c>
      <c r="E237" s="2" t="n">
        <v>0.00508084034802053</v>
      </c>
    </row>
    <row r="238" customFormat="false" ht="13.8" hidden="false" customHeight="false" outlineLevel="0" collapsed="false">
      <c r="B238" s="2" t="n">
        <v>236</v>
      </c>
      <c r="C238" s="2" t="n">
        <v>0.0859706332095234</v>
      </c>
      <c r="D238" s="2" t="n">
        <v>0.92037483949009</v>
      </c>
      <c r="E238" s="2" t="n">
        <v>0.0116874582938153</v>
      </c>
    </row>
    <row r="239" customFormat="false" ht="13.8" hidden="false" customHeight="false" outlineLevel="0" collapsed="false">
      <c r="B239" s="2" t="n">
        <v>237</v>
      </c>
      <c r="C239" s="2" t="n">
        <v>0.105085389802884</v>
      </c>
      <c r="D239" s="2" t="n">
        <v>1.00756117279139</v>
      </c>
      <c r="E239" s="2" t="n">
        <v>0.020299296022409</v>
      </c>
    </row>
    <row r="240" customFormat="false" ht="13.8" hidden="false" customHeight="false" outlineLevel="0" collapsed="false">
      <c r="B240" s="2" t="n">
        <v>238</v>
      </c>
      <c r="C240" s="2" t="n">
        <v>0.116891681711888</v>
      </c>
      <c r="D240" s="2" t="n">
        <v>1.09449744745504</v>
      </c>
      <c r="E240" s="2" t="n">
        <v>0.034798337760371</v>
      </c>
    </row>
    <row r="241" customFormat="false" ht="13.8" hidden="false" customHeight="false" outlineLevel="0" collapsed="false">
      <c r="B241" s="2" t="n">
        <v>239</v>
      </c>
      <c r="C241" s="2" t="n">
        <v>0.130696894865865</v>
      </c>
      <c r="D241" s="2" t="n">
        <v>1.18027879573493</v>
      </c>
      <c r="E241" s="2" t="n">
        <v>0.0648339704974896</v>
      </c>
    </row>
    <row r="242" customFormat="false" ht="13.8" hidden="false" customHeight="false" outlineLevel="0" collapsed="false">
      <c r="B242" s="2" t="n">
        <v>240</v>
      </c>
      <c r="C242" s="2" t="n">
        <v>0.159277127807436</v>
      </c>
      <c r="D242" s="2" t="n">
        <v>1.26592624505038</v>
      </c>
      <c r="E242" s="2" t="n">
        <v>0.115571809363402</v>
      </c>
    </row>
    <row r="243" customFormat="false" ht="13.8" hidden="false" customHeight="false" outlineLevel="0" collapsed="false">
      <c r="B243" s="2" t="n">
        <v>241</v>
      </c>
      <c r="C243" s="2" t="n">
        <v>0.159275535234617</v>
      </c>
      <c r="D243" s="2" t="n">
        <v>1.36616518427434</v>
      </c>
      <c r="E243" s="2" t="n">
        <v>0.231002634604875</v>
      </c>
    </row>
    <row r="244" customFormat="false" ht="13.8" hidden="false" customHeight="false" outlineLevel="0" collapsed="false">
      <c r="B244" s="2" t="n">
        <v>242</v>
      </c>
      <c r="C244" s="2" t="n">
        <v>0.170679344845086</v>
      </c>
      <c r="D244" s="2" t="n">
        <v>1.44929246221012</v>
      </c>
      <c r="E244" s="2" t="n">
        <v>0.446109208964232</v>
      </c>
    </row>
    <row r="245" customFormat="false" ht="13.8" hidden="false" customHeight="false" outlineLevel="0" collapsed="false">
      <c r="B245" s="2" t="n">
        <v>243</v>
      </c>
      <c r="C245" s="2" t="n">
        <v>0.184607930233341</v>
      </c>
      <c r="D245" s="2" t="n">
        <v>1.54702224029474</v>
      </c>
      <c r="E245" s="2" t="n">
        <v>0.848138745212285</v>
      </c>
    </row>
    <row r="246" customFormat="false" ht="13.8" hidden="false" customHeight="false" outlineLevel="0" collapsed="false">
      <c r="B246" s="2" t="n">
        <v>244</v>
      </c>
      <c r="C246" s="2" t="n">
        <v>0.184607930233387</v>
      </c>
      <c r="D246" s="2" t="n">
        <v>1.62762272586655</v>
      </c>
      <c r="E246" s="2" t="n">
        <v>1.41331944083216</v>
      </c>
    </row>
    <row r="247" customFormat="false" ht="13.8" hidden="false" customHeight="false" outlineLevel="0" collapsed="false">
      <c r="B247" s="2" t="n">
        <v>245</v>
      </c>
      <c r="C247" s="2" t="n">
        <v>0.184606084152755</v>
      </c>
      <c r="D247" s="2" t="n">
        <v>1.71097362112123</v>
      </c>
      <c r="E247" s="2" t="n">
        <v>2.08431076575447</v>
      </c>
    </row>
    <row r="248" customFormat="false" ht="13.8" hidden="false" customHeight="false" outlineLevel="0" collapsed="false">
      <c r="B248" s="2" t="n">
        <v>246</v>
      </c>
      <c r="C248" s="2" t="n">
        <v>0.184607930233414</v>
      </c>
      <c r="D248" s="2" t="n">
        <v>1.79108149664297</v>
      </c>
      <c r="E248" s="2" t="n">
        <v>2.7344536349173</v>
      </c>
    </row>
    <row r="249" customFormat="false" ht="13.8" hidden="false" customHeight="false" outlineLevel="0" collapsed="false">
      <c r="B249" s="2" t="n">
        <v>247</v>
      </c>
      <c r="C249" s="2" t="n">
        <v>0.184607930233416</v>
      </c>
      <c r="D249" s="2" t="n">
        <v>1.86738133286178</v>
      </c>
      <c r="E249" s="2" t="n">
        <v>3.3637482568051</v>
      </c>
    </row>
    <row r="250" customFormat="false" ht="13.8" hidden="false" customHeight="false" outlineLevel="0" collapsed="false">
      <c r="B250" s="2" t="n">
        <v>248</v>
      </c>
      <c r="C250" s="2" t="n">
        <v>0.184607930233409</v>
      </c>
      <c r="D250" s="2" t="n">
        <v>1.95410961882455</v>
      </c>
      <c r="E250" s="2" t="n">
        <v>3.97219483990059</v>
      </c>
    </row>
    <row r="251" customFormat="false" ht="13.8" hidden="false" customHeight="false" outlineLevel="0" collapsed="false">
      <c r="B251" s="2" t="n">
        <v>249</v>
      </c>
      <c r="C251" s="2" t="n">
        <v>0.184607930233413</v>
      </c>
      <c r="D251" s="2" t="n">
        <v>2.02582878880486</v>
      </c>
      <c r="E251" s="2" t="n">
        <v>4.55907371268403</v>
      </c>
    </row>
    <row r="252" customFormat="false" ht="13.8" hidden="false" customHeight="false" outlineLevel="0" collapsed="false">
      <c r="B252" s="2" t="n">
        <v>250</v>
      </c>
      <c r="C252" s="2" t="n">
        <v>0.184607930233413</v>
      </c>
      <c r="D252" s="2" t="n">
        <v>2.09439001220459</v>
      </c>
      <c r="E252" s="2" t="n">
        <v>5.10883248752366</v>
      </c>
    </row>
    <row r="253" customFormat="false" ht="13.8" hidden="false" customHeight="false" outlineLevel="0" collapsed="false">
      <c r="B253" s="2" t="n">
        <v>251</v>
      </c>
      <c r="C253" s="2" t="n">
        <v>0.184607930233413</v>
      </c>
      <c r="D253" s="2" t="n">
        <v>2.15931512561617</v>
      </c>
      <c r="E253" s="2" t="n">
        <v>5.62273122062046</v>
      </c>
    </row>
    <row r="254" customFormat="false" ht="13.8" hidden="false" customHeight="false" outlineLevel="0" collapsed="false">
      <c r="B254" s="2" t="n">
        <v>252</v>
      </c>
      <c r="C254" s="2" t="n">
        <v>0.184607930233413</v>
      </c>
      <c r="D254" s="2" t="n">
        <v>2.21686526860848</v>
      </c>
      <c r="E254" s="2" t="n">
        <v>6.0978307205746</v>
      </c>
    </row>
    <row r="255" customFormat="false" ht="13.8" hidden="false" customHeight="false" outlineLevel="0" collapsed="false">
      <c r="B255" s="2" t="n">
        <v>253</v>
      </c>
      <c r="C255" s="2" t="n">
        <v>0.184607930233507</v>
      </c>
      <c r="D255" s="2" t="n">
        <v>2.26733051317357</v>
      </c>
      <c r="E255" s="2" t="n">
        <v>6.51808140537889</v>
      </c>
    </row>
    <row r="256" customFormat="false" ht="13.8" hidden="false" customHeight="false" outlineLevel="0" collapsed="false">
      <c r="B256" s="2" t="n">
        <v>254</v>
      </c>
      <c r="C256" s="2" t="n">
        <v>0.184607930231183</v>
      </c>
      <c r="D256" s="2" t="n">
        <v>2.29562858670981</v>
      </c>
      <c r="E256" s="2" t="n">
        <v>6.81864184023777</v>
      </c>
    </row>
    <row r="257" customFormat="false" ht="13.8" hidden="false" customHeight="false" outlineLevel="0" collapsed="false">
      <c r="B257" s="2" t="n">
        <v>255</v>
      </c>
      <c r="C257" s="2" t="n">
        <v>0.184606084156551</v>
      </c>
      <c r="D257" s="2" t="n">
        <v>2.29562858671021</v>
      </c>
      <c r="E257" s="2" t="n">
        <v>7.05351280205429</v>
      </c>
    </row>
    <row r="258" customFormat="false" ht="13.8" hidden="false" customHeight="false" outlineLevel="0" collapsed="false">
      <c r="B258" s="2" t="n">
        <v>256</v>
      </c>
      <c r="C258" s="2" t="n">
        <v>0.184604240044258</v>
      </c>
      <c r="D258" s="2" t="n">
        <v>2.29562858670993</v>
      </c>
      <c r="E258" s="2" t="n">
        <v>7.15901782826713</v>
      </c>
    </row>
    <row r="259" customFormat="false" ht="13.8" hidden="false" customHeight="false" outlineLevel="0" collapsed="false">
      <c r="B259" s="2" t="n">
        <v>257</v>
      </c>
      <c r="C259" s="2" t="n">
        <v>0.184602392008875</v>
      </c>
      <c r="D259" s="2" t="n">
        <v>2.29560563042589</v>
      </c>
      <c r="E259" s="2" t="n">
        <v>7.15682227644306</v>
      </c>
    </row>
    <row r="260" customFormat="false" ht="13.8" hidden="false" customHeight="false" outlineLevel="0" collapsed="false">
      <c r="B260" s="2" t="n">
        <v>258</v>
      </c>
      <c r="C260" s="2" t="n">
        <v>0.184600545984979</v>
      </c>
      <c r="D260" s="2" t="n">
        <v>2.29558267437157</v>
      </c>
      <c r="E260" s="2" t="n">
        <v>7.11168559239353</v>
      </c>
    </row>
    <row r="261" customFormat="false" ht="13.8" hidden="false" customHeight="false" outlineLevel="0" collapsed="false">
      <c r="B261" s="2" t="n">
        <v>259</v>
      </c>
      <c r="C261" s="2" t="n">
        <v>0.184598699983319</v>
      </c>
      <c r="D261" s="2" t="n">
        <v>2.29555971854682</v>
      </c>
      <c r="E261" s="2" t="n">
        <v>7.08888616849287</v>
      </c>
    </row>
    <row r="262" customFormat="false" ht="13.8" hidden="false" customHeight="false" outlineLevel="0" collapsed="false">
      <c r="B262" s="2" t="n">
        <v>260</v>
      </c>
      <c r="C262" s="2" t="n">
        <v>0.184596854000088</v>
      </c>
      <c r="D262" s="2" t="n">
        <v>2.29553676295163</v>
      </c>
      <c r="E262" s="2" t="n">
        <v>7.02685002210919</v>
      </c>
    </row>
    <row r="263" customFormat="false" ht="13.8" hidden="false" customHeight="false" outlineLevel="0" collapsed="false">
      <c r="B263" s="2" t="n">
        <v>261</v>
      </c>
      <c r="C263" s="2" t="n">
        <v>0.184595008035284</v>
      </c>
      <c r="D263" s="2" t="n">
        <v>2.29551380758598</v>
      </c>
      <c r="E263" s="2" t="n">
        <v>6.97026282338752</v>
      </c>
    </row>
    <row r="264" customFormat="false" ht="13.8" hidden="false" customHeight="false" outlineLevel="0" collapsed="false">
      <c r="B264" s="2" t="n">
        <v>262</v>
      </c>
      <c r="C264" s="2" t="n">
        <v>0.184593162088859</v>
      </c>
      <c r="D264" s="2" t="n">
        <v>2.29549085245165</v>
      </c>
      <c r="E264" s="2" t="n">
        <v>6.85398570086897</v>
      </c>
    </row>
    <row r="265" customFormat="false" ht="13.8" hidden="false" customHeight="false" outlineLevel="0" collapsed="false">
      <c r="B265" s="2" t="n">
        <v>263</v>
      </c>
      <c r="C265" s="2" t="n">
        <v>0.18459131616091</v>
      </c>
      <c r="D265" s="2" t="n">
        <v>2.29546789847298</v>
      </c>
      <c r="E265" s="2" t="n">
        <v>6.76535251071205</v>
      </c>
    </row>
    <row r="266" customFormat="false" ht="13.8" hidden="false" customHeight="false" outlineLevel="0" collapsed="false">
      <c r="B266" s="2" t="n">
        <v>264</v>
      </c>
      <c r="C266" s="2" t="n">
        <v>0.184589470251388</v>
      </c>
      <c r="D266" s="2" t="n">
        <v>2.29544494281594</v>
      </c>
      <c r="E266" s="2" t="n">
        <v>6.58232582832928</v>
      </c>
    </row>
    <row r="267" customFormat="false" ht="13.8" hidden="false" customHeight="false" outlineLevel="0" collapsed="false">
      <c r="B267" s="2" t="n">
        <v>265</v>
      </c>
      <c r="C267" s="2" t="n">
        <v>0.184587624360294</v>
      </c>
      <c r="D267" s="2" t="n">
        <v>2.29542198836659</v>
      </c>
      <c r="E267" s="2" t="n">
        <v>6.36960974580795</v>
      </c>
    </row>
    <row r="268" customFormat="false" ht="13.8" hidden="false" customHeight="false" outlineLevel="0" collapsed="false">
      <c r="B268" s="2" t="n">
        <v>266</v>
      </c>
      <c r="C268" s="2" t="n">
        <v>0.184585778487627</v>
      </c>
      <c r="D268" s="2" t="n">
        <v>2.29539903414865</v>
      </c>
      <c r="E268" s="2" t="n">
        <v>6.11411743859547</v>
      </c>
    </row>
    <row r="269" customFormat="false" ht="13.8" hidden="false" customHeight="false" outlineLevel="0" collapsed="false">
      <c r="B269" s="2" t="n">
        <v>267</v>
      </c>
      <c r="C269" s="2" t="n">
        <v>0.184583932633387</v>
      </c>
      <c r="D269" s="2" t="n">
        <v>2.29537608016024</v>
      </c>
      <c r="E269" s="2" t="n">
        <v>5.92601561223184</v>
      </c>
    </row>
    <row r="270" customFormat="false" ht="13.8" hidden="false" customHeight="false" outlineLevel="0" collapsed="false">
      <c r="B270" s="2" t="n">
        <v>268</v>
      </c>
      <c r="C270" s="2" t="n">
        <v>0.184582086797573</v>
      </c>
      <c r="D270" s="2" t="n">
        <v>2.29535312640136</v>
      </c>
      <c r="E270" s="2" t="n">
        <v>5.68476725947895</v>
      </c>
    </row>
    <row r="271" customFormat="false" ht="13.8" hidden="false" customHeight="false" outlineLevel="0" collapsed="false">
      <c r="B271" s="2" t="n">
        <v>269</v>
      </c>
      <c r="C271" s="2" t="n">
        <v>0.184580240980186</v>
      </c>
      <c r="D271" s="2" t="n">
        <v>2.29533017287202</v>
      </c>
      <c r="E271" s="2" t="n">
        <v>5.42665154143166</v>
      </c>
    </row>
    <row r="272" customFormat="false" ht="13.8" hidden="false" customHeight="false" outlineLevel="0" collapsed="false">
      <c r="B272" s="2" t="n">
        <v>270</v>
      </c>
      <c r="C272" s="2" t="n">
        <v>0.184578395181225</v>
      </c>
      <c r="D272" s="2" t="n">
        <v>2.2953072195722</v>
      </c>
      <c r="E272" s="2" t="n">
        <v>5.14539134898587</v>
      </c>
    </row>
    <row r="273" customFormat="false" ht="13.8" hidden="false" customHeight="false" outlineLevel="0" collapsed="false">
      <c r="B273" s="2" t="n">
        <v>271</v>
      </c>
      <c r="C273" s="2" t="n">
        <v>0.18457654940069</v>
      </c>
      <c r="D273" s="2" t="n">
        <v>2.29528426650191</v>
      </c>
      <c r="E273" s="2" t="n">
        <v>4.89539213580854</v>
      </c>
    </row>
    <row r="274" customFormat="false" ht="13.8" hidden="false" customHeight="false" outlineLevel="0" collapsed="false">
      <c r="B274" s="2" t="n">
        <v>272</v>
      </c>
      <c r="C274" s="2" t="n">
        <v>0.184574703638582</v>
      </c>
      <c r="D274" s="2" t="n">
        <v>2.29526131366113</v>
      </c>
      <c r="E274" s="2" t="n">
        <v>4.6211540152158</v>
      </c>
    </row>
    <row r="275" customFormat="false" ht="13.8" hidden="false" customHeight="false" outlineLevel="0" collapsed="false">
      <c r="B275" s="2" t="n">
        <v>273</v>
      </c>
      <c r="C275" s="2" t="n">
        <v>0.184572857894899</v>
      </c>
      <c r="D275" s="2" t="n">
        <v>2.29523836104988</v>
      </c>
      <c r="E275" s="2" t="n">
        <v>4.34549226663377</v>
      </c>
    </row>
    <row r="276" customFormat="false" ht="13.8" hidden="false" customHeight="false" outlineLevel="0" collapsed="false">
      <c r="B276" s="2" t="n">
        <v>274</v>
      </c>
      <c r="C276" s="2" t="n">
        <v>0.184571012169642</v>
      </c>
      <c r="D276" s="2" t="n">
        <v>2.29521540866815</v>
      </c>
      <c r="E276" s="2" t="n">
        <v>4.06868553392834</v>
      </c>
    </row>
    <row r="277" customFormat="false" ht="13.8" hidden="false" customHeight="false" outlineLevel="0" collapsed="false">
      <c r="B277" s="2" t="n">
        <v>275</v>
      </c>
      <c r="C277" s="2" t="n">
        <v>0.18456916646281</v>
      </c>
      <c r="D277" s="2" t="n">
        <v>2.29519245651593</v>
      </c>
      <c r="E277" s="2" t="n">
        <v>3.80904805077159</v>
      </c>
    </row>
    <row r="278" customFormat="false" ht="13.8" hidden="false" customHeight="false" outlineLevel="0" collapsed="false">
      <c r="B278" s="2" t="n">
        <v>276</v>
      </c>
      <c r="C278" s="2" t="n">
        <v>0.184567320774403</v>
      </c>
      <c r="D278" s="2" t="n">
        <v>2.29516950459323</v>
      </c>
      <c r="E278" s="2" t="n">
        <v>3.55643194176732</v>
      </c>
    </row>
    <row r="279" customFormat="false" ht="13.8" hidden="false" customHeight="false" outlineLevel="0" collapsed="false">
      <c r="B279" s="2" t="n">
        <v>277</v>
      </c>
      <c r="C279" s="2" t="n">
        <v>0.184565475104421</v>
      </c>
      <c r="D279" s="2" t="n">
        <v>2.29514655290004</v>
      </c>
      <c r="E279" s="2" t="n">
        <v>3.30546587744252</v>
      </c>
    </row>
    <row r="280" customFormat="false" ht="13.8" hidden="false" customHeight="false" outlineLevel="0" collapsed="false">
      <c r="B280" s="2" t="n">
        <v>278</v>
      </c>
      <c r="C280" s="2" t="n">
        <v>0.184563629452864</v>
      </c>
      <c r="D280" s="2" t="n">
        <v>2.29512360143636</v>
      </c>
      <c r="E280" s="2" t="n">
        <v>3.04872532277824</v>
      </c>
    </row>
    <row r="281" customFormat="false" ht="13.8" hidden="false" customHeight="false" outlineLevel="0" collapsed="false">
      <c r="B281" s="2" t="n">
        <v>279</v>
      </c>
      <c r="C281" s="2" t="n">
        <v>0.184561783819689</v>
      </c>
      <c r="D281" s="2" t="n">
        <v>2.2951006502021</v>
      </c>
      <c r="E281" s="2" t="n">
        <v>2.76830246514899</v>
      </c>
    </row>
    <row r="282" customFormat="false" ht="13.8" hidden="false" customHeight="false" outlineLevel="0" collapsed="false">
      <c r="B282" s="2" t="n">
        <v>280</v>
      </c>
      <c r="C282" s="2" t="n">
        <v>0.184559938182488</v>
      </c>
      <c r="D282" s="2" t="n">
        <v>2.2950776991524</v>
      </c>
      <c r="E282" s="2" t="n">
        <v>2.51549335619264</v>
      </c>
    </row>
    <row r="283" customFormat="false" ht="13.8" hidden="false" customHeight="false" outlineLevel="0" collapsed="false">
      <c r="B283" s="2" t="n">
        <v>281</v>
      </c>
      <c r="C283" s="2" t="n">
        <v>0.184558092634785</v>
      </c>
      <c r="D283" s="2" t="n">
        <v>2.28280516989401</v>
      </c>
      <c r="E283" s="2" t="n">
        <v>2.30402844650012</v>
      </c>
    </row>
    <row r="284" customFormat="false" ht="13.8" hidden="false" customHeight="false" outlineLevel="0" collapsed="false">
      <c r="B284" s="2" t="n">
        <v>282</v>
      </c>
      <c r="C284" s="2" t="n">
        <v>0.184556247057018</v>
      </c>
      <c r="D284" s="2" t="n">
        <v>2.21759454827611</v>
      </c>
      <c r="E284" s="2" t="n">
        <v>2.13617005162968</v>
      </c>
    </row>
    <row r="285" customFormat="false" ht="13.8" hidden="false" customHeight="false" outlineLevel="0" collapsed="false">
      <c r="B285" s="2" t="n">
        <v>283</v>
      </c>
      <c r="C285" s="2" t="n">
        <v>0.184554401497583</v>
      </c>
      <c r="D285" s="2" t="n">
        <v>2.12994677073024</v>
      </c>
      <c r="E285" s="2" t="n">
        <v>2.07163968041419</v>
      </c>
    </row>
    <row r="286" customFormat="false" ht="13.8" hidden="false" customHeight="false" outlineLevel="0" collapsed="false">
      <c r="B286" s="2" t="n">
        <v>284</v>
      </c>
      <c r="C286" s="2" t="n">
        <v>0.184552555956571</v>
      </c>
      <c r="D286" s="2" t="n">
        <v>2.03539190193107</v>
      </c>
      <c r="E286" s="2" t="n">
        <v>1.98251855186307</v>
      </c>
    </row>
    <row r="287" customFormat="false" ht="13.8" hidden="false" customHeight="false" outlineLevel="0" collapsed="false">
      <c r="B287" s="2" t="n">
        <v>285</v>
      </c>
      <c r="C287" s="2" t="n">
        <v>0.184550710433983</v>
      </c>
      <c r="D287" s="2" t="n">
        <v>1.93866323216988</v>
      </c>
      <c r="E287" s="2" t="n">
        <v>1.89327698695984</v>
      </c>
    </row>
    <row r="288" customFormat="false" ht="13.8" hidden="false" customHeight="false" outlineLevel="0" collapsed="false">
      <c r="B288" s="2" t="n">
        <v>286</v>
      </c>
      <c r="C288" s="2" t="n">
        <v>0.184548864929818</v>
      </c>
      <c r="D288" s="2" t="n">
        <v>1.84133764707656</v>
      </c>
      <c r="E288" s="2" t="n">
        <v>1.79561628968365</v>
      </c>
    </row>
    <row r="289" customFormat="false" ht="13.8" hidden="false" customHeight="false" outlineLevel="0" collapsed="false">
      <c r="B289" s="2" t="n">
        <v>287</v>
      </c>
      <c r="C289" s="2" t="n">
        <v>0.184547019444077</v>
      </c>
      <c r="D289" s="2" t="n">
        <v>1.75019285978239</v>
      </c>
      <c r="E289" s="2" t="n">
        <v>1.71062963335997</v>
      </c>
    </row>
    <row r="290" customFormat="false" ht="13.8" hidden="false" customHeight="false" outlineLevel="0" collapsed="false">
      <c r="B290" s="2" t="n">
        <v>288</v>
      </c>
      <c r="C290" s="2" t="n">
        <v>0.184545173976836</v>
      </c>
      <c r="D290" s="2" t="n">
        <v>1.63986217816202</v>
      </c>
      <c r="E290" s="2" t="n">
        <v>1.61544074378801</v>
      </c>
    </row>
    <row r="291" customFormat="false" ht="13.8" hidden="false" customHeight="false" outlineLevel="0" collapsed="false">
      <c r="B291" s="2" t="n">
        <v>289</v>
      </c>
      <c r="C291" s="2" t="n">
        <v>0.184543328527785</v>
      </c>
      <c r="D291" s="2" t="n">
        <v>1.63984577953978</v>
      </c>
      <c r="E291" s="2" t="n">
        <v>1.59851390419136</v>
      </c>
    </row>
    <row r="292" customFormat="false" ht="13.8" hidden="false" customHeight="false" outlineLevel="0" collapsed="false">
      <c r="B292" s="2" t="n">
        <v>290</v>
      </c>
      <c r="C292" s="2" t="n">
        <v>0.18454148309739</v>
      </c>
      <c r="D292" s="2" t="n">
        <v>1.60848632380758</v>
      </c>
      <c r="E292" s="2" t="n">
        <v>1.54376449484074</v>
      </c>
    </row>
    <row r="293" customFormat="false" ht="13.8" hidden="false" customHeight="false" outlineLevel="0" collapsed="false">
      <c r="B293" s="2" t="n">
        <v>291</v>
      </c>
      <c r="C293" s="2" t="n">
        <v>0.184539637685339</v>
      </c>
      <c r="D293" s="2" t="n">
        <v>1.51096228807011</v>
      </c>
      <c r="E293" s="2" t="n">
        <v>1.45594058213954</v>
      </c>
    </row>
    <row r="294" customFormat="false" ht="13.8" hidden="false" customHeight="false" outlineLevel="0" collapsed="false">
      <c r="B294" s="2" t="n">
        <v>292</v>
      </c>
      <c r="C294" s="2" t="n">
        <v>0.184537792291711</v>
      </c>
      <c r="D294" s="2" t="n">
        <v>1.42541218950423</v>
      </c>
      <c r="E294" s="2" t="n">
        <v>1.3806641783388</v>
      </c>
    </row>
    <row r="295" customFormat="false" ht="13.8" hidden="false" customHeight="false" outlineLevel="0" collapsed="false">
      <c r="B295" s="2" t="n">
        <v>293</v>
      </c>
      <c r="C295" s="2" t="n">
        <v>0.184535946916505</v>
      </c>
      <c r="D295" s="2" t="n">
        <v>1.33186772122641</v>
      </c>
      <c r="E295" s="2" t="n">
        <v>1.28268040066313</v>
      </c>
    </row>
    <row r="296" customFormat="false" ht="13.8" hidden="false" customHeight="false" outlineLevel="0" collapsed="false">
      <c r="B296" s="2" t="n">
        <v>294</v>
      </c>
      <c r="C296" s="2" t="n">
        <v>0.184534101559721</v>
      </c>
      <c r="D296" s="2" t="n">
        <v>1.24569857263608</v>
      </c>
      <c r="E296" s="2" t="n">
        <v>1.20365645932314</v>
      </c>
    </row>
    <row r="297" customFormat="false" ht="13.8" hidden="false" customHeight="false" outlineLevel="0" collapsed="false">
      <c r="B297" s="2" t="n">
        <v>295</v>
      </c>
      <c r="C297" s="2" t="n">
        <v>0.184532256221358</v>
      </c>
      <c r="D297" s="2" t="n">
        <v>1.16245876413487</v>
      </c>
      <c r="E297" s="2" t="n">
        <v>1.11453797797304</v>
      </c>
    </row>
    <row r="298" customFormat="false" ht="13.8" hidden="false" customHeight="false" outlineLevel="0" collapsed="false">
      <c r="B298" s="2" t="n">
        <v>296</v>
      </c>
      <c r="C298" s="2" t="n">
        <v>0.184530410901417</v>
      </c>
      <c r="D298" s="2" t="n">
        <v>1.08065434078198</v>
      </c>
      <c r="E298" s="2" t="n">
        <v>1.03920813135377</v>
      </c>
    </row>
    <row r="299" customFormat="false" ht="13.8" hidden="false" customHeight="false" outlineLevel="0" collapsed="false">
      <c r="B299" s="2" t="n">
        <v>297</v>
      </c>
      <c r="C299" s="2" t="n">
        <v>0.184528565599897</v>
      </c>
      <c r="D299" s="2" t="n">
        <v>0.997498130796417</v>
      </c>
      <c r="E299" s="2" t="n">
        <v>0.949861587154287</v>
      </c>
    </row>
    <row r="300" customFormat="false" ht="13.8" hidden="false" customHeight="false" outlineLevel="0" collapsed="false">
      <c r="B300" s="2" t="n">
        <v>298</v>
      </c>
      <c r="C300" s="2" t="n">
        <v>0.184526720316799</v>
      </c>
      <c r="D300" s="2" t="n">
        <v>0.90943761544123</v>
      </c>
      <c r="E300" s="2" t="n">
        <v>0.868124665944523</v>
      </c>
    </row>
    <row r="301" customFormat="false" ht="13.8" hidden="false" customHeight="false" outlineLevel="0" collapsed="false">
      <c r="B301" s="2" t="n">
        <v>299</v>
      </c>
      <c r="C301" s="2" t="n">
        <v>0.184524875052121</v>
      </c>
      <c r="D301" s="2" t="n">
        <v>0.832470386920773</v>
      </c>
      <c r="E301" s="2" t="n">
        <v>0.784925674392876</v>
      </c>
    </row>
    <row r="302" customFormat="false" ht="13.8" hidden="false" customHeight="false" outlineLevel="0" collapsed="false">
      <c r="B302" s="2" t="n">
        <v>300</v>
      </c>
      <c r="C302" s="2" t="n">
        <v>0.184523029805865</v>
      </c>
      <c r="D302" s="2" t="n">
        <v>0.748082245155679</v>
      </c>
      <c r="E302" s="2" t="n">
        <v>0.706871253303585</v>
      </c>
    </row>
    <row r="303" customFormat="false" ht="13.8" hidden="false" customHeight="false" outlineLevel="0" collapsed="false">
      <c r="B303" s="2" t="n">
        <v>301</v>
      </c>
      <c r="C303" s="2" t="n">
        <v>0.184521184578029</v>
      </c>
      <c r="D303" s="2" t="n">
        <v>0.67190761285737</v>
      </c>
      <c r="E303" s="2" t="n">
        <v>0.624531039765693</v>
      </c>
    </row>
    <row r="304" customFormat="false" ht="13.8" hidden="false" customHeight="false" outlineLevel="0" collapsed="false">
      <c r="B304" s="2" t="n">
        <v>302</v>
      </c>
      <c r="C304" s="2" t="n">
        <v>0.184519339368613</v>
      </c>
      <c r="D304" s="2" t="n">
        <v>0.59507674221694</v>
      </c>
      <c r="E304" s="2" t="n">
        <v>0.554219223792418</v>
      </c>
    </row>
    <row r="305" customFormat="false" ht="13.8" hidden="false" customHeight="false" outlineLevel="0" collapsed="false">
      <c r="B305" s="2" t="n">
        <v>303</v>
      </c>
      <c r="C305" s="2" t="n">
        <v>0.184517494177617</v>
      </c>
      <c r="D305" s="2" t="n">
        <v>0.499026677232188</v>
      </c>
      <c r="E305" s="2" t="n">
        <v>0.452350351368071</v>
      </c>
    </row>
    <row r="306" customFormat="false" ht="13.8" hidden="false" customHeight="false" outlineLevel="0" collapsed="false">
      <c r="B306" s="2" t="n">
        <v>304</v>
      </c>
      <c r="C306" s="2" t="n">
        <v>0.184515649005042</v>
      </c>
      <c r="D306" s="2" t="n">
        <v>0.416059972710163</v>
      </c>
      <c r="E306" s="2" t="n">
        <v>0.37671465322589</v>
      </c>
    </row>
    <row r="307" customFormat="false" ht="13.8" hidden="false" customHeight="false" outlineLevel="0" collapsed="false">
      <c r="B307" s="2" t="n">
        <v>305</v>
      </c>
      <c r="C307" s="2" t="n">
        <v>0.184513803850886</v>
      </c>
      <c r="D307" s="2" t="n">
        <v>0.31816155980871</v>
      </c>
      <c r="E307" s="2" t="n">
        <v>0.274753193931571</v>
      </c>
    </row>
    <row r="308" customFormat="false" ht="13.8" hidden="false" customHeight="false" outlineLevel="0" collapsed="false">
      <c r="B308" s="2" t="n">
        <v>306</v>
      </c>
      <c r="C308" s="2" t="n">
        <v>0.184511958715201</v>
      </c>
      <c r="D308" s="2" t="n">
        <v>0.233114793547894</v>
      </c>
      <c r="E308" s="2" t="n">
        <v>0.200812308817503</v>
      </c>
    </row>
    <row r="309" customFormat="false" ht="13.8" hidden="false" customHeight="false" outlineLevel="0" collapsed="false">
      <c r="B309" s="2" t="n">
        <v>307</v>
      </c>
      <c r="C309" s="2" t="n">
        <v>0.180169229860374</v>
      </c>
      <c r="D309" s="2" t="n">
        <v>0.136093577865217</v>
      </c>
      <c r="E309" s="2" t="n">
        <v>0.107855031950356</v>
      </c>
    </row>
    <row r="310" customFormat="false" ht="13.8" hidden="false" customHeight="false" outlineLevel="0" collapsed="false">
      <c r="B310" s="2" t="n">
        <v>308</v>
      </c>
      <c r="C310" s="2" t="n">
        <v>0.13794520594537</v>
      </c>
      <c r="D310" s="2" t="n">
        <v>0.0637311827608829</v>
      </c>
      <c r="E310" s="2" t="n">
        <v>0.0641038764555927</v>
      </c>
    </row>
    <row r="311" customFormat="false" ht="13.8" hidden="false" customHeight="false" outlineLevel="0" collapsed="false">
      <c r="B311" s="2" t="n">
        <v>309</v>
      </c>
      <c r="C311" s="2" t="n">
        <v>0.0868140857523723</v>
      </c>
      <c r="D311" s="2" t="n">
        <v>2.71277305703994E-010</v>
      </c>
      <c r="E311" s="2" t="n">
        <v>0.0198708179004354</v>
      </c>
    </row>
    <row r="312" customFormat="false" ht="13.8" hidden="false" customHeight="false" outlineLevel="0" collapsed="false">
      <c r="B312" s="2" t="n">
        <v>310</v>
      </c>
      <c r="C312" s="2" t="n">
        <v>0.0868132176134764</v>
      </c>
      <c r="D312" s="2" t="n">
        <v>3.27233890281521E-009</v>
      </c>
      <c r="E312" s="2" t="n">
        <v>0.0142177220635178</v>
      </c>
    </row>
    <row r="313" customFormat="false" ht="13.8" hidden="false" customHeight="false" outlineLevel="0" collapsed="false">
      <c r="B313" s="2" t="n">
        <v>311</v>
      </c>
      <c r="C313" s="2" t="n">
        <v>0.0488915233242087</v>
      </c>
      <c r="D313" s="2" t="n">
        <v>1.33921425871482E-009</v>
      </c>
      <c r="E313" s="2" t="n">
        <v>2.69474631677091E-009</v>
      </c>
    </row>
    <row r="314" customFormat="false" ht="13.8" hidden="false" customHeight="false" outlineLevel="0" collapsed="false">
      <c r="B314" s="2" t="n">
        <v>312</v>
      </c>
      <c r="C314" s="2" t="n">
        <v>0.0374892497667147</v>
      </c>
      <c r="D314" s="2" t="n">
        <v>1.44923600762014E-011</v>
      </c>
      <c r="E314" s="2" t="n">
        <v>1.33512139685294E-009</v>
      </c>
    </row>
    <row r="315" customFormat="false" ht="13.8" hidden="false" customHeight="false" outlineLevel="0" collapsed="false">
      <c r="B315" s="2" t="n">
        <v>313</v>
      </c>
      <c r="C315" s="2" t="n">
        <v>0.00852722992897974</v>
      </c>
      <c r="D315" s="2" t="n">
        <v>6.75811728831384E-012</v>
      </c>
      <c r="E315" s="2" t="n">
        <v>4.9941763728191E-010</v>
      </c>
    </row>
    <row r="316" customFormat="false" ht="13.8" hidden="false" customHeight="false" outlineLevel="0" collapsed="false">
      <c r="B316" s="2" t="n">
        <v>314</v>
      </c>
      <c r="C316" s="2" t="n">
        <v>0</v>
      </c>
      <c r="D316" s="2" t="n">
        <v>0</v>
      </c>
      <c r="E316" s="2" t="n">
        <v>4.16380462120421E-011</v>
      </c>
    </row>
    <row r="317" customFormat="false" ht="13.8" hidden="false" customHeight="false" outlineLevel="0" collapsed="false">
      <c r="B317" s="2" t="n">
        <v>315</v>
      </c>
      <c r="C317" s="2" t="n">
        <v>6.03780867281288E-018</v>
      </c>
      <c r="D317" s="2" t="n">
        <v>0.0114216547936612</v>
      </c>
      <c r="E317" s="2" t="n">
        <v>8.03432025943217E-014</v>
      </c>
    </row>
    <row r="318" customFormat="false" ht="13.8" hidden="false" customHeight="false" outlineLevel="0" collapsed="false">
      <c r="B318" s="2" t="n">
        <v>316</v>
      </c>
      <c r="C318" s="2" t="n">
        <v>6.05668767449816E-018</v>
      </c>
      <c r="D318" s="2" t="n">
        <v>0.0263904585337203</v>
      </c>
      <c r="E318" s="2" t="n">
        <v>2.32564175730154E-015</v>
      </c>
    </row>
    <row r="319" customFormat="false" ht="13.8" hidden="false" customHeight="false" outlineLevel="0" collapsed="false">
      <c r="B319" s="2" t="n">
        <v>317</v>
      </c>
      <c r="C319" s="2" t="n">
        <v>1.2245321413087E-017</v>
      </c>
      <c r="D319" s="2" t="n">
        <v>0.0449063757486845</v>
      </c>
      <c r="E319" s="2" t="n">
        <v>1.06310206231074E-014</v>
      </c>
    </row>
    <row r="320" customFormat="false" ht="13.8" hidden="false" customHeight="false" outlineLevel="0" collapsed="false">
      <c r="B320" s="2" t="n">
        <v>318</v>
      </c>
      <c r="C320" s="2" t="n">
        <v>0</v>
      </c>
      <c r="D320" s="2" t="n">
        <v>0.0707504208026979</v>
      </c>
      <c r="E320" s="2" t="n">
        <v>0</v>
      </c>
    </row>
    <row r="321" customFormat="false" ht="13.8" hidden="false" customHeight="false" outlineLevel="0" collapsed="false">
      <c r="B321" s="2" t="n">
        <v>319</v>
      </c>
      <c r="C321" s="2" t="n">
        <v>2.00718666339599E-013</v>
      </c>
      <c r="D321" s="2" t="n">
        <v>0.10392252041449</v>
      </c>
      <c r="E321" s="2" t="n">
        <v>2.24347984565471E-013</v>
      </c>
    </row>
    <row r="322" customFormat="false" ht="13.8" hidden="false" customHeight="false" outlineLevel="0" collapsed="false">
      <c r="B322" s="2" t="n">
        <v>320</v>
      </c>
      <c r="C322" s="2" t="n">
        <v>8.89940930386818E-013</v>
      </c>
      <c r="D322" s="2" t="n">
        <v>0.144422601303508</v>
      </c>
      <c r="E322" s="2" t="n">
        <v>9.18807761743523E-013</v>
      </c>
    </row>
    <row r="323" customFormat="false" ht="13.8" hidden="false" customHeight="false" outlineLevel="0" collapsed="false">
      <c r="B323" s="2" t="n">
        <v>321</v>
      </c>
      <c r="C323" s="2" t="n">
        <v>5.19745232269549E-017</v>
      </c>
      <c r="D323" s="2" t="n">
        <v>0.192250590189934</v>
      </c>
      <c r="E323" s="2" t="n">
        <v>3.50857717548004E-014</v>
      </c>
    </row>
    <row r="324" customFormat="false" ht="13.8" hidden="false" customHeight="false" outlineLevel="0" collapsed="false">
      <c r="B324" s="2" t="n">
        <v>322</v>
      </c>
      <c r="C324" s="2" t="n">
        <v>0</v>
      </c>
      <c r="D324" s="2" t="n">
        <v>0.237244185322518</v>
      </c>
      <c r="E324" s="2" t="n">
        <v>4.03248168322147E-014</v>
      </c>
    </row>
    <row r="325" customFormat="false" ht="13.8" hidden="false" customHeight="false" outlineLevel="0" collapsed="false">
      <c r="B325" s="2" t="n">
        <v>323</v>
      </c>
      <c r="C325" s="2" t="n">
        <v>0.00144169053967899</v>
      </c>
      <c r="D325" s="2" t="n">
        <v>0.294595632022888</v>
      </c>
      <c r="E325" s="2" t="n">
        <v>3.62862314405551E-014</v>
      </c>
    </row>
    <row r="326" customFormat="false" ht="13.8" hidden="false" customHeight="false" outlineLevel="0" collapsed="false">
      <c r="B326" s="2" t="n">
        <v>324</v>
      </c>
      <c r="C326" s="2" t="n">
        <v>0.0014416761230853</v>
      </c>
      <c r="D326" s="2" t="n">
        <v>0.356708698223681</v>
      </c>
      <c r="E326" s="2" t="n">
        <v>3.89760219007284E-014</v>
      </c>
    </row>
    <row r="327" customFormat="false" ht="13.8" hidden="false" customHeight="false" outlineLevel="0" collapsed="false">
      <c r="B327" s="2" t="n">
        <v>325</v>
      </c>
      <c r="C327" s="2" t="n">
        <v>0.0197910023172386</v>
      </c>
      <c r="D327" s="2" t="n">
        <v>0.423583336308703</v>
      </c>
      <c r="E327" s="2" t="n">
        <v>4.08166633385243E-014</v>
      </c>
    </row>
    <row r="328" customFormat="false" ht="13.8" hidden="false" customHeight="false" outlineLevel="0" collapsed="false">
      <c r="B328" s="2" t="n">
        <v>326</v>
      </c>
      <c r="C328" s="2" t="n">
        <v>0.0197908044075398</v>
      </c>
      <c r="D328" s="2" t="n">
        <v>0.495568449479376</v>
      </c>
      <c r="E328" s="2" t="n">
        <v>4.21405271837312E-014</v>
      </c>
    </row>
    <row r="329" customFormat="false" ht="13.8" hidden="false" customHeight="false" outlineLevel="0" collapsed="false">
      <c r="B329" s="2" t="n">
        <v>327</v>
      </c>
      <c r="C329" s="2" t="n">
        <v>0.0376759564420787</v>
      </c>
      <c r="D329" s="2" t="n">
        <v>0.571873808342701</v>
      </c>
      <c r="E329" s="2" t="n">
        <v>0.000370755968429568</v>
      </c>
    </row>
    <row r="330" customFormat="false" ht="13.8" hidden="false" customHeight="false" outlineLevel="0" collapsed="false">
      <c r="B330" s="2" t="n">
        <v>328</v>
      </c>
      <c r="C330" s="2" t="n">
        <v>0.0459656037758023</v>
      </c>
      <c r="D330" s="2" t="n">
        <v>0.654079726272718</v>
      </c>
      <c r="E330" s="2" t="n">
        <v>0.00382351581955877</v>
      </c>
    </row>
    <row r="331" customFormat="false" ht="13.8" hidden="false" customHeight="false" outlineLevel="0" collapsed="false">
      <c r="B331" s="2" t="n">
        <v>329</v>
      </c>
      <c r="C331" s="2" t="n">
        <v>0.0680248210920173</v>
      </c>
      <c r="D331" s="2" t="n">
        <v>0.741395965975583</v>
      </c>
      <c r="E331" s="2" t="n">
        <v>0.00893925764869561</v>
      </c>
    </row>
    <row r="332" customFormat="false" ht="13.8" hidden="false" customHeight="false" outlineLevel="0" collapsed="false">
      <c r="B332" s="2" t="n">
        <v>330</v>
      </c>
      <c r="C332" s="2" t="n">
        <v>0.0700922886091762</v>
      </c>
      <c r="D332" s="2" t="n">
        <v>0.829576965712576</v>
      </c>
      <c r="E332" s="2" t="n">
        <v>0.0155829846381857</v>
      </c>
    </row>
    <row r="333" customFormat="false" ht="13.8" hidden="false" customHeight="false" outlineLevel="0" collapsed="false">
      <c r="B333" s="2" t="n">
        <v>331</v>
      </c>
      <c r="C333" s="2" t="n">
        <v>0.0978447784220647</v>
      </c>
      <c r="D333" s="2" t="n">
        <v>0.918622716836102</v>
      </c>
      <c r="E333" s="2" t="n">
        <v>0.0260158849244177</v>
      </c>
    </row>
    <row r="334" customFormat="false" ht="13.8" hidden="false" customHeight="false" outlineLevel="0" collapsed="false">
      <c r="B334" s="2" t="n">
        <v>332</v>
      </c>
      <c r="C334" s="2" t="n">
        <v>0.102696817711518</v>
      </c>
      <c r="D334" s="2" t="n">
        <v>1.00853321069864</v>
      </c>
      <c r="E334" s="2" t="n">
        <v>0.0432536171289709</v>
      </c>
    </row>
    <row r="335" customFormat="false" ht="13.8" hidden="false" customHeight="false" outlineLevel="0" collapsed="false">
      <c r="B335" s="2" t="n">
        <v>333</v>
      </c>
      <c r="C335" s="2" t="n">
        <v>0.13063688436994</v>
      </c>
      <c r="D335" s="2" t="n">
        <v>1.09930843865277</v>
      </c>
      <c r="E335" s="2" t="n">
        <v>0.09176835332122</v>
      </c>
    </row>
    <row r="336" customFormat="false" ht="13.8" hidden="false" customHeight="false" outlineLevel="0" collapsed="false">
      <c r="B336" s="2" t="n">
        <v>334</v>
      </c>
      <c r="C336" s="2" t="n">
        <v>0.1306355780332</v>
      </c>
      <c r="D336" s="2" t="n">
        <v>1.19051090663621</v>
      </c>
      <c r="E336" s="2" t="n">
        <v>0.149105929165973</v>
      </c>
    </row>
    <row r="337" customFormat="false" ht="13.8" hidden="false" customHeight="false" outlineLevel="0" collapsed="false">
      <c r="B337" s="2" t="n">
        <v>335</v>
      </c>
      <c r="C337" s="2" t="n">
        <v>0.146508829827382</v>
      </c>
      <c r="D337" s="2" t="n">
        <v>1.28214061037655</v>
      </c>
      <c r="E337" s="2" t="n">
        <v>0.307717355756091</v>
      </c>
    </row>
    <row r="338" customFormat="false" ht="13.8" hidden="false" customHeight="false" outlineLevel="0" collapsed="false">
      <c r="B338" s="2" t="n">
        <v>336</v>
      </c>
      <c r="C338" s="2" t="n">
        <v>0.158099712373096</v>
      </c>
      <c r="D338" s="2" t="n">
        <v>1.37419754560142</v>
      </c>
      <c r="E338" s="2" t="n">
        <v>0.510308017409112</v>
      </c>
    </row>
    <row r="339" customFormat="false" ht="13.8" hidden="false" customHeight="false" outlineLevel="0" collapsed="false">
      <c r="B339" s="2" t="n">
        <v>337</v>
      </c>
      <c r="C339" s="2" t="n">
        <v>0.173479058665046</v>
      </c>
      <c r="D339" s="2" t="n">
        <v>1.46668170803853</v>
      </c>
      <c r="E339" s="2" t="n">
        <v>1.01274898374843</v>
      </c>
    </row>
    <row r="340" customFormat="false" ht="13.8" hidden="false" customHeight="false" outlineLevel="0" collapsed="false">
      <c r="B340" s="2" t="n">
        <v>338</v>
      </c>
      <c r="C340" s="2" t="n">
        <v>0.173477324087694</v>
      </c>
      <c r="D340" s="2" t="n">
        <v>1.55765916579473</v>
      </c>
      <c r="E340" s="2" t="n">
        <v>1.52266103451725</v>
      </c>
    </row>
    <row r="341" customFormat="false" ht="13.8" hidden="false" customHeight="false" outlineLevel="0" collapsed="false">
      <c r="B341" s="2" t="n">
        <v>339</v>
      </c>
      <c r="C341" s="2" t="n">
        <v>0.184607930233578</v>
      </c>
      <c r="D341" s="2" t="n">
        <v>1.64712993393707</v>
      </c>
      <c r="E341" s="2" t="n">
        <v>2.14218898375885</v>
      </c>
    </row>
    <row r="342" customFormat="false" ht="13.8" hidden="false" customHeight="false" outlineLevel="0" collapsed="false">
      <c r="B342" s="2" t="n">
        <v>340</v>
      </c>
      <c r="C342" s="2" t="n">
        <v>0.184607930233412</v>
      </c>
      <c r="D342" s="2" t="n">
        <v>1.73509402753244</v>
      </c>
      <c r="E342" s="2" t="n">
        <v>2.7451082266344</v>
      </c>
    </row>
    <row r="343" customFormat="false" ht="13.8" hidden="false" customHeight="false" outlineLevel="0" collapsed="false">
      <c r="B343" s="2" t="n">
        <v>341</v>
      </c>
      <c r="C343" s="2" t="n">
        <v>0.184607930233361</v>
      </c>
      <c r="D343" s="2" t="n">
        <v>1.82155146164756</v>
      </c>
      <c r="E343" s="2" t="n">
        <v>3.36618199128728</v>
      </c>
    </row>
    <row r="344" customFormat="false" ht="13.8" hidden="false" customHeight="false" outlineLevel="0" collapsed="false">
      <c r="B344" s="2" t="n">
        <v>342</v>
      </c>
      <c r="C344" s="2" t="n">
        <v>0.184606084152756</v>
      </c>
      <c r="D344" s="2" t="n">
        <v>1.89944230885003</v>
      </c>
      <c r="E344" s="2" t="n">
        <v>3.89491652416888</v>
      </c>
    </row>
    <row r="345" customFormat="false" ht="13.8" hidden="false" customHeight="false" outlineLevel="0" collapsed="false">
      <c r="B345" s="2" t="n">
        <v>343</v>
      </c>
      <c r="C345" s="2" t="n">
        <v>0.184604238092035</v>
      </c>
      <c r="D345" s="2" t="n">
        <v>1.96876665480748</v>
      </c>
      <c r="E345" s="2" t="n">
        <v>4.38981274867147</v>
      </c>
    </row>
    <row r="346" customFormat="false" ht="13.8" hidden="false" customHeight="false" outlineLevel="0" collapsed="false">
      <c r="B346" s="2" t="n">
        <v>344</v>
      </c>
      <c r="C346" s="2" t="n">
        <v>0.184607930231326</v>
      </c>
      <c r="D346" s="2" t="n">
        <v>2.02952458518222</v>
      </c>
      <c r="E346" s="2" t="n">
        <v>4.79237100317824</v>
      </c>
    </row>
    <row r="347" customFormat="false" ht="13.8" hidden="false" customHeight="false" outlineLevel="0" collapsed="false">
      <c r="B347" s="2" t="n">
        <v>345</v>
      </c>
      <c r="C347" s="2" t="n">
        <v>0.184606084152844</v>
      </c>
      <c r="D347" s="2" t="n">
        <v>2.08171618564021</v>
      </c>
      <c r="E347" s="2" t="n">
        <v>5.15429604275302</v>
      </c>
    </row>
    <row r="348" customFormat="false" ht="13.8" hidden="false" customHeight="false" outlineLevel="0" collapsed="false">
      <c r="B348" s="2" t="n">
        <v>346</v>
      </c>
      <c r="C348" s="2" t="n">
        <v>0.184604238095573</v>
      </c>
      <c r="D348" s="2" t="n">
        <v>2.12855873292444</v>
      </c>
      <c r="E348" s="2" t="n">
        <v>5.45389041448109</v>
      </c>
    </row>
    <row r="349" customFormat="false" ht="13.8" hidden="false" customHeight="false" outlineLevel="0" collapsed="false">
      <c r="B349" s="2" t="n">
        <v>347</v>
      </c>
      <c r="C349" s="2" t="n">
        <v>0.184602392056818</v>
      </c>
      <c r="D349" s="2" t="n">
        <v>2.17264842734155</v>
      </c>
      <c r="E349" s="2" t="n">
        <v>5.74753848985299</v>
      </c>
    </row>
    <row r="350" customFormat="false" ht="13.8" hidden="false" customHeight="false" outlineLevel="0" collapsed="false">
      <c r="B350" s="2" t="n">
        <v>348</v>
      </c>
      <c r="C350" s="2" t="n">
        <v>0.184600546036492</v>
      </c>
      <c r="D350" s="2" t="n">
        <v>2.212687223012</v>
      </c>
      <c r="E350" s="2" t="n">
        <v>5.97815816173976</v>
      </c>
    </row>
    <row r="351" customFormat="false" ht="13.8" hidden="false" customHeight="false" outlineLevel="0" collapsed="false">
      <c r="B351" s="2" t="n">
        <v>349</v>
      </c>
      <c r="C351" s="2" t="n">
        <v>0.184598700034594</v>
      </c>
      <c r="D351" s="2" t="n">
        <v>2.24209203862382</v>
      </c>
      <c r="E351" s="2" t="n">
        <v>6.21059301724644</v>
      </c>
    </row>
    <row r="352" customFormat="false" ht="13.8" hidden="false" customHeight="false" outlineLevel="0" collapsed="false">
      <c r="B352" s="2" t="n">
        <v>350</v>
      </c>
      <c r="C352" s="2" t="n">
        <v>0.184596854051125</v>
      </c>
      <c r="D352" s="2" t="n">
        <v>2.27116118736336</v>
      </c>
      <c r="E352" s="2" t="n">
        <v>6.35809105659659</v>
      </c>
    </row>
    <row r="353" customFormat="false" ht="13.8" hidden="false" customHeight="false" outlineLevel="0" collapsed="false">
      <c r="B353" s="2" t="n">
        <v>351</v>
      </c>
      <c r="C353" s="2" t="n">
        <v>0.184595008086083</v>
      </c>
      <c r="D353" s="2" t="n">
        <v>2.27857745916269</v>
      </c>
      <c r="E353" s="2" t="n">
        <v>6.48247043258311</v>
      </c>
    </row>
    <row r="354" customFormat="false" ht="13.8" hidden="false" customHeight="false" outlineLevel="0" collapsed="false">
      <c r="B354" s="2" t="n">
        <v>352</v>
      </c>
      <c r="C354" s="2" t="n">
        <v>0.184593162143274</v>
      </c>
      <c r="D354" s="2" t="n">
        <v>2.29380925375789</v>
      </c>
      <c r="E354" s="2" t="n">
        <v>6.50476314818515</v>
      </c>
    </row>
    <row r="355" customFormat="false" ht="13.8" hidden="false" customHeight="false" outlineLevel="0" collapsed="false">
      <c r="B355" s="2" t="n">
        <v>353</v>
      </c>
      <c r="C355" s="2" t="n">
        <v>0.184591318209024</v>
      </c>
      <c r="D355" s="2" t="n">
        <v>2.29562858670984</v>
      </c>
      <c r="E355" s="2" t="n">
        <v>6.50469810055404</v>
      </c>
    </row>
    <row r="356" customFormat="false" ht="13.8" hidden="false" customHeight="false" outlineLevel="0" collapsed="false">
      <c r="B356" s="2" t="n">
        <v>354</v>
      </c>
      <c r="C356" s="2" t="n">
        <v>0.1845894702532</v>
      </c>
      <c r="D356" s="2" t="n">
        <v>2.29560563042533</v>
      </c>
      <c r="E356" s="2" t="n">
        <v>6.45428277570879</v>
      </c>
    </row>
    <row r="357" customFormat="false" ht="13.8" hidden="false" customHeight="false" outlineLevel="0" collapsed="false">
      <c r="B357" s="2" t="n">
        <v>355</v>
      </c>
      <c r="C357" s="2" t="n">
        <v>0.184587624357967</v>
      </c>
      <c r="D357" s="2" t="n">
        <v>2.29558267437056</v>
      </c>
      <c r="E357" s="2" t="n">
        <v>6.44142843512414</v>
      </c>
    </row>
    <row r="358" customFormat="false" ht="13.8" hidden="false" customHeight="false" outlineLevel="0" collapsed="false">
      <c r="B358" s="2" t="n">
        <v>356</v>
      </c>
      <c r="C358" s="2" t="n">
        <v>0.184585778485063</v>
      </c>
      <c r="D358" s="2" t="n">
        <v>2.29555971854538</v>
      </c>
      <c r="E358" s="2" t="n">
        <v>6.34900516615321</v>
      </c>
    </row>
    <row r="359" customFormat="false" ht="13.8" hidden="false" customHeight="false" outlineLevel="0" collapsed="false">
      <c r="B359" s="2" t="n">
        <v>357</v>
      </c>
      <c r="C359" s="2" t="n">
        <v>0.184583932630587</v>
      </c>
      <c r="D359" s="2" t="n">
        <v>2.29553676294974</v>
      </c>
      <c r="E359" s="2" t="n">
        <v>6.31364343115196</v>
      </c>
    </row>
    <row r="360" customFormat="false" ht="13.8" hidden="false" customHeight="false" outlineLevel="0" collapsed="false">
      <c r="B360" s="2" t="n">
        <v>358</v>
      </c>
      <c r="C360" s="2" t="n">
        <v>0.184582086794537</v>
      </c>
      <c r="D360" s="2" t="n">
        <v>2.29551380758365</v>
      </c>
      <c r="E360" s="2" t="n">
        <v>6.18215277304126</v>
      </c>
    </row>
    <row r="361" customFormat="false" ht="13.8" hidden="false" customHeight="false" outlineLevel="0" collapsed="false">
      <c r="B361" s="2" t="n">
        <v>359</v>
      </c>
      <c r="C361" s="2" t="n">
        <v>0.184580240976911</v>
      </c>
      <c r="D361" s="2" t="n">
        <v>2.29549085244878</v>
      </c>
      <c r="E361" s="2" t="n">
        <v>6.10649730125847</v>
      </c>
    </row>
    <row r="362" customFormat="false" ht="13.8" hidden="false" customHeight="false" outlineLevel="0" collapsed="false">
      <c r="B362" s="2" t="n">
        <v>360</v>
      </c>
      <c r="C362" s="2" t="n">
        <v>0.184578395177666</v>
      </c>
      <c r="D362" s="2" t="n">
        <v>2.29546789841775</v>
      </c>
      <c r="E362" s="2" t="n">
        <v>5.94986136485914</v>
      </c>
    </row>
    <row r="363" customFormat="false" ht="13.8" hidden="false" customHeight="false" outlineLevel="0" collapsed="false">
      <c r="B363" s="2" t="n">
        <v>361</v>
      </c>
      <c r="C363" s="2" t="n">
        <v>0.184576549396894</v>
      </c>
      <c r="D363" s="2" t="n">
        <v>2.29544494281218</v>
      </c>
      <c r="E363" s="2" t="n">
        <v>5.87368997735425</v>
      </c>
    </row>
    <row r="364" customFormat="false" ht="13.8" hidden="false" customHeight="false" outlineLevel="0" collapsed="false">
      <c r="B364" s="2" t="n">
        <v>362</v>
      </c>
      <c r="C364" s="2" t="n">
        <v>0.184574703634549</v>
      </c>
      <c r="D364" s="2" t="n">
        <v>2.29542198836249</v>
      </c>
      <c r="E364" s="2" t="n">
        <v>5.7180743515631</v>
      </c>
    </row>
    <row r="365" customFormat="false" ht="13.8" hidden="false" customHeight="false" outlineLevel="0" collapsed="false">
      <c r="B365" s="2" t="n">
        <v>363</v>
      </c>
      <c r="C365" s="2" t="n">
        <v>0.184572857890628</v>
      </c>
      <c r="D365" s="2" t="n">
        <v>2.2953990341441</v>
      </c>
      <c r="E365" s="2" t="n">
        <v>5.62855255970586</v>
      </c>
    </row>
    <row r="366" customFormat="false" ht="13.8" hidden="false" customHeight="false" outlineLevel="0" collapsed="false">
      <c r="B366" s="2" t="n">
        <v>364</v>
      </c>
      <c r="C366" s="2" t="n">
        <v>0.184571012165134</v>
      </c>
      <c r="D366" s="2" t="n">
        <v>2.29537608015525</v>
      </c>
      <c r="E366" s="2" t="n">
        <v>5.44277175565899</v>
      </c>
    </row>
    <row r="367" customFormat="false" ht="13.8" hidden="false" customHeight="false" outlineLevel="0" collapsed="false">
      <c r="B367" s="2" t="n">
        <v>365</v>
      </c>
      <c r="C367" s="2" t="n">
        <v>0.184569166458065</v>
      </c>
      <c r="D367" s="2" t="n">
        <v>2.29535312639593</v>
      </c>
      <c r="E367" s="2" t="n">
        <v>5.20430642053115</v>
      </c>
    </row>
    <row r="368" customFormat="false" ht="13.8" hidden="false" customHeight="false" outlineLevel="0" collapsed="false">
      <c r="B368" s="2" t="n">
        <v>366</v>
      </c>
      <c r="C368" s="2" t="n">
        <v>0.184567320769421</v>
      </c>
      <c r="D368" s="2" t="n">
        <v>2.29533017286614</v>
      </c>
      <c r="E368" s="2" t="n">
        <v>4.90008309968615</v>
      </c>
    </row>
    <row r="369" customFormat="false" ht="13.8" hidden="false" customHeight="false" outlineLevel="0" collapsed="false">
      <c r="B369" s="2" t="n">
        <v>367</v>
      </c>
      <c r="C369" s="2" t="n">
        <v>0.184565475099202</v>
      </c>
      <c r="D369" s="2" t="n">
        <v>2.29530721956588</v>
      </c>
      <c r="E369" s="2" t="n">
        <v>4.68686283959274</v>
      </c>
    </row>
    <row r="370" customFormat="false" ht="13.8" hidden="false" customHeight="false" outlineLevel="0" collapsed="false">
      <c r="B370" s="2" t="n">
        <v>368</v>
      </c>
      <c r="C370" s="2" t="n">
        <v>0.184563629447408</v>
      </c>
      <c r="D370" s="2" t="n">
        <v>2.29528426649515</v>
      </c>
      <c r="E370" s="2" t="n">
        <v>4.42734826725736</v>
      </c>
    </row>
    <row r="371" customFormat="false" ht="13.8" hidden="false" customHeight="false" outlineLevel="0" collapsed="false">
      <c r="B371" s="2" t="n">
        <v>369</v>
      </c>
      <c r="C371" s="2" t="n">
        <v>0.184561783814038</v>
      </c>
      <c r="D371" s="2" t="n">
        <v>2.29526131365393</v>
      </c>
      <c r="E371" s="2" t="n">
        <v>4.17063303080831</v>
      </c>
    </row>
    <row r="372" customFormat="false" ht="13.8" hidden="false" customHeight="false" outlineLevel="0" collapsed="false">
      <c r="B372" s="2" t="n">
        <v>370</v>
      </c>
      <c r="C372" s="2" t="n">
        <v>0.184559938199093</v>
      </c>
      <c r="D372" s="2" t="n">
        <v>2.29523836104224</v>
      </c>
      <c r="E372" s="2" t="n">
        <v>3.88036545410408</v>
      </c>
    </row>
    <row r="373" customFormat="false" ht="13.8" hidden="false" customHeight="false" outlineLevel="0" collapsed="false">
      <c r="B373" s="2" t="n">
        <v>371</v>
      </c>
      <c r="C373" s="2" t="n">
        <v>0.184558092602573</v>
      </c>
      <c r="D373" s="2" t="n">
        <v>2.29521540866006</v>
      </c>
      <c r="E373" s="2" t="n">
        <v>3.64478594674216</v>
      </c>
    </row>
    <row r="374" customFormat="false" ht="13.8" hidden="false" customHeight="false" outlineLevel="0" collapsed="false">
      <c r="B374" s="2" t="n">
        <v>372</v>
      </c>
      <c r="C374" s="2" t="n">
        <v>0.184556247024476</v>
      </c>
      <c r="D374" s="2" t="n">
        <v>2.2951924565074</v>
      </c>
      <c r="E374" s="2" t="n">
        <v>3.34143029517517</v>
      </c>
    </row>
    <row r="375" customFormat="false" ht="13.8" hidden="false" customHeight="false" outlineLevel="0" collapsed="false">
      <c r="B375" s="2" t="n">
        <v>373</v>
      </c>
      <c r="C375" s="2" t="n">
        <v>0.184554401464804</v>
      </c>
      <c r="D375" s="2" t="n">
        <v>2.29516950458426</v>
      </c>
      <c r="E375" s="2" t="n">
        <v>3.12228086234976</v>
      </c>
    </row>
    <row r="376" customFormat="false" ht="13.8" hidden="false" customHeight="false" outlineLevel="0" collapsed="false">
      <c r="B376" s="2" t="n">
        <v>374</v>
      </c>
      <c r="C376" s="2" t="n">
        <v>0.184552555923555</v>
      </c>
      <c r="D376" s="2" t="n">
        <v>2.29514655289062</v>
      </c>
      <c r="E376" s="2" t="n">
        <v>2.89281823212965</v>
      </c>
    </row>
    <row r="377" customFormat="false" ht="13.8" hidden="false" customHeight="false" outlineLevel="0" collapsed="false">
      <c r="B377" s="2" t="n">
        <v>375</v>
      </c>
      <c r="C377" s="2" t="n">
        <v>0.184550710400687</v>
      </c>
      <c r="D377" s="2" t="n">
        <v>2.29512360142641</v>
      </c>
      <c r="E377" s="2" t="n">
        <v>2.68056243357275</v>
      </c>
    </row>
    <row r="378" customFormat="false" ht="13.8" hidden="false" customHeight="false" outlineLevel="0" collapsed="false">
      <c r="B378" s="2" t="n">
        <v>376</v>
      </c>
      <c r="C378" s="2" t="n">
        <v>0.184548864873787</v>
      </c>
      <c r="D378" s="2" t="n">
        <v>2.29510065014676</v>
      </c>
      <c r="E378" s="2" t="n">
        <v>2.48258651683295</v>
      </c>
    </row>
    <row r="379" customFormat="false" ht="13.8" hidden="false" customHeight="false" outlineLevel="0" collapsed="false">
      <c r="B379" s="2" t="n">
        <v>377</v>
      </c>
      <c r="C379" s="2" t="n">
        <v>0.184547019436392</v>
      </c>
      <c r="D379" s="2" t="n">
        <v>2.24737664719543</v>
      </c>
      <c r="E379" s="2" t="n">
        <v>2.3669427430066</v>
      </c>
    </row>
    <row r="380" customFormat="false" ht="13.8" hidden="false" customHeight="false" outlineLevel="0" collapsed="false">
      <c r="B380" s="2" t="n">
        <v>378</v>
      </c>
      <c r="C380" s="2" t="n">
        <v>0.184545173968929</v>
      </c>
      <c r="D380" s="2" t="n">
        <v>2.16740759828875</v>
      </c>
      <c r="E380" s="2" t="n">
        <v>2.2856388894571</v>
      </c>
    </row>
    <row r="381" customFormat="false" ht="13.8" hidden="false" customHeight="false" outlineLevel="0" collapsed="false">
      <c r="B381" s="2" t="n">
        <v>379</v>
      </c>
      <c r="C381" s="2" t="n">
        <v>0.184543328519797</v>
      </c>
      <c r="D381" s="2" t="n">
        <v>2.06584073617076</v>
      </c>
      <c r="E381" s="2" t="n">
        <v>2.15012007295881</v>
      </c>
    </row>
    <row r="382" customFormat="false" ht="13.8" hidden="false" customHeight="false" outlineLevel="0" collapsed="false">
      <c r="B382" s="2" t="n">
        <v>380</v>
      </c>
      <c r="C382" s="2" t="n">
        <v>0.184541483089086</v>
      </c>
      <c r="D382" s="2" t="n">
        <v>1.9591968407797</v>
      </c>
      <c r="E382" s="2" t="n">
        <v>2.06457036429405</v>
      </c>
    </row>
    <row r="383" customFormat="false" ht="13.8" hidden="false" customHeight="false" outlineLevel="0" collapsed="false">
      <c r="B383" s="2" t="n">
        <v>381</v>
      </c>
      <c r="C383" s="2" t="n">
        <v>0.1845396376768</v>
      </c>
      <c r="D383" s="2" t="n">
        <v>1.85022502624857</v>
      </c>
      <c r="E383" s="2" t="n">
        <v>1.94572058929795</v>
      </c>
    </row>
    <row r="384" customFormat="false" ht="13.8" hidden="false" customHeight="false" outlineLevel="0" collapsed="false">
      <c r="B384" s="2" t="n">
        <v>382</v>
      </c>
      <c r="C384" s="2" t="n">
        <v>0.18453779228343</v>
      </c>
      <c r="D384" s="2" t="n">
        <v>1.83911270444459</v>
      </c>
      <c r="E384" s="2" t="n">
        <v>1.86725354423601</v>
      </c>
    </row>
    <row r="385" customFormat="false" ht="13.8" hidden="false" customHeight="false" outlineLevel="0" collapsed="false">
      <c r="B385" s="2" t="n">
        <v>383</v>
      </c>
      <c r="C385" s="2" t="n">
        <v>0.184535946907373</v>
      </c>
      <c r="D385" s="2" t="n">
        <v>1.83909431331778</v>
      </c>
      <c r="E385" s="2" t="n">
        <v>1.81232457539941</v>
      </c>
    </row>
    <row r="386" customFormat="false" ht="13.8" hidden="false" customHeight="false" outlineLevel="0" collapsed="false">
      <c r="B386" s="2" t="n">
        <v>384</v>
      </c>
      <c r="C386" s="2" t="n">
        <v>0.18453410155035</v>
      </c>
      <c r="D386" s="2" t="n">
        <v>1.8390759223756</v>
      </c>
      <c r="E386" s="2" t="n">
        <v>1.71169211881542</v>
      </c>
    </row>
    <row r="387" customFormat="false" ht="13.8" hidden="false" customHeight="false" outlineLevel="0" collapsed="false">
      <c r="B387" s="2" t="n">
        <v>385</v>
      </c>
      <c r="C387" s="2" t="n">
        <v>0.184532256211607</v>
      </c>
      <c r="D387" s="2" t="n">
        <v>1.83905753161678</v>
      </c>
      <c r="E387" s="2" t="n">
        <v>1.62813431670592</v>
      </c>
    </row>
    <row r="388" customFormat="false" ht="13.8" hidden="false" customHeight="false" outlineLevel="0" collapsed="false">
      <c r="B388" s="2" t="n">
        <v>386</v>
      </c>
      <c r="C388" s="2" t="n">
        <v>0.184530410891804</v>
      </c>
      <c r="D388" s="2" t="n">
        <v>1.76587408048907</v>
      </c>
      <c r="E388" s="2" t="n">
        <v>1.5750579477635</v>
      </c>
    </row>
    <row r="389" customFormat="false" ht="13.8" hidden="false" customHeight="false" outlineLevel="0" collapsed="false">
      <c r="B389" s="2" t="n">
        <v>387</v>
      </c>
      <c r="C389" s="2" t="n">
        <v>0.184528565589904</v>
      </c>
      <c r="D389" s="2" t="n">
        <v>1.6547453106368</v>
      </c>
      <c r="E389" s="2" t="n">
        <v>1.47302214162528</v>
      </c>
    </row>
    <row r="390" customFormat="false" ht="13.8" hidden="false" customHeight="false" outlineLevel="0" collapsed="false">
      <c r="B390" s="2" t="n">
        <v>388</v>
      </c>
      <c r="C390" s="2" t="n">
        <v>0.184526720306567</v>
      </c>
      <c r="D390" s="2" t="n">
        <v>1.54361765207222</v>
      </c>
      <c r="E390" s="2" t="n">
        <v>1.40867302251176</v>
      </c>
    </row>
    <row r="391" customFormat="false" ht="13.8" hidden="false" customHeight="false" outlineLevel="0" collapsed="false">
      <c r="B391" s="2" t="n">
        <v>389</v>
      </c>
      <c r="C391" s="2" t="n">
        <v>0.184524875041629</v>
      </c>
      <c r="D391" s="2" t="n">
        <v>1.43249110478422</v>
      </c>
      <c r="E391" s="2" t="n">
        <v>1.2927696580005</v>
      </c>
    </row>
    <row r="392" customFormat="false" ht="13.8" hidden="false" customHeight="false" outlineLevel="0" collapsed="false">
      <c r="B392" s="2" t="n">
        <v>390</v>
      </c>
      <c r="C392" s="2" t="n">
        <v>0.184523029795189</v>
      </c>
      <c r="D392" s="2" t="n">
        <v>1.33527042363361</v>
      </c>
      <c r="E392" s="2" t="n">
        <v>1.25190738283613</v>
      </c>
    </row>
    <row r="393" customFormat="false" ht="13.8" hidden="false" customHeight="false" outlineLevel="0" collapsed="false">
      <c r="B393" s="2" t="n">
        <v>391</v>
      </c>
      <c r="C393" s="2" t="n">
        <v>0.184521184567116</v>
      </c>
      <c r="D393" s="2" t="n">
        <v>1.23246814139196</v>
      </c>
      <c r="E393" s="2" t="n">
        <v>1.16885018218491</v>
      </c>
    </row>
    <row r="394" customFormat="false" ht="13.8" hidden="false" customHeight="false" outlineLevel="0" collapsed="false">
      <c r="B394" s="2" t="n">
        <v>392</v>
      </c>
      <c r="C394" s="2" t="n">
        <v>0.184519339357463</v>
      </c>
      <c r="D394" s="2" t="n">
        <v>1.13141517019131</v>
      </c>
      <c r="E394" s="2" t="n">
        <v>1.07967491797638</v>
      </c>
    </row>
    <row r="395" customFormat="false" ht="13.8" hidden="false" customHeight="false" outlineLevel="0" collapsed="false">
      <c r="B395" s="2" t="n">
        <v>393</v>
      </c>
      <c r="C395" s="2" t="n">
        <v>0.18451749416623</v>
      </c>
      <c r="D395" s="2" t="n">
        <v>1.04384531597862</v>
      </c>
      <c r="E395" s="2" t="n">
        <v>0.999074383506635</v>
      </c>
    </row>
    <row r="396" customFormat="false" ht="13.8" hidden="false" customHeight="false" outlineLevel="0" collapsed="false">
      <c r="B396" s="2" t="n">
        <v>394</v>
      </c>
      <c r="C396" s="2" t="n">
        <v>0.184515648993418</v>
      </c>
      <c r="D396" s="2" t="n">
        <v>0.94633165947512</v>
      </c>
      <c r="E396" s="2" t="n">
        <v>0.908345110809338</v>
      </c>
    </row>
    <row r="397" customFormat="false" ht="13.8" hidden="false" customHeight="false" outlineLevel="0" collapsed="false">
      <c r="B397" s="2" t="n">
        <v>395</v>
      </c>
      <c r="C397" s="2" t="n">
        <v>0.184513803839025</v>
      </c>
      <c r="D397" s="2" t="n">
        <v>0.857054545983237</v>
      </c>
      <c r="E397" s="2" t="n">
        <v>0.829899770122271</v>
      </c>
    </row>
    <row r="398" customFormat="false" ht="13.8" hidden="false" customHeight="false" outlineLevel="0" collapsed="false">
      <c r="B398" s="2" t="n">
        <v>396</v>
      </c>
      <c r="C398" s="2" t="n">
        <v>0.184511958703052</v>
      </c>
      <c r="D398" s="2" t="n">
        <v>0.783709445705415</v>
      </c>
      <c r="E398" s="2" t="n">
        <v>0.747560334186388</v>
      </c>
    </row>
    <row r="399" customFormat="false" ht="13.8" hidden="false" customHeight="false" outlineLevel="0" collapsed="false">
      <c r="B399" s="2" t="n">
        <v>397</v>
      </c>
      <c r="C399" s="2" t="n">
        <v>0.184510113585499</v>
      </c>
      <c r="D399" s="2" t="n">
        <v>0.682386817140616</v>
      </c>
      <c r="E399" s="2" t="n">
        <v>0.64234870560503</v>
      </c>
    </row>
    <row r="400" customFormat="false" ht="13.8" hidden="false" customHeight="false" outlineLevel="0" collapsed="false">
      <c r="B400" s="2" t="n">
        <v>398</v>
      </c>
      <c r="C400" s="2" t="n">
        <v>0.184508268486364</v>
      </c>
      <c r="D400" s="2" t="n">
        <v>0.608153329030908</v>
      </c>
      <c r="E400" s="2" t="n">
        <v>0.567050279688893</v>
      </c>
    </row>
    <row r="401" customFormat="false" ht="13.8" hidden="false" customHeight="false" outlineLevel="0" collapsed="false">
      <c r="B401" s="2" t="n">
        <v>399</v>
      </c>
      <c r="C401" s="2" t="n">
        <v>0.184506423405649</v>
      </c>
      <c r="D401" s="2" t="n">
        <v>0.505648092384899</v>
      </c>
      <c r="E401" s="2" t="n">
        <v>0.465524949480012</v>
      </c>
    </row>
    <row r="402" customFormat="false" ht="13.8" hidden="false" customHeight="false" outlineLevel="0" collapsed="false">
      <c r="B402" s="2" t="n">
        <v>400</v>
      </c>
      <c r="C402" s="2" t="n">
        <v>0.184504578343353</v>
      </c>
      <c r="D402" s="2" t="n">
        <v>0.435612710363816</v>
      </c>
      <c r="E402" s="2" t="n">
        <v>0.399253675322206</v>
      </c>
    </row>
    <row r="403" customFormat="false" ht="13.8" hidden="false" customHeight="false" outlineLevel="0" collapsed="false">
      <c r="B403" s="2" t="n">
        <v>401</v>
      </c>
      <c r="C403" s="2" t="n">
        <v>0.184502733299283</v>
      </c>
      <c r="D403" s="2" t="n">
        <v>0.331540586986228</v>
      </c>
      <c r="E403" s="2" t="n">
        <v>0.303909746328172</v>
      </c>
    </row>
    <row r="404" customFormat="false" ht="13.8" hidden="false" customHeight="false" outlineLevel="0" collapsed="false">
      <c r="B404" s="2" t="n">
        <v>402</v>
      </c>
      <c r="C404" s="2" t="n">
        <v>0.184500888172707</v>
      </c>
      <c r="D404" s="2" t="n">
        <v>0.244448444503056</v>
      </c>
      <c r="E404" s="2" t="n">
        <v>0.23601396022941</v>
      </c>
    </row>
    <row r="405" customFormat="false" ht="13.8" hidden="false" customHeight="false" outlineLevel="0" collapsed="false">
      <c r="B405" s="2" t="n">
        <v>403</v>
      </c>
      <c r="C405" s="2" t="n">
        <v>0.179529025280103</v>
      </c>
      <c r="D405" s="2" t="n">
        <v>0.133334888907468</v>
      </c>
      <c r="E405" s="2" t="n">
        <v>0.155870062576476</v>
      </c>
    </row>
    <row r="406" customFormat="false" ht="13.8" hidden="false" customHeight="false" outlineLevel="0" collapsed="false">
      <c r="B406" s="2" t="n">
        <v>404</v>
      </c>
      <c r="C406" s="2" t="n">
        <v>0.179527229925408</v>
      </c>
      <c r="D406" s="2" t="n">
        <v>0.0222224444469361</v>
      </c>
      <c r="E406" s="2" t="n">
        <v>0.112960800168363</v>
      </c>
    </row>
    <row r="407" customFormat="false" ht="13.8" hidden="false" customHeight="false" outlineLevel="0" collapsed="false">
      <c r="B407" s="2" t="n">
        <v>405</v>
      </c>
      <c r="C407" s="2" t="n">
        <v>0.137222252225007</v>
      </c>
      <c r="D407" s="2" t="n">
        <v>6.64955119089875E-013</v>
      </c>
      <c r="E407" s="2" t="n">
        <v>0.0820219456122755</v>
      </c>
    </row>
    <row r="408" customFormat="false" ht="13.8" hidden="false" customHeight="false" outlineLevel="0" collapsed="false">
      <c r="B408" s="2" t="n">
        <v>406</v>
      </c>
      <c r="C408" s="2" t="n">
        <v>0.0953808472621624</v>
      </c>
      <c r="D408" s="2" t="n">
        <v>1.81766787172574E-012</v>
      </c>
      <c r="E408" s="2" t="n">
        <v>0.0642830921981041</v>
      </c>
    </row>
    <row r="409" customFormat="false" ht="13.8" hidden="false" customHeight="false" outlineLevel="0" collapsed="false">
      <c r="B409" s="2" t="n">
        <v>407</v>
      </c>
      <c r="C409" s="2" t="n">
        <v>0.0455533130389821</v>
      </c>
      <c r="D409" s="2" t="n">
        <v>3.63399666363952E-012</v>
      </c>
      <c r="E409" s="2" t="n">
        <v>0.0384724905152272</v>
      </c>
    </row>
    <row r="410" customFormat="false" ht="13.8" hidden="false" customHeight="false" outlineLevel="0" collapsed="false">
      <c r="B410" s="2" t="n">
        <v>408</v>
      </c>
      <c r="C410" s="2" t="n">
        <v>0.0206986745631263</v>
      </c>
      <c r="D410" s="2" t="n">
        <v>5.39815577248317E-012</v>
      </c>
      <c r="E410" s="2" t="n">
        <v>0.0202233131718606</v>
      </c>
    </row>
    <row r="411" customFormat="false" ht="13.8" hidden="false" customHeight="false" outlineLevel="0" collapsed="false">
      <c r="B411" s="2" t="n">
        <v>409</v>
      </c>
      <c r="C411" s="2" t="n">
        <v>0</v>
      </c>
      <c r="D411" s="2" t="n">
        <v>0</v>
      </c>
      <c r="E411" s="2" t="n">
        <v>0</v>
      </c>
    </row>
    <row r="412" customFormat="false" ht="13.8" hidden="false" customHeight="false" outlineLevel="0" collapsed="false">
      <c r="B412" s="2" t="n">
        <v>410</v>
      </c>
      <c r="C412" s="2" t="n">
        <v>1.14197464961965E-014</v>
      </c>
      <c r="D412" s="2" t="n">
        <v>0.00406658779266207</v>
      </c>
      <c r="E412" s="2" t="n">
        <v>3.18322486236015E-015</v>
      </c>
    </row>
    <row r="413" customFormat="false" ht="13.8" hidden="false" customHeight="false" outlineLevel="0" collapsed="false">
      <c r="B413" s="2" t="n">
        <v>411</v>
      </c>
      <c r="C413" s="2" t="n">
        <v>2.2860926754647E-014</v>
      </c>
      <c r="D413" s="2" t="n">
        <v>0.0116931935058387</v>
      </c>
      <c r="E413" s="2" t="n">
        <v>1.45831774132302E-014</v>
      </c>
    </row>
    <row r="414" customFormat="false" ht="13.8" hidden="false" customHeight="false" outlineLevel="0" collapsed="false">
      <c r="B414" s="2" t="n">
        <v>412</v>
      </c>
      <c r="C414" s="2" t="n">
        <v>3.42890700680038E-014</v>
      </c>
      <c r="D414" s="2" t="n">
        <v>0.0270282372613447</v>
      </c>
      <c r="E414" s="2" t="n">
        <v>2.39606447005607E-014</v>
      </c>
    </row>
    <row r="415" customFormat="false" ht="13.8" hidden="false" customHeight="false" outlineLevel="0" collapsed="false">
      <c r="B415" s="2" t="n">
        <v>413</v>
      </c>
      <c r="C415" s="2" t="n">
        <v>4.57217004793799E-014</v>
      </c>
      <c r="D415" s="2" t="n">
        <v>0.0462302912315866</v>
      </c>
      <c r="E415" s="2" t="n">
        <v>3.20756672565676E-014</v>
      </c>
    </row>
    <row r="416" customFormat="false" ht="13.8" hidden="false" customHeight="false" outlineLevel="0" collapsed="false">
      <c r="B416" s="2" t="n">
        <v>414</v>
      </c>
      <c r="C416" s="2" t="n">
        <v>5.71480062771221E-014</v>
      </c>
      <c r="D416" s="2" t="n">
        <v>0.0728185670093175</v>
      </c>
      <c r="E416" s="2" t="n">
        <v>4.00946490275294E-014</v>
      </c>
    </row>
    <row r="417" customFormat="false" ht="13.8" hidden="false" customHeight="false" outlineLevel="0" collapsed="false">
      <c r="B417" s="2" t="n">
        <v>415</v>
      </c>
      <c r="C417" s="2" t="n">
        <v>6.75287963683093E-014</v>
      </c>
      <c r="D417" s="2" t="n">
        <v>0.106792990732319</v>
      </c>
      <c r="E417" s="2" t="n">
        <v>4.80947177389369E-014</v>
      </c>
    </row>
    <row r="418" customFormat="false" ht="13.8" hidden="false" customHeight="false" outlineLevel="0" collapsed="false">
      <c r="B418" s="2" t="n">
        <v>416</v>
      </c>
      <c r="C418" s="2" t="n">
        <v>6.65785670790191E-014</v>
      </c>
      <c r="D418" s="2" t="n">
        <v>0.148153488539114</v>
      </c>
      <c r="E418" s="2" t="n">
        <v>5.61512420570189E-014</v>
      </c>
    </row>
    <row r="419" customFormat="false" ht="13.8" hidden="false" customHeight="false" outlineLevel="0" collapsed="false">
      <c r="B419" s="2" t="n">
        <v>417</v>
      </c>
      <c r="C419" s="2" t="n">
        <v>7.20726437927614E-014</v>
      </c>
      <c r="D419" s="2" t="n">
        <v>0.19689998656896</v>
      </c>
      <c r="E419" s="2" t="n">
        <v>6.41255519192435E-014</v>
      </c>
    </row>
    <row r="420" customFormat="false" ht="13.8" hidden="false" customHeight="false" outlineLevel="0" collapsed="false">
      <c r="B420" s="2" t="n">
        <v>418</v>
      </c>
      <c r="C420" s="2" t="n">
        <v>1.57746398041169E-012</v>
      </c>
      <c r="D420" s="2" t="n">
        <v>0.251016519670369</v>
      </c>
      <c r="E420" s="2" t="n">
        <v>7.21647294980467E-014</v>
      </c>
    </row>
    <row r="421" customFormat="false" ht="13.8" hidden="false" customHeight="false" outlineLevel="0" collapsed="false">
      <c r="B421" s="2" t="n">
        <v>419</v>
      </c>
      <c r="C421" s="2" t="n">
        <v>0.0152429366730776</v>
      </c>
      <c r="D421" s="2" t="n">
        <v>0.310503034142992</v>
      </c>
      <c r="E421" s="2" t="n">
        <v>7.9169816615208E-014</v>
      </c>
    </row>
    <row r="422" customFormat="false" ht="13.8" hidden="false" customHeight="false" outlineLevel="0" collapsed="false">
      <c r="B422" s="2" t="n">
        <v>420</v>
      </c>
      <c r="C422" s="2" t="n">
        <v>0.0152427842455201</v>
      </c>
      <c r="D422" s="2" t="n">
        <v>0.375359476287011</v>
      </c>
      <c r="E422" s="2" t="n">
        <v>6.89873833692734E-014</v>
      </c>
    </row>
    <row r="423" customFormat="false" ht="13.8" hidden="false" customHeight="false" outlineLevel="0" collapsed="false">
      <c r="B423" s="2" t="n">
        <v>421</v>
      </c>
      <c r="C423" s="2" t="n">
        <v>0.0464472307347418</v>
      </c>
      <c r="D423" s="2" t="n">
        <v>0.445585792403152</v>
      </c>
      <c r="E423" s="2" t="n">
        <v>7.3396140336904E-014</v>
      </c>
    </row>
    <row r="424" customFormat="false" ht="13.8" hidden="false" customHeight="false" outlineLevel="0" collapsed="false">
      <c r="B424" s="2" t="n">
        <v>422</v>
      </c>
      <c r="C424" s="2" t="n">
        <v>0.0513185269560788</v>
      </c>
      <c r="D424" s="2" t="n">
        <v>0.519434408000793</v>
      </c>
      <c r="E424" s="2" t="n">
        <v>7.75148948676989E-014</v>
      </c>
    </row>
    <row r="425" customFormat="false" ht="13.8" hidden="false" customHeight="false" outlineLevel="0" collapsed="false">
      <c r="B425" s="2" t="n">
        <v>423</v>
      </c>
      <c r="C425" s="2" t="n">
        <v>0.053611087252486</v>
      </c>
      <c r="D425" s="2" t="n">
        <v>0.596905286856926</v>
      </c>
      <c r="E425" s="2" t="n">
        <v>8.16380543653874E-014</v>
      </c>
    </row>
    <row r="426" customFormat="false" ht="13.8" hidden="false" customHeight="false" outlineLevel="0" collapsed="false">
      <c r="B426" s="2" t="n">
        <v>424</v>
      </c>
      <c r="C426" s="2" t="n">
        <v>0.0633902723040051</v>
      </c>
      <c r="D426" s="2" t="n">
        <v>0.677998392748927</v>
      </c>
      <c r="E426" s="2" t="n">
        <v>0.00235872064272893</v>
      </c>
    </row>
    <row r="427" customFormat="false" ht="13.8" hidden="false" customHeight="false" outlineLevel="0" collapsed="false">
      <c r="B427" s="2" t="n">
        <v>425</v>
      </c>
      <c r="C427" s="2" t="n">
        <v>0.077716831464585</v>
      </c>
      <c r="D427" s="2" t="n">
        <v>0.762713689454525</v>
      </c>
      <c r="E427" s="2" t="n">
        <v>0.00449092985587936</v>
      </c>
    </row>
    <row r="428" customFormat="false" ht="13.8" hidden="false" customHeight="false" outlineLevel="0" collapsed="false">
      <c r="B428" s="2" t="n">
        <v>426</v>
      </c>
      <c r="C428" s="2" t="n">
        <v>0.121593725587487</v>
      </c>
      <c r="D428" s="2" t="n">
        <v>0.848991673837963</v>
      </c>
      <c r="E428" s="2" t="n">
        <v>0.0403855303101318</v>
      </c>
    </row>
    <row r="429" customFormat="false" ht="13.8" hidden="false" customHeight="false" outlineLevel="0" collapsed="false">
      <c r="B429" s="2" t="n">
        <v>427</v>
      </c>
      <c r="C429" s="2" t="n">
        <v>0.134147643248184</v>
      </c>
      <c r="D429" s="2" t="n">
        <v>0.936832330272369</v>
      </c>
      <c r="E429" s="2" t="n">
        <v>0.0602052666340615</v>
      </c>
    </row>
    <row r="430" customFormat="false" ht="13.8" hidden="false" customHeight="false" outlineLevel="0" collapsed="false">
      <c r="B430" s="2" t="n">
        <v>428</v>
      </c>
      <c r="C430" s="2" t="n">
        <v>0.160600281022389</v>
      </c>
      <c r="D430" s="2" t="n">
        <v>1.02623564313102</v>
      </c>
      <c r="E430" s="2" t="n">
        <v>0.0928583385105599</v>
      </c>
    </row>
    <row r="431" customFormat="false" ht="13.8" hidden="false" customHeight="false" outlineLevel="0" collapsed="false">
      <c r="B431" s="2" t="n">
        <v>429</v>
      </c>
      <c r="C431" s="2" t="n">
        <v>0.160598675222371</v>
      </c>
      <c r="D431" s="2" t="n">
        <v>1.11720159678735</v>
      </c>
      <c r="E431" s="2" t="n">
        <v>0.165329793071495</v>
      </c>
    </row>
    <row r="432" customFormat="false" ht="13.8" hidden="false" customHeight="false" outlineLevel="0" collapsed="false">
      <c r="B432" s="2" t="n">
        <v>430</v>
      </c>
      <c r="C432" s="2" t="n">
        <v>0.184607930233715</v>
      </c>
      <c r="D432" s="2" t="n">
        <v>1.21042012296895</v>
      </c>
      <c r="E432" s="2" t="n">
        <v>0.311244583763964</v>
      </c>
    </row>
    <row r="433" customFormat="false" ht="13.8" hidden="false" customHeight="false" outlineLevel="0" collapsed="false">
      <c r="B433" s="2" t="n">
        <v>431</v>
      </c>
      <c r="C433" s="2" t="n">
        <v>0.18460608415264</v>
      </c>
      <c r="D433" s="2" t="n">
        <v>1.30589119915011</v>
      </c>
      <c r="E433" s="2" t="n">
        <v>0.602116724076099</v>
      </c>
    </row>
    <row r="434" customFormat="false" ht="13.8" hidden="false" customHeight="false" outlineLevel="0" collapsed="false">
      <c r="B434" s="2" t="n">
        <v>432</v>
      </c>
      <c r="C434" s="2" t="n">
        <v>0.184607930233387</v>
      </c>
      <c r="D434" s="2" t="n">
        <v>1.40361480280533</v>
      </c>
      <c r="E434" s="2" t="n">
        <v>1.14341353686993</v>
      </c>
    </row>
    <row r="435" customFormat="false" ht="13.8" hidden="false" customHeight="false" outlineLevel="0" collapsed="false">
      <c r="B435" s="2" t="n">
        <v>433</v>
      </c>
      <c r="C435" s="2" t="n">
        <v>0.184607930233413</v>
      </c>
      <c r="D435" s="2" t="n">
        <v>1.5035909114093</v>
      </c>
      <c r="E435" s="2" t="n">
        <v>1.8552633823422</v>
      </c>
    </row>
    <row r="436" customFormat="false" ht="13.8" hidden="false" customHeight="false" outlineLevel="0" collapsed="false">
      <c r="B436" s="2" t="n">
        <v>434</v>
      </c>
      <c r="C436" s="2" t="n">
        <v>0.184607930233388</v>
      </c>
      <c r="D436" s="2" t="n">
        <v>1.6027996426399</v>
      </c>
      <c r="E436" s="2" t="n">
        <v>2.54976205349354</v>
      </c>
    </row>
    <row r="437" customFormat="false" ht="13.8" hidden="false" customHeight="false" outlineLevel="0" collapsed="false">
      <c r="B437" s="2" t="n">
        <v>435</v>
      </c>
      <c r="C437" s="2" t="n">
        <v>0.184606084152755</v>
      </c>
      <c r="D437" s="2" t="n">
        <v>1.70124100417</v>
      </c>
      <c r="E437" s="2" t="n">
        <v>3.2503097238357</v>
      </c>
    </row>
    <row r="438" customFormat="false" ht="13.8" hidden="false" customHeight="false" outlineLevel="0" collapsed="false">
      <c r="B438" s="2" t="n">
        <v>436</v>
      </c>
      <c r="C438" s="2" t="n">
        <v>0.184607930233414</v>
      </c>
      <c r="D438" s="2" t="n">
        <v>1.79891500367611</v>
      </c>
      <c r="E438" s="2" t="n">
        <v>3.9335063328786</v>
      </c>
    </row>
    <row r="439" customFormat="false" ht="13.8" hidden="false" customHeight="false" outlineLevel="0" collapsed="false">
      <c r="B439" s="2" t="n">
        <v>437</v>
      </c>
      <c r="C439" s="2" t="n">
        <v>0.184607930233411</v>
      </c>
      <c r="D439" s="2" t="n">
        <v>1.89582164882985</v>
      </c>
      <c r="E439" s="2" t="n">
        <v>4.62275205413293</v>
      </c>
    </row>
    <row r="440" customFormat="false" ht="13.8" hidden="false" customHeight="false" outlineLevel="0" collapsed="false">
      <c r="B440" s="2" t="n">
        <v>438</v>
      </c>
      <c r="C440" s="2" t="n">
        <v>0.184607930233279</v>
      </c>
      <c r="D440" s="2" t="n">
        <v>1.97539529404142</v>
      </c>
      <c r="E440" s="2" t="n">
        <v>5.20572242603572</v>
      </c>
    </row>
    <row r="441" customFormat="false" ht="13.8" hidden="false" customHeight="false" outlineLevel="0" collapsed="false">
      <c r="B441" s="2" t="n">
        <v>439</v>
      </c>
      <c r="C441" s="2" t="n">
        <v>0.184606084152757</v>
      </c>
      <c r="D441" s="2" t="n">
        <v>2.0376361126435</v>
      </c>
      <c r="E441" s="2" t="n">
        <v>5.63889191491008</v>
      </c>
    </row>
    <row r="442" customFormat="false" ht="13.8" hidden="false" customHeight="false" outlineLevel="0" collapsed="false">
      <c r="B442" s="2" t="n">
        <v>440</v>
      </c>
      <c r="C442" s="2" t="n">
        <v>0.184604238092043</v>
      </c>
      <c r="D442" s="2" t="n">
        <v>2.08254427796345</v>
      </c>
      <c r="E442" s="2" t="n">
        <v>5.92216807041525</v>
      </c>
    </row>
    <row r="443" customFormat="false" ht="13.8" hidden="false" customHeight="false" outlineLevel="0" collapsed="false">
      <c r="B443" s="2" t="n">
        <v>441</v>
      </c>
      <c r="C443" s="2" t="n">
        <v>0.184602392049759</v>
      </c>
      <c r="D443" s="2" t="n">
        <v>2.1101199633278</v>
      </c>
      <c r="E443" s="2" t="n">
        <v>6.06993778148457</v>
      </c>
    </row>
    <row r="444" customFormat="false" ht="13.8" hidden="false" customHeight="false" outlineLevel="0" collapsed="false">
      <c r="B444" s="2" t="n">
        <v>442</v>
      </c>
      <c r="C444" s="2" t="n">
        <v>0.184600546025902</v>
      </c>
      <c r="D444" s="2" t="n">
        <v>2.12760510143414</v>
      </c>
      <c r="E444" s="2" t="n">
        <v>6.23660324919572</v>
      </c>
    </row>
    <row r="445" customFormat="false" ht="13.8" hidden="false" customHeight="false" outlineLevel="0" collapsed="false">
      <c r="B445" s="2" t="n">
        <v>443</v>
      </c>
      <c r="C445" s="2" t="n">
        <v>0.184598700020479</v>
      </c>
      <c r="D445" s="2" t="n">
        <v>2.16079259967939</v>
      </c>
      <c r="E445" s="2" t="n">
        <v>6.45431640309946</v>
      </c>
    </row>
    <row r="446" customFormat="false" ht="13.8" hidden="false" customHeight="false" outlineLevel="0" collapsed="false">
      <c r="B446" s="2" t="n">
        <v>444</v>
      </c>
      <c r="C446" s="2" t="n">
        <v>0.184607930233333</v>
      </c>
      <c r="D446" s="2" t="n">
        <v>2.19678589779424</v>
      </c>
      <c r="E446" s="2" t="n">
        <v>6.70973679619808</v>
      </c>
    </row>
    <row r="447" customFormat="false" ht="13.8" hidden="false" customHeight="false" outlineLevel="0" collapsed="false">
      <c r="B447" s="2" t="n">
        <v>445</v>
      </c>
      <c r="C447" s="2" t="n">
        <v>0.184606084152759</v>
      </c>
      <c r="D447" s="2" t="n">
        <v>2.23558496772027</v>
      </c>
      <c r="E447" s="2" t="n">
        <v>6.90908754095342</v>
      </c>
    </row>
    <row r="448" customFormat="false" ht="13.8" hidden="false" customHeight="false" outlineLevel="0" collapsed="false">
      <c r="B448" s="2" t="n">
        <v>446</v>
      </c>
      <c r="C448" s="2" t="n">
        <v>0.184604238091978</v>
      </c>
      <c r="D448" s="2" t="n">
        <v>2.26720729051406</v>
      </c>
      <c r="E448" s="2" t="n">
        <v>7.15375079532585</v>
      </c>
    </row>
    <row r="449" customFormat="false" ht="13.8" hidden="false" customHeight="false" outlineLevel="0" collapsed="false">
      <c r="B449" s="2" t="n">
        <v>447</v>
      </c>
      <c r="C449" s="2" t="n">
        <v>0.184602392049649</v>
      </c>
      <c r="D449" s="2" t="n">
        <v>2.26718461886984</v>
      </c>
      <c r="E449" s="2" t="n">
        <v>7.32666965112363</v>
      </c>
    </row>
    <row r="450" customFormat="false" ht="13.8" hidden="false" customHeight="false" outlineLevel="0" collapsed="false">
      <c r="B450" s="2" t="n">
        <v>448</v>
      </c>
      <c r="C450" s="2" t="n">
        <v>0.184607930233226</v>
      </c>
      <c r="D450" s="2" t="n">
        <v>2.29562858671001</v>
      </c>
      <c r="E450" s="2" t="n">
        <v>7.52049147596908</v>
      </c>
    </row>
    <row r="451" customFormat="false" ht="13.8" hidden="false" customHeight="false" outlineLevel="0" collapsed="false">
      <c r="B451" s="2" t="n">
        <v>449</v>
      </c>
      <c r="C451" s="2" t="n">
        <v>0.184607930233399</v>
      </c>
      <c r="D451" s="2" t="n">
        <v>2.29562858670977</v>
      </c>
      <c r="E451" s="2" t="n">
        <v>7.62835833039148</v>
      </c>
    </row>
    <row r="452" customFormat="false" ht="13.8" hidden="false" customHeight="false" outlineLevel="0" collapsed="false">
      <c r="B452" s="2" t="n">
        <v>450</v>
      </c>
      <c r="C452" s="2" t="n">
        <v>0.184607930233385</v>
      </c>
      <c r="D452" s="2" t="n">
        <v>2.29562858670977</v>
      </c>
      <c r="E452" s="2" t="n">
        <v>7.77166352894902</v>
      </c>
    </row>
    <row r="453" customFormat="false" ht="13.8" hidden="false" customHeight="false" outlineLevel="0" collapsed="false">
      <c r="B453" s="2" t="n">
        <v>451</v>
      </c>
      <c r="C453" s="2" t="n">
        <v>0.184607930233386</v>
      </c>
      <c r="D453" s="2" t="n">
        <v>2.29562858670977</v>
      </c>
      <c r="E453" s="2" t="n">
        <v>7.81360697225745</v>
      </c>
    </row>
    <row r="454" customFormat="false" ht="13.8" hidden="false" customHeight="false" outlineLevel="0" collapsed="false">
      <c r="B454" s="2" t="n">
        <v>452</v>
      </c>
      <c r="C454" s="2" t="n">
        <v>0.18460793023333</v>
      </c>
      <c r="D454" s="2" t="n">
        <v>2.29562858670974</v>
      </c>
      <c r="E454" s="2" t="n">
        <v>7.90583947893444</v>
      </c>
    </row>
    <row r="455" customFormat="false" ht="13.8" hidden="false" customHeight="false" outlineLevel="0" collapsed="false">
      <c r="B455" s="2" t="n">
        <v>453</v>
      </c>
      <c r="C455" s="2" t="n">
        <v>0.184606084157204</v>
      </c>
      <c r="D455" s="2" t="n">
        <v>2.29560563042564</v>
      </c>
      <c r="E455" s="2" t="n">
        <v>7.89739628215964</v>
      </c>
    </row>
    <row r="456" customFormat="false" ht="13.8" hidden="false" customHeight="false" outlineLevel="0" collapsed="false">
      <c r="B456" s="2" t="n">
        <v>454</v>
      </c>
      <c r="C456" s="2" t="n">
        <v>0.184607932253784</v>
      </c>
      <c r="D456" s="2" t="n">
        <v>2.29562858671334</v>
      </c>
      <c r="E456" s="2" t="n">
        <v>7.92429399552481</v>
      </c>
    </row>
    <row r="457" customFormat="false" ht="13.8" hidden="false" customHeight="false" outlineLevel="0" collapsed="false">
      <c r="B457" s="2" t="n">
        <v>455</v>
      </c>
      <c r="C457" s="2" t="n">
        <v>0.184606084105155</v>
      </c>
      <c r="D457" s="2" t="n">
        <v>2.29560563042829</v>
      </c>
      <c r="E457" s="2" t="n">
        <v>7.83012510536672</v>
      </c>
    </row>
    <row r="458" customFormat="false" ht="13.8" hidden="false" customHeight="false" outlineLevel="0" collapsed="false">
      <c r="B458" s="2" t="n">
        <v>456</v>
      </c>
      <c r="C458" s="2" t="n">
        <v>0.184604238038474</v>
      </c>
      <c r="D458" s="2" t="n">
        <v>2.29558267571192</v>
      </c>
      <c r="E458" s="2" t="n">
        <v>7.79453830986261</v>
      </c>
    </row>
    <row r="459" customFormat="false" ht="13.8" hidden="false" customHeight="false" outlineLevel="0" collapsed="false">
      <c r="B459" s="2" t="n">
        <v>457</v>
      </c>
      <c r="C459" s="2" t="n">
        <v>0.184602391994108</v>
      </c>
      <c r="D459" s="2" t="n">
        <v>2.2955597184861</v>
      </c>
      <c r="E459" s="2" t="n">
        <v>7.58594022689729</v>
      </c>
    </row>
    <row r="460" customFormat="false" ht="13.8" hidden="false" customHeight="false" outlineLevel="0" collapsed="false">
      <c r="B460" s="2" t="n">
        <v>458</v>
      </c>
      <c r="C460" s="2" t="n">
        <v>0.18460054596817</v>
      </c>
      <c r="D460" s="2" t="n">
        <v>2.29553676288269</v>
      </c>
      <c r="E460" s="2" t="n">
        <v>7.40122775042761</v>
      </c>
    </row>
    <row r="461" customFormat="false" ht="13.8" hidden="false" customHeight="false" outlineLevel="0" collapsed="false">
      <c r="B461" s="2" t="n">
        <v>459</v>
      </c>
      <c r="C461" s="2" t="n">
        <v>0.184598699960661</v>
      </c>
      <c r="D461" s="2" t="n">
        <v>2.29551380751149</v>
      </c>
      <c r="E461" s="2" t="n">
        <v>7.14729041937528</v>
      </c>
    </row>
    <row r="462" customFormat="false" ht="13.8" hidden="false" customHeight="false" outlineLevel="0" collapsed="false">
      <c r="B462" s="2" t="n">
        <v>460</v>
      </c>
      <c r="C462" s="2" t="n">
        <v>0.18459685397158</v>
      </c>
      <c r="D462" s="2" t="n">
        <v>2.29549085236983</v>
      </c>
      <c r="E462" s="2" t="n">
        <v>6.93807250006293</v>
      </c>
    </row>
    <row r="463" customFormat="false" ht="13.8" hidden="false" customHeight="false" outlineLevel="0" collapsed="false">
      <c r="B463" s="2" t="n">
        <v>461</v>
      </c>
      <c r="C463" s="2" t="n">
        <v>0.184595008000897</v>
      </c>
      <c r="D463" s="2" t="n">
        <v>2.29546789745772</v>
      </c>
      <c r="E463" s="2" t="n">
        <v>6.67572252676074</v>
      </c>
    </row>
    <row r="464" customFormat="false" ht="13.8" hidden="false" customHeight="false" outlineLevel="0" collapsed="false">
      <c r="B464" s="2" t="n">
        <v>462</v>
      </c>
      <c r="C464" s="2" t="n">
        <v>0.184593162048651</v>
      </c>
      <c r="D464" s="2" t="n">
        <v>2.29544494277515</v>
      </c>
      <c r="E464" s="2" t="n">
        <v>6.4660781214026</v>
      </c>
    </row>
    <row r="465" customFormat="false" ht="13.8" hidden="false" customHeight="false" outlineLevel="0" collapsed="false">
      <c r="B465" s="2" t="n">
        <v>463</v>
      </c>
      <c r="C465" s="2" t="n">
        <v>0.184591316114852</v>
      </c>
      <c r="D465" s="2" t="n">
        <v>2.29542198832212</v>
      </c>
      <c r="E465" s="2" t="n">
        <v>6.18321384952541</v>
      </c>
    </row>
    <row r="466" customFormat="false" ht="13.8" hidden="false" customHeight="false" outlineLevel="0" collapsed="false">
      <c r="B466" s="2" t="n">
        <v>464</v>
      </c>
      <c r="C466" s="2" t="n">
        <v>0.184589470199481</v>
      </c>
      <c r="D466" s="2" t="n">
        <v>2.29539903409863</v>
      </c>
      <c r="E466" s="2" t="n">
        <v>5.93853770258711</v>
      </c>
    </row>
    <row r="467" customFormat="false" ht="13.8" hidden="false" customHeight="false" outlineLevel="0" collapsed="false">
      <c r="B467" s="2" t="n">
        <v>465</v>
      </c>
      <c r="C467" s="2" t="n">
        <v>0.184587624302537</v>
      </c>
      <c r="D467" s="2" t="n">
        <v>2.29537608010466</v>
      </c>
      <c r="E467" s="2" t="n">
        <v>5.64134487278051</v>
      </c>
    </row>
    <row r="468" customFormat="false" ht="13.8" hidden="false" customHeight="false" outlineLevel="0" collapsed="false">
      <c r="B468" s="2" t="n">
        <v>466</v>
      </c>
      <c r="C468" s="2" t="n">
        <v>0.18458577842402</v>
      </c>
      <c r="D468" s="2" t="n">
        <v>2.29535312634024</v>
      </c>
      <c r="E468" s="2" t="n">
        <v>5.43648732971689</v>
      </c>
    </row>
    <row r="469" customFormat="false" ht="13.8" hidden="false" customHeight="false" outlineLevel="0" collapsed="false">
      <c r="B469" s="2" t="n">
        <v>467</v>
      </c>
      <c r="C469" s="2" t="n">
        <v>0.18458393256393</v>
      </c>
      <c r="D469" s="2" t="n">
        <v>2.29533017280534</v>
      </c>
      <c r="E469" s="2" t="n">
        <v>5.2057242611545</v>
      </c>
    </row>
    <row r="470" customFormat="false" ht="13.8" hidden="false" customHeight="false" outlineLevel="0" collapsed="false">
      <c r="B470" s="2" t="n">
        <v>468</v>
      </c>
      <c r="C470" s="2" t="n">
        <v>0.184582086722267</v>
      </c>
      <c r="D470" s="2" t="n">
        <v>2.29530721949996</v>
      </c>
      <c r="E470" s="2" t="n">
        <v>4.97787175948192</v>
      </c>
    </row>
    <row r="471" customFormat="false" ht="13.8" hidden="false" customHeight="false" outlineLevel="0" collapsed="false">
      <c r="B471" s="2" t="n">
        <v>469</v>
      </c>
      <c r="C471" s="2" t="n">
        <v>0.18458024089903</v>
      </c>
      <c r="D471" s="2" t="n">
        <v>2.29528426642411</v>
      </c>
      <c r="E471" s="2" t="n">
        <v>4.75878009188978</v>
      </c>
    </row>
    <row r="472" customFormat="false" ht="13.8" hidden="false" customHeight="false" outlineLevel="0" collapsed="false">
      <c r="B472" s="2" t="n">
        <v>470</v>
      </c>
      <c r="C472" s="2" t="n">
        <v>0.184578395094219</v>
      </c>
      <c r="D472" s="2" t="n">
        <v>2.29526131357779</v>
      </c>
      <c r="E472" s="2" t="n">
        <v>4.50656172632529</v>
      </c>
    </row>
    <row r="473" customFormat="false" ht="13.8" hidden="false" customHeight="false" outlineLevel="0" collapsed="false">
      <c r="B473" s="2" t="n">
        <v>471</v>
      </c>
      <c r="C473" s="2" t="n">
        <v>0.184576549307835</v>
      </c>
      <c r="D473" s="2" t="n">
        <v>2.29523836096099</v>
      </c>
      <c r="E473" s="2" t="n">
        <v>4.31706762368507</v>
      </c>
    </row>
    <row r="474" customFormat="false" ht="13.8" hidden="false" customHeight="false" outlineLevel="0" collapsed="false">
      <c r="B474" s="2" t="n">
        <v>472</v>
      </c>
      <c r="C474" s="2" t="n">
        <v>0.184574703539877</v>
      </c>
      <c r="D474" s="2" t="n">
        <v>2.2952154085737</v>
      </c>
      <c r="E474" s="2" t="n">
        <v>4.07396439746722</v>
      </c>
    </row>
    <row r="475" customFormat="false" ht="13.8" hidden="false" customHeight="false" outlineLevel="0" collapsed="false">
      <c r="B475" s="2" t="n">
        <v>473</v>
      </c>
      <c r="C475" s="2" t="n">
        <v>0.184572857790344</v>
      </c>
      <c r="D475" s="2" t="n">
        <v>2.29519245641593</v>
      </c>
      <c r="E475" s="2" t="n">
        <v>3.88075275042965</v>
      </c>
    </row>
    <row r="476" customFormat="false" ht="13.8" hidden="false" customHeight="false" outlineLevel="0" collapsed="false">
      <c r="B476" s="2" t="n">
        <v>474</v>
      </c>
      <c r="C476" s="2" t="n">
        <v>0.184571012059237</v>
      </c>
      <c r="D476" s="2" t="n">
        <v>2.29516950448767</v>
      </c>
      <c r="E476" s="2" t="n">
        <v>3.63691336884175</v>
      </c>
    </row>
    <row r="477" customFormat="false" ht="13.8" hidden="false" customHeight="false" outlineLevel="0" collapsed="false">
      <c r="B477" s="2" t="n">
        <v>475</v>
      </c>
      <c r="C477" s="2" t="n">
        <v>0.184569166346555</v>
      </c>
      <c r="D477" s="2" t="n">
        <v>2.29514655278892</v>
      </c>
      <c r="E477" s="2" t="n">
        <v>3.4603913886105</v>
      </c>
    </row>
    <row r="478" customFormat="false" ht="13.8" hidden="false" customHeight="false" outlineLevel="0" collapsed="false">
      <c r="B478" s="2" t="n">
        <v>476</v>
      </c>
      <c r="C478" s="2" t="n">
        <v>0.184567320652299</v>
      </c>
      <c r="D478" s="2" t="n">
        <v>2.29512360131969</v>
      </c>
      <c r="E478" s="2" t="n">
        <v>3.2873518587841</v>
      </c>
    </row>
    <row r="479" customFormat="false" ht="13.8" hidden="false" customHeight="false" outlineLevel="0" collapsed="false">
      <c r="B479" s="2" t="n">
        <v>477</v>
      </c>
      <c r="C479" s="2" t="n">
        <v>0.184565474976467</v>
      </c>
      <c r="D479" s="2" t="n">
        <v>2.29510065007996</v>
      </c>
      <c r="E479" s="2" t="n">
        <v>3.10537133713065</v>
      </c>
    </row>
    <row r="480" customFormat="false" ht="13.8" hidden="false" customHeight="false" outlineLevel="0" collapsed="false">
      <c r="B480" s="2" t="n">
        <v>478</v>
      </c>
      <c r="C480" s="2" t="n">
        <v>0.184563629319061</v>
      </c>
      <c r="D480" s="2" t="n">
        <v>2.29507769906973</v>
      </c>
      <c r="E480" s="2" t="n">
        <v>2.93370793157857</v>
      </c>
    </row>
    <row r="481" customFormat="false" ht="13.8" hidden="false" customHeight="false" outlineLevel="0" collapsed="false">
      <c r="B481" s="2" t="n">
        <v>479</v>
      </c>
      <c r="C481" s="2" t="n">
        <v>0.184561783680079</v>
      </c>
      <c r="D481" s="2" t="n">
        <v>2.29505474828901</v>
      </c>
      <c r="E481" s="2" t="n">
        <v>2.7347130204382</v>
      </c>
    </row>
    <row r="482" customFormat="false" ht="13.8" hidden="false" customHeight="false" outlineLevel="0" collapsed="false">
      <c r="B482" s="2" t="n">
        <v>480</v>
      </c>
      <c r="C482" s="2" t="n">
        <v>0.184559938059479</v>
      </c>
      <c r="D482" s="2" t="n">
        <v>2.2950317977377</v>
      </c>
      <c r="E482" s="2" t="n">
        <v>2.6056633955431</v>
      </c>
    </row>
    <row r="483" customFormat="false" ht="13.8" hidden="false" customHeight="false" outlineLevel="0" collapsed="false">
      <c r="B483" s="2" t="n">
        <v>481</v>
      </c>
      <c r="C483" s="2" t="n">
        <v>0.184558092434851</v>
      </c>
      <c r="D483" s="2" t="n">
        <v>2.29500884737095</v>
      </c>
      <c r="E483" s="2" t="n">
        <v>2.52209693151449</v>
      </c>
    </row>
    <row r="484" customFormat="false" ht="13.8" hidden="false" customHeight="false" outlineLevel="0" collapsed="false">
      <c r="B484" s="2" t="n">
        <v>482</v>
      </c>
      <c r="C484" s="2" t="n">
        <v>0.184556246899723</v>
      </c>
      <c r="D484" s="2" t="n">
        <v>2.28825566355482</v>
      </c>
      <c r="E484" s="2" t="n">
        <v>2.37424335178616</v>
      </c>
    </row>
    <row r="485" customFormat="false" ht="13.8" hidden="false" customHeight="false" outlineLevel="0" collapsed="false">
      <c r="B485" s="2" t="n">
        <v>483</v>
      </c>
      <c r="C485" s="2" t="n">
        <v>0.18455440133453</v>
      </c>
      <c r="D485" s="2" t="n">
        <v>2.21898229233962</v>
      </c>
      <c r="E485" s="2" t="n">
        <v>2.23506104246458</v>
      </c>
    </row>
    <row r="486" customFormat="false" ht="13.8" hidden="false" customHeight="false" outlineLevel="0" collapsed="false">
      <c r="B486" s="2" t="n">
        <v>484</v>
      </c>
      <c r="C486" s="2" t="n">
        <v>0.184552555787669</v>
      </c>
      <c r="D486" s="2" t="n">
        <v>2.14718211557644</v>
      </c>
      <c r="E486" s="2" t="n">
        <v>2.13083391954384</v>
      </c>
    </row>
    <row r="487" customFormat="false" ht="13.8" hidden="false" customHeight="false" outlineLevel="0" collapsed="false">
      <c r="B487" s="2" t="n">
        <v>485</v>
      </c>
      <c r="C487" s="2" t="n">
        <v>0.184550710259231</v>
      </c>
      <c r="D487" s="2" t="n">
        <v>2.06145682060813</v>
      </c>
      <c r="E487" s="2" t="n">
        <v>2.03181232324935</v>
      </c>
    </row>
    <row r="488" customFormat="false" ht="13.8" hidden="false" customHeight="false" outlineLevel="0" collapsed="false">
      <c r="B488" s="2" t="n">
        <v>486</v>
      </c>
      <c r="C488" s="2" t="n">
        <v>0.184548864749217</v>
      </c>
      <c r="D488" s="2" t="n">
        <v>1.98940520872321</v>
      </c>
      <c r="E488" s="2" t="n">
        <v>1.95204489134035</v>
      </c>
    </row>
    <row r="489" customFormat="false" ht="13.8" hidden="false" customHeight="false" outlineLevel="0" collapsed="false">
      <c r="B489" s="2" t="n">
        <v>487</v>
      </c>
      <c r="C489" s="2" t="n">
        <v>0.184547019257626</v>
      </c>
      <c r="D489" s="2" t="n">
        <v>1.91409249858851</v>
      </c>
      <c r="E489" s="2" t="n">
        <v>1.87703983513078</v>
      </c>
    </row>
    <row r="490" customFormat="false" ht="13.8" hidden="false" customHeight="false" outlineLevel="0" collapsed="false">
      <c r="B490" s="2" t="n">
        <v>488</v>
      </c>
      <c r="C490" s="2" t="n">
        <v>0.184545173784624</v>
      </c>
      <c r="D490" s="2" t="n">
        <v>1.83948916365286</v>
      </c>
      <c r="E490" s="2" t="n">
        <v>1.8037163143072</v>
      </c>
    </row>
    <row r="491" customFormat="false" ht="13.8" hidden="false" customHeight="false" outlineLevel="0" collapsed="false">
      <c r="B491" s="2" t="n">
        <v>489</v>
      </c>
      <c r="C491" s="2" t="n">
        <v>0.184543328329546</v>
      </c>
      <c r="D491" s="2" t="n">
        <v>1.72835965765098</v>
      </c>
      <c r="E491" s="2" t="n">
        <v>1.68338344381837</v>
      </c>
    </row>
    <row r="492" customFormat="false" ht="13.8" hidden="false" customHeight="false" outlineLevel="0" collapsed="false">
      <c r="B492" s="2" t="n">
        <v>490</v>
      </c>
      <c r="C492" s="2" t="n">
        <v>0.184541482893425</v>
      </c>
      <c r="D492" s="2" t="n">
        <v>1.65141523992039</v>
      </c>
      <c r="E492" s="2" t="n">
        <v>1.61281222560789</v>
      </c>
    </row>
    <row r="493" customFormat="false" ht="13.8" hidden="false" customHeight="false" outlineLevel="0" collapsed="false">
      <c r="B493" s="2" t="n">
        <v>491</v>
      </c>
      <c r="C493" s="2" t="n">
        <v>0.184539637475453</v>
      </c>
      <c r="D493" s="2" t="n">
        <v>1.54028761465774</v>
      </c>
      <c r="E493" s="2" t="n">
        <v>1.497110875271</v>
      </c>
    </row>
    <row r="494" customFormat="false" ht="13.8" hidden="false" customHeight="false" outlineLevel="0" collapsed="false">
      <c r="B494" s="2" t="n">
        <v>492</v>
      </c>
      <c r="C494" s="2" t="n">
        <v>0.18453779207596</v>
      </c>
      <c r="D494" s="2" t="n">
        <v>1.45994189216974</v>
      </c>
      <c r="E494" s="2" t="n">
        <v>1.42759270526398</v>
      </c>
    </row>
    <row r="495" customFormat="false" ht="13.8" hidden="false" customHeight="false" outlineLevel="0" collapsed="false">
      <c r="B495" s="2" t="n">
        <v>493</v>
      </c>
      <c r="C495" s="2" t="n">
        <v>0.184535946695006</v>
      </c>
      <c r="D495" s="2" t="n">
        <v>1.34881618164055</v>
      </c>
      <c r="E495" s="2" t="n">
        <v>1.29967083675186</v>
      </c>
    </row>
    <row r="496" customFormat="false" ht="13.8" hidden="false" customHeight="false" outlineLevel="0" collapsed="false">
      <c r="B496" s="2" t="n">
        <v>494</v>
      </c>
      <c r="C496" s="2" t="n">
        <v>0.184534101332119</v>
      </c>
      <c r="D496" s="2" t="n">
        <v>1.25001719427964</v>
      </c>
      <c r="E496" s="2" t="n">
        <v>1.2162950244361</v>
      </c>
    </row>
    <row r="497" customFormat="false" ht="13.8" hidden="false" customHeight="false" outlineLevel="0" collapsed="false">
      <c r="B497" s="2" t="n">
        <v>495</v>
      </c>
      <c r="C497" s="2" t="n">
        <v>0.18453225598831</v>
      </c>
      <c r="D497" s="2" t="n">
        <v>1.13889358299742</v>
      </c>
      <c r="E497" s="2" t="n">
        <v>1.08544943556738</v>
      </c>
    </row>
    <row r="498" customFormat="false" ht="13.8" hidden="false" customHeight="false" outlineLevel="0" collapsed="false">
      <c r="B498" s="2" t="n">
        <v>496</v>
      </c>
      <c r="C498" s="2" t="n">
        <v>0.184530410661715</v>
      </c>
      <c r="D498" s="2" t="n">
        <v>1.04240926759724</v>
      </c>
      <c r="E498" s="2" t="n">
        <v>1.00552235939748</v>
      </c>
    </row>
    <row r="499" customFormat="false" ht="13.8" hidden="false" customHeight="false" outlineLevel="0" collapsed="false">
      <c r="B499" s="2" t="n">
        <v>497</v>
      </c>
      <c r="C499" s="2" t="n">
        <v>0.18452856535555</v>
      </c>
      <c r="D499" s="2" t="n">
        <v>0.931287732394289</v>
      </c>
      <c r="E499" s="2" t="n">
        <v>0.879882544922018</v>
      </c>
    </row>
    <row r="500" customFormat="false" ht="13.8" hidden="false" customHeight="false" outlineLevel="0" collapsed="false">
      <c r="B500" s="2" t="n">
        <v>498</v>
      </c>
      <c r="C500" s="2" t="n">
        <v>0.184526720064249</v>
      </c>
      <c r="D500" s="2" t="n">
        <v>0.838011175216987</v>
      </c>
      <c r="E500" s="2" t="n">
        <v>0.803603749663972</v>
      </c>
    </row>
    <row r="501" customFormat="false" ht="13.8" hidden="false" customHeight="false" outlineLevel="0" collapsed="false">
      <c r="B501" s="2" t="n">
        <v>499</v>
      </c>
      <c r="C501" s="2" t="n">
        <v>0.184524874797218</v>
      </c>
      <c r="D501" s="2" t="n">
        <v>0.726891683994969</v>
      </c>
      <c r="E501" s="2" t="n">
        <v>0.685410491411582</v>
      </c>
    </row>
    <row r="502" customFormat="false" ht="13.8" hidden="false" customHeight="false" outlineLevel="0" collapsed="false">
      <c r="B502" s="2" t="n">
        <v>500</v>
      </c>
      <c r="C502" s="2" t="n">
        <v>0.184523029538302</v>
      </c>
      <c r="D502" s="2" t="n">
        <v>0.630311741844498</v>
      </c>
      <c r="E502" s="2" t="n">
        <v>0.613920754992803</v>
      </c>
    </row>
    <row r="503" customFormat="false" ht="13.8" hidden="false" customHeight="false" outlineLevel="0" collapsed="false">
      <c r="B503" s="2" t="n">
        <v>501</v>
      </c>
      <c r="C503" s="2" t="n">
        <v>0.184521184314659</v>
      </c>
      <c r="D503" s="2" t="n">
        <v>0.51919432761685</v>
      </c>
      <c r="E503" s="2" t="n">
        <v>0.495803356533275</v>
      </c>
    </row>
    <row r="504" customFormat="false" ht="13.8" hidden="false" customHeight="false" outlineLevel="0" collapsed="false">
      <c r="B504" s="2" t="n">
        <v>502</v>
      </c>
      <c r="C504" s="2" t="n">
        <v>0.184519339046621</v>
      </c>
      <c r="D504" s="2" t="n">
        <v>0.435573257074321</v>
      </c>
      <c r="E504" s="2" t="n">
        <v>0.410931222206511</v>
      </c>
    </row>
    <row r="505" customFormat="false" ht="13.8" hidden="false" customHeight="false" outlineLevel="0" collapsed="false">
      <c r="B505" s="2" t="n">
        <v>503</v>
      </c>
      <c r="C505" s="2" t="n">
        <v>0.1719158084796</v>
      </c>
      <c r="D505" s="2" t="n">
        <v>0.386038584325512</v>
      </c>
      <c r="E505" s="2" t="n">
        <v>0.274592783347043</v>
      </c>
    </row>
    <row r="506" customFormat="false" ht="13.8" hidden="false" customHeight="false" outlineLevel="0" collapsed="false">
      <c r="B506" s="2" t="n">
        <v>504</v>
      </c>
      <c r="C506" s="2" t="n">
        <v>0.171914089277108</v>
      </c>
      <c r="D506" s="2" t="n">
        <v>0.386034723936322</v>
      </c>
      <c r="E506" s="2" t="n">
        <v>0.242159335667008</v>
      </c>
    </row>
    <row r="507" customFormat="false" ht="13.8" hidden="false" customHeight="false" outlineLevel="0" collapsed="false">
      <c r="B507" s="2" t="n">
        <v>505</v>
      </c>
      <c r="C507" s="2" t="n">
        <v>0.131790647482603</v>
      </c>
      <c r="D507" s="2" t="n">
        <v>0.386030863585795</v>
      </c>
      <c r="E507" s="2" t="n">
        <v>0.181346639338167</v>
      </c>
    </row>
    <row r="508" customFormat="false" ht="13.8" hidden="false" customHeight="false" outlineLevel="0" collapsed="false">
      <c r="B508" s="2" t="n">
        <v>506</v>
      </c>
      <c r="C508" s="2" t="n">
        <v>0.123673995419721</v>
      </c>
      <c r="D508" s="2" t="n">
        <v>0.386027003273932</v>
      </c>
      <c r="E508" s="2" t="n">
        <v>0.126405713343744</v>
      </c>
    </row>
    <row r="509" customFormat="false" ht="13.8" hidden="false" customHeight="false" outlineLevel="0" collapsed="false">
      <c r="B509" s="2" t="n">
        <v>507</v>
      </c>
      <c r="C509" s="2" t="n">
        <v>0.0729761268860953</v>
      </c>
      <c r="D509" s="2" t="n">
        <v>0.386023143000732</v>
      </c>
      <c r="E509" s="2" t="n">
        <v>0.0850722036395862</v>
      </c>
    </row>
    <row r="510" customFormat="false" ht="13.8" hidden="false" customHeight="false" outlineLevel="0" collapsed="false">
      <c r="B510" s="2" t="n">
        <v>508</v>
      </c>
      <c r="C510" s="2" t="n">
        <v>0.0566165105514274</v>
      </c>
      <c r="D510" s="2" t="n">
        <v>0.386019282766195</v>
      </c>
      <c r="E510" s="2" t="n">
        <v>0.0465566906310351</v>
      </c>
    </row>
    <row r="511" customFormat="false" ht="13.8" hidden="false" customHeight="false" outlineLevel="0" collapsed="false">
      <c r="B511" s="2" t="n">
        <v>509</v>
      </c>
      <c r="C511" s="2" t="n">
        <v>0.0023983933818994</v>
      </c>
      <c r="D511" s="2" t="n">
        <v>0.386015422570321</v>
      </c>
      <c r="E511" s="2" t="n">
        <v>9.20404292019135E-010</v>
      </c>
    </row>
    <row r="512" customFormat="false" ht="13.8" hidden="false" customHeight="false" outlineLevel="0" collapsed="false">
      <c r="B512" s="2" t="n">
        <v>510</v>
      </c>
      <c r="C512" s="2" t="n">
        <v>4.14790159978093E-012</v>
      </c>
      <c r="D512" s="2" t="n">
        <v>0.386011562413142</v>
      </c>
      <c r="E512" s="2" t="n">
        <v>7.73486263059001E-011</v>
      </c>
    </row>
    <row r="513" customFormat="false" ht="13.8" hidden="false" customHeight="false" outlineLevel="0" collapsed="false">
      <c r="B513" s="2" t="n">
        <v>511</v>
      </c>
      <c r="C513" s="2" t="n">
        <v>1.70895902217486E-011</v>
      </c>
      <c r="D513" s="2" t="n">
        <v>0.399507153435321</v>
      </c>
      <c r="E513" s="2" t="n">
        <v>0.0131524289806753</v>
      </c>
    </row>
    <row r="514" customFormat="false" ht="13.8" hidden="false" customHeight="false" outlineLevel="0" collapsed="false">
      <c r="B514" s="2" t="n">
        <v>512</v>
      </c>
      <c r="C514" s="2" t="n">
        <v>3.37865774416352E-011</v>
      </c>
      <c r="D514" s="2" t="n">
        <v>0.418835171970439</v>
      </c>
      <c r="E514" s="2" t="n">
        <v>0.108331333307748</v>
      </c>
    </row>
    <row r="515" customFormat="false" ht="13.8" hidden="false" customHeight="false" outlineLevel="0" collapsed="false">
      <c r="B515" s="2" t="n">
        <v>513</v>
      </c>
      <c r="C515" s="2" t="n">
        <v>5.06405196456797E-011</v>
      </c>
      <c r="D515" s="2" t="n">
        <v>0.443995559694178</v>
      </c>
      <c r="E515" s="2" t="n">
        <v>0.224290742716929</v>
      </c>
    </row>
    <row r="516" customFormat="false" ht="13.8" hidden="false" customHeight="false" outlineLevel="0" collapsed="false">
      <c r="B516" s="2" t="n">
        <v>514</v>
      </c>
      <c r="C516" s="2" t="n">
        <v>0.00215944998804393</v>
      </c>
      <c r="D516" s="2" t="n">
        <v>0.510077818986458</v>
      </c>
      <c r="E516" s="2" t="n">
        <v>0.373951856032718</v>
      </c>
    </row>
    <row r="517" customFormat="false" ht="13.8" hidden="false" customHeight="false" outlineLevel="0" collapsed="false">
      <c r="B517" s="2" t="n">
        <v>515</v>
      </c>
      <c r="C517" s="2" t="n">
        <v>0.00215942841090925</v>
      </c>
      <c r="D517" s="2" t="n">
        <v>0.601995122856813</v>
      </c>
      <c r="E517" s="2" t="n">
        <v>0.519374218908716</v>
      </c>
    </row>
    <row r="518" customFormat="false" ht="13.8" hidden="false" customHeight="false" outlineLevel="0" collapsed="false">
      <c r="B518" s="2" t="n">
        <v>516</v>
      </c>
      <c r="C518" s="2" t="n">
        <v>0.0180540560884265</v>
      </c>
      <c r="D518" s="2" t="n">
        <v>0.727924365473419</v>
      </c>
      <c r="E518" s="2" t="n">
        <v>0.693051726977418</v>
      </c>
    </row>
    <row r="519" customFormat="false" ht="13.8" hidden="false" customHeight="false" outlineLevel="0" collapsed="false">
      <c r="B519" s="2" t="n">
        <v>517</v>
      </c>
      <c r="C519" s="2" t="n">
        <v>0.0244443819884393</v>
      </c>
      <c r="D519" s="2" t="n">
        <v>0.883596823449506</v>
      </c>
      <c r="E519" s="2" t="n">
        <v>0.90524197807295</v>
      </c>
    </row>
    <row r="520" customFormat="false" ht="13.8" hidden="false" customHeight="false" outlineLevel="0" collapsed="false">
      <c r="B520" s="2" t="n">
        <v>518</v>
      </c>
      <c r="C520" s="2" t="n">
        <v>0.0244441375620117</v>
      </c>
      <c r="D520" s="2" t="n">
        <v>1.02192505619164</v>
      </c>
      <c r="E520" s="2" t="n">
        <v>1.10230024002413</v>
      </c>
    </row>
    <row r="521" customFormat="false" ht="13.8" hidden="false" customHeight="false" outlineLevel="0" collapsed="false">
      <c r="B521" s="2" t="n">
        <v>519</v>
      </c>
      <c r="C521" s="2" t="n">
        <v>0.0244438931381677</v>
      </c>
      <c r="D521" s="2" t="n">
        <v>1.14877612778599</v>
      </c>
      <c r="E521" s="2" t="n">
        <v>1.37474917705136</v>
      </c>
    </row>
    <row r="522" customFormat="false" ht="13.8" hidden="false" customHeight="false" outlineLevel="0" collapsed="false">
      <c r="B522" s="2" t="n">
        <v>520</v>
      </c>
      <c r="C522" s="2" t="n">
        <v>0.0244436487167121</v>
      </c>
      <c r="D522" s="2" t="n">
        <v>1.24970122948229</v>
      </c>
      <c r="E522" s="2" t="n">
        <v>1.65483701876952</v>
      </c>
    </row>
    <row r="523" customFormat="false" ht="13.8" hidden="false" customHeight="false" outlineLevel="0" collapsed="false">
      <c r="B523" s="2" t="n">
        <v>521</v>
      </c>
      <c r="C523" s="2" t="n">
        <v>0.0244434042976466</v>
      </c>
      <c r="D523" s="2" t="n">
        <v>1.30291324263815</v>
      </c>
      <c r="E523" s="2" t="n">
        <v>2.02930133669208</v>
      </c>
    </row>
    <row r="524" customFormat="false" ht="13.8" hidden="false" customHeight="false" outlineLevel="0" collapsed="false">
      <c r="B524" s="2" t="n">
        <v>522</v>
      </c>
      <c r="C524" s="2" t="n">
        <v>0.0244431598807815</v>
      </c>
      <c r="D524" s="2" t="n">
        <v>1.36295122533829</v>
      </c>
      <c r="E524" s="2" t="n">
        <v>2.35741074047448</v>
      </c>
    </row>
    <row r="525" customFormat="false" ht="13.8" hidden="false" customHeight="false" outlineLevel="0" collapsed="false">
      <c r="B525" s="2" t="n">
        <v>523</v>
      </c>
      <c r="C525" s="2" t="n">
        <v>0.0357264146112684</v>
      </c>
      <c r="D525" s="2" t="n">
        <v>1.42981510932315</v>
      </c>
      <c r="E525" s="2" t="n">
        <v>2.83266208948948</v>
      </c>
    </row>
    <row r="526" customFormat="false" ht="13.8" hidden="false" customHeight="false" outlineLevel="0" collapsed="false">
      <c r="B526" s="2" t="n">
        <v>524</v>
      </c>
      <c r="C526" s="2" t="n">
        <v>0.046189175712883</v>
      </c>
      <c r="D526" s="2" t="n">
        <v>1.5035048263343</v>
      </c>
      <c r="E526" s="2" t="n">
        <v>3.33343304729138</v>
      </c>
    </row>
    <row r="527" customFormat="false" ht="13.8" hidden="false" customHeight="false" outlineLevel="0" collapsed="false">
      <c r="B527" s="2" t="n">
        <v>525</v>
      </c>
      <c r="C527" s="2" t="n">
        <v>0.0682066313907484</v>
      </c>
      <c r="D527" s="2" t="n">
        <v>1.58402030811224</v>
      </c>
      <c r="E527" s="2" t="n">
        <v>3.83354855367891</v>
      </c>
    </row>
    <row r="528" customFormat="false" ht="13.8" hidden="false" customHeight="false" outlineLevel="0" collapsed="false">
      <c r="B528" s="2" t="n">
        <v>526</v>
      </c>
      <c r="C528" s="2" t="n">
        <v>0.0810562093442207</v>
      </c>
      <c r="D528" s="2" t="n">
        <v>1.66088915766531</v>
      </c>
      <c r="E528" s="2" t="n">
        <v>4.27665905745317</v>
      </c>
    </row>
    <row r="529" customFormat="false" ht="13.8" hidden="false" customHeight="false" outlineLevel="0" collapsed="false">
      <c r="B529" s="2" t="n">
        <v>527</v>
      </c>
      <c r="C529" s="2" t="n">
        <v>0.0955379112520754</v>
      </c>
      <c r="D529" s="2" t="n">
        <v>1.73411141145948</v>
      </c>
      <c r="E529" s="2" t="n">
        <v>4.79753988866065</v>
      </c>
    </row>
    <row r="530" customFormat="false" ht="13.8" hidden="false" customHeight="false" outlineLevel="0" collapsed="false">
      <c r="B530" s="2" t="n">
        <v>528</v>
      </c>
      <c r="C530" s="2" t="n">
        <v>0.095901540793066</v>
      </c>
      <c r="D530" s="2" t="n">
        <v>1.80368710595916</v>
      </c>
      <c r="E530" s="2" t="n">
        <v>5.30977543459191</v>
      </c>
    </row>
    <row r="531" customFormat="false" ht="13.8" hidden="false" customHeight="false" outlineLevel="0" collapsed="false">
      <c r="B531" s="2" t="n">
        <v>529</v>
      </c>
      <c r="C531" s="2" t="n">
        <v>0.102997239147927</v>
      </c>
      <c r="D531" s="2" t="n">
        <v>1.86961627763255</v>
      </c>
      <c r="E531" s="2" t="n">
        <v>5.77112602171106</v>
      </c>
    </row>
    <row r="532" customFormat="false" ht="13.8" hidden="false" customHeight="false" outlineLevel="0" collapsed="false">
      <c r="B532" s="2" t="n">
        <v>530</v>
      </c>
      <c r="C532" s="2" t="n">
        <v>0.137706367088795</v>
      </c>
      <c r="D532" s="2" t="n">
        <v>1.93394667135535</v>
      </c>
      <c r="E532" s="2" t="n">
        <v>6.18924785388061</v>
      </c>
    </row>
    <row r="533" customFormat="false" ht="13.8" hidden="false" customHeight="false" outlineLevel="0" collapsed="false">
      <c r="B533" s="2" t="n">
        <v>531</v>
      </c>
      <c r="C533" s="2" t="n">
        <v>0.137704990041726</v>
      </c>
      <c r="D533" s="2" t="n">
        <v>1.99667830311613</v>
      </c>
      <c r="E533" s="2" t="n">
        <v>6.55995491685916</v>
      </c>
    </row>
    <row r="534" customFormat="false" ht="13.8" hidden="false" customHeight="false" outlineLevel="0" collapsed="false">
      <c r="B534" s="2" t="n">
        <v>532</v>
      </c>
      <c r="C534" s="2" t="n">
        <v>0.160845981990885</v>
      </c>
      <c r="D534" s="2" t="n">
        <v>2.05781118890253</v>
      </c>
      <c r="E534" s="2" t="n">
        <v>6.92025469285558</v>
      </c>
    </row>
    <row r="535" customFormat="false" ht="13.8" hidden="false" customHeight="false" outlineLevel="0" collapsed="false">
      <c r="B535" s="2" t="n">
        <v>533</v>
      </c>
      <c r="C535" s="2" t="n">
        <v>0.160844373547779</v>
      </c>
      <c r="D535" s="2" t="n">
        <v>2.11734534470198</v>
      </c>
      <c r="E535" s="2" t="n">
        <v>7.23387235396699</v>
      </c>
    </row>
    <row r="536" customFormat="false" ht="13.8" hidden="false" customHeight="false" outlineLevel="0" collapsed="false">
      <c r="B536" s="2" t="n">
        <v>534</v>
      </c>
      <c r="C536" s="2" t="n">
        <v>0.160842765120291</v>
      </c>
      <c r="D536" s="2" t="n">
        <v>2.16709341123424</v>
      </c>
      <c r="E536" s="2" t="n">
        <v>7.46433390395269</v>
      </c>
    </row>
    <row r="537" customFormat="false" ht="13.8" hidden="false" customHeight="false" outlineLevel="0" collapsed="false">
      <c r="B537" s="2" t="n">
        <v>535</v>
      </c>
      <c r="C537" s="2" t="n">
        <v>0.184607930244893</v>
      </c>
      <c r="D537" s="2" t="n">
        <v>2.20705548636019</v>
      </c>
      <c r="E537" s="2" t="n">
        <v>7.63542310080346</v>
      </c>
    </row>
    <row r="538" customFormat="false" ht="13.8" hidden="false" customHeight="false" outlineLevel="0" collapsed="false">
      <c r="B538" s="2" t="n">
        <v>536</v>
      </c>
      <c r="C538" s="2" t="n">
        <v>0.18460793023295</v>
      </c>
      <c r="D538" s="2" t="n">
        <v>2.23723166793974</v>
      </c>
      <c r="E538" s="2" t="n">
        <v>7.77982270432108</v>
      </c>
    </row>
    <row r="539" customFormat="false" ht="13.8" hidden="false" customHeight="false" outlineLevel="0" collapsed="false">
      <c r="B539" s="2" t="n">
        <v>537</v>
      </c>
      <c r="C539" s="2" t="n">
        <v>0.184607930233383</v>
      </c>
      <c r="D539" s="2" t="n">
        <v>2.25762205383183</v>
      </c>
      <c r="E539" s="2" t="n">
        <v>7.85992261887515</v>
      </c>
    </row>
    <row r="540" customFormat="false" ht="13.8" hidden="false" customHeight="false" outlineLevel="0" collapsed="false">
      <c r="B540" s="2" t="n">
        <v>538</v>
      </c>
      <c r="C540" s="2" t="n">
        <v>0.184607930233386</v>
      </c>
      <c r="D540" s="2" t="n">
        <v>2.27415164318207</v>
      </c>
      <c r="E540" s="2" t="n">
        <v>7.90556088317588</v>
      </c>
    </row>
    <row r="541" customFormat="false" ht="13.8" hidden="false" customHeight="false" outlineLevel="0" collapsed="false">
      <c r="B541" s="2" t="n">
        <v>539</v>
      </c>
      <c r="C541" s="2" t="n">
        <v>0.184607930238185</v>
      </c>
      <c r="D541" s="2" t="n">
        <v>2.28682047459896</v>
      </c>
      <c r="E541" s="2" t="n">
        <v>7.91913791684025</v>
      </c>
    </row>
    <row r="542" customFormat="false" ht="13.8" hidden="false" customHeight="false" outlineLevel="0" collapsed="false">
      <c r="B542" s="2" t="n">
        <v>540</v>
      </c>
      <c r="C542" s="2" t="n">
        <v>0.184607932451365</v>
      </c>
      <c r="D542" s="2" t="n">
        <v>2.29562858669859</v>
      </c>
      <c r="E542" s="2" t="n">
        <v>7.92429399550871</v>
      </c>
    </row>
    <row r="543" customFormat="false" ht="13.8" hidden="false" customHeight="false" outlineLevel="0" collapsed="false">
      <c r="B543" s="2" t="n">
        <v>541</v>
      </c>
      <c r="C543" s="2" t="n">
        <v>0.184606084103995</v>
      </c>
      <c r="D543" s="2" t="n">
        <v>2.29560563042277</v>
      </c>
      <c r="E543" s="2" t="n">
        <v>7.90497536909738</v>
      </c>
    </row>
    <row r="544" customFormat="false" ht="13.8" hidden="false" customHeight="false" outlineLevel="0" collapsed="false">
      <c r="B544" s="2" t="n">
        <v>542</v>
      </c>
      <c r="C544" s="2" t="n">
        <v>0.184604238059757</v>
      </c>
      <c r="D544" s="2" t="n">
        <v>2.29558267438546</v>
      </c>
      <c r="E544" s="2" t="n">
        <v>7.83721698109161</v>
      </c>
    </row>
    <row r="545" customFormat="false" ht="13.8" hidden="false" customHeight="false" outlineLevel="0" collapsed="false">
      <c r="B545" s="2" t="n">
        <v>543</v>
      </c>
      <c r="C545" s="2" t="n">
        <v>0.184602392038845</v>
      </c>
      <c r="D545" s="2" t="n">
        <v>2.29555971857823</v>
      </c>
      <c r="E545" s="2" t="n">
        <v>7.7766491492171</v>
      </c>
    </row>
    <row r="546" customFormat="false" ht="13.8" hidden="false" customHeight="false" outlineLevel="0" collapsed="false">
      <c r="B546" s="2" t="n">
        <v>544</v>
      </c>
      <c r="C546" s="2" t="n">
        <v>0.184600546036363</v>
      </c>
      <c r="D546" s="2" t="n">
        <v>2.29553676300055</v>
      </c>
      <c r="E546" s="2" t="n">
        <v>7.70097517193821</v>
      </c>
    </row>
    <row r="547" customFormat="false" ht="13.8" hidden="false" customHeight="false" outlineLevel="0" collapsed="false">
      <c r="B547" s="2" t="n">
        <v>545</v>
      </c>
      <c r="C547" s="2" t="n">
        <v>0.184598700052309</v>
      </c>
      <c r="D547" s="2" t="n">
        <v>2.29551380765242</v>
      </c>
      <c r="E547" s="2" t="n">
        <v>7.58097371883491</v>
      </c>
    </row>
    <row r="548" customFormat="false" ht="13.8" hidden="false" customHeight="false" outlineLevel="0" collapsed="false">
      <c r="B548" s="2" t="n">
        <v>546</v>
      </c>
      <c r="C548" s="2" t="n">
        <v>0.184596854086683</v>
      </c>
      <c r="D548" s="2" t="n">
        <v>2.29549085253384</v>
      </c>
      <c r="E548" s="2" t="n">
        <v>7.42841509616184</v>
      </c>
    </row>
    <row r="549" customFormat="false" ht="13.8" hidden="false" customHeight="false" outlineLevel="0" collapsed="false">
      <c r="B549" s="2" t="n">
        <v>547</v>
      </c>
      <c r="C549" s="2" t="n">
        <v>0.184595008139486</v>
      </c>
      <c r="D549" s="2" t="n">
        <v>2.2954678976448</v>
      </c>
      <c r="E549" s="2" t="n">
        <v>7.31579896282403</v>
      </c>
    </row>
    <row r="550" customFormat="false" ht="13.8" hidden="false" customHeight="false" outlineLevel="0" collapsed="false">
      <c r="B550" s="2" t="n">
        <v>548</v>
      </c>
      <c r="C550" s="2" t="n">
        <v>0.184593162210716</v>
      </c>
      <c r="D550" s="2" t="n">
        <v>2.2954449429853</v>
      </c>
      <c r="E550" s="2" t="n">
        <v>7.08062591939658</v>
      </c>
    </row>
    <row r="551" customFormat="false" ht="13.8" hidden="false" customHeight="false" outlineLevel="0" collapsed="false">
      <c r="B551" s="2" t="n">
        <v>549</v>
      </c>
      <c r="C551" s="2" t="n">
        <v>0.184591316300374</v>
      </c>
      <c r="D551" s="2" t="n">
        <v>2.29542198855534</v>
      </c>
      <c r="E551" s="2" t="n">
        <v>6.87113746922639</v>
      </c>
    </row>
    <row r="552" customFormat="false" ht="13.8" hidden="false" customHeight="false" outlineLevel="0" collapsed="false">
      <c r="B552" s="2" t="n">
        <v>550</v>
      </c>
      <c r="C552" s="2" t="n">
        <v>0.184589470408459</v>
      </c>
      <c r="D552" s="2" t="n">
        <v>2.29539903435668</v>
      </c>
      <c r="E552" s="2" t="n">
        <v>6.71499108507092</v>
      </c>
    </row>
    <row r="553" customFormat="false" ht="13.8" hidden="false" customHeight="false" outlineLevel="0" collapsed="false">
      <c r="B553" s="2" t="n">
        <v>551</v>
      </c>
      <c r="C553" s="2" t="n">
        <v>0.184587624534948</v>
      </c>
      <c r="D553" s="2" t="n">
        <v>2.29537608131317</v>
      </c>
      <c r="E553" s="2" t="n">
        <v>6.57864954832433</v>
      </c>
    </row>
    <row r="554" customFormat="false" ht="13.8" hidden="false" customHeight="false" outlineLevel="0" collapsed="false">
      <c r="B554" s="2" t="n">
        <v>552</v>
      </c>
      <c r="C554" s="2" t="n">
        <v>0.18458577867986</v>
      </c>
      <c r="D554" s="2" t="n">
        <v>2.29535312659229</v>
      </c>
      <c r="E554" s="2" t="n">
        <v>6.43859443871592</v>
      </c>
    </row>
    <row r="555" customFormat="false" ht="13.8" hidden="false" customHeight="false" outlineLevel="0" collapsed="false">
      <c r="B555" s="2" t="n">
        <v>553</v>
      </c>
      <c r="C555" s="2" t="n">
        <v>0.184583932843226</v>
      </c>
      <c r="D555" s="2" t="n">
        <v>2.2953301730786</v>
      </c>
      <c r="E555" s="2" t="n">
        <v>6.19941768233931</v>
      </c>
    </row>
    <row r="556" customFormat="false" ht="13.8" hidden="false" customHeight="false" outlineLevel="0" collapsed="false">
      <c r="B556" s="2" t="n">
        <v>554</v>
      </c>
      <c r="C556" s="2" t="n">
        <v>0.184582087025018</v>
      </c>
      <c r="D556" s="2" t="n">
        <v>2.29530721979629</v>
      </c>
      <c r="E556" s="2" t="n">
        <v>5.95696572513753</v>
      </c>
    </row>
    <row r="557" customFormat="false" ht="13.8" hidden="false" customHeight="false" outlineLevel="0" collapsed="false">
      <c r="B557" s="2" t="n">
        <v>555</v>
      </c>
      <c r="C557" s="2" t="n">
        <v>0.184580241225236</v>
      </c>
      <c r="D557" s="2" t="n">
        <v>2.29528426674352</v>
      </c>
      <c r="E557" s="2" t="n">
        <v>5.6877933035663</v>
      </c>
    </row>
    <row r="558" customFormat="false" ht="13.8" hidden="false" customHeight="false" outlineLevel="0" collapsed="false">
      <c r="B558" s="2" t="n">
        <v>556</v>
      </c>
      <c r="C558" s="2" t="n">
        <v>0.184578395443881</v>
      </c>
      <c r="D558" s="2" t="n">
        <v>2.29526131392026</v>
      </c>
      <c r="E558" s="2" t="n">
        <v>5.43121516631175</v>
      </c>
    </row>
    <row r="559" customFormat="false" ht="13.8" hidden="false" customHeight="false" outlineLevel="0" collapsed="false">
      <c r="B559" s="2" t="n">
        <v>557</v>
      </c>
      <c r="C559" s="2" t="n">
        <v>0.184576549680952</v>
      </c>
      <c r="D559" s="2" t="n">
        <v>2.29523836132653</v>
      </c>
      <c r="E559" s="2" t="n">
        <v>5.14052815039399</v>
      </c>
    </row>
    <row r="560" customFormat="false" ht="13.8" hidden="false" customHeight="false" outlineLevel="0" collapsed="false">
      <c r="B560" s="2" t="n">
        <v>558</v>
      </c>
      <c r="C560" s="2" t="n">
        <v>0.184574703936449</v>
      </c>
      <c r="D560" s="2" t="n">
        <v>2.29521540896231</v>
      </c>
      <c r="E560" s="2" t="n">
        <v>4.88532504134625</v>
      </c>
    </row>
    <row r="561" customFormat="false" ht="13.8" hidden="false" customHeight="false" outlineLevel="0" collapsed="false">
      <c r="B561" s="2" t="n">
        <v>559</v>
      </c>
      <c r="C561" s="2" t="n">
        <v>0.184572858210372</v>
      </c>
      <c r="D561" s="2" t="n">
        <v>2.29519245682761</v>
      </c>
      <c r="E561" s="2" t="n">
        <v>4.67827168803318</v>
      </c>
    </row>
    <row r="562" customFormat="false" ht="13.8" hidden="false" customHeight="false" outlineLevel="0" collapsed="false">
      <c r="B562" s="2" t="n">
        <v>560</v>
      </c>
      <c r="C562" s="2" t="n">
        <v>0.18457101250272</v>
      </c>
      <c r="D562" s="2" t="n">
        <v>2.29516950492243</v>
      </c>
      <c r="E562" s="2" t="n">
        <v>4.42273912747573</v>
      </c>
    </row>
    <row r="563" customFormat="false" ht="13.8" hidden="false" customHeight="false" outlineLevel="0" collapsed="false">
      <c r="B563" s="2" t="n">
        <v>561</v>
      </c>
      <c r="C563" s="2" t="n">
        <v>0.184569166813494</v>
      </c>
      <c r="D563" s="2" t="n">
        <v>2.29514655324675</v>
      </c>
      <c r="E563" s="2" t="n">
        <v>4.18376451113264</v>
      </c>
    </row>
    <row r="564" customFormat="false" ht="13.8" hidden="false" customHeight="false" outlineLevel="0" collapsed="false">
      <c r="B564" s="2" t="n">
        <v>562</v>
      </c>
      <c r="C564" s="2" t="n">
        <v>0.184567321142693</v>
      </c>
      <c r="D564" s="2" t="n">
        <v>2.29512360180058</v>
      </c>
      <c r="E564" s="2" t="n">
        <v>3.99375424749854</v>
      </c>
    </row>
    <row r="565" customFormat="false" ht="13.8" hidden="false" customHeight="false" outlineLevel="0" collapsed="false">
      <c r="B565" s="2" t="n">
        <v>563</v>
      </c>
      <c r="C565" s="2" t="n">
        <v>0.184565475490317</v>
      </c>
      <c r="D565" s="2" t="n">
        <v>2.29510065058392</v>
      </c>
      <c r="E565" s="2" t="n">
        <v>3.76932082841139</v>
      </c>
    </row>
    <row r="566" customFormat="false" ht="13.8" hidden="false" customHeight="false" outlineLevel="0" collapsed="false">
      <c r="B566" s="2" t="n">
        <v>564</v>
      </c>
      <c r="C566" s="2" t="n">
        <v>0.184563629856366</v>
      </c>
      <c r="D566" s="2" t="n">
        <v>2.29507769959677</v>
      </c>
      <c r="E566" s="2" t="n">
        <v>3.52740893143608</v>
      </c>
    </row>
    <row r="567" customFormat="false" ht="13.8" hidden="false" customHeight="false" outlineLevel="0" collapsed="false">
      <c r="B567" s="2" t="n">
        <v>565</v>
      </c>
      <c r="C567" s="2" t="n">
        <v>0.184561784240839</v>
      </c>
      <c r="D567" s="2" t="n">
        <v>2.29505474883912</v>
      </c>
      <c r="E567" s="2" t="n">
        <v>3.25659186098701</v>
      </c>
    </row>
    <row r="568" customFormat="false" ht="13.8" hidden="false" customHeight="false" outlineLevel="0" collapsed="false">
      <c r="B568" s="2" t="n">
        <v>566</v>
      </c>
      <c r="C568" s="2" t="n">
        <v>0.184559938643737</v>
      </c>
      <c r="D568" s="2" t="n">
        <v>2.29503179831097</v>
      </c>
      <c r="E568" s="2" t="n">
        <v>3.04120310981962</v>
      </c>
    </row>
    <row r="569" customFormat="false" ht="13.8" hidden="false" customHeight="false" outlineLevel="0" collapsed="false">
      <c r="B569" s="2" t="n">
        <v>567</v>
      </c>
      <c r="C569" s="2" t="n">
        <v>0.184558093065017</v>
      </c>
      <c r="D569" s="2" t="n">
        <v>2.29500884801223</v>
      </c>
      <c r="E569" s="2" t="n">
        <v>2.82231697550258</v>
      </c>
    </row>
    <row r="570" customFormat="false" ht="13.8" hidden="false" customHeight="false" outlineLevel="0" collapsed="false">
      <c r="B570" s="2" t="n">
        <v>568</v>
      </c>
      <c r="C570" s="2" t="n">
        <v>0.184556247482268</v>
      </c>
      <c r="D570" s="2" t="n">
        <v>2.29498589789804</v>
      </c>
      <c r="E570" s="2" t="n">
        <v>2.58691345597266</v>
      </c>
    </row>
    <row r="571" customFormat="false" ht="13.8" hidden="false" customHeight="false" outlineLevel="0" collapsed="false">
      <c r="B571" s="2" t="n">
        <v>569</v>
      </c>
      <c r="C571" s="2" t="n">
        <v>0.18455440198902</v>
      </c>
      <c r="D571" s="2" t="n">
        <v>2.2838698494123</v>
      </c>
      <c r="E571" s="2" t="n">
        <v>2.40127192625799</v>
      </c>
    </row>
    <row r="572" customFormat="false" ht="13.8" hidden="false" customHeight="false" outlineLevel="0" collapsed="false">
      <c r="B572" s="2" t="n">
        <v>570</v>
      </c>
      <c r="C572" s="2" t="n">
        <v>0.184552556465707</v>
      </c>
      <c r="D572" s="2" t="n">
        <v>2.21995196511985</v>
      </c>
      <c r="E572" s="2" t="n">
        <v>2.23537866279176</v>
      </c>
    </row>
    <row r="573" customFormat="false" ht="13.8" hidden="false" customHeight="false" outlineLevel="0" collapsed="false">
      <c r="B573" s="2" t="n">
        <v>571</v>
      </c>
      <c r="C573" s="2" t="n">
        <v>0.184550710960724</v>
      </c>
      <c r="D573" s="2" t="n">
        <v>2.12392992295461</v>
      </c>
      <c r="E573" s="2" t="n">
        <v>2.11336974419847</v>
      </c>
    </row>
    <row r="574" customFormat="false" ht="13.8" hidden="false" customHeight="false" outlineLevel="0" collapsed="false">
      <c r="B574" s="2" t="n">
        <v>572</v>
      </c>
      <c r="C574" s="2" t="n">
        <v>0.184548865474165</v>
      </c>
      <c r="D574" s="2" t="n">
        <v>2.03183970001377</v>
      </c>
      <c r="E574" s="2" t="n">
        <v>2.01202446446813</v>
      </c>
    </row>
    <row r="575" customFormat="false" ht="13.8" hidden="false" customHeight="false" outlineLevel="0" collapsed="false">
      <c r="B575" s="2" t="n">
        <v>573</v>
      </c>
      <c r="C575" s="2" t="n">
        <v>0.18454702000603</v>
      </c>
      <c r="D575" s="2" t="n">
        <v>1.9343096918995</v>
      </c>
      <c r="E575" s="2" t="n">
        <v>1.90939829315509</v>
      </c>
    </row>
    <row r="576" customFormat="false" ht="13.8" hidden="false" customHeight="false" outlineLevel="0" collapsed="false">
      <c r="B576" s="2" t="n">
        <v>574</v>
      </c>
      <c r="C576" s="2" t="n">
        <v>0.184545174556317</v>
      </c>
      <c r="D576" s="2" t="n">
        <v>1.83765871281227</v>
      </c>
      <c r="E576" s="2" t="n">
        <v>1.82337727956195</v>
      </c>
    </row>
    <row r="577" customFormat="false" ht="13.8" hidden="false" customHeight="false" outlineLevel="0" collapsed="false">
      <c r="B577" s="2" t="n">
        <v>575</v>
      </c>
      <c r="C577" s="2" t="n">
        <v>0.18454332912529</v>
      </c>
      <c r="D577" s="2" t="n">
        <v>1.73434779816645</v>
      </c>
      <c r="E577" s="2" t="n">
        <v>1.74944456528433</v>
      </c>
    </row>
    <row r="578" customFormat="false" ht="13.8" hidden="false" customHeight="false" outlineLevel="0" collapsed="false">
      <c r="B578" s="2" t="n">
        <v>576</v>
      </c>
      <c r="C578" s="2" t="n">
        <v>0.184541483712122</v>
      </c>
      <c r="D578" s="2" t="n">
        <v>1.62321934357281</v>
      </c>
      <c r="E578" s="2" t="n">
        <v>1.69164520042783</v>
      </c>
    </row>
    <row r="579" customFormat="false" ht="13.8" hidden="false" customHeight="false" outlineLevel="0" collapsed="false">
      <c r="B579" s="2" t="n">
        <v>577</v>
      </c>
      <c r="C579" s="2" t="n">
        <v>0.184539638317677</v>
      </c>
      <c r="D579" s="2" t="n">
        <v>1.62320311137482</v>
      </c>
      <c r="E579" s="2" t="n">
        <v>1.64108839504642</v>
      </c>
    </row>
    <row r="580" customFormat="false" ht="13.8" hidden="false" customHeight="false" outlineLevel="0" collapsed="false">
      <c r="B580" s="2" t="n">
        <v>578</v>
      </c>
      <c r="C580" s="2" t="n">
        <v>0.184537792941654</v>
      </c>
      <c r="D580" s="2" t="n">
        <v>1.62318687933915</v>
      </c>
      <c r="E580" s="2" t="n">
        <v>1.60914333597377</v>
      </c>
    </row>
    <row r="581" customFormat="false" ht="13.8" hidden="false" customHeight="false" outlineLevel="0" collapsed="false">
      <c r="B581" s="2" t="n">
        <v>579</v>
      </c>
      <c r="C581" s="2" t="n">
        <v>0.184535947584053</v>
      </c>
      <c r="D581" s="2" t="n">
        <v>1.62317064746579</v>
      </c>
      <c r="E581" s="2" t="n">
        <v>1.51394050375908</v>
      </c>
    </row>
    <row r="582" customFormat="false" ht="13.8" hidden="false" customHeight="false" outlineLevel="0" collapsed="false">
      <c r="B582" s="2" t="n">
        <v>580</v>
      </c>
      <c r="C582" s="2" t="n">
        <v>0.184534102244874</v>
      </c>
      <c r="D582" s="2" t="n">
        <v>1.60833960093993</v>
      </c>
      <c r="E582" s="2" t="n">
        <v>1.46077610505417</v>
      </c>
    </row>
    <row r="583" customFormat="false" ht="13.8" hidden="false" customHeight="false" outlineLevel="0" collapsed="false">
      <c r="B583" s="2" t="n">
        <v>581</v>
      </c>
      <c r="C583" s="2" t="n">
        <v>0.184532256924083</v>
      </c>
      <c r="D583" s="2" t="n">
        <v>1.49721240642824</v>
      </c>
      <c r="E583" s="2" t="n">
        <v>1.37394621947469</v>
      </c>
    </row>
    <row r="584" customFormat="false" ht="13.8" hidden="false" customHeight="false" outlineLevel="0" collapsed="false">
      <c r="B584" s="2" t="n">
        <v>582</v>
      </c>
      <c r="C584" s="2" t="n">
        <v>0.184530411621821</v>
      </c>
      <c r="D584" s="2" t="n">
        <v>1.3973313025761</v>
      </c>
      <c r="E584" s="2" t="n">
        <v>1.3169465931768</v>
      </c>
    </row>
    <row r="585" customFormat="false" ht="13.8" hidden="false" customHeight="false" outlineLevel="0" collapsed="false">
      <c r="B585" s="2" t="n">
        <v>583</v>
      </c>
      <c r="C585" s="2" t="n">
        <v>0.184528566337907</v>
      </c>
      <c r="D585" s="2" t="n">
        <v>1.29852844050785</v>
      </c>
      <c r="E585" s="2" t="n">
        <v>1.23522216427264</v>
      </c>
    </row>
    <row r="586" customFormat="false" ht="13.8" hidden="false" customHeight="false" outlineLevel="0" collapsed="false">
      <c r="B586" s="2" t="n">
        <v>584</v>
      </c>
      <c r="C586" s="2" t="n">
        <v>0.184526721072414</v>
      </c>
      <c r="D586" s="2" t="n">
        <v>1.1934838642365</v>
      </c>
      <c r="E586" s="2" t="n">
        <v>1.13924106965928</v>
      </c>
    </row>
    <row r="587" customFormat="false" ht="13.8" hidden="false" customHeight="false" outlineLevel="0" collapsed="false">
      <c r="B587" s="2" t="n">
        <v>585</v>
      </c>
      <c r="C587" s="2" t="n">
        <v>0.184524875825342</v>
      </c>
      <c r="D587" s="2" t="n">
        <v>1.11579374997602</v>
      </c>
      <c r="E587" s="2" t="n">
        <v>1.07022235662505</v>
      </c>
    </row>
    <row r="588" customFormat="false" ht="13.8" hidden="false" customHeight="false" outlineLevel="0" collapsed="false">
      <c r="B588" s="2" t="n">
        <v>586</v>
      </c>
      <c r="C588" s="2" t="n">
        <v>0.184523030596691</v>
      </c>
      <c r="D588" s="2" t="n">
        <v>1.03182248834736</v>
      </c>
      <c r="E588" s="2" t="n">
        <v>0.985023424713905</v>
      </c>
    </row>
    <row r="589" customFormat="false" ht="13.8" hidden="false" customHeight="false" outlineLevel="0" collapsed="false">
      <c r="B589" s="2" t="n">
        <v>587</v>
      </c>
      <c r="C589" s="2" t="n">
        <v>0.184521185386461</v>
      </c>
      <c r="D589" s="2" t="n">
        <v>0.928365502047035</v>
      </c>
      <c r="E589" s="2" t="n">
        <v>0.882589761028169</v>
      </c>
    </row>
    <row r="590" customFormat="false" ht="13.8" hidden="false" customHeight="false" outlineLevel="0" collapsed="false">
      <c r="B590" s="2" t="n">
        <v>588</v>
      </c>
      <c r="C590" s="2" t="n">
        <v>0.184519340194651</v>
      </c>
      <c r="D590" s="2" t="n">
        <v>0.854928112370531</v>
      </c>
      <c r="E590" s="2" t="n">
        <v>0.811175670736188</v>
      </c>
    </row>
    <row r="591" customFormat="false" ht="13.8" hidden="false" customHeight="false" outlineLevel="0" collapsed="false">
      <c r="B591" s="2" t="n">
        <v>589</v>
      </c>
      <c r="C591" s="2" t="n">
        <v>0.184517495021261</v>
      </c>
      <c r="D591" s="2" t="n">
        <v>0.76004273943043</v>
      </c>
      <c r="E591" s="2" t="n">
        <v>0.711692290000344</v>
      </c>
    </row>
    <row r="592" customFormat="false" ht="13.8" hidden="false" customHeight="false" outlineLevel="0" collapsed="false">
      <c r="B592" s="2" t="n">
        <v>590</v>
      </c>
      <c r="C592" s="2" t="n">
        <v>0.184515649866291</v>
      </c>
      <c r="D592" s="2" t="n">
        <v>0.677713600843848</v>
      </c>
      <c r="E592" s="2" t="n">
        <v>0.635117711191074</v>
      </c>
    </row>
    <row r="593" customFormat="false" ht="13.8" hidden="false" customHeight="false" outlineLevel="0" collapsed="false">
      <c r="B593" s="2" t="n">
        <v>591</v>
      </c>
      <c r="C593" s="2" t="n">
        <v>0.184513804729742</v>
      </c>
      <c r="D593" s="2" t="n">
        <v>0.587617876966833</v>
      </c>
      <c r="E593" s="2" t="n">
        <v>0.544385417820483</v>
      </c>
    </row>
    <row r="594" customFormat="false" ht="13.8" hidden="false" customHeight="false" outlineLevel="0" collapsed="false">
      <c r="B594" s="2" t="n">
        <v>592</v>
      </c>
      <c r="C594" s="2" t="n">
        <v>0.184511959611611</v>
      </c>
      <c r="D594" s="2" t="n">
        <v>0.499109840674008</v>
      </c>
      <c r="E594" s="2" t="n">
        <v>0.452530189590283</v>
      </c>
    </row>
    <row r="595" customFormat="false" ht="13.8" hidden="false" customHeight="false" outlineLevel="0" collapsed="false">
      <c r="B595" s="2" t="n">
        <v>593</v>
      </c>
      <c r="C595" s="2" t="n">
        <v>0.184510114511901</v>
      </c>
      <c r="D595" s="2" t="n">
        <v>0.426154337189397</v>
      </c>
      <c r="E595" s="2" t="n">
        <v>0.38601282477707</v>
      </c>
    </row>
    <row r="596" customFormat="false" ht="13.8" hidden="false" customHeight="false" outlineLevel="0" collapsed="false">
      <c r="B596" s="2" t="n">
        <v>594</v>
      </c>
      <c r="C596" s="2" t="n">
        <v>0.18450826943061</v>
      </c>
      <c r="D596" s="2" t="n">
        <v>0.336890158375341</v>
      </c>
      <c r="E596" s="2" t="n">
        <v>0.300065067058982</v>
      </c>
    </row>
    <row r="597" customFormat="false" ht="13.8" hidden="false" customHeight="false" outlineLevel="0" collapsed="false">
      <c r="B597" s="2" t="n">
        <v>595</v>
      </c>
      <c r="C597" s="2" t="n">
        <v>0.184506424367684</v>
      </c>
      <c r="D597" s="2" t="n">
        <v>0.246094168022549</v>
      </c>
      <c r="E597" s="2" t="n">
        <v>0.210058206332289</v>
      </c>
    </row>
    <row r="598" customFormat="false" ht="13.8" hidden="false" customHeight="false" outlineLevel="0" collapsed="false">
      <c r="B598" s="2" t="n">
        <v>596</v>
      </c>
      <c r="C598" s="2" t="n">
        <v>0.184504579295074</v>
      </c>
      <c r="D598" s="2" t="n">
        <v>0.164084315751489</v>
      </c>
      <c r="E598" s="2" t="n">
        <v>0.14132242295972</v>
      </c>
    </row>
    <row r="599" customFormat="false" ht="13.8" hidden="false" customHeight="false" outlineLevel="0" collapsed="false">
      <c r="B599" s="2" t="n">
        <v>597</v>
      </c>
      <c r="C599" s="2" t="n">
        <v>0.149516372496042</v>
      </c>
      <c r="D599" s="2" t="n">
        <v>0.0745749621625511</v>
      </c>
      <c r="E599" s="2" t="n">
        <v>0.0713519361145161</v>
      </c>
    </row>
    <row r="600" customFormat="false" ht="13.8" hidden="false" customHeight="false" outlineLevel="0" collapsed="false">
      <c r="B600" s="2" t="n">
        <v>598</v>
      </c>
      <c r="C600" s="2" t="n">
        <v>0.133382514723555</v>
      </c>
      <c r="D600" s="2" t="n">
        <v>7.67915512843578E-013</v>
      </c>
      <c r="E600" s="2" t="n">
        <v>0.0345376986169692</v>
      </c>
    </row>
    <row r="601" customFormat="false" ht="13.8" hidden="false" customHeight="false" outlineLevel="0" collapsed="false">
      <c r="B601" s="2" t="n">
        <v>599</v>
      </c>
      <c r="C601" s="2" t="n">
        <v>0.0685466696792404</v>
      </c>
      <c r="D601" s="2" t="n">
        <v>1.19351716542528E-010</v>
      </c>
      <c r="E601" s="2" t="n">
        <v>0.0225549918718709</v>
      </c>
    </row>
    <row r="602" customFormat="false" ht="13.8" hidden="false" customHeight="false" outlineLevel="0" collapsed="false">
      <c r="B602" s="2" t="n">
        <v>600</v>
      </c>
      <c r="C602" s="2" t="n">
        <v>0.0245588920953927</v>
      </c>
      <c r="D602" s="2" t="n">
        <v>2.56501533225719E-010</v>
      </c>
      <c r="E602" s="2" t="n">
        <v>0.0099276237313773</v>
      </c>
    </row>
    <row r="603" customFormat="false" ht="13.8" hidden="false" customHeight="false" outlineLevel="0" collapsed="false">
      <c r="B603" s="2" t="n">
        <v>601</v>
      </c>
      <c r="C603" s="2" t="n">
        <v>0</v>
      </c>
      <c r="D603" s="2" t="n">
        <v>2.04552877945962E-011</v>
      </c>
      <c r="E603" s="2" t="n">
        <v>0</v>
      </c>
    </row>
    <row r="604" customFormat="false" ht="13.8" hidden="false" customHeight="false" outlineLevel="0" collapsed="false">
      <c r="B604" s="2" t="n">
        <v>602</v>
      </c>
      <c r="C604" s="2" t="n">
        <v>6.58663656823641E-018</v>
      </c>
      <c r="D604" s="2" t="n">
        <v>0.00725015354884368</v>
      </c>
      <c r="E604" s="2" t="n">
        <v>1.32614691817597E-016</v>
      </c>
    </row>
    <row r="605" customFormat="false" ht="13.8" hidden="false" customHeight="false" outlineLevel="0" collapsed="false">
      <c r="B605" s="2" t="n">
        <v>603</v>
      </c>
      <c r="C605" s="2" t="n">
        <v>6.96056566078663E-018</v>
      </c>
      <c r="D605" s="2" t="n">
        <v>0.0185202586777751</v>
      </c>
      <c r="E605" s="2" t="n">
        <v>2.17310746133135E-015</v>
      </c>
    </row>
    <row r="606" customFormat="false" ht="13.8" hidden="false" customHeight="false" outlineLevel="0" collapsed="false">
      <c r="B606" s="2" t="n">
        <v>604</v>
      </c>
      <c r="C606" s="2" t="n">
        <v>6.78948819598999E-018</v>
      </c>
      <c r="D606" s="2" t="n">
        <v>0.0338102751873966</v>
      </c>
      <c r="E606" s="2" t="n">
        <v>9.65290216372511E-015</v>
      </c>
    </row>
    <row r="607" customFormat="false" ht="13.8" hidden="false" customHeight="false" outlineLevel="0" collapsed="false">
      <c r="B607" s="2" t="n">
        <v>605</v>
      </c>
      <c r="C607" s="2" t="n">
        <v>1.17194299816038E-017</v>
      </c>
      <c r="D607" s="2" t="n">
        <v>0.0531201628785549</v>
      </c>
      <c r="E607" s="2" t="n">
        <v>1.46206219023435E-014</v>
      </c>
    </row>
    <row r="608" customFormat="false" ht="13.8" hidden="false" customHeight="false" outlineLevel="0" collapsed="false">
      <c r="B608" s="2" t="n">
        <v>606</v>
      </c>
      <c r="C608" s="2" t="n">
        <v>1.16360575538118E-017</v>
      </c>
      <c r="D608" s="2" t="n">
        <v>0.0793123849355601</v>
      </c>
      <c r="E608" s="2" t="n">
        <v>1.83841983591011E-014</v>
      </c>
    </row>
    <row r="609" customFormat="false" ht="13.8" hidden="false" customHeight="false" outlineLevel="0" collapsed="false">
      <c r="B609" s="2" t="n">
        <v>607</v>
      </c>
      <c r="C609" s="2" t="n">
        <v>1.16149598826151E-017</v>
      </c>
      <c r="D609" s="2" t="n">
        <v>0.112386872535068</v>
      </c>
      <c r="E609" s="2" t="n">
        <v>2.20603941428358E-014</v>
      </c>
    </row>
    <row r="610" customFormat="false" ht="13.8" hidden="false" customHeight="false" outlineLevel="0" collapsed="false">
      <c r="B610" s="2" t="n">
        <v>608</v>
      </c>
      <c r="C610" s="2" t="n">
        <v>0</v>
      </c>
      <c r="D610" s="2" t="n">
        <v>0.152343556854424</v>
      </c>
      <c r="E610" s="2" t="n">
        <v>1.22682794119746E-013</v>
      </c>
    </row>
    <row r="611" customFormat="false" ht="13.8" hidden="false" customHeight="false" outlineLevel="0" collapsed="false">
      <c r="B611" s="2" t="n">
        <v>609</v>
      </c>
      <c r="C611" s="2" t="n">
        <v>1.01892117995673E-016</v>
      </c>
      <c r="D611" s="2" t="n">
        <v>0.199182369071659</v>
      </c>
      <c r="E611" s="2" t="n">
        <v>0</v>
      </c>
    </row>
    <row r="612" customFormat="false" ht="13.8" hidden="false" customHeight="false" outlineLevel="0" collapsed="false">
      <c r="B612" s="2" t="n">
        <v>610</v>
      </c>
      <c r="C612" s="2" t="n">
        <v>0</v>
      </c>
      <c r="D612" s="2" t="n">
        <v>0.251813503968262</v>
      </c>
      <c r="E612" s="2" t="n">
        <v>2.4848825824694E-014</v>
      </c>
    </row>
    <row r="613" customFormat="false" ht="13.8" hidden="false" customHeight="false" outlineLevel="0" collapsed="false">
      <c r="B613" s="2" t="n">
        <v>611</v>
      </c>
      <c r="C613" s="2" t="n">
        <v>0</v>
      </c>
      <c r="D613" s="2" t="n">
        <v>0.310236903621142</v>
      </c>
      <c r="E613" s="2" t="n">
        <v>2.64984027215469E-014</v>
      </c>
    </row>
    <row r="614" customFormat="false" ht="13.8" hidden="false" customHeight="false" outlineLevel="0" collapsed="false">
      <c r="B614" s="2" t="n">
        <v>612</v>
      </c>
      <c r="C614" s="2" t="n">
        <v>0.0104417591929387</v>
      </c>
      <c r="D614" s="2" t="n">
        <v>0.374452510107377</v>
      </c>
      <c r="E614" s="2" t="n">
        <v>2.785801051432E-014</v>
      </c>
    </row>
    <row r="615" customFormat="false" ht="13.8" hidden="false" customHeight="false" outlineLevel="0" collapsed="false">
      <c r="B615" s="2" t="n">
        <v>613</v>
      </c>
      <c r="C615" s="2" t="n">
        <v>0.0248629958820314</v>
      </c>
      <c r="D615" s="2" t="n">
        <v>0.444460265505035</v>
      </c>
      <c r="E615" s="2" t="n">
        <v>0.00377897868732686</v>
      </c>
    </row>
    <row r="616" customFormat="false" ht="13.8" hidden="false" customHeight="false" outlineLevel="0" collapsed="false">
      <c r="B616" s="2" t="n">
        <v>614</v>
      </c>
      <c r="C616" s="2" t="n">
        <v>0.0248627472520719</v>
      </c>
      <c r="D616" s="2" t="n">
        <v>0.51884286665116</v>
      </c>
      <c r="E616" s="2" t="n">
        <v>0.00747573284838654</v>
      </c>
    </row>
    <row r="617" customFormat="false" ht="13.8" hidden="false" customHeight="false" outlineLevel="0" collapsed="false">
      <c r="B617" s="2" t="n">
        <v>615</v>
      </c>
      <c r="C617" s="2" t="n">
        <v>0.040940812249813</v>
      </c>
      <c r="D617" s="2" t="n">
        <v>0.597600269797294</v>
      </c>
      <c r="E617" s="2" t="n">
        <v>0.00879619515539973</v>
      </c>
    </row>
    <row r="618" customFormat="false" ht="13.8" hidden="false" customHeight="false" outlineLevel="0" collapsed="false">
      <c r="B618" s="2" t="n">
        <v>616</v>
      </c>
      <c r="C618" s="2" t="n">
        <v>0.0409404028416823</v>
      </c>
      <c r="D618" s="2" t="n">
        <v>0.680732431195416</v>
      </c>
      <c r="E618" s="2" t="n">
        <v>0.00879610719344779</v>
      </c>
    </row>
    <row r="619" customFormat="false" ht="13.8" hidden="false" customHeight="false" outlineLevel="0" collapsed="false">
      <c r="B619" s="2" t="n">
        <v>617</v>
      </c>
      <c r="C619" s="2" t="n">
        <v>0.0698819689632543</v>
      </c>
      <c r="D619" s="2" t="n">
        <v>0.768239307097943</v>
      </c>
      <c r="E619" s="2" t="n">
        <v>0.00995291951412738</v>
      </c>
    </row>
    <row r="620" customFormat="false" ht="13.8" hidden="false" customHeight="false" outlineLevel="0" collapsed="false">
      <c r="B620" s="2" t="n">
        <v>618</v>
      </c>
      <c r="C620" s="2" t="n">
        <v>0.0698812701505782</v>
      </c>
      <c r="D620" s="2" t="n">
        <v>0.858334944917578</v>
      </c>
      <c r="E620" s="2" t="n">
        <v>0.0155354247312061</v>
      </c>
    </row>
    <row r="621" customFormat="false" ht="13.8" hidden="false" customHeight="false" outlineLevel="0" collapsed="false">
      <c r="B621" s="2" t="n">
        <v>619</v>
      </c>
      <c r="C621" s="2" t="n">
        <v>0.105438500530988</v>
      </c>
      <c r="D621" s="2" t="n">
        <v>0.951019318766704</v>
      </c>
      <c r="E621" s="2" t="n">
        <v>0.018962113681985</v>
      </c>
    </row>
    <row r="622" customFormat="false" ht="13.8" hidden="false" customHeight="false" outlineLevel="0" collapsed="false">
      <c r="B622" s="2" t="n">
        <v>620</v>
      </c>
      <c r="C622" s="2" t="n">
        <v>0.109398256874337</v>
      </c>
      <c r="D622" s="2" t="n">
        <v>1.04629240275796</v>
      </c>
      <c r="E622" s="2" t="n">
        <v>0.0299539535121295</v>
      </c>
    </row>
    <row r="623" customFormat="false" ht="13.8" hidden="false" customHeight="false" outlineLevel="0" collapsed="false">
      <c r="B623" s="2" t="n">
        <v>621</v>
      </c>
      <c r="C623" s="2" t="n">
        <v>0.159355218373834</v>
      </c>
      <c r="D623" s="2" t="n">
        <v>1.14415417100435</v>
      </c>
      <c r="E623" s="2" t="n">
        <v>0.100231655341826</v>
      </c>
    </row>
    <row r="624" customFormat="false" ht="13.8" hidden="false" customHeight="false" outlineLevel="0" collapsed="false">
      <c r="B624" s="2" t="n">
        <v>622</v>
      </c>
      <c r="C624" s="2" t="n">
        <v>0.159353624821626</v>
      </c>
      <c r="D624" s="2" t="n">
        <v>1.24023112682243</v>
      </c>
      <c r="E624" s="2" t="n">
        <v>0.137002845478672</v>
      </c>
    </row>
    <row r="625" customFormat="false" ht="13.8" hidden="false" customHeight="false" outlineLevel="0" collapsed="false">
      <c r="B625" s="2" t="n">
        <v>623</v>
      </c>
      <c r="C625" s="2" t="n">
        <v>0.184607930233379</v>
      </c>
      <c r="D625" s="2" t="n">
        <v>1.33452328806042</v>
      </c>
      <c r="E625" s="2" t="n">
        <v>0.187217082584453</v>
      </c>
    </row>
    <row r="626" customFormat="false" ht="13.8" hidden="false" customHeight="false" outlineLevel="0" collapsed="false">
      <c r="B626" s="2" t="n">
        <v>624</v>
      </c>
      <c r="C626" s="2" t="n">
        <v>0.184606084152727</v>
      </c>
      <c r="D626" s="2" t="n">
        <v>1.42703067256629</v>
      </c>
      <c r="E626" s="2" t="n">
        <v>0.302413690320273</v>
      </c>
    </row>
    <row r="627" customFormat="false" ht="13.8" hidden="false" customHeight="false" outlineLevel="0" collapsed="false">
      <c r="B627" s="2" t="n">
        <v>625</v>
      </c>
      <c r="C627" s="2" t="n">
        <v>0.184607930233378</v>
      </c>
      <c r="D627" s="2" t="n">
        <v>1.51775329818787</v>
      </c>
      <c r="E627" s="2" t="n">
        <v>0.510500623707178</v>
      </c>
    </row>
    <row r="628" customFormat="false" ht="13.8" hidden="false" customHeight="false" outlineLevel="0" collapsed="false">
      <c r="B628" s="2" t="n">
        <v>626</v>
      </c>
      <c r="C628" s="2" t="n">
        <v>0.184606084152741</v>
      </c>
      <c r="D628" s="2" t="n">
        <v>1.59838898919848</v>
      </c>
      <c r="E628" s="2" t="n">
        <v>0.865803710588871</v>
      </c>
    </row>
    <row r="629" customFormat="false" ht="13.8" hidden="false" customHeight="false" outlineLevel="0" collapsed="false">
      <c r="B629" s="2" t="n">
        <v>627</v>
      </c>
      <c r="C629" s="2" t="n">
        <v>0.184607930233389</v>
      </c>
      <c r="D629" s="2" t="n">
        <v>1.66893784646764</v>
      </c>
      <c r="E629" s="2" t="n">
        <v>1.28212282999623</v>
      </c>
    </row>
    <row r="630" customFormat="false" ht="13.8" hidden="false" customHeight="false" outlineLevel="0" collapsed="false">
      <c r="B630" s="2" t="n">
        <v>628</v>
      </c>
      <c r="C630" s="2" t="n">
        <v>0.184606084153066</v>
      </c>
      <c r="D630" s="2" t="n">
        <v>1.72939997086352</v>
      </c>
      <c r="E630" s="2" t="n">
        <v>1.68929653434067</v>
      </c>
    </row>
    <row r="631" customFormat="false" ht="13.8" hidden="false" customHeight="false" outlineLevel="0" collapsed="false">
      <c r="B631" s="2" t="n">
        <v>629</v>
      </c>
      <c r="C631" s="2" t="n">
        <v>0.184607930233078</v>
      </c>
      <c r="D631" s="2" t="n">
        <v>1.77977546325354</v>
      </c>
      <c r="E631" s="2" t="n">
        <v>1.97888177827914</v>
      </c>
    </row>
    <row r="632" customFormat="false" ht="13.8" hidden="false" customHeight="false" outlineLevel="0" collapsed="false">
      <c r="B632" s="2" t="n">
        <v>630</v>
      </c>
      <c r="C632" s="2" t="n">
        <v>0.184606084152756</v>
      </c>
      <c r="D632" s="2" t="n">
        <v>1.82901264397148</v>
      </c>
      <c r="E632" s="2" t="n">
        <v>2.27253176434169</v>
      </c>
    </row>
    <row r="633" customFormat="false" ht="13.8" hidden="false" customHeight="false" outlineLevel="0" collapsed="false">
      <c r="B633" s="2" t="n">
        <v>631</v>
      </c>
      <c r="C633" s="2" t="n">
        <v>0.184607930233389</v>
      </c>
      <c r="D633" s="2" t="n">
        <v>1.87711152440047</v>
      </c>
      <c r="E633" s="2" t="n">
        <v>2.56837175449757</v>
      </c>
    </row>
    <row r="634" customFormat="false" ht="13.8" hidden="false" customHeight="false" outlineLevel="0" collapsed="false">
      <c r="B634" s="2" t="n">
        <v>632</v>
      </c>
      <c r="C634" s="2" t="n">
        <v>0.184606084152755</v>
      </c>
      <c r="D634" s="2" t="n">
        <v>1.9240721159235</v>
      </c>
      <c r="E634" s="2" t="n">
        <v>2.8838792690442</v>
      </c>
    </row>
    <row r="635" customFormat="false" ht="13.8" hidden="false" customHeight="false" outlineLevel="0" collapsed="false">
      <c r="B635" s="2" t="n">
        <v>633</v>
      </c>
      <c r="C635" s="2" t="n">
        <v>0.184607930233388</v>
      </c>
      <c r="D635" s="2" t="n">
        <v>1.96989442992351</v>
      </c>
      <c r="E635" s="2" t="n">
        <v>3.17315379630635</v>
      </c>
    </row>
    <row r="636" customFormat="false" ht="13.8" hidden="false" customHeight="false" outlineLevel="0" collapsed="false">
      <c r="B636" s="2" t="n">
        <v>634</v>
      </c>
      <c r="C636" s="2" t="n">
        <v>0.184606084152757</v>
      </c>
      <c r="D636" s="2" t="n">
        <v>2.01215760987439</v>
      </c>
      <c r="E636" s="2" t="n">
        <v>3.42162122693616</v>
      </c>
    </row>
    <row r="637" customFormat="false" ht="13.8" hidden="false" customHeight="false" outlineLevel="0" collapsed="false">
      <c r="B637" s="2" t="n">
        <v>635</v>
      </c>
      <c r="C637" s="2" t="n">
        <v>0.184607930233388</v>
      </c>
      <c r="D637" s="2" t="n">
        <v>2.05086169136753</v>
      </c>
      <c r="E637" s="2" t="n">
        <v>3.66021412997995</v>
      </c>
    </row>
    <row r="638" customFormat="false" ht="13.8" hidden="false" customHeight="false" outlineLevel="0" collapsed="false">
      <c r="B638" s="2" t="n">
        <v>636</v>
      </c>
      <c r="C638" s="2" t="n">
        <v>0.1846060841528</v>
      </c>
      <c r="D638" s="2" t="n">
        <v>2.0860067099939</v>
      </c>
      <c r="E638" s="2" t="n">
        <v>3.82274559442497</v>
      </c>
    </row>
    <row r="639" customFormat="false" ht="13.8" hidden="false" customHeight="false" outlineLevel="0" collapsed="false">
      <c r="B639" s="2" t="n">
        <v>637</v>
      </c>
      <c r="C639" s="2" t="n">
        <v>0.184607930235325</v>
      </c>
      <c r="D639" s="2" t="n">
        <v>2.11759270134412</v>
      </c>
      <c r="E639" s="2" t="n">
        <v>3.9429778494263</v>
      </c>
    </row>
    <row r="640" customFormat="false" ht="13.8" hidden="false" customHeight="false" outlineLevel="0" collapsed="false">
      <c r="B640" s="2" t="n">
        <v>638</v>
      </c>
      <c r="C640" s="2" t="n">
        <v>0.184606085643175</v>
      </c>
      <c r="D640" s="2" t="n">
        <v>2.14251649418767</v>
      </c>
      <c r="E640" s="2" t="n">
        <v>4.0642244463584</v>
      </c>
    </row>
    <row r="641" customFormat="false" ht="13.8" hidden="false" customHeight="false" outlineLevel="0" collapsed="false">
      <c r="B641" s="2" t="n">
        <v>639</v>
      </c>
      <c r="C641" s="2" t="n">
        <v>0.184604238044314</v>
      </c>
      <c r="D641" s="2" t="n">
        <v>2.14249506902276</v>
      </c>
      <c r="E641" s="2" t="n">
        <v>4.01001480195199</v>
      </c>
    </row>
    <row r="642" customFormat="false" ht="13.8" hidden="false" customHeight="false" outlineLevel="0" collapsed="false">
      <c r="B642" s="2" t="n">
        <v>640</v>
      </c>
      <c r="C642" s="2" t="n">
        <v>0.1846023920007</v>
      </c>
      <c r="D642" s="2" t="n">
        <v>2.14247364407213</v>
      </c>
      <c r="E642" s="2" t="n">
        <v>3.88869675244226</v>
      </c>
    </row>
    <row r="643" customFormat="false" ht="13.8" hidden="false" customHeight="false" outlineLevel="0" collapsed="false">
      <c r="B643" s="2" t="n">
        <v>641</v>
      </c>
      <c r="C643" s="2" t="n">
        <v>0.18460054597845</v>
      </c>
      <c r="D643" s="2" t="n">
        <v>2.14245221933576</v>
      </c>
      <c r="E643" s="2" t="n">
        <v>3.68512313557995</v>
      </c>
    </row>
    <row r="644" customFormat="false" ht="13.8" hidden="false" customHeight="false" outlineLevel="0" collapsed="false">
      <c r="B644" s="2" t="n">
        <v>642</v>
      </c>
      <c r="C644" s="2" t="n">
        <v>0.184598699974628</v>
      </c>
      <c r="D644" s="2" t="n">
        <v>2.14243079481366</v>
      </c>
      <c r="E644" s="2" t="n">
        <v>3.55023911154947</v>
      </c>
    </row>
    <row r="645" customFormat="false" ht="13.8" hidden="false" customHeight="false" outlineLevel="0" collapsed="false">
      <c r="B645" s="2" t="n">
        <v>643</v>
      </c>
      <c r="C645" s="2" t="n">
        <v>0.184596853989235</v>
      </c>
      <c r="D645" s="2" t="n">
        <v>2.14240937050583</v>
      </c>
      <c r="E645" s="2" t="n">
        <v>3.47237756752895</v>
      </c>
    </row>
    <row r="646" customFormat="false" ht="13.8" hidden="false" customHeight="false" outlineLevel="0" collapsed="false">
      <c r="B646" s="2" t="n">
        <v>644</v>
      </c>
      <c r="C646" s="2" t="n">
        <v>0.184595008022269</v>
      </c>
      <c r="D646" s="2" t="n">
        <v>2.14238794641226</v>
      </c>
      <c r="E646" s="2" t="n">
        <v>3.39788991477508</v>
      </c>
    </row>
    <row r="647" customFormat="false" ht="13.8" hidden="false" customHeight="false" outlineLevel="0" collapsed="false">
      <c r="B647" s="2" t="n">
        <v>645</v>
      </c>
      <c r="C647" s="2" t="n">
        <v>0.184593162073732</v>
      </c>
      <c r="D647" s="2" t="n">
        <v>2.14236652253296</v>
      </c>
      <c r="E647" s="2" t="n">
        <v>3.27651691584525</v>
      </c>
    </row>
    <row r="648" customFormat="false" ht="13.8" hidden="false" customHeight="false" outlineLevel="0" collapsed="false">
      <c r="B648" s="2" t="n">
        <v>646</v>
      </c>
      <c r="C648" s="2" t="n">
        <v>0.184591316143621</v>
      </c>
      <c r="D648" s="2" t="n">
        <v>2.14234509886791</v>
      </c>
      <c r="E648" s="2" t="n">
        <v>3.20542378380069</v>
      </c>
    </row>
    <row r="649" customFormat="false" ht="13.8" hidden="false" customHeight="false" outlineLevel="0" collapsed="false">
      <c r="B649" s="2" t="n">
        <v>647</v>
      </c>
      <c r="C649" s="2" t="n">
        <v>0.184589470231939</v>
      </c>
      <c r="D649" s="2" t="n">
        <v>2.14232367541712</v>
      </c>
      <c r="E649" s="2" t="n">
        <v>3.0702396639909</v>
      </c>
    </row>
    <row r="650" customFormat="false" ht="13.8" hidden="false" customHeight="false" outlineLevel="0" collapsed="false">
      <c r="B650" s="2" t="n">
        <v>648</v>
      </c>
      <c r="C650" s="2" t="n">
        <v>0.184587624338683</v>
      </c>
      <c r="D650" s="2" t="n">
        <v>2.14230225218059</v>
      </c>
      <c r="E650" s="2" t="n">
        <v>2.95091008621463</v>
      </c>
    </row>
    <row r="651" customFormat="false" ht="13.8" hidden="false" customHeight="false" outlineLevel="0" collapsed="false">
      <c r="B651" s="2" t="n">
        <v>649</v>
      </c>
      <c r="C651" s="2" t="n">
        <v>0.184585778463855</v>
      </c>
      <c r="D651" s="2" t="n">
        <v>2.14228082915845</v>
      </c>
      <c r="E651" s="2" t="n">
        <v>2.81869318822388</v>
      </c>
    </row>
    <row r="652" customFormat="false" ht="13.8" hidden="false" customHeight="false" outlineLevel="0" collapsed="false">
      <c r="B652" s="2" t="n">
        <v>650</v>
      </c>
      <c r="C652" s="2" t="n">
        <v>0.184583932607435</v>
      </c>
      <c r="D652" s="2" t="n">
        <v>2.1422594064221</v>
      </c>
      <c r="E652" s="2" t="n">
        <v>2.67869977906874</v>
      </c>
    </row>
    <row r="653" customFormat="false" ht="13.8" hidden="false" customHeight="false" outlineLevel="0" collapsed="false">
      <c r="B653" s="2" t="n">
        <v>651</v>
      </c>
      <c r="C653" s="2" t="n">
        <v>0.184582086759581</v>
      </c>
      <c r="D653" s="2" t="n">
        <v>2.14223798368467</v>
      </c>
      <c r="E653" s="2" t="n">
        <v>2.41202286244025</v>
      </c>
    </row>
    <row r="654" customFormat="false" ht="13.8" hidden="false" customHeight="false" outlineLevel="0" collapsed="false">
      <c r="B654" s="2" t="n">
        <v>652</v>
      </c>
      <c r="C654" s="2" t="n">
        <v>0.184580240975929</v>
      </c>
      <c r="D654" s="2" t="n">
        <v>2.09841039422865</v>
      </c>
      <c r="E654" s="2" t="n">
        <v>2.19311677972913</v>
      </c>
    </row>
    <row r="655" customFormat="false" ht="13.8" hidden="false" customHeight="false" outlineLevel="0" collapsed="false">
      <c r="B655" s="2" t="n">
        <v>653</v>
      </c>
      <c r="C655" s="2" t="n">
        <v>0.18457839513891</v>
      </c>
      <c r="D655" s="2" t="n">
        <v>2.00019001266842</v>
      </c>
      <c r="E655" s="2" t="n">
        <v>2.07204963490562</v>
      </c>
    </row>
    <row r="656" customFormat="false" ht="13.8" hidden="false" customHeight="false" outlineLevel="0" collapsed="false">
      <c r="B656" s="2" t="n">
        <v>654</v>
      </c>
      <c r="C656" s="2" t="n">
        <v>0.184576549366094</v>
      </c>
      <c r="D656" s="2" t="n">
        <v>1.88905889965718</v>
      </c>
      <c r="E656" s="2" t="n">
        <v>1.94395132181588</v>
      </c>
    </row>
    <row r="657" customFormat="false" ht="13.8" hidden="false" customHeight="false" outlineLevel="0" collapsed="false">
      <c r="B657" s="2" t="n">
        <v>655</v>
      </c>
      <c r="C657" s="2" t="n">
        <v>0.184574703601843</v>
      </c>
      <c r="D657" s="2" t="n">
        <v>1.777928897957</v>
      </c>
      <c r="E657" s="2" t="n">
        <v>1.75770686378327</v>
      </c>
    </row>
    <row r="658" customFormat="false" ht="13.8" hidden="false" customHeight="false" outlineLevel="0" collapsed="false">
      <c r="B658" s="2" t="n">
        <v>656</v>
      </c>
      <c r="C658" s="2" t="n">
        <v>0.184572857855999</v>
      </c>
      <c r="D658" s="2" t="n">
        <v>1.66680000755683</v>
      </c>
      <c r="E658" s="2" t="n">
        <v>1.60490789782481</v>
      </c>
    </row>
    <row r="659" customFormat="false" ht="13.8" hidden="false" customHeight="false" outlineLevel="0" collapsed="false">
      <c r="B659" s="2" t="n">
        <v>657</v>
      </c>
      <c r="C659" s="2" t="n">
        <v>0.18457101212858</v>
      </c>
      <c r="D659" s="2" t="n">
        <v>1.55567222844557</v>
      </c>
      <c r="E659" s="2" t="n">
        <v>1.49872114504112</v>
      </c>
    </row>
    <row r="660" customFormat="false" ht="13.8" hidden="false" customHeight="false" outlineLevel="0" collapsed="false">
      <c r="B660" s="2" t="n">
        <v>658</v>
      </c>
      <c r="C660" s="2" t="n">
        <v>0.184569166419587</v>
      </c>
      <c r="D660" s="2" t="n">
        <v>1.4445455606121</v>
      </c>
      <c r="E660" s="2" t="n">
        <v>1.33075784301379</v>
      </c>
    </row>
    <row r="661" customFormat="false" ht="13.8" hidden="false" customHeight="false" outlineLevel="0" collapsed="false">
      <c r="B661" s="2" t="n">
        <v>659</v>
      </c>
      <c r="C661" s="2" t="n">
        <v>0.18456732072902</v>
      </c>
      <c r="D661" s="2" t="n">
        <v>1.33342000404531</v>
      </c>
      <c r="E661" s="2" t="n">
        <v>1.23011094284163</v>
      </c>
    </row>
    <row r="662" customFormat="false" ht="13.8" hidden="false" customHeight="false" outlineLevel="0" collapsed="false">
      <c r="B662" s="2" t="n">
        <v>660</v>
      </c>
      <c r="C662" s="2" t="n">
        <v>0.184565475056877</v>
      </c>
      <c r="D662" s="2" t="n">
        <v>1.22229555873408</v>
      </c>
      <c r="E662" s="2" t="n">
        <v>1.06896508617544</v>
      </c>
    </row>
    <row r="663" customFormat="false" ht="13.8" hidden="false" customHeight="false" outlineLevel="0" collapsed="false">
      <c r="B663" s="2" t="n">
        <v>661</v>
      </c>
      <c r="C663" s="2" t="n">
        <v>0.184563629403159</v>
      </c>
      <c r="D663" s="2" t="n">
        <v>1.11117222466731</v>
      </c>
      <c r="E663" s="2" t="n">
        <v>0.949042674301087</v>
      </c>
    </row>
    <row r="664" customFormat="false" ht="13.8" hidden="false" customHeight="false" outlineLevel="0" collapsed="false">
      <c r="B664" s="2" t="n">
        <v>662</v>
      </c>
      <c r="C664" s="2" t="n">
        <v>0.184561783767866</v>
      </c>
      <c r="D664" s="2" t="n">
        <v>1.00005000183388</v>
      </c>
      <c r="E664" s="2" t="n">
        <v>0.807121517206341</v>
      </c>
    </row>
    <row r="665" customFormat="false" ht="13.8" hidden="false" customHeight="false" outlineLevel="0" collapsed="false">
      <c r="B665" s="2" t="n">
        <v>663</v>
      </c>
      <c r="C665" s="2" t="n">
        <v>0.184559938150997</v>
      </c>
      <c r="D665" s="2" t="n">
        <v>0.888928890222674</v>
      </c>
      <c r="E665" s="2" t="n">
        <v>0.691867631174952</v>
      </c>
    </row>
    <row r="666" customFormat="false" ht="13.8" hidden="false" customHeight="false" outlineLevel="0" collapsed="false">
      <c r="B666" s="2" t="n">
        <v>664</v>
      </c>
      <c r="C666" s="2" t="n">
        <v>0.184558092552553</v>
      </c>
      <c r="D666" s="2" t="n">
        <v>0.777808889822587</v>
      </c>
      <c r="E666" s="2" t="n">
        <v>0.569133619904578</v>
      </c>
    </row>
    <row r="667" customFormat="false" ht="13.8" hidden="false" customHeight="false" outlineLevel="0" collapsed="false">
      <c r="B667" s="2" t="n">
        <v>665</v>
      </c>
      <c r="C667" s="2" t="n">
        <v>0.184556246972458</v>
      </c>
      <c r="D667" s="2" t="n">
        <v>0.666690000622503</v>
      </c>
      <c r="E667" s="2" t="n">
        <v>0.464159873011288</v>
      </c>
    </row>
    <row r="668" customFormat="false" ht="13.8" hidden="false" customHeight="false" outlineLevel="0" collapsed="false">
      <c r="B668" s="2" t="n">
        <v>666</v>
      </c>
      <c r="C668" s="2" t="n">
        <v>0.1845544013722</v>
      </c>
      <c r="D668" s="2" t="n">
        <v>0.555572222611244</v>
      </c>
      <c r="E668" s="2" t="n">
        <v>0.35024256474427</v>
      </c>
    </row>
    <row r="669" customFormat="false" ht="13.8" hidden="false" customHeight="false" outlineLevel="0" collapsed="false">
      <c r="B669" s="2" t="n">
        <v>667</v>
      </c>
      <c r="C669" s="2" t="n">
        <v>0.179970072609982</v>
      </c>
      <c r="D669" s="2" t="n">
        <v>0.444455555777989</v>
      </c>
      <c r="E669" s="2" t="n">
        <v>0.266687453034178</v>
      </c>
    </row>
    <row r="670" customFormat="false" ht="13.8" hidden="false" customHeight="false" outlineLevel="0" collapsed="false">
      <c r="B670" s="2" t="n">
        <v>668</v>
      </c>
      <c r="C670" s="2" t="n">
        <v>0.117919954271237</v>
      </c>
      <c r="D670" s="2" t="n">
        <v>0.333340000111246</v>
      </c>
      <c r="E670" s="2" t="n">
        <v>0.184766030722874</v>
      </c>
    </row>
    <row r="671" customFormat="false" ht="13.8" hidden="false" customHeight="false" outlineLevel="0" collapsed="false">
      <c r="B671" s="2" t="n">
        <v>669</v>
      </c>
      <c r="C671" s="2" t="n">
        <v>0.0788691476235991</v>
      </c>
      <c r="D671" s="2" t="n">
        <v>0.22222555560006</v>
      </c>
      <c r="E671" s="2" t="n">
        <v>0.139457347546807</v>
      </c>
    </row>
    <row r="672" customFormat="false" ht="13.8" hidden="false" customHeight="false" outlineLevel="0" collapsed="false">
      <c r="B672" s="2" t="n">
        <v>670</v>
      </c>
      <c r="C672" s="2" t="n">
        <v>0</v>
      </c>
      <c r="D672" s="2" t="n">
        <v>0.111112222233162</v>
      </c>
      <c r="E672" s="2" t="n">
        <v>0.0997088859786367</v>
      </c>
    </row>
    <row r="673" customFormat="false" ht="13.8" hidden="false" customHeight="false" outlineLevel="0" collapsed="false">
      <c r="B673" s="2" t="n">
        <v>671</v>
      </c>
      <c r="C673" s="2" t="n">
        <v>0</v>
      </c>
      <c r="D673" s="2" t="n">
        <v>3.15660381317139E-012</v>
      </c>
      <c r="E673" s="2" t="n">
        <v>0</v>
      </c>
    </row>
    <row r="674" customFormat="false" ht="13.8" hidden="false" customHeight="false" outlineLevel="0" collapsed="false">
      <c r="B674" s="2" t="n">
        <v>672</v>
      </c>
      <c r="C674" s="2" t="n">
        <v>0.129225551163525</v>
      </c>
      <c r="D674" s="2" t="n">
        <v>1.60694001069747</v>
      </c>
      <c r="E674" s="2" t="n">
        <v>5.54700579686488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673"/>
  <sheetViews>
    <sheetView showFormulas="false" showGridLines="true" showRowColHeaders="true" showZeros="true" rightToLeft="false" tabSelected="false" showOutlineSymbols="true" defaultGridColor="true" view="normal" topLeftCell="A158" colorId="64" zoomScale="100" zoomScaleNormal="100" zoomScalePageLayoutView="100" workbookViewId="0">
      <selection pane="topLeft" activeCell="C2" activeCellId="0" sqref="C2"/>
    </sheetView>
  </sheetViews>
  <sheetFormatPr defaultColWidth="8.54296875" defaultRowHeight="13.8" zeroHeight="false" outlineLevelRow="0" outlineLevelCol="0"/>
  <cols>
    <col collapsed="false" customWidth="true" hidden="false" outlineLevel="0" max="3" min="3" style="5" width="8.85"/>
  </cols>
  <sheetData>
    <row r="2" customFormat="false" ht="13.8" hidden="false" customHeight="false" outlineLevel="0" collapsed="false">
      <c r="B2" s="2" t="n">
        <v>1</v>
      </c>
      <c r="C2" s="5" t="n">
        <v>0.000608470527413879</v>
      </c>
    </row>
    <row r="3" customFormat="false" ht="13.8" hidden="false" customHeight="false" outlineLevel="0" collapsed="false">
      <c r="B3" s="2" t="n">
        <v>2</v>
      </c>
      <c r="C3" s="5" t="n">
        <v>0.000608473839209437</v>
      </c>
    </row>
    <row r="4" customFormat="false" ht="13.8" hidden="false" customHeight="false" outlineLevel="0" collapsed="false">
      <c r="B4" s="2" t="n">
        <v>3</v>
      </c>
      <c r="C4" s="5" t="n">
        <v>0.000608477110404935</v>
      </c>
    </row>
    <row r="5" customFormat="false" ht="13.8" hidden="false" customHeight="false" outlineLevel="0" collapsed="false">
      <c r="B5" s="2" t="n">
        <v>4</v>
      </c>
      <c r="C5" s="5" t="n">
        <v>0.000608478835077437</v>
      </c>
    </row>
    <row r="6" customFormat="false" ht="13.8" hidden="false" customHeight="false" outlineLevel="0" collapsed="false">
      <c r="B6" s="2" t="n">
        <v>5</v>
      </c>
      <c r="C6" s="5" t="n">
        <v>0.000608485324044144</v>
      </c>
    </row>
    <row r="7" customFormat="false" ht="13.8" hidden="false" customHeight="false" outlineLevel="0" collapsed="false">
      <c r="B7" s="2" t="n">
        <v>6</v>
      </c>
      <c r="C7" s="5" t="n">
        <v>0.000608489001422741</v>
      </c>
    </row>
    <row r="8" customFormat="false" ht="13.8" hidden="false" customHeight="false" outlineLevel="0" collapsed="false">
      <c r="B8" s="2" t="n">
        <v>7</v>
      </c>
      <c r="C8" s="5" t="n">
        <v>0.000608492678851214</v>
      </c>
    </row>
    <row r="9" customFormat="false" ht="13.8" hidden="false" customHeight="false" outlineLevel="0" collapsed="false">
      <c r="B9" s="2" t="n">
        <v>8</v>
      </c>
      <c r="C9" s="5" t="n">
        <v>0.00060849813330345</v>
      </c>
    </row>
    <row r="10" customFormat="false" ht="13.8" hidden="false" customHeight="false" outlineLevel="0" collapsed="false">
      <c r="B10" s="2" t="n">
        <v>9</v>
      </c>
      <c r="C10" s="5" t="n">
        <v>0.000608502596645176</v>
      </c>
    </row>
    <row r="11" customFormat="false" ht="13.8" hidden="false" customHeight="false" outlineLevel="0" collapsed="false">
      <c r="B11" s="2" t="n">
        <v>10</v>
      </c>
      <c r="C11" s="5" t="n">
        <v>0.000608507060034517</v>
      </c>
    </row>
    <row r="12" customFormat="false" ht="13.8" hidden="false" customHeight="false" outlineLevel="0" collapsed="false">
      <c r="B12" s="2" t="n">
        <v>11</v>
      </c>
      <c r="C12" s="5" t="n">
        <v>0.000608511523473316</v>
      </c>
    </row>
    <row r="13" customFormat="false" ht="13.8" hidden="false" customHeight="false" outlineLevel="0" collapsed="false">
      <c r="B13" s="2" t="n">
        <v>12</v>
      </c>
      <c r="C13" s="5" t="n">
        <v>0.000608515986940493</v>
      </c>
    </row>
    <row r="14" customFormat="false" ht="13.8" hidden="false" customHeight="false" outlineLevel="0" collapsed="false">
      <c r="B14" s="2" t="n">
        <v>13</v>
      </c>
      <c r="C14" s="5" t="n">
        <v>0.000608520450459157</v>
      </c>
    </row>
    <row r="15" customFormat="false" ht="13.8" hidden="false" customHeight="false" outlineLevel="0" collapsed="false">
      <c r="B15" s="2" t="n">
        <v>14</v>
      </c>
      <c r="C15" s="5" t="n">
        <v>0.000608524914023646</v>
      </c>
    </row>
    <row r="16" customFormat="false" ht="13.8" hidden="false" customHeight="false" outlineLevel="0" collapsed="false">
      <c r="B16" s="2" t="n">
        <v>15</v>
      </c>
      <c r="C16" s="5" t="n">
        <v>0.000608529377636514</v>
      </c>
    </row>
    <row r="17" customFormat="false" ht="13.8" hidden="false" customHeight="false" outlineLevel="0" collapsed="false">
      <c r="B17" s="2" t="n">
        <v>16</v>
      </c>
      <c r="C17" s="5" t="n">
        <v>0.000608533841287956</v>
      </c>
    </row>
    <row r="18" customFormat="false" ht="13.8" hidden="false" customHeight="false" outlineLevel="0" collapsed="false">
      <c r="B18" s="2" t="n">
        <v>17</v>
      </c>
      <c r="C18" s="5" t="n">
        <v>0.000608538304990134</v>
      </c>
    </row>
    <row r="19" customFormat="false" ht="13.8" hidden="false" customHeight="false" outlineLevel="0" collapsed="false">
      <c r="B19" s="2" t="n">
        <v>18</v>
      </c>
      <c r="C19" s="5" t="n">
        <v>0.000608542768730436</v>
      </c>
    </row>
    <row r="20" customFormat="false" ht="13.8" hidden="false" customHeight="false" outlineLevel="0" collapsed="false">
      <c r="B20" s="2" t="n">
        <v>19</v>
      </c>
      <c r="C20" s="5" t="n">
        <v>0.000608547232521543</v>
      </c>
    </row>
    <row r="21" customFormat="false" ht="13.8" hidden="false" customHeight="false" outlineLevel="0" collapsed="false">
      <c r="B21" s="2" t="n">
        <v>20</v>
      </c>
      <c r="C21" s="5" t="n">
        <v>0.000608551696352293</v>
      </c>
    </row>
    <row r="22" customFormat="false" ht="13.8" hidden="false" customHeight="false" outlineLevel="0" collapsed="false">
      <c r="B22" s="2" t="n">
        <v>21</v>
      </c>
      <c r="C22" s="5" t="n">
        <v>0.000608556160228568</v>
      </c>
    </row>
    <row r="23" customFormat="false" ht="13.8" hidden="false" customHeight="false" outlineLevel="0" collapsed="false">
      <c r="B23" s="2" t="n">
        <v>22</v>
      </c>
      <c r="C23" s="5" t="n">
        <v>0.00060854120387374</v>
      </c>
    </row>
    <row r="24" customFormat="false" ht="13.8" hidden="false" customHeight="false" outlineLevel="0" collapsed="false">
      <c r="B24" s="2" t="n">
        <v>23</v>
      </c>
      <c r="C24" s="5" t="n">
        <v>0.000608544473957494</v>
      </c>
    </row>
    <row r="25" customFormat="false" ht="13.8" hidden="false" customHeight="false" outlineLevel="0" collapsed="false">
      <c r="B25" s="2" t="n">
        <v>24</v>
      </c>
      <c r="C25" s="5" t="n">
        <v>0.000608547744073597</v>
      </c>
    </row>
    <row r="26" customFormat="false" ht="13.8" hidden="false" customHeight="false" outlineLevel="0" collapsed="false">
      <c r="B26" s="2" t="n">
        <v>25</v>
      </c>
      <c r="C26" s="5" t="n">
        <v>0.000608551014222298</v>
      </c>
    </row>
    <row r="27" customFormat="false" ht="13.8" hidden="false" customHeight="false" outlineLevel="0" collapsed="false">
      <c r="B27" s="2" t="n">
        <v>26</v>
      </c>
      <c r="C27" s="5" t="n">
        <v>0.000608554284400866</v>
      </c>
    </row>
    <row r="28" customFormat="false" ht="13.8" hidden="false" customHeight="false" outlineLevel="0" collapsed="false">
      <c r="B28" s="2" t="n">
        <v>27</v>
      </c>
      <c r="C28" s="5" t="n">
        <v>0.000608557178077496</v>
      </c>
    </row>
    <row r="29" customFormat="false" ht="13.8" hidden="false" customHeight="false" outlineLevel="0" collapsed="false">
      <c r="B29" s="2" t="n">
        <v>28</v>
      </c>
      <c r="C29" s="5" t="n">
        <v>0.000608562086280719</v>
      </c>
    </row>
    <row r="30" customFormat="false" ht="13.8" hidden="false" customHeight="false" outlineLevel="0" collapsed="false">
      <c r="B30" s="2" t="n">
        <v>29</v>
      </c>
      <c r="C30" s="5" t="n">
        <v>0.000608565987278893</v>
      </c>
    </row>
    <row r="31" customFormat="false" ht="13.8" hidden="false" customHeight="false" outlineLevel="0" collapsed="false">
      <c r="B31" s="2" t="n">
        <v>30</v>
      </c>
      <c r="C31" s="5" t="n">
        <v>6.58114626969328E-005</v>
      </c>
    </row>
    <row r="32" customFormat="false" ht="13.8" hidden="false" customHeight="false" outlineLevel="0" collapsed="false">
      <c r="B32" s="2" t="n">
        <v>31</v>
      </c>
      <c r="C32" s="5" t="n">
        <v>4.99999999899192E-005</v>
      </c>
    </row>
    <row r="33" customFormat="false" ht="13.8" hidden="false" customHeight="false" outlineLevel="0" collapsed="false">
      <c r="B33" s="2" t="n">
        <v>32</v>
      </c>
      <c r="C33" s="5" t="n">
        <v>4.99999999864991E-005</v>
      </c>
    </row>
    <row r="34" customFormat="false" ht="13.8" hidden="false" customHeight="false" outlineLevel="0" collapsed="false">
      <c r="B34" s="2" t="n">
        <v>33</v>
      </c>
      <c r="C34" s="5" t="n">
        <v>4.99999999830798E-005</v>
      </c>
    </row>
    <row r="35" customFormat="false" ht="13.8" hidden="false" customHeight="false" outlineLevel="0" collapsed="false">
      <c r="B35" s="2" t="n">
        <v>34</v>
      </c>
      <c r="C35" s="5" t="n">
        <v>4.99999999820297E-005</v>
      </c>
    </row>
    <row r="36" customFormat="false" ht="13.8" hidden="false" customHeight="false" outlineLevel="0" collapsed="false">
      <c r="B36" s="2" t="n">
        <v>35</v>
      </c>
      <c r="C36" s="5" t="n">
        <v>4.99999999809796E-005</v>
      </c>
    </row>
    <row r="37" customFormat="false" ht="13.8" hidden="false" customHeight="false" outlineLevel="0" collapsed="false">
      <c r="B37" s="2" t="n">
        <v>36</v>
      </c>
      <c r="C37" s="5" t="n">
        <v>4.99999999799287E-005</v>
      </c>
    </row>
    <row r="38" customFormat="false" ht="13.8" hidden="false" customHeight="false" outlineLevel="0" collapsed="false">
      <c r="B38" s="2" t="n">
        <v>37</v>
      </c>
      <c r="C38" s="5" t="n">
        <v>4.99999999788784E-005</v>
      </c>
    </row>
    <row r="39" customFormat="false" ht="13.8" hidden="false" customHeight="false" outlineLevel="0" collapsed="false">
      <c r="B39" s="2" t="n">
        <v>38</v>
      </c>
      <c r="C39" s="5" t="n">
        <v>4.99999999716552E-005</v>
      </c>
    </row>
    <row r="40" customFormat="false" ht="13.8" hidden="false" customHeight="false" outlineLevel="0" collapsed="false">
      <c r="B40" s="2" t="n">
        <v>39</v>
      </c>
      <c r="C40" s="5" t="n">
        <v>4.999999996443E-005</v>
      </c>
    </row>
    <row r="41" customFormat="false" ht="13.8" hidden="false" customHeight="false" outlineLevel="0" collapsed="false">
      <c r="B41" s="2" t="n">
        <v>40</v>
      </c>
      <c r="C41" s="5" t="n">
        <v>4.99999999999997E-005</v>
      </c>
    </row>
    <row r="42" customFormat="false" ht="13.8" hidden="false" customHeight="false" outlineLevel="0" collapsed="false">
      <c r="B42" s="2" t="n">
        <v>41</v>
      </c>
      <c r="C42" s="5" t="n">
        <v>5.00000000000396E-005</v>
      </c>
    </row>
    <row r="43" customFormat="false" ht="13.8" hidden="false" customHeight="false" outlineLevel="0" collapsed="false">
      <c r="B43" s="2" t="n">
        <v>42</v>
      </c>
      <c r="C43" s="5" t="n">
        <v>4.99999999999997E-005</v>
      </c>
    </row>
    <row r="44" customFormat="false" ht="13.8" hidden="false" customHeight="false" outlineLevel="0" collapsed="false">
      <c r="B44" s="2" t="n">
        <v>43</v>
      </c>
      <c r="C44" s="5" t="n">
        <v>5.00000000000006E-005</v>
      </c>
    </row>
    <row r="45" customFormat="false" ht="13.8" hidden="false" customHeight="false" outlineLevel="0" collapsed="false">
      <c r="B45" s="2" t="n">
        <v>44</v>
      </c>
      <c r="C45" s="5" t="n">
        <v>4.99999999999997E-005</v>
      </c>
    </row>
    <row r="46" customFormat="false" ht="13.8" hidden="false" customHeight="false" outlineLevel="0" collapsed="false">
      <c r="B46" s="2" t="n">
        <v>45</v>
      </c>
      <c r="C46" s="5" t="n">
        <v>-3.41486623752793E-005</v>
      </c>
    </row>
    <row r="47" customFormat="false" ht="13.8" hidden="false" customHeight="false" outlineLevel="0" collapsed="false">
      <c r="B47" s="2" t="n">
        <v>46</v>
      </c>
      <c r="C47" s="5" t="n">
        <v>4.99999999999997E-005</v>
      </c>
    </row>
    <row r="48" customFormat="false" ht="13.8" hidden="false" customHeight="false" outlineLevel="0" collapsed="false">
      <c r="B48" s="2" t="n">
        <v>47</v>
      </c>
      <c r="C48" s="5" t="n">
        <v>5.00000000000006E-005</v>
      </c>
    </row>
    <row r="49" customFormat="false" ht="13.8" hidden="false" customHeight="false" outlineLevel="0" collapsed="false">
      <c r="B49" s="2" t="n">
        <v>48</v>
      </c>
      <c r="C49" s="5" t="n">
        <v>5.00000000000006E-005</v>
      </c>
    </row>
    <row r="50" customFormat="false" ht="13.8" hidden="false" customHeight="false" outlineLevel="0" collapsed="false">
      <c r="B50" s="2" t="n">
        <v>49</v>
      </c>
      <c r="C50" s="5" t="n">
        <v>4.99663287562446E-005</v>
      </c>
    </row>
    <row r="51" customFormat="false" ht="13.8" hidden="false" customHeight="false" outlineLevel="0" collapsed="false">
      <c r="B51" s="2" t="n">
        <v>50</v>
      </c>
      <c r="C51" s="5" t="n">
        <v>-3.41353694093447E-005</v>
      </c>
    </row>
    <row r="52" customFormat="false" ht="13.8" hidden="false" customHeight="false" outlineLevel="0" collapsed="false">
      <c r="B52" s="2" t="n">
        <v>51</v>
      </c>
      <c r="C52" s="5" t="n">
        <v>-3.41327107363858E-005</v>
      </c>
    </row>
    <row r="53" customFormat="false" ht="13.8" hidden="false" customHeight="false" outlineLevel="0" collapsed="false">
      <c r="B53" s="2" t="n">
        <v>52</v>
      </c>
      <c r="C53" s="5" t="n">
        <v>-3.41300520368402E-005</v>
      </c>
    </row>
    <row r="54" customFormat="false" ht="13.8" hidden="false" customHeight="false" outlineLevel="0" collapsed="false">
      <c r="B54" s="2" t="n">
        <v>53</v>
      </c>
      <c r="C54" s="5" t="n">
        <v>-3.41273933107072E-005</v>
      </c>
    </row>
    <row r="55" customFormat="false" ht="13.8" hidden="false" customHeight="false" outlineLevel="0" collapsed="false">
      <c r="B55" s="2" t="n">
        <v>54</v>
      </c>
      <c r="C55" s="5" t="n">
        <v>-3.41247345579853E-005</v>
      </c>
    </row>
    <row r="56" customFormat="false" ht="13.8" hidden="false" customHeight="false" outlineLevel="0" collapsed="false">
      <c r="B56" s="2" t="n">
        <v>55</v>
      </c>
      <c r="C56" s="5" t="n">
        <v>-3.41220757786757E-005</v>
      </c>
    </row>
    <row r="57" customFormat="false" ht="13.8" hidden="false" customHeight="false" outlineLevel="0" collapsed="false">
      <c r="B57" s="2" t="n">
        <v>56</v>
      </c>
      <c r="C57" s="5" t="n">
        <v>-3.41194169727782E-005</v>
      </c>
    </row>
    <row r="58" customFormat="false" ht="13.8" hidden="false" customHeight="false" outlineLevel="0" collapsed="false">
      <c r="B58" s="2" t="n">
        <v>57</v>
      </c>
      <c r="C58" s="5" t="n">
        <v>-3.41167581402934E-005</v>
      </c>
    </row>
    <row r="59" customFormat="false" ht="13.8" hidden="false" customHeight="false" outlineLevel="0" collapsed="false">
      <c r="B59" s="2" t="n">
        <v>58</v>
      </c>
      <c r="C59" s="5" t="n">
        <v>-3.411409928122E-005</v>
      </c>
    </row>
    <row r="60" customFormat="false" ht="13.8" hidden="false" customHeight="false" outlineLevel="0" collapsed="false">
      <c r="B60" s="2" t="n">
        <v>59</v>
      </c>
      <c r="C60" s="5" t="n">
        <v>-3.41114403955601E-005</v>
      </c>
    </row>
    <row r="61" customFormat="false" ht="13.8" hidden="false" customHeight="false" outlineLevel="0" collapsed="false">
      <c r="B61" s="2" t="n">
        <v>60</v>
      </c>
      <c r="C61" s="5" t="n">
        <v>5.00135398947805E-005</v>
      </c>
    </row>
    <row r="62" customFormat="false" ht="13.8" hidden="false" customHeight="false" outlineLevel="0" collapsed="false">
      <c r="B62" s="2" t="n">
        <v>61</v>
      </c>
      <c r="C62" s="5" t="n">
        <v>5.001604006E-005</v>
      </c>
    </row>
    <row r="63" customFormat="false" ht="13.8" hidden="false" customHeight="false" outlineLevel="0" collapsed="false">
      <c r="B63" s="2" t="n">
        <v>62</v>
      </c>
      <c r="C63" s="5" t="n">
        <v>5.00185402477303E-005</v>
      </c>
    </row>
    <row r="64" customFormat="false" ht="13.8" hidden="false" customHeight="false" outlineLevel="0" collapsed="false">
      <c r="B64" s="2" t="n">
        <v>63</v>
      </c>
      <c r="C64" s="5" t="n">
        <v>5.00210404604993E-005</v>
      </c>
    </row>
    <row r="65" customFormat="false" ht="13.8" hidden="false" customHeight="false" outlineLevel="0" collapsed="false">
      <c r="B65" s="2" t="n">
        <v>64</v>
      </c>
      <c r="C65" s="5" t="n">
        <v>5.00235406982965E-005</v>
      </c>
    </row>
    <row r="66" customFormat="false" ht="13.8" hidden="false" customHeight="false" outlineLevel="0" collapsed="false">
      <c r="B66" s="2" t="n">
        <v>65</v>
      </c>
      <c r="C66" s="5" t="n">
        <v>5.00260409611414E-005</v>
      </c>
    </row>
    <row r="67" customFormat="false" ht="13.8" hidden="false" customHeight="false" outlineLevel="0" collapsed="false">
      <c r="B67" s="2" t="n">
        <v>66</v>
      </c>
      <c r="C67" s="5" t="n">
        <v>5.0028541249049E-005</v>
      </c>
    </row>
    <row r="68" customFormat="false" ht="13.8" hidden="false" customHeight="false" outlineLevel="0" collapsed="false">
      <c r="B68" s="2" t="n">
        <v>67</v>
      </c>
      <c r="C68" s="5" t="n">
        <v>5.00310415619882E-005</v>
      </c>
    </row>
    <row r="69" customFormat="false" ht="13.8" hidden="false" customHeight="false" outlineLevel="0" collapsed="false">
      <c r="B69" s="2" t="n">
        <v>68</v>
      </c>
      <c r="C69" s="5" t="n">
        <v>6.59124907453468E-005</v>
      </c>
    </row>
    <row r="70" customFormat="false" ht="13.8" hidden="false" customHeight="false" outlineLevel="0" collapsed="false">
      <c r="B70" s="2" t="n">
        <v>69</v>
      </c>
      <c r="C70" s="5" t="n">
        <v>0.000608679710586005</v>
      </c>
    </row>
    <row r="71" customFormat="false" ht="13.8" hidden="false" customHeight="false" outlineLevel="0" collapsed="false">
      <c r="B71" s="2" t="n">
        <v>70</v>
      </c>
      <c r="C71" s="5" t="n">
        <v>0.000608682982088304</v>
      </c>
    </row>
    <row r="72" customFormat="false" ht="13.8" hidden="false" customHeight="false" outlineLevel="0" collapsed="false">
      <c r="B72" s="2" t="n">
        <v>71</v>
      </c>
      <c r="C72" s="5" t="n">
        <v>0.00060868625362833</v>
      </c>
    </row>
    <row r="73" customFormat="false" ht="13.8" hidden="false" customHeight="false" outlineLevel="0" collapsed="false">
      <c r="B73" s="2" t="n">
        <v>72</v>
      </c>
      <c r="C73" s="5" t="n">
        <v>0.000608689525199336</v>
      </c>
    </row>
    <row r="74" customFormat="false" ht="13.8" hidden="false" customHeight="false" outlineLevel="0" collapsed="false">
      <c r="B74" s="2" t="n">
        <v>73</v>
      </c>
      <c r="C74" s="5" t="n">
        <v>0.000608692738612472</v>
      </c>
    </row>
    <row r="75" customFormat="false" ht="13.8" hidden="false" customHeight="false" outlineLevel="0" collapsed="false">
      <c r="B75" s="2" t="n">
        <v>74</v>
      </c>
      <c r="C75" s="5" t="n">
        <v>0.000608696012004076</v>
      </c>
    </row>
    <row r="76" customFormat="false" ht="13.8" hidden="false" customHeight="false" outlineLevel="0" collapsed="false">
      <c r="B76" s="2" t="n">
        <v>75</v>
      </c>
      <c r="C76" s="5" t="n">
        <v>0.000608699285424392</v>
      </c>
    </row>
    <row r="77" customFormat="false" ht="13.8" hidden="false" customHeight="false" outlineLevel="0" collapsed="false">
      <c r="B77" s="2" t="n">
        <v>76</v>
      </c>
      <c r="C77" s="5" t="n">
        <v>0.000608702558879915</v>
      </c>
    </row>
    <row r="78" customFormat="false" ht="13.8" hidden="false" customHeight="false" outlineLevel="0" collapsed="false">
      <c r="B78" s="2" t="n">
        <v>77</v>
      </c>
      <c r="C78" s="5" t="n">
        <v>0.000608705832361336</v>
      </c>
    </row>
    <row r="79" customFormat="false" ht="13.8" hidden="false" customHeight="false" outlineLevel="0" collapsed="false">
      <c r="B79" s="2" t="n">
        <v>78</v>
      </c>
      <c r="C79" s="5" t="n">
        <v>0.000608706209746417</v>
      </c>
    </row>
    <row r="80" customFormat="false" ht="13.8" hidden="false" customHeight="false" outlineLevel="0" collapsed="false">
      <c r="B80" s="2" t="n">
        <v>79</v>
      </c>
      <c r="C80" s="5" t="n">
        <v>0.000608709666854231</v>
      </c>
    </row>
    <row r="81" customFormat="false" ht="13.8" hidden="false" customHeight="false" outlineLevel="0" collapsed="false">
      <c r="B81" s="2" t="n">
        <v>80</v>
      </c>
      <c r="C81" s="5" t="n">
        <v>0.000608713124003471</v>
      </c>
    </row>
    <row r="82" customFormat="false" ht="13.8" hidden="false" customHeight="false" outlineLevel="0" collapsed="false">
      <c r="B82" s="2" t="n">
        <v>81</v>
      </c>
      <c r="C82" s="5" t="n">
        <v>0.000608716581181953</v>
      </c>
    </row>
    <row r="83" customFormat="false" ht="13.8" hidden="false" customHeight="false" outlineLevel="0" collapsed="false">
      <c r="B83" s="2" t="n">
        <v>82</v>
      </c>
      <c r="C83" s="5" t="n">
        <v>0.000608720038398783</v>
      </c>
    </row>
    <row r="84" customFormat="false" ht="13.8" hidden="false" customHeight="false" outlineLevel="0" collapsed="false">
      <c r="B84" s="2" t="n">
        <v>83</v>
      </c>
      <c r="C84" s="5" t="n">
        <v>0.000608723495647788</v>
      </c>
    </row>
    <row r="85" customFormat="false" ht="13.8" hidden="false" customHeight="false" outlineLevel="0" collapsed="false">
      <c r="B85" s="2" t="n">
        <v>84</v>
      </c>
      <c r="C85" s="5" t="n">
        <v>0.000608726952932461</v>
      </c>
    </row>
    <row r="86" customFormat="false" ht="13.8" hidden="false" customHeight="false" outlineLevel="0" collapsed="false">
      <c r="B86" s="2" t="n">
        <v>85</v>
      </c>
      <c r="C86" s="5" t="n">
        <v>0.000608730410252135</v>
      </c>
    </row>
    <row r="87" customFormat="false" ht="13.8" hidden="false" customHeight="false" outlineLevel="0" collapsed="false">
      <c r="B87" s="2" t="n">
        <v>86</v>
      </c>
      <c r="C87" s="5" t="n">
        <v>0.000608733867606437</v>
      </c>
    </row>
    <row r="88" customFormat="false" ht="13.8" hidden="false" customHeight="false" outlineLevel="0" collapsed="false">
      <c r="B88" s="2" t="n">
        <v>87</v>
      </c>
      <c r="C88" s="5" t="n">
        <v>0.000608737324995308</v>
      </c>
    </row>
    <row r="89" customFormat="false" ht="13.8" hidden="false" customHeight="false" outlineLevel="0" collapsed="false">
      <c r="B89" s="2" t="n">
        <v>88</v>
      </c>
      <c r="C89" s="5" t="n">
        <v>0.000608740782418437</v>
      </c>
    </row>
    <row r="90" customFormat="false" ht="13.8" hidden="false" customHeight="false" outlineLevel="0" collapsed="false">
      <c r="B90" s="2" t="n">
        <v>89</v>
      </c>
      <c r="C90" s="5" t="n">
        <v>0.000608744239877111</v>
      </c>
    </row>
    <row r="91" customFormat="false" ht="13.8" hidden="false" customHeight="false" outlineLevel="0" collapsed="false">
      <c r="B91" s="2" t="n">
        <v>90</v>
      </c>
      <c r="C91" s="5" t="n">
        <v>0.000608747697371815</v>
      </c>
    </row>
    <row r="92" customFormat="false" ht="13.8" hidden="false" customHeight="false" outlineLevel="0" collapsed="false">
      <c r="B92" s="2" t="n">
        <v>91</v>
      </c>
      <c r="C92" s="5" t="n">
        <v>0.000608751154901991</v>
      </c>
    </row>
    <row r="93" customFormat="false" ht="13.8" hidden="false" customHeight="false" outlineLevel="0" collapsed="false">
      <c r="B93" s="2" t="n">
        <v>92</v>
      </c>
      <c r="C93" s="5" t="n">
        <v>0.00060875461246914</v>
      </c>
    </row>
    <row r="94" customFormat="false" ht="13.8" hidden="false" customHeight="false" outlineLevel="0" collapsed="false">
      <c r="B94" s="2" t="n">
        <v>93</v>
      </c>
      <c r="C94" s="5" t="n">
        <v>0.000608757876959481</v>
      </c>
    </row>
    <row r="95" customFormat="false" ht="13.8" hidden="false" customHeight="false" outlineLevel="0" collapsed="false">
      <c r="B95" s="2" t="n">
        <v>94</v>
      </c>
      <c r="C95" s="5" t="n">
        <v>0.000608761557074494</v>
      </c>
    </row>
    <row r="96" customFormat="false" ht="13.8" hidden="false" customHeight="false" outlineLevel="0" collapsed="false">
      <c r="B96" s="2" t="n">
        <v>95</v>
      </c>
      <c r="C96" s="5" t="n">
        <v>0.000608765237227557</v>
      </c>
    </row>
    <row r="97" customFormat="false" ht="13.8" hidden="false" customHeight="false" outlineLevel="0" collapsed="false">
      <c r="B97" s="2" t="n">
        <v>96</v>
      </c>
      <c r="C97" s="5" t="n">
        <v>0.000608768917416769</v>
      </c>
    </row>
    <row r="98" customFormat="false" ht="13.8" hidden="false" customHeight="false" outlineLevel="0" collapsed="false">
      <c r="B98" s="2" t="n">
        <v>97</v>
      </c>
      <c r="C98" s="5" t="n">
        <v>0.000608772597642793</v>
      </c>
    </row>
    <row r="99" customFormat="false" ht="13.8" hidden="false" customHeight="false" outlineLevel="0" collapsed="false">
      <c r="B99" s="2" t="n">
        <v>98</v>
      </c>
      <c r="C99" s="5" t="n">
        <v>0.000608776298971299</v>
      </c>
    </row>
    <row r="100" customFormat="false" ht="13.8" hidden="false" customHeight="false" outlineLevel="0" collapsed="false">
      <c r="B100" s="2" t="n">
        <v>99</v>
      </c>
      <c r="C100" s="5" t="n">
        <v>0.000608779958204718</v>
      </c>
    </row>
    <row r="101" customFormat="false" ht="13.8" hidden="false" customHeight="false" outlineLevel="0" collapsed="false">
      <c r="B101" s="2" t="n">
        <v>100</v>
      </c>
      <c r="C101" s="5" t="n">
        <v>0.000608783638540999</v>
      </c>
    </row>
    <row r="102" customFormat="false" ht="13.8" hidden="false" customHeight="false" outlineLevel="0" collapsed="false">
      <c r="B102" s="2" t="n">
        <v>101</v>
      </c>
      <c r="C102" s="5" t="n">
        <v>0.000608787318913998</v>
      </c>
    </row>
    <row r="103" customFormat="false" ht="13.8" hidden="false" customHeight="false" outlineLevel="0" collapsed="false">
      <c r="B103" s="2" t="n">
        <v>102</v>
      </c>
      <c r="C103" s="5" t="n">
        <v>0.000608790999324762</v>
      </c>
    </row>
    <row r="104" customFormat="false" ht="13.8" hidden="false" customHeight="false" outlineLevel="0" collapsed="false">
      <c r="B104" s="2" t="n">
        <v>103</v>
      </c>
      <c r="C104" s="5" t="n">
        <v>0.000608794679770596</v>
      </c>
    </row>
    <row r="105" customFormat="false" ht="13.8" hidden="false" customHeight="false" outlineLevel="0" collapsed="false">
      <c r="B105" s="2" t="n">
        <v>104</v>
      </c>
      <c r="C105" s="5" t="n">
        <v>0.000608798360255327</v>
      </c>
    </row>
    <row r="106" customFormat="false" ht="13.8" hidden="false" customHeight="false" outlineLevel="0" collapsed="false">
      <c r="B106" s="2" t="n">
        <v>105</v>
      </c>
      <c r="C106" s="5" t="n">
        <v>0.000608802040774677</v>
      </c>
    </row>
    <row r="107" customFormat="false" ht="13.8" hidden="false" customHeight="false" outlineLevel="0" collapsed="false">
      <c r="B107" s="2" t="n">
        <v>106</v>
      </c>
      <c r="C107" s="5" t="n">
        <v>0.000608805721332479</v>
      </c>
    </row>
    <row r="108" customFormat="false" ht="13.8" hidden="false" customHeight="false" outlineLevel="0" collapsed="false">
      <c r="B108" s="2" t="n">
        <v>107</v>
      </c>
      <c r="C108" s="5" t="n">
        <v>0.000608809401925801</v>
      </c>
    </row>
    <row r="109" customFormat="false" ht="13.8" hidden="false" customHeight="false" outlineLevel="0" collapsed="false">
      <c r="B109" s="2" t="n">
        <v>108</v>
      </c>
      <c r="C109" s="5" t="n">
        <v>0.000608813082557018</v>
      </c>
    </row>
    <row r="110" customFormat="false" ht="13.8" hidden="false" customHeight="false" outlineLevel="0" collapsed="false">
      <c r="B110" s="2" t="n">
        <v>109</v>
      </c>
      <c r="C110" s="5" t="n">
        <v>0.000608816763224283</v>
      </c>
    </row>
    <row r="111" customFormat="false" ht="13.8" hidden="false" customHeight="false" outlineLevel="0" collapsed="false">
      <c r="B111" s="2" t="n">
        <v>110</v>
      </c>
      <c r="C111" s="5" t="n">
        <v>0.000608820443928815</v>
      </c>
    </row>
    <row r="112" customFormat="false" ht="13.8" hidden="false" customHeight="false" outlineLevel="0" collapsed="false">
      <c r="B112" s="2" t="n">
        <v>111</v>
      </c>
      <c r="C112" s="5" t="n">
        <v>0.000608824124670029</v>
      </c>
    </row>
    <row r="113" customFormat="false" ht="13.8" hidden="false" customHeight="false" outlineLevel="0" collapsed="false">
      <c r="B113" s="2" t="n">
        <v>112</v>
      </c>
      <c r="C113" s="5" t="n">
        <v>0.000608827805448123</v>
      </c>
    </row>
    <row r="114" customFormat="false" ht="13.8" hidden="false" customHeight="false" outlineLevel="0" collapsed="false">
      <c r="B114" s="2" t="n">
        <v>113</v>
      </c>
      <c r="C114" s="5" t="n">
        <v>0.000608831486263051</v>
      </c>
    </row>
    <row r="115" customFormat="false" ht="13.8" hidden="false" customHeight="false" outlineLevel="0" collapsed="false">
      <c r="B115" s="2" t="n">
        <v>114</v>
      </c>
      <c r="C115" s="5" t="n">
        <v>0.000608835167114849</v>
      </c>
    </row>
    <row r="116" customFormat="false" ht="13.8" hidden="false" customHeight="false" outlineLevel="0" collapsed="false">
      <c r="B116" s="2" t="n">
        <v>115</v>
      </c>
      <c r="C116" s="5" t="n">
        <v>0.000608838848003578</v>
      </c>
    </row>
    <row r="117" customFormat="false" ht="13.8" hidden="false" customHeight="false" outlineLevel="0" collapsed="false">
      <c r="B117" s="2" t="n">
        <v>116</v>
      </c>
      <c r="C117" s="5" t="n">
        <v>0.000608842528929397</v>
      </c>
    </row>
    <row r="118" customFormat="false" ht="13.8" hidden="false" customHeight="false" outlineLevel="0" collapsed="false">
      <c r="B118" s="2" t="n">
        <v>117</v>
      </c>
      <c r="C118" s="5" t="n">
        <v>0.000608846181553295</v>
      </c>
    </row>
    <row r="119" customFormat="false" ht="13.8" hidden="false" customHeight="false" outlineLevel="0" collapsed="false">
      <c r="B119" s="2" t="n">
        <v>118</v>
      </c>
      <c r="C119" s="5" t="n">
        <v>0.000608849936724622</v>
      </c>
    </row>
    <row r="120" customFormat="false" ht="13.8" hidden="false" customHeight="false" outlineLevel="0" collapsed="false">
      <c r="B120" s="2" t="n">
        <v>119</v>
      </c>
      <c r="C120" s="5" t="n">
        <v>0.000608854285226267</v>
      </c>
    </row>
    <row r="121" customFormat="false" ht="13.8" hidden="false" customHeight="false" outlineLevel="0" collapsed="false">
      <c r="B121" s="2" t="n">
        <v>120</v>
      </c>
      <c r="C121" s="5" t="n">
        <v>0.000608858471054661</v>
      </c>
    </row>
    <row r="122" customFormat="false" ht="13.8" hidden="false" customHeight="false" outlineLevel="0" collapsed="false">
      <c r="B122" s="2" t="n">
        <v>121</v>
      </c>
      <c r="C122" s="5" t="n">
        <v>5.01792961033961E-005</v>
      </c>
    </row>
    <row r="123" customFormat="false" ht="13.8" hidden="false" customHeight="false" outlineLevel="0" collapsed="false">
      <c r="B123" s="2" t="n">
        <v>122</v>
      </c>
      <c r="C123" s="5" t="n">
        <v>0.000608866418475348</v>
      </c>
    </row>
    <row r="124" customFormat="false" ht="13.8" hidden="false" customHeight="false" outlineLevel="0" collapsed="false">
      <c r="B124" s="2" t="n">
        <v>123</v>
      </c>
      <c r="C124" s="5" t="n">
        <v>5E-005</v>
      </c>
    </row>
    <row r="125" customFormat="false" ht="13.8" hidden="false" customHeight="false" outlineLevel="0" collapsed="false">
      <c r="B125" s="2" t="n">
        <v>124</v>
      </c>
      <c r="C125" s="5" t="n">
        <v>4.99999999902772E-005</v>
      </c>
    </row>
    <row r="126" customFormat="false" ht="13.8" hidden="false" customHeight="false" outlineLevel="0" collapsed="false">
      <c r="B126" s="2" t="n">
        <v>125</v>
      </c>
      <c r="C126" s="5" t="n">
        <v>4.99999999878588E-005</v>
      </c>
    </row>
    <row r="127" customFormat="false" ht="13.8" hidden="false" customHeight="false" outlineLevel="0" collapsed="false">
      <c r="B127" s="2" t="n">
        <v>126</v>
      </c>
      <c r="C127" s="5" t="n">
        <v>4.99999999832452E-005</v>
      </c>
    </row>
    <row r="128" customFormat="false" ht="13.8" hidden="false" customHeight="false" outlineLevel="0" collapsed="false">
      <c r="B128" s="2" t="n">
        <v>127</v>
      </c>
      <c r="C128" s="5" t="n">
        <v>4.99999999999997E-005</v>
      </c>
    </row>
    <row r="129" customFormat="false" ht="13.8" hidden="false" customHeight="false" outlineLevel="0" collapsed="false">
      <c r="B129" s="2" t="n">
        <v>128</v>
      </c>
      <c r="C129" s="5" t="n">
        <v>4.99999999740105E-005</v>
      </c>
    </row>
    <row r="130" customFormat="false" ht="13.8" hidden="false" customHeight="false" outlineLevel="0" collapsed="false">
      <c r="B130" s="2" t="n">
        <v>129</v>
      </c>
      <c r="C130" s="5" t="n">
        <v>4.9999999969393E-005</v>
      </c>
    </row>
    <row r="131" customFormat="false" ht="13.8" hidden="false" customHeight="false" outlineLevel="0" collapsed="false">
      <c r="B131" s="2" t="n">
        <v>130</v>
      </c>
      <c r="C131" s="5" t="n">
        <v>-4.9999999999998E-005</v>
      </c>
    </row>
    <row r="132" customFormat="false" ht="13.8" hidden="false" customHeight="false" outlineLevel="0" collapsed="false">
      <c r="B132" s="2" t="n">
        <v>131</v>
      </c>
      <c r="C132" s="5" t="n">
        <v>4.99951953940346E-005</v>
      </c>
    </row>
    <row r="133" customFormat="false" ht="13.8" hidden="false" customHeight="false" outlineLevel="0" collapsed="false">
      <c r="B133" s="2" t="n">
        <v>132</v>
      </c>
      <c r="C133" s="5" t="n">
        <v>4.99999999587759E-005</v>
      </c>
    </row>
    <row r="134" customFormat="false" ht="13.8" hidden="false" customHeight="false" outlineLevel="0" collapsed="false">
      <c r="B134" s="2" t="n">
        <v>133</v>
      </c>
      <c r="C134" s="5" t="n">
        <v>4.99980123425954E-005</v>
      </c>
    </row>
    <row r="135" customFormat="false" ht="13.8" hidden="false" customHeight="false" outlineLevel="0" collapsed="false">
      <c r="B135" s="2" t="n">
        <v>134</v>
      </c>
      <c r="C135" s="5" t="n">
        <v>4.99995067192558E-005</v>
      </c>
    </row>
    <row r="136" customFormat="false" ht="13.8" hidden="false" customHeight="false" outlineLevel="0" collapsed="false">
      <c r="B136" s="2" t="n">
        <v>135</v>
      </c>
      <c r="C136" s="5" t="n">
        <v>4.99992194067345E-005</v>
      </c>
    </row>
    <row r="137" customFormat="false" ht="13.8" hidden="false" customHeight="false" outlineLevel="0" collapsed="false">
      <c r="B137" s="2" t="n">
        <v>136</v>
      </c>
      <c r="C137" s="5" t="n">
        <v>-4.99979566798393E-005</v>
      </c>
    </row>
    <row r="138" customFormat="false" ht="13.8" hidden="false" customHeight="false" outlineLevel="0" collapsed="false">
      <c r="B138" s="2" t="n">
        <v>137</v>
      </c>
      <c r="C138" s="5" t="n">
        <v>4.99982634420122E-005</v>
      </c>
    </row>
    <row r="139" customFormat="false" ht="13.8" hidden="false" customHeight="false" outlineLevel="0" collapsed="false">
      <c r="B139" s="2" t="n">
        <v>138</v>
      </c>
      <c r="C139" s="5" t="n">
        <v>-4.99977768523605E-005</v>
      </c>
    </row>
    <row r="140" customFormat="false" ht="13.8" hidden="false" customHeight="false" outlineLevel="0" collapsed="false">
      <c r="B140" s="2" t="n">
        <v>139</v>
      </c>
      <c r="C140" s="5" t="n">
        <v>4.99996699370768E-005</v>
      </c>
    </row>
    <row r="141" customFormat="false" ht="13.8" hidden="false" customHeight="false" outlineLevel="0" collapsed="false">
      <c r="B141" s="2" t="n">
        <v>140</v>
      </c>
      <c r="C141" s="5" t="n">
        <v>-4.99976769700205E-005</v>
      </c>
    </row>
    <row r="142" customFormat="false" ht="13.8" hidden="false" customHeight="false" outlineLevel="0" collapsed="false">
      <c r="B142" s="2" t="n">
        <v>141</v>
      </c>
      <c r="C142" s="5" t="n">
        <v>4.99998390756731E-005</v>
      </c>
    </row>
    <row r="143" customFormat="false" ht="13.8" hidden="false" customHeight="false" outlineLevel="0" collapsed="false">
      <c r="B143" s="2" t="n">
        <v>142</v>
      </c>
      <c r="C143" s="5" t="n">
        <v>4.99999207936881E-005</v>
      </c>
    </row>
    <row r="144" customFormat="false" ht="13.8" hidden="false" customHeight="false" outlineLevel="0" collapsed="false">
      <c r="B144" s="2" t="n">
        <v>143</v>
      </c>
      <c r="C144" s="5" t="n">
        <v>4.99999704446437E-005</v>
      </c>
    </row>
    <row r="145" customFormat="false" ht="13.8" hidden="false" customHeight="false" outlineLevel="0" collapsed="false">
      <c r="B145" s="2" t="n">
        <v>144</v>
      </c>
      <c r="C145" s="5" t="n">
        <v>4.99999862997246E-005</v>
      </c>
    </row>
    <row r="146" customFormat="false" ht="13.8" hidden="false" customHeight="false" outlineLevel="0" collapsed="false">
      <c r="B146" s="2" t="n">
        <v>145</v>
      </c>
      <c r="C146" s="5" t="n">
        <v>4.99932598776325E-005</v>
      </c>
    </row>
    <row r="147" customFormat="false" ht="13.8" hidden="false" customHeight="false" outlineLevel="0" collapsed="false">
      <c r="B147" s="2" t="n">
        <v>146</v>
      </c>
      <c r="C147" s="5" t="n">
        <v>4.99999999999997E-005</v>
      </c>
    </row>
    <row r="148" customFormat="false" ht="13.8" hidden="false" customHeight="false" outlineLevel="0" collapsed="false">
      <c r="B148" s="2" t="n">
        <v>147</v>
      </c>
      <c r="C148" s="5" t="n">
        <v>4.99999999999997E-005</v>
      </c>
    </row>
    <row r="149" customFormat="false" ht="13.8" hidden="false" customHeight="false" outlineLevel="0" collapsed="false">
      <c r="B149" s="2" t="n">
        <v>148</v>
      </c>
      <c r="C149" s="5" t="n">
        <v>-4.99995916256393E-005</v>
      </c>
    </row>
    <row r="150" customFormat="false" ht="13.8" hidden="false" customHeight="false" outlineLevel="0" collapsed="false">
      <c r="B150" s="2" t="n">
        <v>149</v>
      </c>
      <c r="C150" s="5" t="n">
        <v>4.99999991085182E-005</v>
      </c>
    </row>
    <row r="151" customFormat="false" ht="13.8" hidden="false" customHeight="false" outlineLevel="0" collapsed="false">
      <c r="B151" s="2" t="n">
        <v>150</v>
      </c>
      <c r="C151" s="5" t="n">
        <v>-4.99961483780802E-005</v>
      </c>
    </row>
    <row r="152" customFormat="false" ht="13.8" hidden="false" customHeight="false" outlineLevel="0" collapsed="false">
      <c r="B152" s="2" t="n">
        <v>151</v>
      </c>
      <c r="C152" s="5" t="n">
        <v>4.99999982170429E-005</v>
      </c>
    </row>
    <row r="153" customFormat="false" ht="13.8" hidden="false" customHeight="false" outlineLevel="0" collapsed="false">
      <c r="B153" s="2" t="n">
        <v>152</v>
      </c>
      <c r="C153" s="5" t="n">
        <v>5.00000623747501E-005</v>
      </c>
    </row>
    <row r="154" customFormat="false" ht="13.8" hidden="false" customHeight="false" outlineLevel="0" collapsed="false">
      <c r="B154" s="2" t="n">
        <v>153</v>
      </c>
      <c r="C154" s="5" t="n">
        <v>4.9999834385273E-005</v>
      </c>
    </row>
    <row r="155" customFormat="false" ht="13.8" hidden="false" customHeight="false" outlineLevel="0" collapsed="false">
      <c r="B155" s="2" t="n">
        <v>154</v>
      </c>
      <c r="C155" s="5" t="n">
        <v>-4.99871290277704E-005</v>
      </c>
    </row>
    <row r="156" customFormat="false" ht="13.8" hidden="false" customHeight="false" outlineLevel="0" collapsed="false">
      <c r="B156" s="2" t="n">
        <v>155</v>
      </c>
      <c r="C156" s="5" t="n">
        <v>-4.99846288748795E-005</v>
      </c>
    </row>
    <row r="157" customFormat="false" ht="13.8" hidden="false" customHeight="false" outlineLevel="0" collapsed="false">
      <c r="B157" s="2" t="n">
        <v>156</v>
      </c>
      <c r="C157" s="5" t="n">
        <v>-4.998212869694E-005</v>
      </c>
    </row>
    <row r="158" customFormat="false" ht="13.8" hidden="false" customHeight="false" outlineLevel="0" collapsed="false">
      <c r="B158" s="2" t="n">
        <v>157</v>
      </c>
      <c r="C158" s="5" t="n">
        <v>5.00000113240121E-005</v>
      </c>
    </row>
    <row r="159" customFormat="false" ht="13.8" hidden="false" customHeight="false" outlineLevel="0" collapsed="false">
      <c r="B159" s="2" t="n">
        <v>158</v>
      </c>
      <c r="C159" s="5" t="n">
        <v>5.00000222162431E-005</v>
      </c>
    </row>
    <row r="160" customFormat="false" ht="13.8" hidden="false" customHeight="false" outlineLevel="0" collapsed="false">
      <c r="B160" s="2" t="n">
        <v>159</v>
      </c>
      <c r="C160" s="5" t="n">
        <v>-4.99746280128727E-005</v>
      </c>
    </row>
    <row r="161" customFormat="false" ht="13.8" hidden="false" customHeight="false" outlineLevel="0" collapsed="false">
      <c r="B161" s="2" t="n">
        <v>160</v>
      </c>
      <c r="C161" s="5" t="n">
        <v>5.00017080623721E-005</v>
      </c>
    </row>
    <row r="162" customFormat="false" ht="13.8" hidden="false" customHeight="false" outlineLevel="0" collapsed="false">
      <c r="B162" s="2" t="n">
        <v>161</v>
      </c>
      <c r="C162" s="5" t="n">
        <v>-4.99696274316477E-005</v>
      </c>
    </row>
    <row r="163" customFormat="false" ht="13.8" hidden="false" customHeight="false" outlineLevel="0" collapsed="false">
      <c r="B163" s="2" t="n">
        <v>162</v>
      </c>
      <c r="C163" s="5" t="n">
        <v>5.00000004109598E-005</v>
      </c>
    </row>
    <row r="164" customFormat="false" ht="13.8" hidden="false" customHeight="false" outlineLevel="0" collapsed="false">
      <c r="B164" s="2" t="n">
        <v>163</v>
      </c>
      <c r="C164" s="5" t="n">
        <v>5.0035373205755E-005</v>
      </c>
    </row>
    <row r="165" customFormat="false" ht="13.8" hidden="false" customHeight="false" outlineLevel="0" collapsed="false">
      <c r="B165" s="2" t="n">
        <v>164</v>
      </c>
      <c r="C165" s="5" t="n">
        <v>0.000608681561563999</v>
      </c>
    </row>
    <row r="166" customFormat="false" ht="13.8" hidden="false" customHeight="false" outlineLevel="0" collapsed="false">
      <c r="B166" s="2" t="n">
        <v>165</v>
      </c>
      <c r="C166" s="5" t="n">
        <v>5.00403740057988E-005</v>
      </c>
    </row>
    <row r="167" customFormat="false" ht="13.8" hidden="false" customHeight="false" outlineLevel="0" collapsed="false">
      <c r="B167" s="2" t="n">
        <v>166</v>
      </c>
      <c r="C167" s="5" t="n">
        <v>0.000608688104644193</v>
      </c>
    </row>
    <row r="168" customFormat="false" ht="13.8" hidden="false" customHeight="false" outlineLevel="0" collapsed="false">
      <c r="B168" s="2" t="n">
        <v>167</v>
      </c>
      <c r="C168" s="5" t="n">
        <v>0.000608691376233192</v>
      </c>
    </row>
    <row r="169" customFormat="false" ht="13.8" hidden="false" customHeight="false" outlineLevel="0" collapsed="false">
      <c r="B169" s="2" t="n">
        <v>168</v>
      </c>
      <c r="C169" s="5" t="n">
        <v>0.00060869464785373</v>
      </c>
    </row>
    <row r="170" customFormat="false" ht="13.8" hidden="false" customHeight="false" outlineLevel="0" collapsed="false">
      <c r="B170" s="2" t="n">
        <v>169</v>
      </c>
      <c r="C170" s="5" t="n">
        <v>0.000608697919336816</v>
      </c>
    </row>
    <row r="171" customFormat="false" ht="13.8" hidden="false" customHeight="false" outlineLevel="0" collapsed="false">
      <c r="B171" s="2" t="n">
        <v>170</v>
      </c>
      <c r="C171" s="5" t="n">
        <v>0.00060870119097436</v>
      </c>
    </row>
    <row r="172" customFormat="false" ht="13.8" hidden="false" customHeight="false" outlineLevel="0" collapsed="false">
      <c r="B172" s="2" t="n">
        <v>171</v>
      </c>
      <c r="C172" s="5" t="n">
        <v>0.000608704462588028</v>
      </c>
    </row>
    <row r="173" customFormat="false" ht="13.8" hidden="false" customHeight="false" outlineLevel="0" collapsed="false">
      <c r="B173" s="2" t="n">
        <v>172</v>
      </c>
      <c r="C173" s="5" t="n">
        <v>0.000608707734033458</v>
      </c>
    </row>
    <row r="174" customFormat="false" ht="13.8" hidden="false" customHeight="false" outlineLevel="0" collapsed="false">
      <c r="B174" s="2" t="n">
        <v>173</v>
      </c>
      <c r="C174" s="5" t="n">
        <v>0.000608710953133646</v>
      </c>
    </row>
    <row r="175" customFormat="false" ht="13.8" hidden="false" customHeight="false" outlineLevel="0" collapsed="false">
      <c r="B175" s="2" t="n">
        <v>174</v>
      </c>
      <c r="C175" s="5" t="n">
        <v>0.000608711329681983</v>
      </c>
    </row>
    <row r="176" customFormat="false" ht="13.8" hidden="false" customHeight="false" outlineLevel="0" collapsed="false">
      <c r="B176" s="2" t="n">
        <v>175</v>
      </c>
      <c r="C176" s="5" t="n">
        <v>0.000608714786845395</v>
      </c>
    </row>
    <row r="177" customFormat="false" ht="13.8" hidden="false" customHeight="false" outlineLevel="0" collapsed="false">
      <c r="B177" s="2" t="n">
        <v>176</v>
      </c>
      <c r="C177" s="5" t="n">
        <v>0.000608718244041692</v>
      </c>
    </row>
    <row r="178" customFormat="false" ht="13.8" hidden="false" customHeight="false" outlineLevel="0" collapsed="false">
      <c r="B178" s="2" t="n">
        <v>177</v>
      </c>
      <c r="C178" s="5" t="n">
        <v>0.000608721701274124</v>
      </c>
    </row>
    <row r="179" customFormat="false" ht="13.8" hidden="false" customHeight="false" outlineLevel="0" collapsed="false">
      <c r="B179" s="2" t="n">
        <v>178</v>
      </c>
      <c r="C179" s="5" t="n">
        <v>0.000608725158540264</v>
      </c>
    </row>
    <row r="180" customFormat="false" ht="13.8" hidden="false" customHeight="false" outlineLevel="0" collapsed="false">
      <c r="B180" s="2" t="n">
        <v>179</v>
      </c>
      <c r="C180" s="5" t="n">
        <v>0.000608728615841954</v>
      </c>
    </row>
    <row r="181" customFormat="false" ht="13.8" hidden="false" customHeight="false" outlineLevel="0" collapsed="false">
      <c r="B181" s="2" t="n">
        <v>180</v>
      </c>
      <c r="C181" s="5" t="n">
        <v>0.000608732073177551</v>
      </c>
    </row>
    <row r="182" customFormat="false" ht="13.8" hidden="false" customHeight="false" outlineLevel="0" collapsed="false">
      <c r="B182" s="2" t="n">
        <v>181</v>
      </c>
      <c r="C182" s="5" t="n">
        <v>0.000608735530548494</v>
      </c>
    </row>
    <row r="183" customFormat="false" ht="13.8" hidden="false" customHeight="false" outlineLevel="0" collapsed="false">
      <c r="B183" s="2" t="n">
        <v>182</v>
      </c>
      <c r="C183" s="5" t="n">
        <v>0.000608738987953636</v>
      </c>
    </row>
    <row r="184" customFormat="false" ht="13.8" hidden="false" customHeight="false" outlineLevel="0" collapsed="false">
      <c r="B184" s="2" t="n">
        <v>183</v>
      </c>
      <c r="C184" s="5" t="n">
        <v>0.000608742445393835</v>
      </c>
    </row>
    <row r="185" customFormat="false" ht="13.8" hidden="false" customHeight="false" outlineLevel="0" collapsed="false">
      <c r="B185" s="2" t="n">
        <v>184</v>
      </c>
      <c r="C185" s="5" t="n">
        <v>0.00060874590286925</v>
      </c>
    </row>
    <row r="186" customFormat="false" ht="13.8" hidden="false" customHeight="false" outlineLevel="0" collapsed="false">
      <c r="B186" s="2" t="n">
        <v>185</v>
      </c>
      <c r="C186" s="5" t="n">
        <v>0.000608749360377095</v>
      </c>
    </row>
    <row r="187" customFormat="false" ht="13.8" hidden="false" customHeight="false" outlineLevel="0" collapsed="false">
      <c r="B187" s="2" t="n">
        <v>186</v>
      </c>
      <c r="C187" s="5" t="n">
        <v>0.000608752817923104</v>
      </c>
    </row>
    <row r="188" customFormat="false" ht="13.8" hidden="false" customHeight="false" outlineLevel="0" collapsed="false">
      <c r="B188" s="2" t="n">
        <v>187</v>
      </c>
      <c r="C188" s="5" t="n">
        <v>0.000608756275503529</v>
      </c>
    </row>
    <row r="189" customFormat="false" ht="13.8" hidden="false" customHeight="false" outlineLevel="0" collapsed="false">
      <c r="B189" s="2" t="n">
        <v>188</v>
      </c>
      <c r="C189" s="5" t="n">
        <v>0.000608759733123062</v>
      </c>
    </row>
    <row r="190" customFormat="false" ht="13.8" hidden="false" customHeight="false" outlineLevel="0" collapsed="false">
      <c r="B190" s="2" t="n">
        <v>189</v>
      </c>
      <c r="C190" s="5" t="n">
        <v>0.000608762994507109</v>
      </c>
    </row>
    <row r="191" customFormat="false" ht="13.8" hidden="false" customHeight="false" outlineLevel="0" collapsed="false">
      <c r="B191" s="2" t="n">
        <v>190</v>
      </c>
      <c r="C191" s="5" t="n">
        <v>0.000608766674673852</v>
      </c>
    </row>
    <row r="192" customFormat="false" ht="13.8" hidden="false" customHeight="false" outlineLevel="0" collapsed="false">
      <c r="B192" s="2" t="n">
        <v>191</v>
      </c>
      <c r="C192" s="5" t="n">
        <v>0.000608770354879324</v>
      </c>
    </row>
    <row r="193" customFormat="false" ht="13.8" hidden="false" customHeight="false" outlineLevel="0" collapsed="false">
      <c r="B193" s="2" t="n">
        <v>192</v>
      </c>
      <c r="C193" s="5" t="n">
        <v>0.00060877409396448</v>
      </c>
    </row>
    <row r="194" customFormat="false" ht="13.8" hidden="false" customHeight="false" outlineLevel="0" collapsed="false">
      <c r="B194" s="2" t="n">
        <v>193</v>
      </c>
      <c r="C194" s="5" t="n">
        <v>0.000608777755530849</v>
      </c>
    </row>
    <row r="195" customFormat="false" ht="13.8" hidden="false" customHeight="false" outlineLevel="0" collapsed="false">
      <c r="B195" s="2" t="n">
        <v>194</v>
      </c>
      <c r="C195" s="5" t="n">
        <v>0.000608781417116969</v>
      </c>
    </row>
    <row r="196" customFormat="false" ht="13.8" hidden="false" customHeight="false" outlineLevel="0" collapsed="false">
      <c r="B196" s="2" t="n">
        <v>195</v>
      </c>
      <c r="C196" s="5" t="n">
        <v>0.000608785076058743</v>
      </c>
    </row>
    <row r="197" customFormat="false" ht="13.8" hidden="false" customHeight="false" outlineLevel="0" collapsed="false">
      <c r="B197" s="2" t="n">
        <v>196</v>
      </c>
      <c r="C197" s="5" t="n">
        <v>0.000608788756448471</v>
      </c>
    </row>
    <row r="198" customFormat="false" ht="13.8" hidden="false" customHeight="false" outlineLevel="0" collapsed="false">
      <c r="B198" s="2" t="n">
        <v>197</v>
      </c>
      <c r="C198" s="5" t="n">
        <v>0.000608792467268534</v>
      </c>
    </row>
    <row r="199" customFormat="false" ht="13.8" hidden="false" customHeight="false" outlineLevel="0" collapsed="false">
      <c r="B199" s="2" t="n">
        <v>198</v>
      </c>
      <c r="C199" s="5" t="n">
        <v>0.000608796117333312</v>
      </c>
    </row>
    <row r="200" customFormat="false" ht="13.8" hidden="false" customHeight="false" outlineLevel="0" collapsed="false">
      <c r="B200" s="2" t="n">
        <v>199</v>
      </c>
      <c r="C200" s="5" t="n">
        <v>0.000608799797829691</v>
      </c>
    </row>
    <row r="201" customFormat="false" ht="13.8" hidden="false" customHeight="false" outlineLevel="0" collapsed="false">
      <c r="B201" s="2" t="n">
        <v>200</v>
      </c>
      <c r="C201" s="5" t="n">
        <v>0.000608803478365375</v>
      </c>
    </row>
    <row r="202" customFormat="false" ht="13.8" hidden="false" customHeight="false" outlineLevel="0" collapsed="false">
      <c r="B202" s="2" t="n">
        <v>201</v>
      </c>
      <c r="C202" s="5" t="n">
        <v>0.000608807158935681</v>
      </c>
    </row>
    <row r="203" customFormat="false" ht="13.8" hidden="false" customHeight="false" outlineLevel="0" collapsed="false">
      <c r="B203" s="2" t="n">
        <v>202</v>
      </c>
      <c r="C203" s="5" t="n">
        <v>0.000608810839544978</v>
      </c>
    </row>
    <row r="204" customFormat="false" ht="13.8" hidden="false" customHeight="false" outlineLevel="0" collapsed="false">
      <c r="B204" s="2" t="n">
        <v>203</v>
      </c>
      <c r="C204" s="5" t="n">
        <v>0.000608814520190014</v>
      </c>
    </row>
    <row r="205" customFormat="false" ht="13.8" hidden="false" customHeight="false" outlineLevel="0" collapsed="false">
      <c r="B205" s="2" t="n">
        <v>204</v>
      </c>
      <c r="C205" s="5" t="n">
        <v>0.000608818200871124</v>
      </c>
    </row>
    <row r="206" customFormat="false" ht="13.8" hidden="false" customHeight="false" outlineLevel="0" collapsed="false">
      <c r="B206" s="2" t="n">
        <v>205</v>
      </c>
      <c r="C206" s="5" t="n">
        <v>0.000608821881584465</v>
      </c>
    </row>
    <row r="207" customFormat="false" ht="13.8" hidden="false" customHeight="false" outlineLevel="0" collapsed="false">
      <c r="B207" s="2" t="n">
        <v>206</v>
      </c>
      <c r="C207" s="5" t="n">
        <v>0.000608825562339709</v>
      </c>
    </row>
    <row r="208" customFormat="false" ht="13.8" hidden="false" customHeight="false" outlineLevel="0" collapsed="false">
      <c r="B208" s="2" t="n">
        <v>207</v>
      </c>
      <c r="C208" s="5" t="n">
        <v>0.000608829243132374</v>
      </c>
    </row>
    <row r="209" customFormat="false" ht="13.8" hidden="false" customHeight="false" outlineLevel="0" collapsed="false">
      <c r="B209" s="2" t="n">
        <v>208</v>
      </c>
      <c r="C209" s="5" t="n">
        <v>0.000608832923961313</v>
      </c>
    </row>
    <row r="210" customFormat="false" ht="13.8" hidden="false" customHeight="false" outlineLevel="0" collapsed="false">
      <c r="B210" s="2" t="n">
        <v>209</v>
      </c>
      <c r="C210" s="5" t="n">
        <v>0.000608836604827512</v>
      </c>
    </row>
    <row r="211" customFormat="false" ht="13.8" hidden="false" customHeight="false" outlineLevel="0" collapsed="false">
      <c r="B211" s="2" t="n">
        <v>210</v>
      </c>
      <c r="C211" s="5" t="n">
        <v>0.000608840285730221</v>
      </c>
    </row>
    <row r="212" customFormat="false" ht="13.8" hidden="false" customHeight="false" outlineLevel="0" collapsed="false">
      <c r="B212" s="2" t="n">
        <v>211</v>
      </c>
      <c r="C212" s="5" t="n">
        <v>0.000608843966669896</v>
      </c>
    </row>
    <row r="213" customFormat="false" ht="13.8" hidden="false" customHeight="false" outlineLevel="0" collapsed="false">
      <c r="B213" s="2" t="n">
        <v>212</v>
      </c>
      <c r="C213" s="5" t="n">
        <v>0.000608847647646399</v>
      </c>
    </row>
    <row r="214" customFormat="false" ht="13.8" hidden="false" customHeight="false" outlineLevel="0" collapsed="false">
      <c r="B214" s="2" t="n">
        <v>213</v>
      </c>
      <c r="C214" s="5" t="n">
        <v>0.000608851328659792</v>
      </c>
    </row>
    <row r="215" customFormat="false" ht="13.8" hidden="false" customHeight="false" outlineLevel="0" collapsed="false">
      <c r="B215" s="2" t="n">
        <v>214</v>
      </c>
      <c r="C215" s="5" t="n">
        <v>0.000608855010031571</v>
      </c>
    </row>
    <row r="216" customFormat="false" ht="13.8" hidden="false" customHeight="false" outlineLevel="0" collapsed="false">
      <c r="B216" s="2" t="n">
        <v>215</v>
      </c>
      <c r="C216" s="5" t="n">
        <v>0.000608858630749917</v>
      </c>
    </row>
    <row r="217" customFormat="false" ht="13.8" hidden="false" customHeight="false" outlineLevel="0" collapsed="false">
      <c r="B217" s="2" t="n">
        <v>216</v>
      </c>
      <c r="C217" s="5" t="n">
        <v>0.000608862386038994</v>
      </c>
    </row>
    <row r="218" customFormat="false" ht="13.8" hidden="false" customHeight="false" outlineLevel="0" collapsed="false">
      <c r="B218" s="2" t="n">
        <v>217</v>
      </c>
      <c r="C218" s="5" t="n">
        <v>0.000608866141369818</v>
      </c>
    </row>
    <row r="219" customFormat="false" ht="13.8" hidden="false" customHeight="false" outlineLevel="0" collapsed="false">
      <c r="B219" s="2" t="n">
        <v>218</v>
      </c>
      <c r="C219" s="5" t="n">
        <v>0.000608869896735523</v>
      </c>
    </row>
    <row r="220" customFormat="false" ht="13.8" hidden="false" customHeight="false" outlineLevel="0" collapsed="false">
      <c r="B220" s="2" t="n">
        <v>219</v>
      </c>
      <c r="C220" s="5" t="n">
        <v>0.000608873652145765</v>
      </c>
    </row>
    <row r="221" customFormat="false" ht="13.8" hidden="false" customHeight="false" outlineLevel="0" collapsed="false">
      <c r="B221" s="2" t="n">
        <v>220</v>
      </c>
      <c r="C221" s="5" t="n">
        <v>4.99999999902619E-005</v>
      </c>
    </row>
    <row r="222" customFormat="false" ht="13.8" hidden="false" customHeight="false" outlineLevel="0" collapsed="false">
      <c r="B222" s="2" t="n">
        <v>221</v>
      </c>
      <c r="C222" s="5" t="n">
        <v>4.99999999876939E-005</v>
      </c>
    </row>
    <row r="223" customFormat="false" ht="13.8" hidden="false" customHeight="false" outlineLevel="0" collapsed="false">
      <c r="B223" s="2" t="n">
        <v>222</v>
      </c>
      <c r="C223" s="5" t="n">
        <v>4.99999999834752E-005</v>
      </c>
    </row>
    <row r="224" customFormat="false" ht="13.8" hidden="false" customHeight="false" outlineLevel="0" collapsed="false">
      <c r="B224" s="2" t="n">
        <v>223</v>
      </c>
      <c r="C224" s="5" t="n">
        <v>4.99999999792536E-005</v>
      </c>
    </row>
    <row r="225" customFormat="false" ht="13.8" hidden="false" customHeight="false" outlineLevel="0" collapsed="false">
      <c r="B225" s="2" t="n">
        <v>224</v>
      </c>
      <c r="C225" s="5" t="n">
        <v>4.99999999750311E-005</v>
      </c>
    </row>
    <row r="226" customFormat="false" ht="13.8" hidden="false" customHeight="false" outlineLevel="0" collapsed="false">
      <c r="B226" s="2" t="n">
        <v>225</v>
      </c>
      <c r="C226" s="5" t="n">
        <v>4.99999999708087E-005</v>
      </c>
    </row>
    <row r="227" customFormat="false" ht="13.8" hidden="false" customHeight="false" outlineLevel="0" collapsed="false">
      <c r="B227" s="2" t="n">
        <v>226</v>
      </c>
      <c r="C227" s="5" t="n">
        <v>-4.99999999999997E-005</v>
      </c>
    </row>
    <row r="228" customFormat="false" ht="13.8" hidden="false" customHeight="false" outlineLevel="0" collapsed="false">
      <c r="B228" s="2" t="n">
        <v>227</v>
      </c>
      <c r="C228" s="5" t="n">
        <v>4.9999999963195E-005</v>
      </c>
    </row>
    <row r="229" customFormat="false" ht="13.8" hidden="false" customHeight="false" outlineLevel="0" collapsed="false">
      <c r="B229" s="2" t="n">
        <v>228</v>
      </c>
      <c r="C229" s="5" t="n">
        <v>4.9996147314933E-005</v>
      </c>
    </row>
    <row r="230" customFormat="false" ht="13.8" hidden="false" customHeight="false" outlineLevel="0" collapsed="false">
      <c r="B230" s="2" t="n">
        <v>229</v>
      </c>
      <c r="C230" s="5" t="n">
        <v>4.99979413137786E-005</v>
      </c>
    </row>
    <row r="231" customFormat="false" ht="13.8" hidden="false" customHeight="false" outlineLevel="0" collapsed="false">
      <c r="B231" s="2" t="n">
        <v>230</v>
      </c>
      <c r="C231" s="5" t="n">
        <v>4.9998901569916E-005</v>
      </c>
    </row>
    <row r="232" customFormat="false" ht="13.8" hidden="false" customHeight="false" outlineLevel="0" collapsed="false">
      <c r="B232" s="2" t="n">
        <v>231</v>
      </c>
      <c r="C232" s="5" t="n">
        <v>4.99994169909584E-005</v>
      </c>
    </row>
    <row r="233" customFormat="false" ht="13.8" hidden="false" customHeight="false" outlineLevel="0" collapsed="false">
      <c r="B233" s="2" t="n">
        <v>232</v>
      </c>
      <c r="C233" s="5" t="n">
        <v>4.99997932378506E-005</v>
      </c>
    </row>
    <row r="234" customFormat="false" ht="13.8" hidden="false" customHeight="false" outlineLevel="0" collapsed="false">
      <c r="B234" s="2" t="n">
        <v>233</v>
      </c>
      <c r="C234" s="5" t="n">
        <v>4.99991381512537E-005</v>
      </c>
    </row>
    <row r="235" customFormat="false" ht="13.8" hidden="false" customHeight="false" outlineLevel="0" collapsed="false">
      <c r="B235" s="2" t="n">
        <v>234</v>
      </c>
      <c r="C235" s="5" t="n">
        <v>4.99974409604977E-005</v>
      </c>
    </row>
    <row r="236" customFormat="false" ht="13.8" hidden="false" customHeight="false" outlineLevel="0" collapsed="false">
      <c r="B236" s="2" t="n">
        <v>235</v>
      </c>
      <c r="C236" s="5" t="n">
        <v>4.99986686130406E-005</v>
      </c>
    </row>
    <row r="237" customFormat="false" ht="13.8" hidden="false" customHeight="false" outlineLevel="0" collapsed="false">
      <c r="B237" s="2" t="n">
        <v>236</v>
      </c>
      <c r="C237" s="5" t="n">
        <v>4.99997415629016E-005</v>
      </c>
    </row>
    <row r="238" customFormat="false" ht="13.8" hidden="false" customHeight="false" outlineLevel="0" collapsed="false">
      <c r="B238" s="2" t="n">
        <v>237</v>
      </c>
      <c r="C238" s="5" t="n">
        <v>4.99998746111528E-005</v>
      </c>
    </row>
    <row r="239" customFormat="false" ht="13.8" hidden="false" customHeight="false" outlineLevel="0" collapsed="false">
      <c r="B239" s="2" t="n">
        <v>238</v>
      </c>
      <c r="C239" s="5" t="n">
        <v>4.99998843120272E-005</v>
      </c>
    </row>
    <row r="240" customFormat="false" ht="13.8" hidden="false" customHeight="false" outlineLevel="0" collapsed="false">
      <c r="B240" s="2" t="n">
        <v>239</v>
      </c>
      <c r="C240" s="5" t="n">
        <v>5.00000000000001E-005</v>
      </c>
    </row>
    <row r="241" customFormat="false" ht="13.8" hidden="false" customHeight="false" outlineLevel="0" collapsed="false">
      <c r="B241" s="2" t="n">
        <v>240</v>
      </c>
      <c r="C241" s="5" t="n">
        <v>4.99975030181918E-005</v>
      </c>
    </row>
    <row r="242" customFormat="false" ht="13.8" hidden="false" customHeight="false" outlineLevel="0" collapsed="false">
      <c r="B242" s="2" t="n">
        <v>241</v>
      </c>
      <c r="C242" s="5" t="n">
        <v>4.99999999999998E-005</v>
      </c>
    </row>
    <row r="243" customFormat="false" ht="13.8" hidden="false" customHeight="false" outlineLevel="0" collapsed="false">
      <c r="B243" s="2" t="n">
        <v>242</v>
      </c>
      <c r="C243" s="5" t="n">
        <v>-4.99960392861191E-005</v>
      </c>
    </row>
    <row r="244" customFormat="false" ht="13.8" hidden="false" customHeight="false" outlineLevel="0" collapsed="false">
      <c r="B244" s="2" t="n">
        <v>243</v>
      </c>
      <c r="C244" s="5" t="n">
        <v>5.00000005719099E-005</v>
      </c>
    </row>
    <row r="245" customFormat="false" ht="13.8" hidden="false" customHeight="false" outlineLevel="0" collapsed="false">
      <c r="B245" s="2" t="n">
        <v>244</v>
      </c>
      <c r="C245" s="5" t="n">
        <v>5E-005</v>
      </c>
    </row>
    <row r="246" customFormat="false" ht="13.8" hidden="false" customHeight="false" outlineLevel="0" collapsed="false">
      <c r="B246" s="2" t="n">
        <v>245</v>
      </c>
      <c r="C246" s="5" t="n">
        <v>4.99999983960515E-005</v>
      </c>
    </row>
    <row r="247" customFormat="false" ht="13.8" hidden="false" customHeight="false" outlineLevel="0" collapsed="false">
      <c r="B247" s="2" t="n">
        <v>246</v>
      </c>
      <c r="C247" s="5" t="n">
        <v>4.99999991082441E-005</v>
      </c>
    </row>
    <row r="248" customFormat="false" ht="13.8" hidden="false" customHeight="false" outlineLevel="0" collapsed="false">
      <c r="B248" s="2" t="n">
        <v>247</v>
      </c>
      <c r="C248" s="5" t="n">
        <v>-4.99896328292051E-005</v>
      </c>
    </row>
    <row r="249" customFormat="false" ht="13.8" hidden="false" customHeight="false" outlineLevel="0" collapsed="false">
      <c r="B249" s="2" t="n">
        <v>248</v>
      </c>
      <c r="C249" s="5" t="n">
        <v>4.99999654947285E-005</v>
      </c>
    </row>
    <row r="250" customFormat="false" ht="13.8" hidden="false" customHeight="false" outlineLevel="0" collapsed="false">
      <c r="B250" s="2" t="n">
        <v>249</v>
      </c>
      <c r="C250" s="5" t="n">
        <v>4.99999999999997E-005</v>
      </c>
    </row>
    <row r="251" customFormat="false" ht="13.8" hidden="false" customHeight="false" outlineLevel="0" collapsed="false">
      <c r="B251" s="2" t="n">
        <v>250</v>
      </c>
      <c r="C251" s="5" t="n">
        <v>5E-005</v>
      </c>
    </row>
    <row r="252" customFormat="false" ht="13.8" hidden="false" customHeight="false" outlineLevel="0" collapsed="false">
      <c r="B252" s="2" t="n">
        <v>251</v>
      </c>
      <c r="C252" s="5" t="n">
        <v>5.00000000000006E-005</v>
      </c>
    </row>
    <row r="253" customFormat="false" ht="13.8" hidden="false" customHeight="false" outlineLevel="0" collapsed="false">
      <c r="B253" s="2" t="n">
        <v>252</v>
      </c>
      <c r="C253" s="5" t="n">
        <v>-4.99771319395253E-005</v>
      </c>
    </row>
    <row r="254" customFormat="false" ht="13.8" hidden="false" customHeight="false" outlineLevel="0" collapsed="false">
      <c r="B254" s="2" t="n">
        <v>253</v>
      </c>
      <c r="C254" s="5" t="n">
        <v>5E-005</v>
      </c>
    </row>
    <row r="255" customFormat="false" ht="13.8" hidden="false" customHeight="false" outlineLevel="0" collapsed="false">
      <c r="B255" s="2" t="n">
        <v>254</v>
      </c>
      <c r="C255" s="5" t="n">
        <v>-4.99721314082693E-005</v>
      </c>
    </row>
    <row r="256" customFormat="false" ht="13.8" hidden="false" customHeight="false" outlineLevel="0" collapsed="false">
      <c r="B256" s="2" t="n">
        <v>255</v>
      </c>
      <c r="C256" s="5" t="n">
        <v>5.00000003614709E-005</v>
      </c>
    </row>
    <row r="257" customFormat="false" ht="13.8" hidden="false" customHeight="false" outlineLevel="0" collapsed="false">
      <c r="B257" s="2" t="n">
        <v>256</v>
      </c>
      <c r="C257" s="5" t="n">
        <v>5.00328691860466E-005</v>
      </c>
    </row>
    <row r="258" customFormat="false" ht="13.8" hidden="false" customHeight="false" outlineLevel="0" collapsed="false">
      <c r="B258" s="2" t="n">
        <v>257</v>
      </c>
      <c r="C258" s="5" t="n">
        <v>0.000608678730819121</v>
      </c>
    </row>
    <row r="259" customFormat="false" ht="13.8" hidden="false" customHeight="false" outlineLevel="0" collapsed="false">
      <c r="B259" s="2" t="n">
        <v>258</v>
      </c>
      <c r="C259" s="5" t="n">
        <v>0.000608682002306047</v>
      </c>
    </row>
    <row r="260" customFormat="false" ht="13.8" hidden="false" customHeight="false" outlineLevel="0" collapsed="false">
      <c r="B260" s="2" t="n">
        <v>259</v>
      </c>
      <c r="C260" s="5" t="n">
        <v>0.000608685273834336</v>
      </c>
    </row>
    <row r="261" customFormat="false" ht="13.8" hidden="false" customHeight="false" outlineLevel="0" collapsed="false">
      <c r="B261" s="2" t="n">
        <v>260</v>
      </c>
      <c r="C261" s="5" t="n">
        <v>0.000608688545390445</v>
      </c>
    </row>
    <row r="262" customFormat="false" ht="13.8" hidden="false" customHeight="false" outlineLevel="0" collapsed="false">
      <c r="B262" s="2" t="n">
        <v>261</v>
      </c>
      <c r="C262" s="5" t="n">
        <v>0.000608691816986816</v>
      </c>
    </row>
    <row r="263" customFormat="false" ht="13.8" hidden="false" customHeight="false" outlineLevel="0" collapsed="false">
      <c r="B263" s="2" t="n">
        <v>262</v>
      </c>
      <c r="C263" s="5" t="n">
        <v>0.000608695088608593</v>
      </c>
    </row>
    <row r="264" customFormat="false" ht="13.8" hidden="false" customHeight="false" outlineLevel="0" collapsed="false">
      <c r="B264" s="2" t="n">
        <v>263</v>
      </c>
      <c r="C264" s="5" t="n">
        <v>0.000608698360238386</v>
      </c>
    </row>
    <row r="265" customFormat="false" ht="13.8" hidden="false" customHeight="false" outlineLevel="0" collapsed="false">
      <c r="B265" s="2" t="n">
        <v>264</v>
      </c>
      <c r="C265" s="5" t="n">
        <v>0.000608698332806185</v>
      </c>
    </row>
    <row r="266" customFormat="false" ht="13.8" hidden="false" customHeight="false" outlineLevel="0" collapsed="false">
      <c r="B266" s="2" t="n">
        <v>265</v>
      </c>
      <c r="C266" s="5" t="n">
        <v>0.000608701772611251</v>
      </c>
    </row>
    <row r="267" customFormat="false" ht="13.8" hidden="false" customHeight="false" outlineLevel="0" collapsed="false">
      <c r="B267" s="2" t="n">
        <v>266</v>
      </c>
      <c r="C267" s="5" t="n">
        <v>0.000608705229675548</v>
      </c>
    </row>
    <row r="268" customFormat="false" ht="13.8" hidden="false" customHeight="false" outlineLevel="0" collapsed="false">
      <c r="B268" s="2" t="n">
        <v>267</v>
      </c>
      <c r="C268" s="5" t="n">
        <v>0.000608708686779313</v>
      </c>
    </row>
    <row r="269" customFormat="false" ht="13.8" hidden="false" customHeight="false" outlineLevel="0" collapsed="false">
      <c r="B269" s="2" t="n">
        <v>268</v>
      </c>
      <c r="C269" s="5" t="n">
        <v>0.00060871214391337</v>
      </c>
    </row>
    <row r="270" customFormat="false" ht="13.8" hidden="false" customHeight="false" outlineLevel="0" collapsed="false">
      <c r="B270" s="2" t="n">
        <v>269</v>
      </c>
      <c r="C270" s="5" t="n">
        <v>0.000608715601085032</v>
      </c>
    </row>
    <row r="271" customFormat="false" ht="13.8" hidden="false" customHeight="false" outlineLevel="0" collapsed="false">
      <c r="B271" s="2" t="n">
        <v>270</v>
      </c>
      <c r="C271" s="5" t="n">
        <v>0.000608719058289576</v>
      </c>
    </row>
    <row r="272" customFormat="false" ht="13.8" hidden="false" customHeight="false" outlineLevel="0" collapsed="false">
      <c r="B272" s="2" t="n">
        <v>271</v>
      </c>
      <c r="C272" s="5" t="n">
        <v>0.000608722515531045</v>
      </c>
    </row>
    <row r="273" customFormat="false" ht="13.8" hidden="false" customHeight="false" outlineLevel="0" collapsed="false">
      <c r="B273" s="2" t="n">
        <v>272</v>
      </c>
      <c r="C273" s="5" t="n">
        <v>0.000608725972804833</v>
      </c>
    </row>
    <row r="274" customFormat="false" ht="13.8" hidden="false" customHeight="false" outlineLevel="0" collapsed="false">
      <c r="B274" s="2" t="n">
        <v>273</v>
      </c>
      <c r="C274" s="5" t="n">
        <v>0.000608729430114789</v>
      </c>
    </row>
    <row r="275" customFormat="false" ht="13.8" hidden="false" customHeight="false" outlineLevel="0" collapsed="false">
      <c r="B275" s="2" t="n">
        <v>274</v>
      </c>
      <c r="C275" s="5" t="n">
        <v>0.000608732887458571</v>
      </c>
    </row>
    <row r="276" customFormat="false" ht="13.8" hidden="false" customHeight="false" outlineLevel="0" collapsed="false">
      <c r="B276" s="2" t="n">
        <v>275</v>
      </c>
      <c r="C276" s="5" t="n">
        <v>0.000608736344838085</v>
      </c>
    </row>
    <row r="277" customFormat="false" ht="13.8" hidden="false" customHeight="false" outlineLevel="0" collapsed="false">
      <c r="B277" s="2" t="n">
        <v>276</v>
      </c>
      <c r="C277" s="5" t="n">
        <v>0.000608739802251368</v>
      </c>
    </row>
    <row r="278" customFormat="false" ht="13.8" hidden="false" customHeight="false" outlineLevel="0" collapsed="false">
      <c r="B278" s="2" t="n">
        <v>277</v>
      </c>
      <c r="C278" s="5" t="n">
        <v>0.000608743259699947</v>
      </c>
    </row>
    <row r="279" customFormat="false" ht="13.8" hidden="false" customHeight="false" outlineLevel="0" collapsed="false">
      <c r="B279" s="2" t="n">
        <v>278</v>
      </c>
      <c r="C279" s="5" t="n">
        <v>0.000608746717183744</v>
      </c>
    </row>
    <row r="280" customFormat="false" ht="13.8" hidden="false" customHeight="false" outlineLevel="0" collapsed="false">
      <c r="B280" s="2" t="n">
        <v>279</v>
      </c>
      <c r="C280" s="5" t="n">
        <v>0.00060875017470401</v>
      </c>
    </row>
    <row r="281" customFormat="false" ht="13.8" hidden="false" customHeight="false" outlineLevel="0" collapsed="false">
      <c r="B281" s="2" t="n">
        <v>280</v>
      </c>
      <c r="C281" s="5" t="n">
        <v>0.000608753632262565</v>
      </c>
    </row>
    <row r="282" customFormat="false" ht="13.8" hidden="false" customHeight="false" outlineLevel="0" collapsed="false">
      <c r="B282" s="2" t="n">
        <v>281</v>
      </c>
      <c r="C282" s="5" t="n">
        <v>0.000608756896818018</v>
      </c>
    </row>
    <row r="283" customFormat="false" ht="13.8" hidden="false" customHeight="false" outlineLevel="0" collapsed="false">
      <c r="B283" s="2" t="n">
        <v>282</v>
      </c>
      <c r="C283" s="5" t="n">
        <v>0.000608760576923951</v>
      </c>
    </row>
    <row r="284" customFormat="false" ht="13.8" hidden="false" customHeight="false" outlineLevel="0" collapsed="false">
      <c r="B284" s="2" t="n">
        <v>283</v>
      </c>
      <c r="C284" s="5" t="n">
        <v>0.000608764257067568</v>
      </c>
    </row>
    <row r="285" customFormat="false" ht="13.8" hidden="false" customHeight="false" outlineLevel="0" collapsed="false">
      <c r="B285" s="2" t="n">
        <v>284</v>
      </c>
      <c r="C285" s="5" t="n">
        <v>0.000608767937246257</v>
      </c>
    </row>
    <row r="286" customFormat="false" ht="13.8" hidden="false" customHeight="false" outlineLevel="0" collapsed="false">
      <c r="B286" s="2" t="n">
        <v>285</v>
      </c>
      <c r="C286" s="5" t="n">
        <v>0.000608771617461994</v>
      </c>
    </row>
    <row r="287" customFormat="false" ht="13.8" hidden="false" customHeight="false" outlineLevel="0" collapsed="false">
      <c r="B287" s="2" t="n">
        <v>286</v>
      </c>
      <c r="C287" s="5" t="n">
        <v>0.00060877529771492</v>
      </c>
    </row>
    <row r="288" customFormat="false" ht="13.8" hidden="false" customHeight="false" outlineLevel="0" collapsed="false">
      <c r="B288" s="2" t="n">
        <v>287</v>
      </c>
      <c r="C288" s="5" t="n">
        <v>0.000608778978004641</v>
      </c>
    </row>
    <row r="289" customFormat="false" ht="13.8" hidden="false" customHeight="false" outlineLevel="0" collapsed="false">
      <c r="B289" s="2" t="n">
        <v>288</v>
      </c>
      <c r="C289" s="5" t="n">
        <v>0.000608782658330808</v>
      </c>
    </row>
    <row r="290" customFormat="false" ht="13.8" hidden="false" customHeight="false" outlineLevel="0" collapsed="false">
      <c r="B290" s="2" t="n">
        <v>289</v>
      </c>
      <c r="C290" s="5" t="n">
        <v>0.000608786375165112</v>
      </c>
    </row>
    <row r="291" customFormat="false" ht="13.8" hidden="false" customHeight="false" outlineLevel="0" collapsed="false">
      <c r="B291" s="2" t="n">
        <v>290</v>
      </c>
      <c r="C291" s="5" t="n">
        <v>0.000608790019094908</v>
      </c>
    </row>
    <row r="292" customFormat="false" ht="13.8" hidden="false" customHeight="false" outlineLevel="0" collapsed="false">
      <c r="B292" s="2" t="n">
        <v>291</v>
      </c>
      <c r="C292" s="5" t="n">
        <v>0.000608793699531354</v>
      </c>
    </row>
    <row r="293" customFormat="false" ht="13.8" hidden="false" customHeight="false" outlineLevel="0" collapsed="false">
      <c r="B293" s="2" t="n">
        <v>292</v>
      </c>
      <c r="C293" s="5" t="n">
        <v>0.000608797380005167</v>
      </c>
    </row>
    <row r="294" customFormat="false" ht="13.8" hidden="false" customHeight="false" outlineLevel="0" collapsed="false">
      <c r="B294" s="2" t="n">
        <v>293</v>
      </c>
      <c r="C294" s="5" t="n">
        <v>0.000608801060515665</v>
      </c>
    </row>
    <row r="295" customFormat="false" ht="13.8" hidden="false" customHeight="false" outlineLevel="0" collapsed="false">
      <c r="B295" s="2" t="n">
        <v>294</v>
      </c>
      <c r="C295" s="5" t="n">
        <v>0.000608804741062978</v>
      </c>
    </row>
    <row r="296" customFormat="false" ht="13.8" hidden="false" customHeight="false" outlineLevel="0" collapsed="false">
      <c r="B296" s="2" t="n">
        <v>295</v>
      </c>
      <c r="C296" s="5" t="n">
        <v>0.000608808421647365</v>
      </c>
    </row>
    <row r="297" customFormat="false" ht="13.8" hidden="false" customHeight="false" outlineLevel="0" collapsed="false">
      <c r="B297" s="2" t="n">
        <v>296</v>
      </c>
      <c r="C297" s="5" t="n">
        <v>0.000608812102268141</v>
      </c>
    </row>
    <row r="298" customFormat="false" ht="13.8" hidden="false" customHeight="false" outlineLevel="0" collapsed="false">
      <c r="B298" s="2" t="n">
        <v>297</v>
      </c>
      <c r="C298" s="5" t="n">
        <v>0.000608815782926035</v>
      </c>
    </row>
    <row r="299" customFormat="false" ht="13.8" hidden="false" customHeight="false" outlineLevel="0" collapsed="false">
      <c r="B299" s="2" t="n">
        <v>298</v>
      </c>
      <c r="C299" s="5" t="n">
        <v>0.000608819463620455</v>
      </c>
    </row>
    <row r="300" customFormat="false" ht="13.8" hidden="false" customHeight="false" outlineLevel="0" collapsed="false">
      <c r="B300" s="2" t="n">
        <v>299</v>
      </c>
      <c r="C300" s="5" t="n">
        <v>0.000608823144352182</v>
      </c>
    </row>
    <row r="301" customFormat="false" ht="13.8" hidden="false" customHeight="false" outlineLevel="0" collapsed="false">
      <c r="B301" s="2" t="n">
        <v>300</v>
      </c>
      <c r="C301" s="5" t="n">
        <v>0.000608826825120128</v>
      </c>
    </row>
    <row r="302" customFormat="false" ht="13.8" hidden="false" customHeight="false" outlineLevel="0" collapsed="false">
      <c r="B302" s="2" t="n">
        <v>301</v>
      </c>
      <c r="C302" s="5" t="n">
        <v>0.000608830505925385</v>
      </c>
    </row>
    <row r="303" customFormat="false" ht="13.8" hidden="false" customHeight="false" outlineLevel="0" collapsed="false">
      <c r="B303" s="2" t="n">
        <v>302</v>
      </c>
      <c r="C303" s="5" t="n">
        <v>0.00060883418676696</v>
      </c>
    </row>
    <row r="304" customFormat="false" ht="13.8" hidden="false" customHeight="false" outlineLevel="0" collapsed="false">
      <c r="B304" s="2" t="n">
        <v>303</v>
      </c>
      <c r="C304" s="5" t="n">
        <v>0.00060883786764571</v>
      </c>
    </row>
    <row r="305" customFormat="false" ht="13.8" hidden="false" customHeight="false" outlineLevel="0" collapsed="false">
      <c r="B305" s="2" t="n">
        <v>304</v>
      </c>
      <c r="C305" s="5" t="n">
        <v>0.000608841548561436</v>
      </c>
    </row>
    <row r="306" customFormat="false" ht="13.8" hidden="false" customHeight="false" outlineLevel="0" collapsed="false">
      <c r="B306" s="2" t="n">
        <v>305</v>
      </c>
      <c r="C306" s="5" t="n">
        <v>0.00060884522951423</v>
      </c>
    </row>
    <row r="307" customFormat="false" ht="13.8" hidden="false" customHeight="false" outlineLevel="0" collapsed="false">
      <c r="B307" s="2" t="n">
        <v>306</v>
      </c>
      <c r="C307" s="5" t="n">
        <v>0.000608848910504404</v>
      </c>
    </row>
    <row r="308" customFormat="false" ht="13.8" hidden="false" customHeight="false" outlineLevel="0" collapsed="false">
      <c r="B308" s="2" t="n">
        <v>307</v>
      </c>
      <c r="C308" s="5" t="n">
        <v>0.000608852591533034</v>
      </c>
    </row>
    <row r="309" customFormat="false" ht="13.8" hidden="false" customHeight="false" outlineLevel="0" collapsed="false">
      <c r="B309" s="2" t="n">
        <v>308</v>
      </c>
      <c r="C309" s="5" t="n">
        <v>0.000608856776048363</v>
      </c>
    </row>
    <row r="310" customFormat="false" ht="13.8" hidden="false" customHeight="false" outlineLevel="0" collapsed="false">
      <c r="B310" s="2" t="n">
        <v>309</v>
      </c>
      <c r="C310" s="5" t="n">
        <v>0.000608860960609614</v>
      </c>
    </row>
    <row r="311" customFormat="false" ht="13.8" hidden="false" customHeight="false" outlineLevel="0" collapsed="false">
      <c r="B311" s="2" t="n">
        <v>310</v>
      </c>
      <c r="C311" s="5" t="n">
        <v>0.000608862423573364</v>
      </c>
    </row>
    <row r="312" customFormat="false" ht="13.8" hidden="false" customHeight="false" outlineLevel="0" collapsed="false">
      <c r="B312" s="2" t="n">
        <v>311</v>
      </c>
      <c r="C312" s="5" t="n">
        <v>0.000608864850532747</v>
      </c>
    </row>
    <row r="313" customFormat="false" ht="13.8" hidden="false" customHeight="false" outlineLevel="0" collapsed="false">
      <c r="B313" s="2" t="n">
        <v>312</v>
      </c>
      <c r="C313" s="5" t="n">
        <v>0.000608873029137414</v>
      </c>
    </row>
    <row r="314" customFormat="false" ht="13.8" hidden="false" customHeight="false" outlineLevel="0" collapsed="false">
      <c r="B314" s="2" t="n">
        <v>313</v>
      </c>
      <c r="C314" s="5" t="n">
        <v>0.000608877123535354</v>
      </c>
    </row>
    <row r="315" customFormat="false" ht="13.8" hidden="false" customHeight="false" outlineLevel="0" collapsed="false">
      <c r="B315" s="2" t="n">
        <v>314</v>
      </c>
      <c r="C315" s="5" t="n">
        <v>0.000608881210915023</v>
      </c>
    </row>
    <row r="316" customFormat="false" ht="13.8" hidden="false" customHeight="false" outlineLevel="0" collapsed="false">
      <c r="B316" s="2" t="n">
        <v>315</v>
      </c>
      <c r="C316" s="5" t="n">
        <v>4.99999999930011E-005</v>
      </c>
    </row>
    <row r="317" customFormat="false" ht="13.8" hidden="false" customHeight="false" outlineLevel="0" collapsed="false">
      <c r="B317" s="2" t="n">
        <v>316</v>
      </c>
      <c r="C317" s="5" t="n">
        <v>4.99999999908273E-005</v>
      </c>
    </row>
    <row r="318" customFormat="false" ht="13.8" hidden="false" customHeight="false" outlineLevel="0" collapsed="false">
      <c r="B318" s="2" t="n">
        <v>317</v>
      </c>
      <c r="C318" s="5" t="n">
        <v>4.99999999886544E-005</v>
      </c>
    </row>
    <row r="319" customFormat="false" ht="13.8" hidden="false" customHeight="false" outlineLevel="0" collapsed="false">
      <c r="B319" s="2" t="n">
        <v>318</v>
      </c>
      <c r="C319" s="5" t="n">
        <v>4.99999999841682E-005</v>
      </c>
    </row>
    <row r="320" customFormat="false" ht="13.8" hidden="false" customHeight="false" outlineLevel="0" collapsed="false">
      <c r="B320" s="2" t="n">
        <v>319</v>
      </c>
      <c r="C320" s="5" t="n">
        <v>-4.99041949318678E-005</v>
      </c>
    </row>
    <row r="321" customFormat="false" ht="13.8" hidden="false" customHeight="false" outlineLevel="0" collapsed="false">
      <c r="B321" s="2" t="n">
        <v>320</v>
      </c>
      <c r="C321" s="5" t="n">
        <v>-4.99218261290817E-005</v>
      </c>
    </row>
    <row r="322" customFormat="false" ht="13.8" hidden="false" customHeight="false" outlineLevel="0" collapsed="false">
      <c r="B322" s="2" t="n">
        <v>321</v>
      </c>
      <c r="C322" s="5" t="n">
        <v>4.99999999707009E-005</v>
      </c>
    </row>
    <row r="323" customFormat="false" ht="13.8" hidden="false" customHeight="false" outlineLevel="0" collapsed="false">
      <c r="B323" s="2" t="n">
        <v>322</v>
      </c>
      <c r="C323" s="5" t="n">
        <v>4.9998746168822E-005</v>
      </c>
    </row>
    <row r="324" customFormat="false" ht="13.8" hidden="false" customHeight="false" outlineLevel="0" collapsed="false">
      <c r="B324" s="2" t="n">
        <v>323</v>
      </c>
      <c r="C324" s="5" t="n">
        <v>4.99914362848929E-005</v>
      </c>
    </row>
    <row r="325" customFormat="false" ht="13.8" hidden="false" customHeight="false" outlineLevel="0" collapsed="false">
      <c r="B325" s="2" t="n">
        <v>324</v>
      </c>
      <c r="C325" s="5" t="n">
        <v>5.00000000000006E-005</v>
      </c>
    </row>
    <row r="326" customFormat="false" ht="13.8" hidden="false" customHeight="false" outlineLevel="0" collapsed="false">
      <c r="B326" s="2" t="n">
        <v>325</v>
      </c>
      <c r="C326" s="5" t="n">
        <v>4.99952182827069E-005</v>
      </c>
    </row>
    <row r="327" customFormat="false" ht="13.8" hidden="false" customHeight="false" outlineLevel="0" collapsed="false">
      <c r="B327" s="2" t="n">
        <v>326</v>
      </c>
      <c r="C327" s="5" t="n">
        <v>4.99989559387148E-005</v>
      </c>
    </row>
    <row r="328" customFormat="false" ht="13.8" hidden="false" customHeight="false" outlineLevel="0" collapsed="false">
      <c r="B328" s="2" t="n">
        <v>327</v>
      </c>
      <c r="C328" s="5" t="n">
        <v>4.99992037694309E-005</v>
      </c>
    </row>
    <row r="329" customFormat="false" ht="13.8" hidden="false" customHeight="false" outlineLevel="0" collapsed="false">
      <c r="B329" s="2" t="n">
        <v>328</v>
      </c>
      <c r="C329" s="5" t="n">
        <v>-4.99982033205992E-005</v>
      </c>
    </row>
    <row r="330" customFormat="false" ht="13.8" hidden="false" customHeight="false" outlineLevel="0" collapsed="false">
      <c r="B330" s="2" t="n">
        <v>329</v>
      </c>
      <c r="C330" s="5" t="n">
        <v>4.9999635810899E-005</v>
      </c>
    </row>
    <row r="331" customFormat="false" ht="13.8" hidden="false" customHeight="false" outlineLevel="0" collapsed="false">
      <c r="B331" s="2" t="n">
        <v>330</v>
      </c>
      <c r="C331" s="5" t="n">
        <v>4.99998749028605E-005</v>
      </c>
    </row>
    <row r="332" customFormat="false" ht="13.8" hidden="false" customHeight="false" outlineLevel="0" collapsed="false">
      <c r="B332" s="2" t="n">
        <v>331</v>
      </c>
      <c r="C332" s="5" t="n">
        <v>4.99999514319009E-005</v>
      </c>
    </row>
    <row r="333" customFormat="false" ht="13.8" hidden="false" customHeight="false" outlineLevel="0" collapsed="false">
      <c r="B333" s="2" t="n">
        <v>332</v>
      </c>
      <c r="C333" s="5" t="n">
        <v>-4.99921325388441E-005</v>
      </c>
    </row>
    <row r="334" customFormat="false" ht="13.8" hidden="false" customHeight="false" outlineLevel="0" collapsed="false">
      <c r="B334" s="2" t="n">
        <v>333</v>
      </c>
      <c r="C334" s="5" t="n">
        <v>4.99999367728467E-005</v>
      </c>
    </row>
    <row r="335" customFormat="false" ht="13.8" hidden="false" customHeight="false" outlineLevel="0" collapsed="false">
      <c r="B335" s="2" t="n">
        <v>334</v>
      </c>
      <c r="C335" s="5" t="n">
        <v>4.9999999999998E-005</v>
      </c>
    </row>
    <row r="336" customFormat="false" ht="13.8" hidden="false" customHeight="false" outlineLevel="0" collapsed="false">
      <c r="B336" s="2" t="n">
        <v>335</v>
      </c>
      <c r="C336" s="5" t="n">
        <v>4.99999296845455E-005</v>
      </c>
    </row>
    <row r="337" customFormat="false" ht="13.8" hidden="false" customHeight="false" outlineLevel="0" collapsed="false">
      <c r="B337" s="2" t="n">
        <v>336</v>
      </c>
      <c r="C337" s="5" t="n">
        <v>4.99990672323174E-005</v>
      </c>
    </row>
    <row r="338" customFormat="false" ht="13.8" hidden="false" customHeight="false" outlineLevel="0" collapsed="false">
      <c r="B338" s="2" t="n">
        <v>337</v>
      </c>
      <c r="C338" s="5" t="n">
        <v>5.00002809463674E-005</v>
      </c>
    </row>
    <row r="339" customFormat="false" ht="13.8" hidden="false" customHeight="false" outlineLevel="0" collapsed="false">
      <c r="B339" s="2" t="n">
        <v>338</v>
      </c>
      <c r="C339" s="5" t="n">
        <v>4.99999999999997E-005</v>
      </c>
    </row>
    <row r="340" customFormat="false" ht="13.8" hidden="false" customHeight="false" outlineLevel="0" collapsed="false">
      <c r="B340" s="2" t="n">
        <v>339</v>
      </c>
      <c r="C340" s="5" t="n">
        <v>5.00017896813009E-005</v>
      </c>
    </row>
    <row r="341" customFormat="false" ht="13.8" hidden="false" customHeight="false" outlineLevel="0" collapsed="false">
      <c r="B341" s="2" t="n">
        <v>340</v>
      </c>
      <c r="C341" s="5" t="n">
        <v>5.00000000000006E-005</v>
      </c>
    </row>
    <row r="342" customFormat="false" ht="13.8" hidden="false" customHeight="false" outlineLevel="0" collapsed="false">
      <c r="B342" s="2" t="n">
        <v>341</v>
      </c>
      <c r="C342" s="5" t="n">
        <v>-4.99784718156485E-005</v>
      </c>
    </row>
    <row r="343" customFormat="false" ht="13.8" hidden="false" customHeight="false" outlineLevel="0" collapsed="false">
      <c r="B343" s="2" t="n">
        <v>342</v>
      </c>
      <c r="C343" s="5" t="n">
        <v>4.99999999999988E-005</v>
      </c>
    </row>
    <row r="344" customFormat="false" ht="13.8" hidden="false" customHeight="false" outlineLevel="0" collapsed="false">
      <c r="B344" s="2" t="n">
        <v>343</v>
      </c>
      <c r="C344" s="5" t="n">
        <v>-4.99642663121132E-005</v>
      </c>
    </row>
    <row r="345" customFormat="false" ht="13.8" hidden="false" customHeight="false" outlineLevel="0" collapsed="false">
      <c r="B345" s="2" t="n">
        <v>344</v>
      </c>
      <c r="C345" s="5" t="n">
        <v>4.9999999999913E-005</v>
      </c>
    </row>
    <row r="346" customFormat="false" ht="13.8" hidden="false" customHeight="false" outlineLevel="0" collapsed="false">
      <c r="B346" s="2" t="n">
        <v>345</v>
      </c>
      <c r="C346" s="5" t="n">
        <v>5.00257078196218E-005</v>
      </c>
    </row>
    <row r="347" customFormat="false" ht="13.8" hidden="false" customHeight="false" outlineLevel="0" collapsed="false">
      <c r="B347" s="2" t="n">
        <v>346</v>
      </c>
      <c r="C347" s="5" t="n">
        <v>5.0028747503271E-005</v>
      </c>
    </row>
    <row r="348" customFormat="false" ht="13.8" hidden="false" customHeight="false" outlineLevel="0" collapsed="false">
      <c r="B348" s="2" t="n">
        <v>347</v>
      </c>
      <c r="C348" s="5" t="n">
        <v>5.00305957843519E-005</v>
      </c>
    </row>
    <row r="349" customFormat="false" ht="13.8" hidden="false" customHeight="false" outlineLevel="0" collapsed="false">
      <c r="B349" s="2" t="n">
        <v>348</v>
      </c>
      <c r="C349" s="5" t="n">
        <v>5.00332777409037E-005</v>
      </c>
    </row>
    <row r="350" customFormat="false" ht="13.8" hidden="false" customHeight="false" outlineLevel="0" collapsed="false">
      <c r="B350" s="2" t="n">
        <v>349</v>
      </c>
      <c r="C350" s="5" t="n">
        <v>5.00362485346438E-005</v>
      </c>
    </row>
    <row r="351" customFormat="false" ht="13.8" hidden="false" customHeight="false" outlineLevel="0" collapsed="false">
      <c r="B351" s="2" t="n">
        <v>350</v>
      </c>
      <c r="C351" s="5" t="n">
        <v>5.00385247459804E-005</v>
      </c>
    </row>
    <row r="352" customFormat="false" ht="13.8" hidden="false" customHeight="false" outlineLevel="0" collapsed="false">
      <c r="B352" s="2" t="n">
        <v>351</v>
      </c>
      <c r="C352" s="5" t="n">
        <v>5.00412493575575E-005</v>
      </c>
    </row>
    <row r="353" customFormat="false" ht="13.8" hidden="false" customHeight="false" outlineLevel="0" collapsed="false">
      <c r="B353" s="2" t="n">
        <v>352</v>
      </c>
      <c r="C353" s="5" t="n">
        <v>5.00435902340922E-005</v>
      </c>
    </row>
    <row r="354" customFormat="false" ht="13.8" hidden="false" customHeight="false" outlineLevel="0" collapsed="false">
      <c r="B354" s="2" t="n">
        <v>353</v>
      </c>
      <c r="C354" s="5" t="n">
        <v>5.0046409870411E-005</v>
      </c>
    </row>
    <row r="355" customFormat="false" ht="13.8" hidden="false" customHeight="false" outlineLevel="0" collapsed="false">
      <c r="B355" s="2" t="n">
        <v>354</v>
      </c>
      <c r="C355" s="5" t="n">
        <v>0.000608694878879982</v>
      </c>
    </row>
    <row r="356" customFormat="false" ht="13.8" hidden="false" customHeight="false" outlineLevel="0" collapsed="false">
      <c r="B356" s="2" t="n">
        <v>355</v>
      </c>
      <c r="C356" s="5" t="n">
        <v>0.000608698150534242</v>
      </c>
    </row>
    <row r="357" customFormat="false" ht="13.8" hidden="false" customHeight="false" outlineLevel="0" collapsed="false">
      <c r="B357" s="2" t="n">
        <v>356</v>
      </c>
      <c r="C357" s="5" t="n">
        <v>0.000608701422216151</v>
      </c>
    </row>
    <row r="358" customFormat="false" ht="13.8" hidden="false" customHeight="false" outlineLevel="0" collapsed="false">
      <c r="B358" s="2" t="n">
        <v>357</v>
      </c>
      <c r="C358" s="5" t="n">
        <v>0.000608704693939911</v>
      </c>
    </row>
    <row r="359" customFormat="false" ht="13.8" hidden="false" customHeight="false" outlineLevel="0" collapsed="false">
      <c r="B359" s="2" t="n">
        <v>358</v>
      </c>
      <c r="C359" s="5" t="n">
        <v>0.000608707965687862</v>
      </c>
    </row>
    <row r="360" customFormat="false" ht="13.8" hidden="false" customHeight="false" outlineLevel="0" collapsed="false">
      <c r="B360" s="2" t="n">
        <v>359</v>
      </c>
      <c r="C360" s="5" t="n">
        <v>0.000608711237477684</v>
      </c>
    </row>
    <row r="361" customFormat="false" ht="13.8" hidden="false" customHeight="false" outlineLevel="0" collapsed="false">
      <c r="B361" s="2" t="n">
        <v>360</v>
      </c>
      <c r="C361" s="5" t="n">
        <v>0.000608714509292925</v>
      </c>
    </row>
    <row r="362" customFormat="false" ht="13.8" hidden="false" customHeight="false" outlineLevel="0" collapsed="false">
      <c r="B362" s="2" t="n">
        <v>361</v>
      </c>
      <c r="C362" s="5" t="n">
        <v>0.000608717725142924</v>
      </c>
    </row>
    <row r="363" customFormat="false" ht="13.8" hidden="false" customHeight="false" outlineLevel="0" collapsed="false">
      <c r="B363" s="2" t="n">
        <v>362</v>
      </c>
      <c r="C363" s="5" t="n">
        <v>0.000608720998776848</v>
      </c>
    </row>
    <row r="364" customFormat="false" ht="13.8" hidden="false" customHeight="false" outlineLevel="0" collapsed="false">
      <c r="B364" s="2" t="n">
        <v>363</v>
      </c>
      <c r="C364" s="5" t="n">
        <v>0.00060872427244811</v>
      </c>
    </row>
    <row r="365" customFormat="false" ht="13.8" hidden="false" customHeight="false" outlineLevel="0" collapsed="false">
      <c r="B365" s="2" t="n">
        <v>364</v>
      </c>
      <c r="C365" s="5" t="n">
        <v>0.000608727546148341</v>
      </c>
    </row>
    <row r="366" customFormat="false" ht="13.8" hidden="false" customHeight="false" outlineLevel="0" collapsed="false">
      <c r="B366" s="2" t="n">
        <v>365</v>
      </c>
      <c r="C366" s="5" t="n">
        <v>0.000608728478404731</v>
      </c>
    </row>
    <row r="367" customFormat="false" ht="13.8" hidden="false" customHeight="false" outlineLevel="0" collapsed="false">
      <c r="B367" s="2" t="n">
        <v>366</v>
      </c>
      <c r="C367" s="5" t="n">
        <v>0.000608731935738478</v>
      </c>
    </row>
    <row r="368" customFormat="false" ht="13.8" hidden="false" customHeight="false" outlineLevel="0" collapsed="false">
      <c r="B368" s="2" t="n">
        <v>367</v>
      </c>
      <c r="C368" s="5" t="n">
        <v>0.000608735393108304</v>
      </c>
    </row>
    <row r="369" customFormat="false" ht="13.8" hidden="false" customHeight="false" outlineLevel="0" collapsed="false">
      <c r="B369" s="2" t="n">
        <v>368</v>
      </c>
      <c r="C369" s="5" t="n">
        <v>0.000608738850511286</v>
      </c>
    </row>
    <row r="370" customFormat="false" ht="13.8" hidden="false" customHeight="false" outlineLevel="0" collapsed="false">
      <c r="B370" s="2" t="n">
        <v>369</v>
      </c>
      <c r="C370" s="5" t="n">
        <v>0.000608742307950073</v>
      </c>
    </row>
    <row r="371" customFormat="false" ht="13.8" hidden="false" customHeight="false" outlineLevel="0" collapsed="false">
      <c r="B371" s="2" t="n">
        <v>370</v>
      </c>
      <c r="C371" s="5" t="n">
        <v>0.00060874576542265</v>
      </c>
    </row>
    <row r="372" customFormat="false" ht="13.8" hidden="false" customHeight="false" outlineLevel="0" collapsed="false">
      <c r="B372" s="2" t="n">
        <v>371</v>
      </c>
      <c r="C372" s="5" t="n">
        <v>0.000608749222930861</v>
      </c>
    </row>
    <row r="373" customFormat="false" ht="13.8" hidden="false" customHeight="false" outlineLevel="0" collapsed="false">
      <c r="B373" s="2" t="n">
        <v>372</v>
      </c>
      <c r="C373" s="5" t="n">
        <v>0.000608752680473089</v>
      </c>
    </row>
    <row r="374" customFormat="false" ht="13.8" hidden="false" customHeight="false" outlineLevel="0" collapsed="false">
      <c r="B374" s="2" t="n">
        <v>373</v>
      </c>
      <c r="C374" s="5" t="n">
        <v>0.00060875613805119</v>
      </c>
    </row>
    <row r="375" customFormat="false" ht="13.8" hidden="false" customHeight="false" outlineLevel="0" collapsed="false">
      <c r="B375" s="2" t="n">
        <v>374</v>
      </c>
      <c r="C375" s="5" t="n">
        <v>0.0006087595956641</v>
      </c>
    </row>
    <row r="376" customFormat="false" ht="13.8" hidden="false" customHeight="false" outlineLevel="0" collapsed="false">
      <c r="B376" s="2" t="n">
        <v>375</v>
      </c>
      <c r="C376" s="5" t="n">
        <v>0.000608763053313142</v>
      </c>
    </row>
    <row r="377" customFormat="false" ht="13.8" hidden="false" customHeight="false" outlineLevel="0" collapsed="false">
      <c r="B377" s="2" t="n">
        <v>376</v>
      </c>
      <c r="C377" s="5" t="n">
        <v>0.000608766511000821</v>
      </c>
    </row>
    <row r="378" customFormat="false" ht="13.8" hidden="false" customHeight="false" outlineLevel="0" collapsed="false">
      <c r="B378" s="2" t="n">
        <v>377</v>
      </c>
      <c r="C378" s="5" t="n">
        <v>0.000608769775652678</v>
      </c>
    </row>
    <row r="379" customFormat="false" ht="13.8" hidden="false" customHeight="false" outlineLevel="0" collapsed="false">
      <c r="B379" s="2" t="n">
        <v>378</v>
      </c>
      <c r="C379" s="5" t="n">
        <v>0.000608773455886803</v>
      </c>
    </row>
    <row r="380" customFormat="false" ht="13.8" hidden="false" customHeight="false" outlineLevel="0" collapsed="false">
      <c r="B380" s="2" t="n">
        <v>379</v>
      </c>
      <c r="C380" s="5" t="n">
        <v>0.000608777136157317</v>
      </c>
    </row>
    <row r="381" customFormat="false" ht="13.8" hidden="false" customHeight="false" outlineLevel="0" collapsed="false">
      <c r="B381" s="2" t="n">
        <v>380</v>
      </c>
      <c r="C381" s="5" t="n">
        <v>0.000608780816465514</v>
      </c>
    </row>
    <row r="382" customFormat="false" ht="13.8" hidden="false" customHeight="false" outlineLevel="0" collapsed="false">
      <c r="B382" s="2" t="n">
        <v>381</v>
      </c>
      <c r="C382" s="5" t="n">
        <v>0.000608784496810353</v>
      </c>
    </row>
    <row r="383" customFormat="false" ht="13.8" hidden="false" customHeight="false" outlineLevel="0" collapsed="false">
      <c r="B383" s="2" t="n">
        <v>382</v>
      </c>
      <c r="C383" s="5" t="n">
        <v>0.000608788177192295</v>
      </c>
    </row>
    <row r="384" customFormat="false" ht="13.8" hidden="false" customHeight="false" outlineLevel="0" collapsed="false">
      <c r="B384" s="2" t="n">
        <v>383</v>
      </c>
      <c r="C384" s="5" t="n">
        <v>0.00060879190209813</v>
      </c>
    </row>
    <row r="385" customFormat="false" ht="13.8" hidden="false" customHeight="false" outlineLevel="0" collapsed="false">
      <c r="B385" s="2" t="n">
        <v>384</v>
      </c>
      <c r="C385" s="5" t="n">
        <v>0.000608795581886802</v>
      </c>
    </row>
    <row r="386" customFormat="false" ht="13.8" hidden="false" customHeight="false" outlineLevel="0" collapsed="false">
      <c r="B386" s="2" t="n">
        <v>385</v>
      </c>
      <c r="C386" s="5" t="n">
        <v>0.000608799258496085</v>
      </c>
    </row>
    <row r="387" customFormat="false" ht="13.8" hidden="false" customHeight="false" outlineLevel="0" collapsed="false">
      <c r="B387" s="2" t="n">
        <v>386</v>
      </c>
      <c r="C387" s="5" t="n">
        <v>0.000608802899089509</v>
      </c>
    </row>
    <row r="388" customFormat="false" ht="13.8" hidden="false" customHeight="false" outlineLevel="0" collapsed="false">
      <c r="B388" s="2" t="n">
        <v>387</v>
      </c>
      <c r="C388" s="5" t="n">
        <v>0.000608806619222463</v>
      </c>
    </row>
    <row r="389" customFormat="false" ht="13.8" hidden="false" customHeight="false" outlineLevel="0" collapsed="false">
      <c r="B389" s="2" t="n">
        <v>388</v>
      </c>
      <c r="C389" s="5" t="n">
        <v>0.000608810298477838</v>
      </c>
    </row>
    <row r="390" customFormat="false" ht="13.8" hidden="false" customHeight="false" outlineLevel="0" collapsed="false">
      <c r="B390" s="2" t="n">
        <v>389</v>
      </c>
      <c r="C390" s="5" t="n">
        <v>0.000608813977775049</v>
      </c>
    </row>
    <row r="391" customFormat="false" ht="13.8" hidden="false" customHeight="false" outlineLevel="0" collapsed="false">
      <c r="B391" s="2" t="n">
        <v>390</v>
      </c>
      <c r="C391" s="5" t="n">
        <v>0.000608817621571818</v>
      </c>
    </row>
    <row r="392" customFormat="false" ht="13.8" hidden="false" customHeight="false" outlineLevel="0" collapsed="false">
      <c r="B392" s="2" t="n">
        <v>391</v>
      </c>
      <c r="C392" s="5" t="n">
        <v>0.000608821302284279</v>
      </c>
    </row>
    <row r="393" customFormat="false" ht="13.8" hidden="false" customHeight="false" outlineLevel="0" collapsed="false">
      <c r="B393" s="2" t="n">
        <v>392</v>
      </c>
      <c r="C393" s="5" t="n">
        <v>0.000608824983033999</v>
      </c>
    </row>
    <row r="394" customFormat="false" ht="13.8" hidden="false" customHeight="false" outlineLevel="0" collapsed="false">
      <c r="B394" s="2" t="n">
        <v>393</v>
      </c>
      <c r="C394" s="5" t="n">
        <v>0.000608828663820847</v>
      </c>
    </row>
    <row r="395" customFormat="false" ht="13.8" hidden="false" customHeight="false" outlineLevel="0" collapsed="false">
      <c r="B395" s="2" t="n">
        <v>394</v>
      </c>
      <c r="C395" s="5" t="n">
        <v>0.000608832344644141</v>
      </c>
    </row>
    <row r="396" customFormat="false" ht="13.8" hidden="false" customHeight="false" outlineLevel="0" collapsed="false">
      <c r="B396" s="2" t="n">
        <v>395</v>
      </c>
      <c r="C396" s="5" t="n">
        <v>0.000608836025504595</v>
      </c>
    </row>
    <row r="397" customFormat="false" ht="13.8" hidden="false" customHeight="false" outlineLevel="0" collapsed="false">
      <c r="B397" s="2" t="n">
        <v>396</v>
      </c>
      <c r="C397" s="5" t="n">
        <v>0.000608839706401917</v>
      </c>
    </row>
    <row r="398" customFormat="false" ht="13.8" hidden="false" customHeight="false" outlineLevel="0" collapsed="false">
      <c r="B398" s="2" t="n">
        <v>397</v>
      </c>
      <c r="C398" s="5" t="n">
        <v>0.000608843387335731</v>
      </c>
    </row>
    <row r="399" customFormat="false" ht="13.8" hidden="false" customHeight="false" outlineLevel="0" collapsed="false">
      <c r="B399" s="2" t="n">
        <v>398</v>
      </c>
      <c r="C399" s="5" t="n">
        <v>0.000608847068307259</v>
      </c>
    </row>
    <row r="400" customFormat="false" ht="13.8" hidden="false" customHeight="false" outlineLevel="0" collapsed="false">
      <c r="B400" s="2" t="n">
        <v>399</v>
      </c>
      <c r="C400" s="5" t="n">
        <v>0.000608850749315527</v>
      </c>
    </row>
    <row r="401" customFormat="false" ht="13.8" hidden="false" customHeight="false" outlineLevel="0" collapsed="false">
      <c r="B401" s="2" t="n">
        <v>400</v>
      </c>
      <c r="C401" s="5" t="n">
        <v>0.000608854430362899</v>
      </c>
    </row>
    <row r="402" customFormat="false" ht="13.8" hidden="false" customHeight="false" outlineLevel="0" collapsed="false">
      <c r="B402" s="2" t="n">
        <v>401</v>
      </c>
      <c r="C402" s="5" t="n">
        <v>0.000608858111448121</v>
      </c>
    </row>
    <row r="403" customFormat="false" ht="13.8" hidden="false" customHeight="false" outlineLevel="0" collapsed="false">
      <c r="B403" s="2" t="n">
        <v>402</v>
      </c>
      <c r="C403" s="5" t="n">
        <v>0.000608861792576543</v>
      </c>
    </row>
    <row r="404" customFormat="false" ht="13.8" hidden="false" customHeight="false" outlineLevel="0" collapsed="false">
      <c r="B404" s="2" t="n">
        <v>403</v>
      </c>
      <c r="C404" s="5" t="n">
        <v>0.000608867223412754</v>
      </c>
    </row>
    <row r="405" customFormat="false" ht="13.8" hidden="false" customHeight="false" outlineLevel="0" collapsed="false">
      <c r="B405" s="2" t="n">
        <v>404</v>
      </c>
      <c r="C405" s="5" t="n">
        <v>0.000608871227375312</v>
      </c>
    </row>
    <row r="406" customFormat="false" ht="13.8" hidden="false" customHeight="false" outlineLevel="0" collapsed="false">
      <c r="B406" s="2" t="n">
        <v>405</v>
      </c>
      <c r="C406" s="5" t="n">
        <v>0.000608875592766115</v>
      </c>
    </row>
    <row r="407" customFormat="false" ht="13.8" hidden="false" customHeight="false" outlineLevel="0" collapsed="false">
      <c r="B407" s="2" t="n">
        <v>406</v>
      </c>
      <c r="C407" s="5" t="n">
        <v>0.000608875159449141</v>
      </c>
    </row>
    <row r="408" customFormat="false" ht="13.8" hidden="false" customHeight="false" outlineLevel="0" collapsed="false">
      <c r="B408" s="2" t="n">
        <v>407</v>
      </c>
      <c r="C408" s="5" t="n">
        <v>0.00060887874823768</v>
      </c>
    </row>
    <row r="409" customFormat="false" ht="13.8" hidden="false" customHeight="false" outlineLevel="0" collapsed="false">
      <c r="B409" s="2" t="n">
        <v>408</v>
      </c>
      <c r="C409" s="5" t="n">
        <v>0.000608882337065021</v>
      </c>
    </row>
    <row r="410" customFormat="false" ht="13.8" hidden="false" customHeight="false" outlineLevel="0" collapsed="false">
      <c r="B410" s="2" t="n">
        <v>409</v>
      </c>
      <c r="C410" s="5" t="n">
        <v>0.000608885925933376</v>
      </c>
    </row>
    <row r="411" customFormat="false" ht="13.8" hidden="false" customHeight="false" outlineLevel="0" collapsed="false">
      <c r="B411" s="2" t="n">
        <v>410</v>
      </c>
      <c r="C411" s="5" t="n">
        <v>4.99993889671415E-005</v>
      </c>
    </row>
    <row r="412" customFormat="false" ht="13.8" hidden="false" customHeight="false" outlineLevel="0" collapsed="false">
      <c r="B412" s="2" t="n">
        <v>411</v>
      </c>
      <c r="C412" s="5" t="n">
        <v>4.99999999929733E-005</v>
      </c>
    </row>
    <row r="413" customFormat="false" ht="13.8" hidden="false" customHeight="false" outlineLevel="0" collapsed="false">
      <c r="B413" s="2" t="n">
        <v>412</v>
      </c>
      <c r="C413" s="5" t="n">
        <v>4.99999999906026E-005</v>
      </c>
    </row>
    <row r="414" customFormat="false" ht="13.8" hidden="false" customHeight="false" outlineLevel="0" collapsed="false">
      <c r="B414" s="2" t="n">
        <v>413</v>
      </c>
      <c r="C414" s="5" t="n">
        <v>4.9999999988233E-005</v>
      </c>
    </row>
    <row r="415" customFormat="false" ht="13.8" hidden="false" customHeight="false" outlineLevel="0" collapsed="false">
      <c r="B415" s="2" t="n">
        <v>414</v>
      </c>
      <c r="C415" s="5" t="n">
        <v>4.99999999837075E-005</v>
      </c>
    </row>
    <row r="416" customFormat="false" ht="13.8" hidden="false" customHeight="false" outlineLevel="0" collapsed="false">
      <c r="B416" s="2" t="n">
        <v>415</v>
      </c>
      <c r="C416" s="5" t="n">
        <v>4.99999999791813E-005</v>
      </c>
    </row>
    <row r="417" customFormat="false" ht="13.8" hidden="false" customHeight="false" outlineLevel="0" collapsed="false">
      <c r="B417" s="2" t="n">
        <v>416</v>
      </c>
      <c r="C417" s="5" t="n">
        <v>4.99999535029899E-005</v>
      </c>
    </row>
    <row r="418" customFormat="false" ht="13.8" hidden="false" customHeight="false" outlineLevel="0" collapsed="false">
      <c r="B418" s="2" t="n">
        <v>417</v>
      </c>
      <c r="C418" s="5" t="n">
        <v>4.99999999701288E-005</v>
      </c>
    </row>
    <row r="419" customFormat="false" ht="13.8" hidden="false" customHeight="false" outlineLevel="0" collapsed="false">
      <c r="B419" s="2" t="n">
        <v>418</v>
      </c>
      <c r="C419" s="5" t="n">
        <v>5.00000000000001E-005</v>
      </c>
    </row>
    <row r="420" customFormat="false" ht="13.8" hidden="false" customHeight="false" outlineLevel="0" collapsed="false">
      <c r="B420" s="2" t="n">
        <v>419</v>
      </c>
      <c r="C420" s="5" t="n">
        <v>4.99775516755424E-005</v>
      </c>
    </row>
    <row r="421" customFormat="false" ht="13.8" hidden="false" customHeight="false" outlineLevel="0" collapsed="false">
      <c r="B421" s="2" t="n">
        <v>420</v>
      </c>
      <c r="C421" s="5" t="n">
        <v>4.99998952134652E-005</v>
      </c>
    </row>
    <row r="422" customFormat="false" ht="13.8" hidden="false" customHeight="false" outlineLevel="0" collapsed="false">
      <c r="B422" s="2" t="n">
        <v>421</v>
      </c>
      <c r="C422" s="5" t="n">
        <v>4.99953838118193E-005</v>
      </c>
    </row>
    <row r="423" customFormat="false" ht="13.8" hidden="false" customHeight="false" outlineLevel="0" collapsed="false">
      <c r="B423" s="2" t="n">
        <v>422</v>
      </c>
      <c r="C423" s="5" t="n">
        <v>-4.99849158892882E-005</v>
      </c>
    </row>
    <row r="424" customFormat="false" ht="13.8" hidden="false" customHeight="false" outlineLevel="0" collapsed="false">
      <c r="B424" s="2" t="n">
        <v>423</v>
      </c>
      <c r="C424" s="5" t="n">
        <v>4.99988040697831E-005</v>
      </c>
    </row>
    <row r="425" customFormat="false" ht="13.8" hidden="false" customHeight="false" outlineLevel="0" collapsed="false">
      <c r="B425" s="2" t="n">
        <v>424</v>
      </c>
      <c r="C425" s="5" t="n">
        <v>-4.99819792612803E-005</v>
      </c>
    </row>
    <row r="426" customFormat="false" ht="13.8" hidden="false" customHeight="false" outlineLevel="0" collapsed="false">
      <c r="B426" s="2" t="n">
        <v>425</v>
      </c>
      <c r="C426" s="5" t="n">
        <v>4.9999580162871E-005</v>
      </c>
    </row>
    <row r="427" customFormat="false" ht="13.8" hidden="false" customHeight="false" outlineLevel="0" collapsed="false">
      <c r="B427" s="2" t="n">
        <v>426</v>
      </c>
      <c r="C427" s="5" t="n">
        <v>-4.99790425332918E-005</v>
      </c>
    </row>
    <row r="428" customFormat="false" ht="13.8" hidden="false" customHeight="false" outlineLevel="0" collapsed="false">
      <c r="B428" s="2" t="n">
        <v>427</v>
      </c>
      <c r="C428" s="5" t="n">
        <v>4.99985831255904E-005</v>
      </c>
    </row>
    <row r="429" customFormat="false" ht="13.8" hidden="false" customHeight="false" outlineLevel="0" collapsed="false">
      <c r="B429" s="2" t="n">
        <v>428</v>
      </c>
      <c r="C429" s="5" t="n">
        <v>5.00000974995604E-005</v>
      </c>
    </row>
    <row r="430" customFormat="false" ht="13.8" hidden="false" customHeight="false" outlineLevel="0" collapsed="false">
      <c r="B430" s="2" t="n">
        <v>429</v>
      </c>
      <c r="C430" s="5" t="n">
        <v>4.99995397667812E-005</v>
      </c>
    </row>
    <row r="431" customFormat="false" ht="13.8" hidden="false" customHeight="false" outlineLevel="0" collapsed="false">
      <c r="B431" s="2" t="n">
        <v>430</v>
      </c>
      <c r="C431" s="5" t="n">
        <v>-4.99731687771024E-005</v>
      </c>
    </row>
    <row r="432" customFormat="false" ht="13.8" hidden="false" customHeight="false" outlineLevel="0" collapsed="false">
      <c r="B432" s="2" t="n">
        <v>431</v>
      </c>
      <c r="C432" s="5" t="n">
        <v>4.99981939489359E-005</v>
      </c>
    </row>
    <row r="433" customFormat="false" ht="13.8" hidden="false" customHeight="false" outlineLevel="0" collapsed="false">
      <c r="B433" s="2" t="n">
        <v>432</v>
      </c>
      <c r="C433" s="5" t="n">
        <v>4.99999991082436E-005</v>
      </c>
    </row>
    <row r="434" customFormat="false" ht="13.8" hidden="false" customHeight="false" outlineLevel="0" collapsed="false">
      <c r="B434" s="2" t="n">
        <v>433</v>
      </c>
      <c r="C434" s="5" t="n">
        <v>-4.99687631971968E-005</v>
      </c>
    </row>
    <row r="435" customFormat="false" ht="13.8" hidden="false" customHeight="false" outlineLevel="0" collapsed="false">
      <c r="B435" s="2" t="n">
        <v>434</v>
      </c>
      <c r="C435" s="5" t="n">
        <v>-4.99672946205069E-005</v>
      </c>
    </row>
    <row r="436" customFormat="false" ht="13.8" hidden="false" customHeight="false" outlineLevel="0" collapsed="false">
      <c r="B436" s="2" t="n">
        <v>435</v>
      </c>
      <c r="C436" s="5" t="n">
        <v>5.00000000000006E-005</v>
      </c>
    </row>
    <row r="437" customFormat="false" ht="13.8" hidden="false" customHeight="false" outlineLevel="0" collapsed="false">
      <c r="B437" s="2" t="n">
        <v>436</v>
      </c>
      <c r="C437" s="5" t="n">
        <v>-4.9934939720063E-005</v>
      </c>
    </row>
    <row r="438" customFormat="false" ht="13.8" hidden="false" customHeight="false" outlineLevel="0" collapsed="false">
      <c r="B438" s="2" t="n">
        <v>437</v>
      </c>
      <c r="C438" s="5" t="n">
        <v>-4.99369445615474E-005</v>
      </c>
    </row>
    <row r="439" customFormat="false" ht="13.8" hidden="false" customHeight="false" outlineLevel="0" collapsed="false">
      <c r="B439" s="2" t="n">
        <v>438</v>
      </c>
      <c r="C439" s="5" t="n">
        <v>4.99999955537717E-005</v>
      </c>
    </row>
    <row r="440" customFormat="false" ht="13.8" hidden="false" customHeight="false" outlineLevel="0" collapsed="false">
      <c r="B440" s="2" t="n">
        <v>439</v>
      </c>
      <c r="C440" s="5" t="n">
        <v>5.00287641574825E-005</v>
      </c>
    </row>
    <row r="441" customFormat="false" ht="13.8" hidden="false" customHeight="false" outlineLevel="0" collapsed="false">
      <c r="B441" s="2" t="n">
        <v>440</v>
      </c>
      <c r="C441" s="5" t="n">
        <v>5.00322961745499E-005</v>
      </c>
    </row>
    <row r="442" customFormat="false" ht="13.8" hidden="false" customHeight="false" outlineLevel="0" collapsed="false">
      <c r="B442" s="2" t="n">
        <v>441</v>
      </c>
      <c r="C442" s="5" t="n">
        <v>5.00358282166678E-005</v>
      </c>
    </row>
    <row r="443" customFormat="false" ht="13.8" hidden="false" customHeight="false" outlineLevel="0" collapsed="false">
      <c r="B443" s="2" t="n">
        <v>442</v>
      </c>
      <c r="C443" s="5" t="n">
        <v>5.00419075409614E-005</v>
      </c>
    </row>
    <row r="444" customFormat="false" ht="13.8" hidden="false" customHeight="false" outlineLevel="0" collapsed="false">
      <c r="B444" s="2" t="n">
        <v>443</v>
      </c>
      <c r="C444" s="5" t="n">
        <v>5.00418606836988E-005</v>
      </c>
    </row>
    <row r="445" customFormat="false" ht="13.8" hidden="false" customHeight="false" outlineLevel="0" collapsed="false">
      <c r="B445" s="2" t="n">
        <v>444</v>
      </c>
      <c r="C445" s="5" t="n">
        <v>4.99999964339411E-005</v>
      </c>
    </row>
    <row r="446" customFormat="false" ht="13.8" hidden="false" customHeight="false" outlineLevel="0" collapsed="false">
      <c r="B446" s="2" t="n">
        <v>445</v>
      </c>
      <c r="C446" s="5" t="n">
        <v>5.0046861583281E-005</v>
      </c>
    </row>
    <row r="447" customFormat="false" ht="13.8" hidden="false" customHeight="false" outlineLevel="0" collapsed="false">
      <c r="B447" s="2" t="n">
        <v>446</v>
      </c>
      <c r="C447" s="5" t="n">
        <v>5.00483844302949E-005</v>
      </c>
    </row>
    <row r="448" customFormat="false" ht="13.8" hidden="false" customHeight="false" outlineLevel="0" collapsed="false">
      <c r="B448" s="2" t="n">
        <v>447</v>
      </c>
      <c r="C448" s="5" t="n">
        <v>5.00528033192633E-005</v>
      </c>
    </row>
    <row r="449" customFormat="false" ht="13.8" hidden="false" customHeight="false" outlineLevel="0" collapsed="false">
      <c r="B449" s="2" t="n">
        <v>448</v>
      </c>
      <c r="C449" s="5" t="n">
        <v>5.00000000002747E-005</v>
      </c>
    </row>
    <row r="450" customFormat="false" ht="13.8" hidden="false" customHeight="false" outlineLevel="0" collapsed="false">
      <c r="B450" s="2" t="n">
        <v>449</v>
      </c>
      <c r="C450" s="5" t="n">
        <v>5.00568640369501E-005</v>
      </c>
    </row>
    <row r="451" customFormat="false" ht="13.8" hidden="false" customHeight="false" outlineLevel="0" collapsed="false">
      <c r="B451" s="2" t="n">
        <v>450</v>
      </c>
      <c r="C451" s="5" t="n">
        <v>5.00593642657673E-005</v>
      </c>
    </row>
    <row r="452" customFormat="false" ht="13.8" hidden="false" customHeight="false" outlineLevel="0" collapsed="false">
      <c r="B452" s="2" t="n">
        <v>451</v>
      </c>
      <c r="C452" s="5" t="n">
        <v>5.0061864885076E-005</v>
      </c>
    </row>
    <row r="453" customFormat="false" ht="13.8" hidden="false" customHeight="false" outlineLevel="0" collapsed="false">
      <c r="B453" s="2" t="n">
        <v>452</v>
      </c>
      <c r="C453" s="5" t="n">
        <v>5.00643654402386E-005</v>
      </c>
    </row>
    <row r="454" customFormat="false" ht="13.8" hidden="false" customHeight="false" outlineLevel="0" collapsed="false">
      <c r="B454" s="2" t="n">
        <v>453</v>
      </c>
      <c r="C454" s="5" t="n">
        <v>0.000608724526175823</v>
      </c>
    </row>
    <row r="455" customFormat="false" ht="13.8" hidden="false" customHeight="false" outlineLevel="0" collapsed="false">
      <c r="B455" s="2" t="n">
        <v>454</v>
      </c>
      <c r="C455" s="5" t="n">
        <v>5.00693668932321E-005</v>
      </c>
    </row>
    <row r="456" customFormat="false" ht="13.8" hidden="false" customHeight="false" outlineLevel="0" collapsed="false">
      <c r="B456" s="2" t="n">
        <v>455</v>
      </c>
      <c r="C456" s="5" t="n">
        <v>0.11666146119839</v>
      </c>
    </row>
    <row r="457" customFormat="false" ht="13.8" hidden="false" customHeight="false" outlineLevel="0" collapsed="false">
      <c r="B457" s="2" t="n">
        <v>456</v>
      </c>
      <c r="C457" s="5" t="n">
        <v>0.116662625009314</v>
      </c>
    </row>
    <row r="458" customFormat="false" ht="13.8" hidden="false" customHeight="false" outlineLevel="0" collapsed="false">
      <c r="B458" s="2" t="n">
        <v>457</v>
      </c>
      <c r="C458" s="5" t="n">
        <v>0.116663784055785</v>
      </c>
    </row>
    <row r="459" customFormat="false" ht="13.8" hidden="false" customHeight="false" outlineLevel="0" collapsed="false">
      <c r="B459" s="2" t="n">
        <v>458</v>
      </c>
      <c r="C459" s="5" t="n">
        <v>0.116664948074588</v>
      </c>
    </row>
    <row r="460" customFormat="false" ht="13.8" hidden="false" customHeight="false" outlineLevel="0" collapsed="false">
      <c r="B460" s="2" t="n">
        <v>459</v>
      </c>
      <c r="C460" s="5" t="n">
        <v>0.116666112105026</v>
      </c>
    </row>
    <row r="461" customFormat="false" ht="13.8" hidden="false" customHeight="false" outlineLevel="0" collapsed="false">
      <c r="B461" s="2" t="n">
        <v>460</v>
      </c>
      <c r="C461" s="5" t="n">
        <v>0.116667276147096</v>
      </c>
    </row>
    <row r="462" customFormat="false" ht="13.8" hidden="false" customHeight="false" outlineLevel="0" collapsed="false">
      <c r="B462" s="2" t="n">
        <v>461</v>
      </c>
      <c r="C462" s="5" t="n">
        <v>0.116668440181345</v>
      </c>
    </row>
    <row r="463" customFormat="false" ht="13.8" hidden="false" customHeight="false" outlineLevel="0" collapsed="false">
      <c r="B463" s="2" t="n">
        <v>462</v>
      </c>
      <c r="C463" s="5" t="n">
        <v>0.116669604247412</v>
      </c>
    </row>
    <row r="464" customFormat="false" ht="13.8" hidden="false" customHeight="false" outlineLevel="0" collapsed="false">
      <c r="B464" s="2" t="n">
        <v>463</v>
      </c>
      <c r="C464" s="5" t="n">
        <v>0.116670768325105</v>
      </c>
    </row>
    <row r="465" customFormat="false" ht="13.8" hidden="false" customHeight="false" outlineLevel="0" collapsed="false">
      <c r="B465" s="2" t="n">
        <v>464</v>
      </c>
      <c r="C465" s="5" t="n">
        <v>0.116671932414441</v>
      </c>
    </row>
    <row r="466" customFormat="false" ht="13.8" hidden="false" customHeight="false" outlineLevel="0" collapsed="false">
      <c r="B466" s="2" t="n">
        <v>465</v>
      </c>
      <c r="C466" s="5" t="n">
        <v>0.116673096515417</v>
      </c>
    </row>
    <row r="467" customFormat="false" ht="13.8" hidden="false" customHeight="false" outlineLevel="0" collapsed="false">
      <c r="B467" s="2" t="n">
        <v>466</v>
      </c>
      <c r="C467" s="5" t="n">
        <v>0.116674260628036</v>
      </c>
    </row>
    <row r="468" customFormat="false" ht="13.8" hidden="false" customHeight="false" outlineLevel="0" collapsed="false">
      <c r="B468" s="2" t="n">
        <v>467</v>
      </c>
      <c r="C468" s="5" t="n">
        <v>0.116675424752294</v>
      </c>
    </row>
    <row r="469" customFormat="false" ht="13.8" hidden="false" customHeight="false" outlineLevel="0" collapsed="false">
      <c r="B469" s="2" t="n">
        <v>468</v>
      </c>
      <c r="C469" s="5" t="n">
        <v>0.116676588888195</v>
      </c>
    </row>
    <row r="470" customFormat="false" ht="13.8" hidden="false" customHeight="false" outlineLevel="0" collapsed="false">
      <c r="B470" s="2" t="n">
        <v>469</v>
      </c>
      <c r="C470" s="5" t="n">
        <v>0.116677753035736</v>
      </c>
    </row>
    <row r="471" customFormat="false" ht="13.8" hidden="false" customHeight="false" outlineLevel="0" collapsed="false">
      <c r="B471" s="2" t="n">
        <v>470</v>
      </c>
      <c r="C471" s="5" t="n">
        <v>0.116678917194919</v>
      </c>
    </row>
    <row r="472" customFormat="false" ht="13.8" hidden="false" customHeight="false" outlineLevel="0" collapsed="false">
      <c r="B472" s="2" t="n">
        <v>471</v>
      </c>
      <c r="C472" s="5" t="n">
        <v>0.116680081365745</v>
      </c>
    </row>
    <row r="473" customFormat="false" ht="13.8" hidden="false" customHeight="false" outlineLevel="0" collapsed="false">
      <c r="B473" s="2" t="n">
        <v>472</v>
      </c>
      <c r="C473" s="5" t="n">
        <v>0.116681245548211</v>
      </c>
    </row>
    <row r="474" customFormat="false" ht="13.8" hidden="false" customHeight="false" outlineLevel="0" collapsed="false">
      <c r="B474" s="2" t="n">
        <v>473</v>
      </c>
      <c r="C474" s="5" t="n">
        <v>0.11668240974232</v>
      </c>
    </row>
    <row r="475" customFormat="false" ht="13.8" hidden="false" customHeight="false" outlineLevel="0" collapsed="false">
      <c r="B475" s="2" t="n">
        <v>474</v>
      </c>
      <c r="C475" s="5" t="n">
        <v>0.116683573948071</v>
      </c>
    </row>
    <row r="476" customFormat="false" ht="13.8" hidden="false" customHeight="false" outlineLevel="0" collapsed="false">
      <c r="B476" s="2" t="n">
        <v>475</v>
      </c>
      <c r="C476" s="5" t="n">
        <v>0.116684738165465</v>
      </c>
    </row>
    <row r="477" customFormat="false" ht="13.8" hidden="false" customHeight="false" outlineLevel="0" collapsed="false">
      <c r="B477" s="2" t="n">
        <v>476</v>
      </c>
      <c r="C477" s="5" t="n">
        <v>0.1166859023945</v>
      </c>
    </row>
    <row r="478" customFormat="false" ht="13.8" hidden="false" customHeight="false" outlineLevel="0" collapsed="false">
      <c r="B478" s="2" t="n">
        <v>477</v>
      </c>
      <c r="C478" s="5" t="n">
        <v>0.11668706663518</v>
      </c>
    </row>
    <row r="479" customFormat="false" ht="13.8" hidden="false" customHeight="false" outlineLevel="0" collapsed="false">
      <c r="B479" s="2" t="n">
        <v>478</v>
      </c>
      <c r="C479" s="5" t="n">
        <v>0.116688230887499</v>
      </c>
    </row>
    <row r="480" customFormat="false" ht="13.8" hidden="false" customHeight="false" outlineLevel="0" collapsed="false">
      <c r="B480" s="2" t="n">
        <v>479</v>
      </c>
      <c r="C480" s="5" t="n">
        <v>0.116689395151464</v>
      </c>
    </row>
    <row r="481" customFormat="false" ht="13.8" hidden="false" customHeight="false" outlineLevel="0" collapsed="false">
      <c r="B481" s="2" t="n">
        <v>480</v>
      </c>
      <c r="C481" s="5" t="n">
        <v>0.116690559427076</v>
      </c>
    </row>
    <row r="482" customFormat="false" ht="13.8" hidden="false" customHeight="false" outlineLevel="0" collapsed="false">
      <c r="B482" s="2" t="n">
        <v>481</v>
      </c>
      <c r="C482" s="5" t="n">
        <v>0.116691723714334</v>
      </c>
    </row>
    <row r="483" customFormat="false" ht="13.8" hidden="false" customHeight="false" outlineLevel="0" collapsed="false">
      <c r="B483" s="2" t="n">
        <v>482</v>
      </c>
      <c r="C483" s="5" t="n">
        <v>0.116692887820185</v>
      </c>
    </row>
    <row r="484" customFormat="false" ht="13.8" hidden="false" customHeight="false" outlineLevel="0" collapsed="false">
      <c r="B484" s="2" t="n">
        <v>483</v>
      </c>
      <c r="C484" s="5" t="n">
        <v>0.116694052353205</v>
      </c>
    </row>
    <row r="485" customFormat="false" ht="13.8" hidden="false" customHeight="false" outlineLevel="0" collapsed="false">
      <c r="B485" s="2" t="n">
        <v>484</v>
      </c>
      <c r="C485" s="5" t="n">
        <v>0.116695216897872</v>
      </c>
    </row>
    <row r="486" customFormat="false" ht="13.8" hidden="false" customHeight="false" outlineLevel="0" collapsed="false">
      <c r="B486" s="2" t="n">
        <v>485</v>
      </c>
      <c r="C486" s="5" t="n">
        <v>0.116696381454184</v>
      </c>
    </row>
    <row r="487" customFormat="false" ht="13.8" hidden="false" customHeight="false" outlineLevel="0" collapsed="false">
      <c r="B487" s="2" t="n">
        <v>486</v>
      </c>
      <c r="C487" s="5" t="n">
        <v>0.116697546022143</v>
      </c>
    </row>
    <row r="488" customFormat="false" ht="13.8" hidden="false" customHeight="false" outlineLevel="0" collapsed="false">
      <c r="B488" s="2" t="n">
        <v>487</v>
      </c>
      <c r="C488" s="5" t="n">
        <v>0.116698710601746</v>
      </c>
    </row>
    <row r="489" customFormat="false" ht="13.8" hidden="false" customHeight="false" outlineLevel="0" collapsed="false">
      <c r="B489" s="2" t="n">
        <v>488</v>
      </c>
      <c r="C489" s="5" t="n">
        <v>0.116699875192996</v>
      </c>
    </row>
    <row r="490" customFormat="false" ht="13.8" hidden="false" customHeight="false" outlineLevel="0" collapsed="false">
      <c r="B490" s="2" t="n">
        <v>489</v>
      </c>
      <c r="C490" s="5" t="n">
        <v>0.116701039825286</v>
      </c>
    </row>
    <row r="491" customFormat="false" ht="13.8" hidden="false" customHeight="false" outlineLevel="0" collapsed="false">
      <c r="B491" s="2" t="n">
        <v>490</v>
      </c>
      <c r="C491" s="5" t="n">
        <v>0.116702204410432</v>
      </c>
    </row>
    <row r="492" customFormat="false" ht="13.8" hidden="false" customHeight="false" outlineLevel="0" collapsed="false">
      <c r="B492" s="2" t="n">
        <v>491</v>
      </c>
      <c r="C492" s="5" t="n">
        <v>0.116703369065196</v>
      </c>
    </row>
    <row r="493" customFormat="false" ht="13.8" hidden="false" customHeight="false" outlineLevel="0" collapsed="false">
      <c r="B493" s="2" t="n">
        <v>492</v>
      </c>
      <c r="C493" s="5" t="n">
        <v>0.116704533674454</v>
      </c>
    </row>
    <row r="494" customFormat="false" ht="13.8" hidden="false" customHeight="false" outlineLevel="0" collapsed="false">
      <c r="B494" s="2" t="n">
        <v>493</v>
      </c>
      <c r="C494" s="5" t="n">
        <v>0.116705698345375</v>
      </c>
    </row>
    <row r="495" customFormat="false" ht="13.8" hidden="false" customHeight="false" outlineLevel="0" collapsed="false">
      <c r="B495" s="2" t="n">
        <v>494</v>
      </c>
      <c r="C495" s="5" t="n">
        <v>0.116706862985061</v>
      </c>
    </row>
    <row r="496" customFormat="false" ht="13.8" hidden="false" customHeight="false" outlineLevel="0" collapsed="false">
      <c r="B496" s="2" t="n">
        <v>495</v>
      </c>
      <c r="C496" s="5" t="n">
        <v>0.116708027663744</v>
      </c>
    </row>
    <row r="497" customFormat="false" ht="13.8" hidden="false" customHeight="false" outlineLevel="0" collapsed="false">
      <c r="B497" s="2" t="n">
        <v>496</v>
      </c>
      <c r="C497" s="5" t="n">
        <v>0.116709192342256</v>
      </c>
    </row>
    <row r="498" customFormat="false" ht="13.8" hidden="false" customHeight="false" outlineLevel="0" collapsed="false">
      <c r="B498" s="2" t="n">
        <v>497</v>
      </c>
      <c r="C498" s="5" t="n">
        <v>0.116710357050953</v>
      </c>
    </row>
    <row r="499" customFormat="false" ht="13.8" hidden="false" customHeight="false" outlineLevel="0" collapsed="false">
      <c r="B499" s="2" t="n">
        <v>498</v>
      </c>
      <c r="C499" s="5" t="n">
        <v>0.116711521746039</v>
      </c>
    </row>
    <row r="500" customFormat="false" ht="13.8" hidden="false" customHeight="false" outlineLevel="0" collapsed="false">
      <c r="B500" s="2" t="n">
        <v>499</v>
      </c>
      <c r="C500" s="5" t="n">
        <v>0.116712686514195</v>
      </c>
    </row>
    <row r="501" customFormat="false" ht="13.8" hidden="false" customHeight="false" outlineLevel="0" collapsed="false">
      <c r="B501" s="2" t="n">
        <v>500</v>
      </c>
      <c r="C501" s="5" t="n">
        <v>0.116713851196412</v>
      </c>
    </row>
    <row r="502" customFormat="false" ht="13.8" hidden="false" customHeight="false" outlineLevel="0" collapsed="false">
      <c r="B502" s="2" t="n">
        <v>501</v>
      </c>
      <c r="C502" s="5" t="n">
        <v>0.116715016089453</v>
      </c>
    </row>
    <row r="503" customFormat="false" ht="13.8" hidden="false" customHeight="false" outlineLevel="0" collapsed="false">
      <c r="B503" s="2" t="n">
        <v>502</v>
      </c>
      <c r="C503" s="5" t="n">
        <v>0.116716180693884</v>
      </c>
    </row>
    <row r="504" customFormat="false" ht="13.8" hidden="false" customHeight="false" outlineLevel="0" collapsed="false">
      <c r="B504" s="2" t="n">
        <v>503</v>
      </c>
      <c r="C504" s="5" t="n">
        <v>0.116717345322895</v>
      </c>
    </row>
    <row r="505" customFormat="false" ht="13.8" hidden="false" customHeight="false" outlineLevel="0" collapsed="false">
      <c r="B505" s="2" t="n">
        <v>504</v>
      </c>
      <c r="C505" s="5" t="n">
        <v>0.116718509838393</v>
      </c>
    </row>
    <row r="506" customFormat="false" ht="13.8" hidden="false" customHeight="false" outlineLevel="0" collapsed="false">
      <c r="B506" s="2" t="n">
        <v>505</v>
      </c>
      <c r="C506" s="5" t="n">
        <v>0.116719674410576</v>
      </c>
    </row>
    <row r="507" customFormat="false" ht="13.8" hidden="false" customHeight="false" outlineLevel="0" collapsed="false">
      <c r="B507" s="2" t="n">
        <v>506</v>
      </c>
      <c r="C507" s="5" t="n">
        <v>0.116720839118966</v>
      </c>
    </row>
    <row r="508" customFormat="false" ht="13.8" hidden="false" customHeight="false" outlineLevel="0" collapsed="false">
      <c r="B508" s="2" t="n">
        <v>507</v>
      </c>
      <c r="C508" s="5" t="n">
        <v>0.116722003839007</v>
      </c>
    </row>
    <row r="509" customFormat="false" ht="13.8" hidden="false" customHeight="false" outlineLevel="0" collapsed="false">
      <c r="B509" s="2" t="n">
        <v>508</v>
      </c>
      <c r="C509" s="5" t="n">
        <v>0.116723168570698</v>
      </c>
    </row>
    <row r="510" customFormat="false" ht="13.8" hidden="false" customHeight="false" outlineLevel="0" collapsed="false">
      <c r="B510" s="2" t="n">
        <v>509</v>
      </c>
      <c r="C510" s="5" t="n">
        <v>0.116724333314702</v>
      </c>
    </row>
    <row r="511" customFormat="false" ht="13.8" hidden="false" customHeight="false" outlineLevel="0" collapsed="false">
      <c r="B511" s="2" t="n">
        <v>510</v>
      </c>
      <c r="C511" s="5" t="n">
        <v>0.116725498993541</v>
      </c>
    </row>
    <row r="512" customFormat="false" ht="13.8" hidden="false" customHeight="false" outlineLevel="0" collapsed="false">
      <c r="B512" s="2" t="n">
        <v>511</v>
      </c>
      <c r="C512" s="5" t="n">
        <v>0.0940866049600398</v>
      </c>
    </row>
    <row r="513" customFormat="false" ht="13.8" hidden="false" customHeight="false" outlineLevel="0" collapsed="false">
      <c r="B513" s="2" t="n">
        <v>512</v>
      </c>
      <c r="C513" s="5" t="n">
        <v>0.0940875478355146</v>
      </c>
    </row>
    <row r="514" customFormat="false" ht="13.8" hidden="false" customHeight="false" outlineLevel="0" collapsed="false">
      <c r="B514" s="2" t="n">
        <v>513</v>
      </c>
      <c r="C514" s="5" t="n">
        <v>0.0940884907204182</v>
      </c>
    </row>
    <row r="515" customFormat="false" ht="13.8" hidden="false" customHeight="false" outlineLevel="0" collapsed="false">
      <c r="B515" s="2" t="n">
        <v>514</v>
      </c>
      <c r="C515" s="5" t="n">
        <v>0.0940894330605654</v>
      </c>
    </row>
    <row r="516" customFormat="false" ht="13.8" hidden="false" customHeight="false" outlineLevel="0" collapsed="false">
      <c r="B516" s="2" t="n">
        <v>515</v>
      </c>
      <c r="C516" s="5" t="n">
        <v>0.0940903764643128</v>
      </c>
    </row>
    <row r="517" customFormat="false" ht="13.8" hidden="false" customHeight="false" outlineLevel="0" collapsed="false">
      <c r="B517" s="2" t="n">
        <v>516</v>
      </c>
      <c r="C517" s="5" t="n">
        <v>0.0940913198775323</v>
      </c>
    </row>
    <row r="518" customFormat="false" ht="13.8" hidden="false" customHeight="false" outlineLevel="0" collapsed="false">
      <c r="B518" s="2" t="n">
        <v>517</v>
      </c>
      <c r="C518" s="5" t="n">
        <v>0.0940922633001625</v>
      </c>
    </row>
    <row r="519" customFormat="false" ht="13.8" hidden="false" customHeight="false" outlineLevel="0" collapsed="false">
      <c r="B519" s="2" t="n">
        <v>518</v>
      </c>
      <c r="C519" s="5" t="n">
        <v>0.0940932067321961</v>
      </c>
    </row>
    <row r="520" customFormat="false" ht="13.8" hidden="false" customHeight="false" outlineLevel="0" collapsed="false">
      <c r="B520" s="2" t="n">
        <v>519</v>
      </c>
      <c r="C520" s="5" t="n">
        <v>0.094094150173692</v>
      </c>
    </row>
    <row r="521" customFormat="false" ht="13.8" hidden="false" customHeight="false" outlineLevel="0" collapsed="false">
      <c r="B521" s="2" t="n">
        <v>520</v>
      </c>
      <c r="C521" s="5" t="n">
        <v>0.0940950936246228</v>
      </c>
    </row>
    <row r="522" customFormat="false" ht="13.8" hidden="false" customHeight="false" outlineLevel="0" collapsed="false">
      <c r="B522" s="2" t="n">
        <v>521</v>
      </c>
      <c r="C522" s="5" t="n">
        <v>0.0940960385437527</v>
      </c>
    </row>
    <row r="523" customFormat="false" ht="13.8" hidden="false" customHeight="false" outlineLevel="0" collapsed="false">
      <c r="B523" s="2" t="n">
        <v>522</v>
      </c>
      <c r="C523" s="5" t="n">
        <v>0.0940969827054587</v>
      </c>
    </row>
    <row r="524" customFormat="false" ht="13.8" hidden="false" customHeight="false" outlineLevel="0" collapsed="false">
      <c r="B524" s="2" t="n">
        <v>523</v>
      </c>
      <c r="C524" s="5" t="n">
        <v>0.0940979210314567</v>
      </c>
    </row>
    <row r="525" customFormat="false" ht="13.8" hidden="false" customHeight="false" outlineLevel="0" collapsed="false">
      <c r="B525" s="2" t="n">
        <v>524</v>
      </c>
      <c r="C525" s="5" t="n">
        <v>0.094098863789231</v>
      </c>
    </row>
    <row r="526" customFormat="false" ht="13.8" hidden="false" customHeight="false" outlineLevel="0" collapsed="false">
      <c r="B526" s="2" t="n">
        <v>525</v>
      </c>
      <c r="C526" s="5" t="n">
        <v>0.094099815484635</v>
      </c>
    </row>
    <row r="527" customFormat="false" ht="13.8" hidden="false" customHeight="false" outlineLevel="0" collapsed="false">
      <c r="B527" s="2" t="n">
        <v>526</v>
      </c>
      <c r="C527" s="5" t="n">
        <v>0.0941007493330627</v>
      </c>
    </row>
    <row r="528" customFormat="false" ht="13.8" hidden="false" customHeight="false" outlineLevel="0" collapsed="false">
      <c r="B528" s="2" t="n">
        <v>527</v>
      </c>
      <c r="C528" s="5" t="n">
        <v>0.0941016921191205</v>
      </c>
    </row>
    <row r="529" customFormat="false" ht="13.8" hidden="false" customHeight="false" outlineLevel="0" collapsed="false">
      <c r="B529" s="2" t="n">
        <v>528</v>
      </c>
      <c r="C529" s="5" t="n">
        <v>0.0941026482283706</v>
      </c>
    </row>
    <row r="530" customFormat="false" ht="13.8" hidden="false" customHeight="false" outlineLevel="0" collapsed="false">
      <c r="B530" s="2" t="n">
        <v>529</v>
      </c>
      <c r="C530" s="5" t="n">
        <v>0.09410357771952</v>
      </c>
    </row>
    <row r="531" customFormat="false" ht="13.8" hidden="false" customHeight="false" outlineLevel="0" collapsed="false">
      <c r="B531" s="2" t="n">
        <v>530</v>
      </c>
      <c r="C531" s="5" t="n">
        <v>0.094104520533862</v>
      </c>
    </row>
    <row r="532" customFormat="false" ht="13.8" hidden="false" customHeight="false" outlineLevel="0" collapsed="false">
      <c r="B532" s="2" t="n">
        <v>531</v>
      </c>
      <c r="C532" s="5" t="n">
        <v>0.0941054805857366</v>
      </c>
    </row>
    <row r="533" customFormat="false" ht="13.8" hidden="false" customHeight="false" outlineLevel="0" collapsed="false">
      <c r="B533" s="2" t="n">
        <v>532</v>
      </c>
      <c r="C533" s="5" t="n">
        <v>0.0941064061908309</v>
      </c>
    </row>
    <row r="534" customFormat="false" ht="13.8" hidden="false" customHeight="false" outlineLevel="0" collapsed="false">
      <c r="B534" s="2" t="n">
        <v>533</v>
      </c>
      <c r="C534" s="5" t="n">
        <v>0.0941073691074443</v>
      </c>
    </row>
    <row r="535" customFormat="false" ht="13.8" hidden="false" customHeight="false" outlineLevel="0" collapsed="false">
      <c r="B535" s="2" t="n">
        <v>534</v>
      </c>
      <c r="C535" s="5" t="n">
        <v>0.0941083133824672</v>
      </c>
    </row>
    <row r="536" customFormat="false" ht="13.8" hidden="false" customHeight="false" outlineLevel="0" collapsed="false">
      <c r="B536" s="2" t="n">
        <v>535</v>
      </c>
      <c r="C536" s="5" t="n">
        <v>0.0941092347469982</v>
      </c>
    </row>
    <row r="537" customFormat="false" ht="13.8" hidden="false" customHeight="false" outlineLevel="0" collapsed="false">
      <c r="B537" s="2" t="n">
        <v>536</v>
      </c>
      <c r="C537" s="5" t="n">
        <v>0.0941102019607525</v>
      </c>
    </row>
    <row r="538" customFormat="false" ht="13.8" hidden="false" customHeight="false" outlineLevel="0" collapsed="false">
      <c r="B538" s="2" t="n">
        <v>537</v>
      </c>
      <c r="C538" s="5" t="n">
        <v>0.0941111462641934</v>
      </c>
    </row>
    <row r="539" customFormat="false" ht="13.8" hidden="false" customHeight="false" outlineLevel="0" collapsed="false">
      <c r="B539" s="2" t="n">
        <v>538</v>
      </c>
      <c r="C539" s="5" t="n">
        <v>0.0941120905769847</v>
      </c>
    </row>
    <row r="540" customFormat="false" ht="13.8" hidden="false" customHeight="false" outlineLevel="0" collapsed="false">
      <c r="B540" s="2" t="n">
        <v>539</v>
      </c>
      <c r="C540" s="5" t="n">
        <v>0.0941130348992192</v>
      </c>
    </row>
    <row r="541" customFormat="false" ht="13.8" hidden="false" customHeight="false" outlineLevel="0" collapsed="false">
      <c r="B541" s="2" t="n">
        <v>540</v>
      </c>
      <c r="C541" s="5" t="n">
        <v>0.0941139792309862</v>
      </c>
    </row>
    <row r="542" customFormat="false" ht="13.8" hidden="false" customHeight="false" outlineLevel="0" collapsed="false">
      <c r="B542" s="2" t="n">
        <v>541</v>
      </c>
      <c r="C542" s="5" t="n">
        <v>0.213804931287932</v>
      </c>
    </row>
    <row r="543" customFormat="false" ht="13.8" hidden="false" customHeight="false" outlineLevel="0" collapsed="false">
      <c r="B543" s="2" t="n">
        <v>542</v>
      </c>
      <c r="C543" s="5" t="n">
        <v>0.213807066543244</v>
      </c>
    </row>
    <row r="544" customFormat="false" ht="13.8" hidden="false" customHeight="false" outlineLevel="0" collapsed="false">
      <c r="B544" s="2" t="n">
        <v>543</v>
      </c>
      <c r="C544" s="5" t="n">
        <v>0.213809201819924</v>
      </c>
    </row>
    <row r="545" customFormat="false" ht="13.8" hidden="false" customHeight="false" outlineLevel="0" collapsed="false">
      <c r="B545" s="2" t="n">
        <v>544</v>
      </c>
      <c r="C545" s="5" t="n">
        <v>0.213811337117967</v>
      </c>
    </row>
    <row r="546" customFormat="false" ht="13.8" hidden="false" customHeight="false" outlineLevel="0" collapsed="false">
      <c r="B546" s="2" t="n">
        <v>545</v>
      </c>
      <c r="C546" s="5" t="n">
        <v>0.213813472437348</v>
      </c>
    </row>
    <row r="547" customFormat="false" ht="13.8" hidden="false" customHeight="false" outlineLevel="0" collapsed="false">
      <c r="B547" s="2" t="n">
        <v>546</v>
      </c>
      <c r="C547" s="5" t="n">
        <v>0.21381560777809</v>
      </c>
    </row>
    <row r="548" customFormat="false" ht="13.8" hidden="false" customHeight="false" outlineLevel="0" collapsed="false">
      <c r="B548" s="2" t="n">
        <v>547</v>
      </c>
      <c r="C548" s="5" t="n">
        <v>0.213817743140189</v>
      </c>
    </row>
    <row r="549" customFormat="false" ht="13.8" hidden="false" customHeight="false" outlineLevel="0" collapsed="false">
      <c r="B549" s="2" t="n">
        <v>548</v>
      </c>
      <c r="C549" s="5" t="n">
        <v>0.213819878523641</v>
      </c>
    </row>
    <row r="550" customFormat="false" ht="13.8" hidden="false" customHeight="false" outlineLevel="0" collapsed="false">
      <c r="B550" s="2" t="n">
        <v>549</v>
      </c>
      <c r="C550" s="5" t="n">
        <v>0.21382201392845</v>
      </c>
    </row>
    <row r="551" customFormat="false" ht="13.8" hidden="false" customHeight="false" outlineLevel="0" collapsed="false">
      <c r="B551" s="2" t="n">
        <v>550</v>
      </c>
      <c r="C551" s="5" t="n">
        <v>0.213824149354613</v>
      </c>
    </row>
    <row r="552" customFormat="false" ht="13.8" hidden="false" customHeight="false" outlineLevel="0" collapsed="false">
      <c r="B552" s="2" t="n">
        <v>551</v>
      </c>
      <c r="C552" s="5" t="n">
        <v>0.213826284802134</v>
      </c>
    </row>
    <row r="553" customFormat="false" ht="13.8" hidden="false" customHeight="false" outlineLevel="0" collapsed="false">
      <c r="B553" s="2" t="n">
        <v>552</v>
      </c>
      <c r="C553" s="5" t="n">
        <v>0.213828416971903</v>
      </c>
    </row>
    <row r="554" customFormat="false" ht="13.8" hidden="false" customHeight="false" outlineLevel="0" collapsed="false">
      <c r="B554" s="2" t="n">
        <v>553</v>
      </c>
      <c r="C554" s="5" t="n">
        <v>0.213830552629656</v>
      </c>
    </row>
    <row r="555" customFormat="false" ht="13.8" hidden="false" customHeight="false" outlineLevel="0" collapsed="false">
      <c r="B555" s="2" t="n">
        <v>554</v>
      </c>
      <c r="C555" s="5" t="n">
        <v>0.213832688326551</v>
      </c>
    </row>
    <row r="556" customFormat="false" ht="13.8" hidden="false" customHeight="false" outlineLevel="0" collapsed="false">
      <c r="B556" s="2" t="n">
        <v>555</v>
      </c>
      <c r="C556" s="5" t="n">
        <v>0.213834824044805</v>
      </c>
    </row>
    <row r="557" customFormat="false" ht="13.8" hidden="false" customHeight="false" outlineLevel="0" collapsed="false">
      <c r="B557" s="2" t="n">
        <v>556</v>
      </c>
      <c r="C557" s="5" t="n">
        <v>0.213836959784417</v>
      </c>
    </row>
    <row r="558" customFormat="false" ht="13.8" hidden="false" customHeight="false" outlineLevel="0" collapsed="false">
      <c r="B558" s="2" t="n">
        <v>557</v>
      </c>
      <c r="C558" s="5" t="n">
        <v>0.213839095545386</v>
      </c>
    </row>
    <row r="559" customFormat="false" ht="13.8" hidden="false" customHeight="false" outlineLevel="0" collapsed="false">
      <c r="B559" s="2" t="n">
        <v>558</v>
      </c>
      <c r="C559" s="5" t="n">
        <v>0.213841231327713</v>
      </c>
    </row>
    <row r="560" customFormat="false" ht="13.8" hidden="false" customHeight="false" outlineLevel="0" collapsed="false">
      <c r="B560" s="2" t="n">
        <v>559</v>
      </c>
      <c r="C560" s="5" t="n">
        <v>0.2138433671314</v>
      </c>
    </row>
    <row r="561" customFormat="false" ht="13.8" hidden="false" customHeight="false" outlineLevel="0" collapsed="false">
      <c r="B561" s="2" t="n">
        <v>560</v>
      </c>
      <c r="C561" s="5" t="n">
        <v>0.213845502956443</v>
      </c>
    </row>
    <row r="562" customFormat="false" ht="13.8" hidden="false" customHeight="false" outlineLevel="0" collapsed="false">
      <c r="B562" s="2" t="n">
        <v>561</v>
      </c>
      <c r="C562" s="5" t="n">
        <v>0.213847638802845</v>
      </c>
    </row>
    <row r="563" customFormat="false" ht="13.8" hidden="false" customHeight="false" outlineLevel="0" collapsed="false">
      <c r="B563" s="2" t="n">
        <v>562</v>
      </c>
      <c r="C563" s="5" t="n">
        <v>0.213849774670607</v>
      </c>
    </row>
    <row r="564" customFormat="false" ht="13.8" hidden="false" customHeight="false" outlineLevel="0" collapsed="false">
      <c r="B564" s="2" t="n">
        <v>563</v>
      </c>
      <c r="C564" s="5" t="n">
        <v>0.213851910559727</v>
      </c>
    </row>
    <row r="565" customFormat="false" ht="13.8" hidden="false" customHeight="false" outlineLevel="0" collapsed="false">
      <c r="B565" s="2" t="n">
        <v>564</v>
      </c>
      <c r="C565" s="5" t="n">
        <v>0.213854046470206</v>
      </c>
    </row>
    <row r="566" customFormat="false" ht="13.8" hidden="false" customHeight="false" outlineLevel="0" collapsed="false">
      <c r="B566" s="2" t="n">
        <v>565</v>
      </c>
      <c r="C566" s="5" t="n">
        <v>0.213856182402045</v>
      </c>
    </row>
    <row r="567" customFormat="false" ht="13.8" hidden="false" customHeight="false" outlineLevel="0" collapsed="false">
      <c r="B567" s="2" t="n">
        <v>566</v>
      </c>
      <c r="C567" s="5" t="n">
        <v>0.213858318355245</v>
      </c>
    </row>
    <row r="568" customFormat="false" ht="13.8" hidden="false" customHeight="false" outlineLevel="0" collapsed="false">
      <c r="B568" s="2" t="n">
        <v>567</v>
      </c>
      <c r="C568" s="5" t="n">
        <v>0.213860454329806</v>
      </c>
    </row>
    <row r="569" customFormat="false" ht="13.8" hidden="false" customHeight="false" outlineLevel="0" collapsed="false">
      <c r="B569" s="2" t="n">
        <v>568</v>
      </c>
      <c r="C569" s="5" t="n">
        <v>0.213862590325731</v>
      </c>
    </row>
    <row r="570" customFormat="false" ht="13.8" hidden="false" customHeight="false" outlineLevel="0" collapsed="false">
      <c r="B570" s="2" t="n">
        <v>569</v>
      </c>
      <c r="C570" s="5" t="n">
        <v>0.213864726149971</v>
      </c>
    </row>
    <row r="571" customFormat="false" ht="13.8" hidden="false" customHeight="false" outlineLevel="0" collapsed="false">
      <c r="B571" s="2" t="n">
        <v>570</v>
      </c>
      <c r="C571" s="5" t="n">
        <v>0.213866862411094</v>
      </c>
    </row>
    <row r="572" customFormat="false" ht="13.8" hidden="false" customHeight="false" outlineLevel="0" collapsed="false">
      <c r="B572" s="2" t="n">
        <v>571</v>
      </c>
      <c r="C572" s="5" t="n">
        <v>0.21386899869358</v>
      </c>
    </row>
    <row r="573" customFormat="false" ht="13.8" hidden="false" customHeight="false" outlineLevel="0" collapsed="false">
      <c r="B573" s="2" t="n">
        <v>572</v>
      </c>
      <c r="C573" s="5" t="n">
        <v>0.21387113499743</v>
      </c>
    </row>
    <row r="574" customFormat="false" ht="13.8" hidden="false" customHeight="false" outlineLevel="0" collapsed="false">
      <c r="B574" s="2" t="n">
        <v>573</v>
      </c>
      <c r="C574" s="5" t="n">
        <v>0.213873271322643</v>
      </c>
    </row>
    <row r="575" customFormat="false" ht="13.8" hidden="false" customHeight="false" outlineLevel="0" collapsed="false">
      <c r="B575" s="2" t="n">
        <v>574</v>
      </c>
      <c r="C575" s="5" t="n">
        <v>0.213875407669219</v>
      </c>
    </row>
    <row r="576" customFormat="false" ht="13.8" hidden="false" customHeight="false" outlineLevel="0" collapsed="false">
      <c r="B576" s="2" t="n">
        <v>575</v>
      </c>
      <c r="C576" s="5" t="n">
        <v>0.213877544037159</v>
      </c>
    </row>
    <row r="577" customFormat="false" ht="13.8" hidden="false" customHeight="false" outlineLevel="0" collapsed="false">
      <c r="B577" s="2" t="n">
        <v>576</v>
      </c>
      <c r="C577" s="5" t="n">
        <v>0.213879680466762</v>
      </c>
    </row>
    <row r="578" customFormat="false" ht="13.8" hidden="false" customHeight="false" outlineLevel="0" collapsed="false">
      <c r="B578" s="2" t="n">
        <v>577</v>
      </c>
      <c r="C578" s="5" t="n">
        <v>0.213881816876284</v>
      </c>
    </row>
    <row r="579" customFormat="false" ht="13.8" hidden="false" customHeight="false" outlineLevel="0" collapsed="false">
      <c r="B579" s="2" t="n">
        <v>578</v>
      </c>
      <c r="C579" s="5" t="n">
        <v>0.213883953307178</v>
      </c>
    </row>
    <row r="580" customFormat="false" ht="13.8" hidden="false" customHeight="false" outlineLevel="0" collapsed="false">
      <c r="B580" s="2" t="n">
        <v>579</v>
      </c>
      <c r="C580" s="5" t="n">
        <v>0.213886089759441</v>
      </c>
    </row>
    <row r="581" customFormat="false" ht="13.8" hidden="false" customHeight="false" outlineLevel="0" collapsed="false">
      <c r="B581" s="2" t="n">
        <v>580</v>
      </c>
      <c r="C581" s="5" t="n">
        <v>0.213888226233079</v>
      </c>
    </row>
    <row r="582" customFormat="false" ht="13.8" hidden="false" customHeight="false" outlineLevel="0" collapsed="false">
      <c r="B582" s="2" t="n">
        <v>581</v>
      </c>
      <c r="C582" s="5" t="n">
        <v>0.213890362728086</v>
      </c>
    </row>
    <row r="583" customFormat="false" ht="13.8" hidden="false" customHeight="false" outlineLevel="0" collapsed="false">
      <c r="B583" s="2" t="n">
        <v>582</v>
      </c>
      <c r="C583" s="5" t="n">
        <v>0.21389249921094</v>
      </c>
    </row>
    <row r="584" customFormat="false" ht="13.8" hidden="false" customHeight="false" outlineLevel="0" collapsed="false">
      <c r="B584" s="2" t="n">
        <v>583</v>
      </c>
      <c r="C584" s="5" t="n">
        <v>0.213894635749797</v>
      </c>
    </row>
    <row r="585" customFormat="false" ht="13.8" hidden="false" customHeight="false" outlineLevel="0" collapsed="false">
      <c r="B585" s="2" t="n">
        <v>584</v>
      </c>
      <c r="C585" s="5" t="n">
        <v>0.213896772310019</v>
      </c>
    </row>
    <row r="586" customFormat="false" ht="13.8" hidden="false" customHeight="false" outlineLevel="0" collapsed="false">
      <c r="B586" s="2" t="n">
        <v>585</v>
      </c>
      <c r="C586" s="5" t="n">
        <v>0.213898908891608</v>
      </c>
    </row>
    <row r="587" customFormat="false" ht="13.8" hidden="false" customHeight="false" outlineLevel="0" collapsed="false">
      <c r="B587" s="2" t="n">
        <v>586</v>
      </c>
      <c r="C587" s="5" t="n">
        <v>0.213901045494563</v>
      </c>
    </row>
    <row r="588" customFormat="false" ht="13.8" hidden="false" customHeight="false" outlineLevel="0" collapsed="false">
      <c r="B588" s="2" t="n">
        <v>587</v>
      </c>
      <c r="C588" s="5" t="n">
        <v>0.213903182118884</v>
      </c>
    </row>
    <row r="589" customFormat="false" ht="13.8" hidden="false" customHeight="false" outlineLevel="0" collapsed="false">
      <c r="B589" s="2" t="n">
        <v>588</v>
      </c>
      <c r="C589" s="5" t="n">
        <v>0.213905318764572</v>
      </c>
    </row>
    <row r="590" customFormat="false" ht="13.8" hidden="false" customHeight="false" outlineLevel="0" collapsed="false">
      <c r="B590" s="2" t="n">
        <v>589</v>
      </c>
      <c r="C590" s="5" t="n">
        <v>0.213907455431626</v>
      </c>
    </row>
    <row r="591" customFormat="false" ht="13.8" hidden="false" customHeight="false" outlineLevel="0" collapsed="false">
      <c r="B591" s="2" t="n">
        <v>590</v>
      </c>
      <c r="C591" s="5" t="n">
        <v>0.213909592120047</v>
      </c>
    </row>
    <row r="592" customFormat="false" ht="13.8" hidden="false" customHeight="false" outlineLevel="0" collapsed="false">
      <c r="B592" s="2" t="n">
        <v>591</v>
      </c>
      <c r="C592" s="5" t="n">
        <v>0.213911728829835</v>
      </c>
    </row>
    <row r="593" customFormat="false" ht="13.8" hidden="false" customHeight="false" outlineLevel="0" collapsed="false">
      <c r="B593" s="2" t="n">
        <v>592</v>
      </c>
      <c r="C593" s="5" t="n">
        <v>0.213913865560991</v>
      </c>
    </row>
    <row r="594" customFormat="false" ht="13.8" hidden="false" customHeight="false" outlineLevel="0" collapsed="false">
      <c r="B594" s="2" t="n">
        <v>593</v>
      </c>
      <c r="C594" s="5" t="n">
        <v>0.213916002313514</v>
      </c>
    </row>
    <row r="595" customFormat="false" ht="13.8" hidden="false" customHeight="false" outlineLevel="0" collapsed="false">
      <c r="B595" s="2" t="n">
        <v>594</v>
      </c>
      <c r="C595" s="5" t="n">
        <v>0.213918139087405</v>
      </c>
    </row>
    <row r="596" customFormat="false" ht="13.8" hidden="false" customHeight="false" outlineLevel="0" collapsed="false">
      <c r="B596" s="2" t="n">
        <v>595</v>
      </c>
      <c r="C596" s="5" t="n">
        <v>0.213920275882665</v>
      </c>
    </row>
    <row r="597" customFormat="false" ht="13.8" hidden="false" customHeight="false" outlineLevel="0" collapsed="false">
      <c r="B597" s="2" t="n">
        <v>596</v>
      </c>
      <c r="C597" s="5" t="n">
        <v>0.213922412699293</v>
      </c>
    </row>
    <row r="598" customFormat="false" ht="13.8" hidden="false" customHeight="false" outlineLevel="0" collapsed="false">
      <c r="B598" s="2" t="n">
        <v>597</v>
      </c>
      <c r="C598" s="5" t="n">
        <v>0.213924549456778</v>
      </c>
    </row>
    <row r="599" customFormat="false" ht="13.8" hidden="false" customHeight="false" outlineLevel="0" collapsed="false">
      <c r="B599" s="2" t="n">
        <v>598</v>
      </c>
      <c r="C599" s="5" t="n">
        <v>0.213926686390314</v>
      </c>
    </row>
    <row r="600" customFormat="false" ht="13.8" hidden="false" customHeight="false" outlineLevel="0" collapsed="false">
      <c r="B600" s="2" t="n">
        <v>599</v>
      </c>
      <c r="C600" s="5" t="n">
        <v>0.213928822888167</v>
      </c>
    </row>
    <row r="601" customFormat="false" ht="13.8" hidden="false" customHeight="false" outlineLevel="0" collapsed="false">
      <c r="B601" s="2" t="n">
        <v>600</v>
      </c>
      <c r="C601" s="5" t="n">
        <v>0.213930959790463</v>
      </c>
    </row>
    <row r="602" customFormat="false" ht="13.8" hidden="false" customHeight="false" outlineLevel="0" collapsed="false">
      <c r="B602" s="2" t="n">
        <v>601</v>
      </c>
      <c r="C602" s="5" t="n">
        <v>0.21393309662073</v>
      </c>
    </row>
    <row r="603" customFormat="false" ht="13.8" hidden="false" customHeight="false" outlineLevel="0" collapsed="false">
      <c r="B603" s="2" t="n">
        <v>602</v>
      </c>
      <c r="C603" s="5" t="n">
        <v>4.99999999955572E-005</v>
      </c>
    </row>
    <row r="604" customFormat="false" ht="13.8" hidden="false" customHeight="false" outlineLevel="0" collapsed="false">
      <c r="B604" s="2" t="n">
        <v>603</v>
      </c>
      <c r="C604" s="5" t="n">
        <v>4.99999999930935E-005</v>
      </c>
    </row>
    <row r="605" customFormat="false" ht="13.8" hidden="false" customHeight="false" outlineLevel="0" collapsed="false">
      <c r="B605" s="2" t="n">
        <v>604</v>
      </c>
      <c r="C605" s="5" t="n">
        <v>4.99999999906304E-005</v>
      </c>
    </row>
    <row r="606" customFormat="false" ht="13.8" hidden="false" customHeight="false" outlineLevel="0" collapsed="false">
      <c r="B606" s="2" t="n">
        <v>605</v>
      </c>
      <c r="C606" s="5" t="n">
        <v>4.99999999881675E-005</v>
      </c>
    </row>
    <row r="607" customFormat="false" ht="13.8" hidden="false" customHeight="false" outlineLevel="0" collapsed="false">
      <c r="B607" s="2" t="n">
        <v>606</v>
      </c>
      <c r="C607" s="5" t="n">
        <v>4.99999999839506E-005</v>
      </c>
    </row>
    <row r="608" customFormat="false" ht="13.8" hidden="false" customHeight="false" outlineLevel="0" collapsed="false">
      <c r="B608" s="2" t="n">
        <v>607</v>
      </c>
      <c r="C608" s="5" t="n">
        <v>4.99999999797323E-005</v>
      </c>
    </row>
    <row r="609" customFormat="false" ht="13.8" hidden="false" customHeight="false" outlineLevel="0" collapsed="false">
      <c r="B609" s="2" t="n">
        <v>608</v>
      </c>
      <c r="C609" s="5" t="n">
        <v>4.99999999755152E-005</v>
      </c>
    </row>
    <row r="610" customFormat="false" ht="13.8" hidden="false" customHeight="false" outlineLevel="0" collapsed="false">
      <c r="B610" s="2" t="n">
        <v>609</v>
      </c>
      <c r="C610" s="5" t="n">
        <v>4.99973658037268E-005</v>
      </c>
    </row>
    <row r="611" customFormat="false" ht="13.8" hidden="false" customHeight="false" outlineLevel="0" collapsed="false">
      <c r="B611" s="2" t="n">
        <v>610</v>
      </c>
      <c r="C611" s="5" t="n">
        <v>4.99999999677476E-005</v>
      </c>
    </row>
    <row r="612" customFormat="false" ht="13.8" hidden="false" customHeight="false" outlineLevel="0" collapsed="false">
      <c r="B612" s="2" t="n">
        <v>611</v>
      </c>
      <c r="C612" s="5" t="n">
        <v>3.09249501048175E-005</v>
      </c>
    </row>
    <row r="613" customFormat="false" ht="13.8" hidden="false" customHeight="false" outlineLevel="0" collapsed="false">
      <c r="B613" s="2" t="n">
        <v>612</v>
      </c>
      <c r="C613" s="5" t="n">
        <v>4.99984782410579E-005</v>
      </c>
    </row>
    <row r="614" customFormat="false" ht="13.8" hidden="false" customHeight="false" outlineLevel="0" collapsed="false">
      <c r="B614" s="2" t="n">
        <v>613</v>
      </c>
      <c r="C614" s="5" t="n">
        <v>4.99991119197922E-005</v>
      </c>
    </row>
    <row r="615" customFormat="false" ht="13.8" hidden="false" customHeight="false" outlineLevel="0" collapsed="false">
      <c r="B615" s="2" t="n">
        <v>614</v>
      </c>
      <c r="C615" s="5" t="n">
        <v>4.99996497274703E-005</v>
      </c>
    </row>
    <row r="616" customFormat="false" ht="13.8" hidden="false" customHeight="false" outlineLevel="0" collapsed="false">
      <c r="B616" s="2" t="n">
        <v>615</v>
      </c>
      <c r="C616" s="5" t="n">
        <v>4.99996599626169E-005</v>
      </c>
    </row>
    <row r="617" customFormat="false" ht="13.8" hidden="false" customHeight="false" outlineLevel="0" collapsed="false">
      <c r="B617" s="2" t="n">
        <v>616</v>
      </c>
      <c r="C617" s="5" t="n">
        <v>4.99999999490551E-005</v>
      </c>
    </row>
    <row r="618" customFormat="false" ht="13.8" hidden="false" customHeight="false" outlineLevel="0" collapsed="false">
      <c r="B618" s="2" t="n">
        <v>617</v>
      </c>
      <c r="C618" s="5" t="n">
        <v>4.99999270834276E-005</v>
      </c>
    </row>
    <row r="619" customFormat="false" ht="13.8" hidden="false" customHeight="false" outlineLevel="0" collapsed="false">
      <c r="B619" s="2" t="n">
        <v>618</v>
      </c>
      <c r="C619" s="5" t="n">
        <v>4.99999626093015E-005</v>
      </c>
    </row>
    <row r="620" customFormat="false" ht="13.8" hidden="false" customHeight="false" outlineLevel="0" collapsed="false">
      <c r="B620" s="2" t="n">
        <v>619</v>
      </c>
      <c r="C620" s="5" t="n">
        <v>4.99999830042772E-005</v>
      </c>
    </row>
    <row r="621" customFormat="false" ht="13.8" hidden="false" customHeight="false" outlineLevel="0" collapsed="false">
      <c r="B621" s="2" t="n">
        <v>620</v>
      </c>
      <c r="C621" s="5" t="n">
        <v>4.99999965284147E-005</v>
      </c>
    </row>
    <row r="622" customFormat="false" ht="13.8" hidden="false" customHeight="false" outlineLevel="0" collapsed="false">
      <c r="B622" s="2" t="n">
        <v>621</v>
      </c>
      <c r="C622" s="5" t="n">
        <v>3.0958044429343E-005</v>
      </c>
    </row>
    <row r="623" customFormat="false" ht="13.8" hidden="false" customHeight="false" outlineLevel="0" collapsed="false">
      <c r="B623" s="2" t="n">
        <v>622</v>
      </c>
      <c r="C623" s="5" t="n">
        <v>5.00000242502673E-005</v>
      </c>
    </row>
    <row r="624" customFormat="false" ht="13.8" hidden="false" customHeight="false" outlineLevel="0" collapsed="false">
      <c r="B624" s="2" t="n">
        <v>623</v>
      </c>
      <c r="C624" s="5" t="n">
        <v>4.9997230809408E-005</v>
      </c>
    </row>
    <row r="625" customFormat="false" ht="13.8" hidden="false" customHeight="false" outlineLevel="0" collapsed="false">
      <c r="B625" s="2" t="n">
        <v>624</v>
      </c>
      <c r="C625" s="5" t="n">
        <v>5.00000954568139E-005</v>
      </c>
    </row>
    <row r="626" customFormat="false" ht="13.8" hidden="false" customHeight="false" outlineLevel="0" collapsed="false">
      <c r="B626" s="2" t="n">
        <v>625</v>
      </c>
      <c r="C626" s="5" t="n">
        <v>3.09712830840481E-005</v>
      </c>
    </row>
    <row r="627" customFormat="false" ht="13.8" hidden="false" customHeight="false" outlineLevel="0" collapsed="false">
      <c r="B627" s="2" t="n">
        <v>626</v>
      </c>
      <c r="C627" s="5" t="n">
        <v>5.00003371238377E-005</v>
      </c>
    </row>
    <row r="628" customFormat="false" ht="13.8" hidden="false" customHeight="false" outlineLevel="0" collapsed="false">
      <c r="B628" s="2" t="n">
        <v>627</v>
      </c>
      <c r="C628" s="5" t="n">
        <v>3.09779026088771E-005</v>
      </c>
    </row>
    <row r="629" customFormat="false" ht="13.8" hidden="false" customHeight="false" outlineLevel="0" collapsed="false">
      <c r="B629" s="2" t="n">
        <v>628</v>
      </c>
      <c r="C629" s="5" t="n">
        <v>5.00023608031559E-005</v>
      </c>
    </row>
    <row r="630" customFormat="false" ht="13.8" hidden="false" customHeight="false" outlineLevel="0" collapsed="false">
      <c r="B630" s="2" t="n">
        <v>629</v>
      </c>
      <c r="C630" s="5" t="n">
        <v>4.99970878353445E-005</v>
      </c>
    </row>
    <row r="631" customFormat="false" ht="13.8" hidden="false" customHeight="false" outlineLevel="0" collapsed="false">
      <c r="B631" s="2" t="n">
        <v>630</v>
      </c>
      <c r="C631" s="5" t="n">
        <v>5.00059597138291E-005</v>
      </c>
    </row>
    <row r="632" customFormat="false" ht="13.8" hidden="false" customHeight="false" outlineLevel="0" collapsed="false">
      <c r="B632" s="2" t="n">
        <v>631</v>
      </c>
      <c r="C632" s="5" t="n">
        <v>4.99999982170477E-005</v>
      </c>
    </row>
    <row r="633" customFormat="false" ht="13.8" hidden="false" customHeight="false" outlineLevel="0" collapsed="false">
      <c r="B633" s="2" t="n">
        <v>632</v>
      </c>
      <c r="C633" s="5" t="n">
        <v>4.99999999999997E-005</v>
      </c>
    </row>
    <row r="634" customFormat="false" ht="13.8" hidden="false" customHeight="false" outlineLevel="0" collapsed="false">
      <c r="B634" s="2" t="n">
        <v>633</v>
      </c>
      <c r="C634" s="5" t="n">
        <v>3.09977619842379E-005</v>
      </c>
    </row>
    <row r="635" customFormat="false" ht="13.8" hidden="false" customHeight="false" outlineLevel="0" collapsed="false">
      <c r="B635" s="2" t="n">
        <v>634</v>
      </c>
      <c r="C635" s="5" t="n">
        <v>5.00159601999272E-005</v>
      </c>
    </row>
    <row r="636" customFormat="false" ht="13.8" hidden="false" customHeight="false" outlineLevel="0" collapsed="false">
      <c r="B636" s="2" t="n">
        <v>635</v>
      </c>
      <c r="C636" s="5" t="n">
        <v>3.10043820418042E-005</v>
      </c>
    </row>
    <row r="637" customFormat="false" ht="13.8" hidden="false" customHeight="false" outlineLevel="0" collapsed="false">
      <c r="B637" s="2" t="n">
        <v>636</v>
      </c>
      <c r="C637" s="5" t="n">
        <v>5.00209605954319E-005</v>
      </c>
    </row>
    <row r="638" customFormat="false" ht="13.8" hidden="false" customHeight="false" outlineLevel="0" collapsed="false">
      <c r="B638" s="2" t="n">
        <v>637</v>
      </c>
      <c r="C638" s="5" t="n">
        <v>3.10110022325736E-005</v>
      </c>
    </row>
    <row r="639" customFormat="false" ht="13.8" hidden="false" customHeight="false" outlineLevel="0" collapsed="false">
      <c r="B639" s="2" t="n">
        <v>638</v>
      </c>
      <c r="C639" s="5" t="n">
        <v>5.00259610929916E-005</v>
      </c>
    </row>
    <row r="640" customFormat="false" ht="13.8" hidden="false" customHeight="false" outlineLevel="0" collapsed="false">
      <c r="B640" s="2" t="n">
        <v>639</v>
      </c>
      <c r="C640" s="5" t="n">
        <v>0.000608671827590529</v>
      </c>
    </row>
    <row r="641" customFormat="false" ht="13.8" hidden="false" customHeight="false" outlineLevel="0" collapsed="false">
      <c r="B641" s="2" t="n">
        <v>640</v>
      </c>
      <c r="C641" s="5" t="n">
        <v>0.000608675098990694</v>
      </c>
    </row>
    <row r="642" customFormat="false" ht="13.8" hidden="false" customHeight="false" outlineLevel="0" collapsed="false">
      <c r="B642" s="2" t="n">
        <v>641</v>
      </c>
      <c r="C642" s="5" t="n">
        <v>0.000608678370428417</v>
      </c>
    </row>
    <row r="643" customFormat="false" ht="13.8" hidden="false" customHeight="false" outlineLevel="0" collapsed="false">
      <c r="B643" s="2" t="n">
        <v>642</v>
      </c>
      <c r="C643" s="5" t="n">
        <v>0.000608681641890522</v>
      </c>
    </row>
    <row r="644" customFormat="false" ht="13.8" hidden="false" customHeight="false" outlineLevel="0" collapsed="false">
      <c r="B644" s="2" t="n">
        <v>643</v>
      </c>
      <c r="C644" s="5" t="n">
        <v>0.00060868491337749</v>
      </c>
    </row>
    <row r="645" customFormat="false" ht="13.8" hidden="false" customHeight="false" outlineLevel="0" collapsed="false">
      <c r="B645" s="2" t="n">
        <v>644</v>
      </c>
      <c r="C645" s="5" t="n">
        <v>0.000608688184903129</v>
      </c>
    </row>
    <row r="646" customFormat="false" ht="13.8" hidden="false" customHeight="false" outlineLevel="0" collapsed="false">
      <c r="B646" s="2" t="n">
        <v>645</v>
      </c>
      <c r="C646" s="5" t="n">
        <v>0.000608691456459071</v>
      </c>
    </row>
    <row r="647" customFormat="false" ht="13.8" hidden="false" customHeight="false" outlineLevel="0" collapsed="false">
      <c r="B647" s="2" t="n">
        <v>646</v>
      </c>
      <c r="C647" s="5" t="n">
        <v>0.000608694728050433</v>
      </c>
    </row>
    <row r="648" customFormat="false" ht="13.8" hidden="false" customHeight="false" outlineLevel="0" collapsed="false">
      <c r="B648" s="2" t="n">
        <v>647</v>
      </c>
      <c r="C648" s="5" t="n">
        <v>0.000608697999672976</v>
      </c>
    </row>
    <row r="649" customFormat="false" ht="13.8" hidden="false" customHeight="false" outlineLevel="0" collapsed="false">
      <c r="B649" s="2" t="n">
        <v>648</v>
      </c>
      <c r="C649" s="5" t="n">
        <v>0.000608701271329371</v>
      </c>
    </row>
    <row r="650" customFormat="false" ht="13.8" hidden="false" customHeight="false" outlineLevel="0" collapsed="false">
      <c r="B650" s="2" t="n">
        <v>649</v>
      </c>
      <c r="C650" s="5" t="n">
        <v>0.000608704509787838</v>
      </c>
    </row>
    <row r="651" customFormat="false" ht="13.8" hidden="false" customHeight="false" outlineLevel="0" collapsed="false">
      <c r="B651" s="2" t="n">
        <v>650</v>
      </c>
      <c r="C651" s="5" t="n">
        <v>0.000608707783292278</v>
      </c>
    </row>
    <row r="652" customFormat="false" ht="13.8" hidden="false" customHeight="false" outlineLevel="0" collapsed="false">
      <c r="B652" s="2" t="n">
        <v>651</v>
      </c>
      <c r="C652" s="5" t="n">
        <v>0.000608710824874241</v>
      </c>
    </row>
    <row r="653" customFormat="false" ht="13.8" hidden="false" customHeight="false" outlineLevel="0" collapsed="false">
      <c r="B653" s="2" t="n">
        <v>652</v>
      </c>
      <c r="C653" s="5" t="n">
        <v>0.00060871419700414</v>
      </c>
    </row>
    <row r="654" customFormat="false" ht="13.8" hidden="false" customHeight="false" outlineLevel="0" collapsed="false">
      <c r="B654" s="2" t="n">
        <v>653</v>
      </c>
      <c r="C654" s="5" t="n">
        <v>0.000608717876691272</v>
      </c>
    </row>
    <row r="655" customFormat="false" ht="13.8" hidden="false" customHeight="false" outlineLevel="0" collapsed="false">
      <c r="B655" s="2" t="n">
        <v>654</v>
      </c>
      <c r="C655" s="5" t="n">
        <v>0.000608722620814622</v>
      </c>
    </row>
    <row r="656" customFormat="false" ht="13.8" hidden="false" customHeight="false" outlineLevel="0" collapsed="false">
      <c r="B656" s="2" t="n">
        <v>655</v>
      </c>
      <c r="C656" s="5" t="n">
        <v>0.000608727086400702</v>
      </c>
    </row>
    <row r="657" customFormat="false" ht="13.8" hidden="false" customHeight="false" outlineLevel="0" collapsed="false">
      <c r="B657" s="2" t="n">
        <v>656</v>
      </c>
      <c r="C657" s="5" t="n">
        <v>0.00060873155203087</v>
      </c>
    </row>
    <row r="658" customFormat="false" ht="13.8" hidden="false" customHeight="false" outlineLevel="0" collapsed="false">
      <c r="B658" s="2" t="n">
        <v>657</v>
      </c>
      <c r="C658" s="5" t="n">
        <v>0.000608736017705995</v>
      </c>
    </row>
    <row r="659" customFormat="false" ht="13.8" hidden="false" customHeight="false" outlineLevel="0" collapsed="false">
      <c r="B659" s="2" t="n">
        <v>658</v>
      </c>
      <c r="C659" s="5" t="n">
        <v>0.000608740483424832</v>
      </c>
    </row>
    <row r="660" customFormat="false" ht="13.8" hidden="false" customHeight="false" outlineLevel="0" collapsed="false">
      <c r="B660" s="2" t="n">
        <v>659</v>
      </c>
      <c r="C660" s="5" t="n">
        <v>0.000608744949189134</v>
      </c>
    </row>
    <row r="661" customFormat="false" ht="13.8" hidden="false" customHeight="false" outlineLevel="0" collapsed="false">
      <c r="B661" s="2" t="n">
        <v>660</v>
      </c>
      <c r="C661" s="5" t="n">
        <v>0.000608749414997077</v>
      </c>
    </row>
    <row r="662" customFormat="false" ht="13.8" hidden="false" customHeight="false" outlineLevel="0" collapsed="false">
      <c r="B662" s="2" t="n">
        <v>661</v>
      </c>
      <c r="C662" s="5" t="n">
        <v>0.000608753880850085</v>
      </c>
    </row>
    <row r="663" customFormat="false" ht="13.8" hidden="false" customHeight="false" outlineLevel="0" collapsed="false">
      <c r="B663" s="2" t="n">
        <v>662</v>
      </c>
      <c r="C663" s="5" t="n">
        <v>0.000608758346747403</v>
      </c>
    </row>
    <row r="664" customFormat="false" ht="13.8" hidden="false" customHeight="false" outlineLevel="0" collapsed="false">
      <c r="B664" s="2" t="n">
        <v>663</v>
      </c>
      <c r="C664" s="5" t="n">
        <v>0.000608762812690366</v>
      </c>
    </row>
    <row r="665" customFormat="false" ht="13.8" hidden="false" customHeight="false" outlineLevel="0" collapsed="false">
      <c r="B665" s="2" t="n">
        <v>664</v>
      </c>
      <c r="C665" s="5" t="n">
        <v>0.000608767278676587</v>
      </c>
    </row>
    <row r="666" customFormat="false" ht="13.8" hidden="false" customHeight="false" outlineLevel="0" collapsed="false">
      <c r="B666" s="2" t="n">
        <v>665</v>
      </c>
      <c r="C666" s="5" t="n">
        <v>0.000608771744708446</v>
      </c>
    </row>
    <row r="667" customFormat="false" ht="13.8" hidden="false" customHeight="false" outlineLevel="0" collapsed="false">
      <c r="B667" s="2" t="n">
        <v>666</v>
      </c>
      <c r="C667" s="5" t="n">
        <v>0.000608776210783898</v>
      </c>
    </row>
    <row r="668" customFormat="false" ht="13.8" hidden="false" customHeight="false" outlineLevel="0" collapsed="false">
      <c r="B668" s="2" t="n">
        <v>667</v>
      </c>
      <c r="C668" s="5" t="n">
        <v>0.000608780887500214</v>
      </c>
    </row>
    <row r="669" customFormat="false" ht="13.8" hidden="false" customHeight="false" outlineLevel="0" collapsed="false">
      <c r="B669" s="2" t="n">
        <v>668</v>
      </c>
      <c r="C669" s="5" t="n">
        <v>0.000608785071292353</v>
      </c>
    </row>
    <row r="670" customFormat="false" ht="13.8" hidden="false" customHeight="false" outlineLevel="0" collapsed="false">
      <c r="B670" s="2" t="n">
        <v>669</v>
      </c>
      <c r="C670" s="5" t="n">
        <v>0.000608789255130735</v>
      </c>
    </row>
    <row r="671" customFormat="false" ht="13.8" hidden="false" customHeight="false" outlineLevel="0" collapsed="false">
      <c r="B671" s="2" t="n">
        <v>670</v>
      </c>
      <c r="C671" s="5" t="n">
        <v>0.000608793439017238</v>
      </c>
    </row>
    <row r="672" customFormat="false" ht="13.8" hidden="false" customHeight="false" outlineLevel="0" collapsed="false">
      <c r="B672" s="2" t="n">
        <v>671</v>
      </c>
      <c r="C672" s="5" t="n">
        <v>0.000608797790416899</v>
      </c>
    </row>
    <row r="673" customFormat="false" ht="13.8" hidden="false" customHeight="false" outlineLevel="0" collapsed="false">
      <c r="B673" s="2" t="n">
        <v>672</v>
      </c>
      <c r="C673" s="5" t="n">
        <v>0.0003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72" activeCellId="0" sqref="N172"/>
    </sheetView>
  </sheetViews>
  <sheetFormatPr defaultColWidth="8.54296875" defaultRowHeight="13.8" zeroHeight="false" outlineLevelRow="0" outlineLevelCol="0"/>
  <cols>
    <col collapsed="false" customWidth="true" hidden="false" outlineLevel="0" max="2" min="2" style="6" width="8.85"/>
    <col collapsed="false" customWidth="true" hidden="false" outlineLevel="0" max="5" min="5" style="6" width="8.85"/>
    <col collapsed="false" customWidth="true" hidden="false" outlineLevel="0" max="6" min="6" style="7" width="8.85"/>
    <col collapsed="false" customWidth="true" hidden="false" outlineLevel="0" max="14" min="14" style="5" width="10.43"/>
  </cols>
  <sheetData>
    <row r="2" customFormat="false" ht="13.8" hidden="false" customHeight="false" outlineLevel="0" collapsed="false">
      <c r="B2" s="8" t="s">
        <v>3</v>
      </c>
      <c r="C2" s="9" t="n">
        <v>1</v>
      </c>
      <c r="D2" s="9"/>
      <c r="E2" s="10" t="s">
        <v>4</v>
      </c>
    </row>
    <row r="4" customFormat="false" ht="13.8" hidden="false" customHeight="false" outlineLevel="0" collapsed="false">
      <c r="B4" s="11" t="s">
        <v>5</v>
      </c>
      <c r="C4" s="12"/>
      <c r="D4" s="12" t="s">
        <v>6</v>
      </c>
      <c r="E4" s="13" t="s">
        <v>7</v>
      </c>
      <c r="F4" s="14" t="s">
        <v>8</v>
      </c>
      <c r="G4" s="15" t="s">
        <v>9</v>
      </c>
      <c r="H4" s="15" t="s">
        <v>10</v>
      </c>
      <c r="I4" s="15" t="s">
        <v>11</v>
      </c>
      <c r="J4" s="15" t="s">
        <v>12</v>
      </c>
      <c r="K4" s="15" t="s">
        <v>13</v>
      </c>
      <c r="L4" s="15" t="s">
        <v>14</v>
      </c>
      <c r="M4" s="15" t="s">
        <v>15</v>
      </c>
      <c r="N4" s="16" t="s">
        <v>16</v>
      </c>
    </row>
    <row r="5" customFormat="false" ht="13.8" hidden="false" customHeight="false" outlineLevel="0" collapsed="false">
      <c r="B5" s="11" t="n">
        <f aca="false">_xlfn.NUMBERVALUE(solar!B2)</f>
        <v>8</v>
      </c>
      <c r="C5" s="12" t="n">
        <f aca="false">solar!C2</f>
        <v>0</v>
      </c>
      <c r="D5" s="12" t="n">
        <v>1</v>
      </c>
      <c r="E5" s="6" t="n">
        <v>1</v>
      </c>
      <c r="F5" s="17" t="n">
        <f aca="false">IFERROR(INDEX($B$5:$C$173, MATCH($E5, $B$5:$B$175, 0), 2), 0)*investment!$C$2</f>
        <v>0</v>
      </c>
      <c r="G5" s="6" t="n">
        <f aca="false">demand!C3</f>
        <v>0</v>
      </c>
      <c r="H5" s="2" t="n">
        <f aca="false">solgen!C3</f>
        <v>0</v>
      </c>
      <c r="I5" s="2" t="n">
        <f aca="false">import!C3</f>
        <v>0</v>
      </c>
      <c r="J5" s="2" t="n">
        <f aca="false">-export!C3</f>
        <v>-0</v>
      </c>
      <c r="K5" s="2" t="n">
        <f aca="false">-charge!C3</f>
        <v>-0</v>
      </c>
      <c r="L5" s="2" t="n">
        <f aca="false">discharge!C3</f>
        <v>0</v>
      </c>
      <c r="M5" s="2" t="n">
        <f aca="false">soc!C3/investment!$E$2 *100</f>
        <v>69.9999996768737</v>
      </c>
      <c r="N5" s="5" t="n">
        <f aca="false">p_micro!C2</f>
        <v>0</v>
      </c>
    </row>
    <row r="6" customFormat="false" ht="13.8" hidden="false" customHeight="false" outlineLevel="0" collapsed="false">
      <c r="B6" s="11" t="n">
        <f aca="false">_xlfn.NUMBERVALUE(solar!B3)</f>
        <v>9</v>
      </c>
      <c r="C6" s="12" t="n">
        <f aca="false">solar!C3</f>
        <v>0</v>
      </c>
      <c r="D6" s="12" t="n">
        <v>2</v>
      </c>
      <c r="E6" s="6" t="n">
        <v>2</v>
      </c>
      <c r="F6" s="17" t="n">
        <f aca="false">IFERROR(INDEX($B$5:$C$173, MATCH($E6, $B$5:$B$175, 0), 2), 0)*investment!$C$2</f>
        <v>0</v>
      </c>
      <c r="G6" s="6" t="n">
        <f aca="false">demand!C4</f>
        <v>0</v>
      </c>
      <c r="H6" s="2" t="n">
        <f aca="false">solgen!C4</f>
        <v>0</v>
      </c>
      <c r="I6" s="2" t="n">
        <f aca="false">import!C4</f>
        <v>0</v>
      </c>
      <c r="J6" s="2" t="n">
        <f aca="false">-export!C4</f>
        <v>-0</v>
      </c>
      <c r="K6" s="2" t="n">
        <f aca="false">-charge!C4</f>
        <v>-0</v>
      </c>
      <c r="L6" s="2" t="n">
        <f aca="false">discharge!C4</f>
        <v>0</v>
      </c>
      <c r="M6" s="2" t="n">
        <f aca="false">soc!C4/investment!$E$2 *100</f>
        <v>69.9992996745599</v>
      </c>
      <c r="N6" s="5" t="n">
        <f aca="false">p_micro!C3</f>
        <v>0</v>
      </c>
    </row>
    <row r="7" customFormat="false" ht="13.8" hidden="false" customHeight="false" outlineLevel="0" collapsed="false">
      <c r="B7" s="11" t="n">
        <f aca="false">_xlfn.NUMBERVALUE(solar!B4)</f>
        <v>10</v>
      </c>
      <c r="C7" s="12" t="n">
        <f aca="false">solar!C4</f>
        <v>0</v>
      </c>
      <c r="D7" s="12" t="n">
        <v>3</v>
      </c>
      <c r="E7" s="6" t="n">
        <v>3</v>
      </c>
      <c r="F7" s="17" t="n">
        <f aca="false">IFERROR(INDEX($B$5:$C$173, MATCH($E7, $B$5:$B$175, 0), 2), 0)*investment!$C$2</f>
        <v>0</v>
      </c>
      <c r="G7" s="6" t="n">
        <f aca="false">demand!C5</f>
        <v>0</v>
      </c>
      <c r="H7" s="2" t="n">
        <f aca="false">solgen!C5</f>
        <v>0</v>
      </c>
      <c r="I7" s="2" t="n">
        <f aca="false">import!C5</f>
        <v>0</v>
      </c>
      <c r="J7" s="2" t="n">
        <f aca="false">-export!C5</f>
        <v>-0</v>
      </c>
      <c r="K7" s="2" t="n">
        <f aca="false">-charge!C5</f>
        <v>-0</v>
      </c>
      <c r="L7" s="2" t="n">
        <f aca="false">discharge!C5</f>
        <v>0</v>
      </c>
      <c r="M7" s="2" t="n">
        <f aca="false">soc!C5/investment!$E$2 *100</f>
        <v>69.9985996195743</v>
      </c>
      <c r="N7" s="5" t="n">
        <f aca="false">p_micro!C4</f>
        <v>0</v>
      </c>
    </row>
    <row r="8" customFormat="false" ht="13.8" hidden="false" customHeight="false" outlineLevel="0" collapsed="false">
      <c r="B8" s="11" t="n">
        <f aca="false">_xlfn.NUMBERVALUE(solar!B5)</f>
        <v>11</v>
      </c>
      <c r="C8" s="12" t="n">
        <f aca="false">solar!C5</f>
        <v>0</v>
      </c>
      <c r="D8" s="12" t="n">
        <v>4</v>
      </c>
      <c r="E8" s="6" t="n">
        <v>4</v>
      </c>
      <c r="F8" s="17" t="n">
        <f aca="false">IFERROR(INDEX($B$5:$C$173, MATCH($E8, $B$5:$B$175, 0), 2), 0)*investment!$C$2</f>
        <v>0</v>
      </c>
      <c r="G8" s="6" t="n">
        <f aca="false">demand!C6</f>
        <v>0</v>
      </c>
      <c r="H8" s="2" t="n">
        <f aca="false">solgen!C6</f>
        <v>0</v>
      </c>
      <c r="I8" s="2" t="n">
        <f aca="false">import!C6</f>
        <v>0</v>
      </c>
      <c r="J8" s="2" t="n">
        <f aca="false">-export!C6</f>
        <v>-0</v>
      </c>
      <c r="K8" s="2" t="n">
        <f aca="false">-charge!C6</f>
        <v>-0</v>
      </c>
      <c r="L8" s="2" t="n">
        <f aca="false">discharge!C6</f>
        <v>0</v>
      </c>
      <c r="M8" s="2" t="n">
        <f aca="false">soc!C6/investment!$E$2 *100</f>
        <v>69.9978997961928</v>
      </c>
      <c r="N8" s="5" t="n">
        <f aca="false">p_micro!C5</f>
        <v>0</v>
      </c>
    </row>
    <row r="9" customFormat="false" ht="13.8" hidden="false" customHeight="false" outlineLevel="0" collapsed="false">
      <c r="B9" s="11" t="n">
        <f aca="false">_xlfn.NUMBERVALUE(solar!B6)</f>
        <v>12</v>
      </c>
      <c r="C9" s="12" t="n">
        <f aca="false">solar!C6</f>
        <v>0</v>
      </c>
      <c r="D9" s="12" t="n">
        <v>5</v>
      </c>
      <c r="E9" s="6" t="n">
        <v>5</v>
      </c>
      <c r="F9" s="17" t="n">
        <f aca="false">IFERROR(INDEX($B$5:$C$173, MATCH($E9, $B$5:$B$175, 0), 2), 0)*investment!$C$2</f>
        <v>0</v>
      </c>
      <c r="G9" s="6" t="n">
        <f aca="false">demand!C7</f>
        <v>0</v>
      </c>
      <c r="H9" s="2" t="n">
        <f aca="false">solgen!C7</f>
        <v>0</v>
      </c>
      <c r="I9" s="2" t="n">
        <f aca="false">import!C7</f>
        <v>0</v>
      </c>
      <c r="J9" s="2" t="n">
        <f aca="false">-export!C7</f>
        <v>-0</v>
      </c>
      <c r="K9" s="2" t="n">
        <f aca="false">-charge!C7</f>
        <v>-0</v>
      </c>
      <c r="L9" s="2" t="n">
        <f aca="false">discharge!C7</f>
        <v>0</v>
      </c>
      <c r="M9" s="2" t="n">
        <f aca="false">soc!C7/investment!$E$2 *100</f>
        <v>69.997199712369</v>
      </c>
      <c r="N9" s="5" t="n">
        <f aca="false">p_micro!C6</f>
        <v>0</v>
      </c>
    </row>
    <row r="10" customFormat="false" ht="13.8" hidden="false" customHeight="false" outlineLevel="0" collapsed="false">
      <c r="B10" s="11" t="n">
        <f aca="false">_xlfn.NUMBERVALUE(solar!B7)</f>
        <v>13</v>
      </c>
      <c r="C10" s="12" t="n">
        <f aca="false">solar!C7</f>
        <v>0</v>
      </c>
      <c r="D10" s="12" t="n">
        <v>6</v>
      </c>
      <c r="E10" s="6" t="n">
        <v>6</v>
      </c>
      <c r="F10" s="17" t="n">
        <f aca="false">IFERROR(INDEX($B$5:$C$173, MATCH($E10, $B$5:$B$175, 0), 2), 0)*investment!$C$2</f>
        <v>0</v>
      </c>
      <c r="G10" s="6" t="n">
        <f aca="false">demand!C8</f>
        <v>0</v>
      </c>
      <c r="H10" s="2" t="n">
        <f aca="false">solgen!C8</f>
        <v>0</v>
      </c>
      <c r="I10" s="2" t="n">
        <f aca="false">import!C8</f>
        <v>0</v>
      </c>
      <c r="J10" s="2" t="n">
        <f aca="false">-export!C8</f>
        <v>-0</v>
      </c>
      <c r="K10" s="2" t="n">
        <f aca="false">-charge!C8</f>
        <v>-0</v>
      </c>
      <c r="L10" s="2" t="n">
        <f aca="false">discharge!C8</f>
        <v>0</v>
      </c>
      <c r="M10" s="2" t="n">
        <f aca="false">soc!C8/investment!$E$2 *100</f>
        <v>69.99649973388</v>
      </c>
      <c r="N10" s="5" t="n">
        <f aca="false">p_micro!C7</f>
        <v>0</v>
      </c>
    </row>
    <row r="11" customFormat="false" ht="13.8" hidden="false" customHeight="false" outlineLevel="0" collapsed="false">
      <c r="B11" s="11" t="n">
        <f aca="false">_xlfn.NUMBERVALUE(solar!B8)</f>
        <v>14</v>
      </c>
      <c r="C11" s="12" t="n">
        <f aca="false">solar!C8</f>
        <v>0</v>
      </c>
      <c r="D11" s="12" t="n">
        <v>7</v>
      </c>
      <c r="E11" s="6" t="n">
        <v>7</v>
      </c>
      <c r="F11" s="17" t="n">
        <f aca="false">IFERROR(INDEX($B$5:$C$173, MATCH($E11, $B$5:$B$175, 0), 2), 0)*investment!$C$2</f>
        <v>0</v>
      </c>
      <c r="G11" s="6" t="n">
        <f aca="false">demand!C9</f>
        <v>0</v>
      </c>
      <c r="H11" s="2" t="n">
        <f aca="false">solgen!C9</f>
        <v>0</v>
      </c>
      <c r="I11" s="2" t="n">
        <f aca="false">import!C9</f>
        <v>0</v>
      </c>
      <c r="J11" s="2" t="n">
        <f aca="false">-export!C9</f>
        <v>-0</v>
      </c>
      <c r="K11" s="2" t="n">
        <f aca="false">-charge!C9</f>
        <v>-0</v>
      </c>
      <c r="L11" s="2" t="n">
        <f aca="false">discharge!C9</f>
        <v>0</v>
      </c>
      <c r="M11" s="2" t="n">
        <f aca="false">soc!C9/investment!$E$2 *100</f>
        <v>69.9957997302495</v>
      </c>
      <c r="N11" s="5" t="n">
        <f aca="false">p_micro!C8</f>
        <v>0</v>
      </c>
    </row>
    <row r="12" customFormat="false" ht="13.8" hidden="false" customHeight="false" outlineLevel="0" collapsed="false">
      <c r="B12" s="11" t="n">
        <f aca="false">_xlfn.NUMBERVALUE(solar!B9)</f>
        <v>15</v>
      </c>
      <c r="C12" s="12" t="n">
        <f aca="false">solar!C9</f>
        <v>0</v>
      </c>
      <c r="D12" s="12" t="n">
        <v>8</v>
      </c>
      <c r="E12" s="6" t="n">
        <v>8</v>
      </c>
      <c r="F12" s="17" t="n">
        <f aca="false">IFERROR(INDEX($B$5:$C$173, MATCH($E12, $B$5:$B$175, 0), 2), 0)*investment!$C$2</f>
        <v>0</v>
      </c>
      <c r="G12" s="6" t="n">
        <f aca="false">demand!C10</f>
        <v>0</v>
      </c>
      <c r="H12" s="2" t="n">
        <f aca="false">solgen!C10</f>
        <v>0</v>
      </c>
      <c r="I12" s="2" t="n">
        <f aca="false">import!C10</f>
        <v>0</v>
      </c>
      <c r="J12" s="2" t="n">
        <f aca="false">-export!C10</f>
        <v>-0</v>
      </c>
      <c r="K12" s="2" t="n">
        <f aca="false">-charge!C10</f>
        <v>-0</v>
      </c>
      <c r="L12" s="2" t="n">
        <f aca="false">discharge!C10</f>
        <v>0</v>
      </c>
      <c r="M12" s="2" t="n">
        <f aca="false">soc!C10/investment!$E$2 *100</f>
        <v>69.9950997842329</v>
      </c>
      <c r="N12" s="5" t="n">
        <f aca="false">p_micro!C9</f>
        <v>0</v>
      </c>
    </row>
    <row r="13" customFormat="false" ht="13.8" hidden="false" customHeight="false" outlineLevel="0" collapsed="false">
      <c r="B13" s="11" t="n">
        <f aca="false">_xlfn.NUMBERVALUE(solar!B10)</f>
        <v>16</v>
      </c>
      <c r="C13" s="12" t="n">
        <f aca="false">solar!C10</f>
        <v>0</v>
      </c>
      <c r="D13" s="12" t="n">
        <v>9</v>
      </c>
      <c r="E13" s="6" t="n">
        <v>9</v>
      </c>
      <c r="F13" s="17" t="n">
        <f aca="false">IFERROR(INDEX($B$5:$C$173, MATCH($E13, $B$5:$B$175, 0), 2), 0)*investment!$C$2</f>
        <v>0</v>
      </c>
      <c r="G13" s="6" t="n">
        <f aca="false">demand!C11</f>
        <v>0</v>
      </c>
      <c r="H13" s="2" t="n">
        <f aca="false">solgen!C11</f>
        <v>0</v>
      </c>
      <c r="I13" s="2" t="n">
        <f aca="false">import!C11</f>
        <v>0</v>
      </c>
      <c r="J13" s="2" t="n">
        <f aca="false">-export!C11</f>
        <v>-0</v>
      </c>
      <c r="K13" s="2" t="n">
        <f aca="false">-charge!C11</f>
        <v>-0</v>
      </c>
      <c r="L13" s="2" t="n">
        <f aca="false">discharge!C11</f>
        <v>0</v>
      </c>
      <c r="M13" s="2" t="n">
        <f aca="false">soc!C11/investment!$E$2 *100</f>
        <v>69.9943998269904</v>
      </c>
      <c r="N13" s="5" t="n">
        <f aca="false">p_micro!C10</f>
        <v>0</v>
      </c>
    </row>
    <row r="14" customFormat="false" ht="13.8" hidden="false" customHeight="false" outlineLevel="0" collapsed="false">
      <c r="B14" s="11" t="n">
        <f aca="false">_xlfn.NUMBERVALUE(solar!B11)</f>
        <v>17</v>
      </c>
      <c r="C14" s="12" t="n">
        <f aca="false">solar!C11</f>
        <v>0</v>
      </c>
      <c r="D14" s="12" t="n">
        <v>10</v>
      </c>
      <c r="E14" s="6" t="n">
        <v>10</v>
      </c>
      <c r="F14" s="17" t="n">
        <f aca="false">IFERROR(INDEX($B$5:$C$173, MATCH($E14, $B$5:$B$175, 0), 2), 0)*investment!$C$2</f>
        <v>0</v>
      </c>
      <c r="G14" s="6" t="n">
        <f aca="false">demand!C12</f>
        <v>0</v>
      </c>
      <c r="H14" s="2" t="n">
        <f aca="false">solgen!C12</f>
        <v>0</v>
      </c>
      <c r="I14" s="2" t="n">
        <f aca="false">import!C12</f>
        <v>0</v>
      </c>
      <c r="J14" s="2" t="n">
        <f aca="false">-export!C12</f>
        <v>-0</v>
      </c>
      <c r="K14" s="2" t="n">
        <f aca="false">-charge!C12</f>
        <v>-0</v>
      </c>
      <c r="L14" s="2" t="n">
        <f aca="false">discharge!C12</f>
        <v>0</v>
      </c>
      <c r="M14" s="2" t="n">
        <f aca="false">soc!C12/investment!$E$2 *100</f>
        <v>69.9936998767006</v>
      </c>
      <c r="N14" s="5" t="n">
        <f aca="false">p_micro!C11</f>
        <v>0</v>
      </c>
    </row>
    <row r="15" customFormat="false" ht="13.8" hidden="false" customHeight="false" outlineLevel="0" collapsed="false">
      <c r="B15" s="11" t="n">
        <f aca="false">_xlfn.NUMBERVALUE(solar!B12)</f>
        <v>18</v>
      </c>
      <c r="C15" s="12" t="n">
        <f aca="false">solar!C12</f>
        <v>0</v>
      </c>
      <c r="D15" s="12" t="n">
        <v>11</v>
      </c>
      <c r="E15" s="6" t="n">
        <v>11</v>
      </c>
      <c r="F15" s="17" t="n">
        <f aca="false">IFERROR(INDEX($B$5:$C$173, MATCH($E15, $B$5:$B$175, 0), 2), 0)*investment!$C$2</f>
        <v>0</v>
      </c>
      <c r="G15" s="6" t="n">
        <f aca="false">demand!C13</f>
        <v>0</v>
      </c>
      <c r="H15" s="2" t="n">
        <f aca="false">solgen!C13</f>
        <v>0</v>
      </c>
      <c r="I15" s="2" t="n">
        <f aca="false">import!C13</f>
        <v>0</v>
      </c>
      <c r="J15" s="2" t="n">
        <f aca="false">-export!C13</f>
        <v>-0</v>
      </c>
      <c r="K15" s="2" t="n">
        <f aca="false">-charge!C13</f>
        <v>-0</v>
      </c>
      <c r="L15" s="2" t="n">
        <f aca="false">discharge!C13</f>
        <v>0</v>
      </c>
      <c r="M15" s="2" t="n">
        <f aca="false">soc!C13/investment!$E$2 *100</f>
        <v>69.9929999333982</v>
      </c>
      <c r="N15" s="5" t="n">
        <f aca="false">p_micro!C12</f>
        <v>0</v>
      </c>
    </row>
    <row r="16" customFormat="false" ht="13.8" hidden="false" customHeight="false" outlineLevel="0" collapsed="false">
      <c r="B16" s="11" t="n">
        <f aca="false">_xlfn.NUMBERVALUE(solar!B13)</f>
        <v>19</v>
      </c>
      <c r="C16" s="12" t="n">
        <f aca="false">solar!C13</f>
        <v>0</v>
      </c>
      <c r="D16" s="12" t="n">
        <v>12</v>
      </c>
      <c r="E16" s="6" t="n">
        <v>12</v>
      </c>
      <c r="F16" s="17" t="n">
        <f aca="false">IFERROR(INDEX($B$5:$C$173, MATCH($E16, $B$5:$B$175, 0), 2), 0)*investment!$C$2</f>
        <v>0</v>
      </c>
      <c r="G16" s="6" t="n">
        <f aca="false">demand!C14</f>
        <v>0</v>
      </c>
      <c r="H16" s="2" t="n">
        <f aca="false">solgen!C14</f>
        <v>0</v>
      </c>
      <c r="I16" s="2" t="n">
        <f aca="false">import!C14</f>
        <v>0</v>
      </c>
      <c r="J16" s="2" t="n">
        <f aca="false">-export!C14</f>
        <v>-0</v>
      </c>
      <c r="K16" s="2" t="n">
        <f aca="false">-charge!C14</f>
        <v>-0</v>
      </c>
      <c r="L16" s="2" t="n">
        <f aca="false">discharge!C14</f>
        <v>0</v>
      </c>
      <c r="M16" s="2" t="n">
        <f aca="false">soc!C14/investment!$E$2 *100</f>
        <v>69.9922999970849</v>
      </c>
      <c r="N16" s="5" t="n">
        <f aca="false">p_micro!C13</f>
        <v>0</v>
      </c>
    </row>
    <row r="17" customFormat="false" ht="13.8" hidden="false" customHeight="false" outlineLevel="0" collapsed="false">
      <c r="B17" s="11" t="n">
        <f aca="false">_xlfn.NUMBERVALUE(solar!B14)</f>
        <v>32</v>
      </c>
      <c r="C17" s="12" t="n">
        <f aca="false">solar!C14</f>
        <v>0</v>
      </c>
      <c r="D17" s="12" t="n">
        <v>13</v>
      </c>
      <c r="E17" s="6" t="n">
        <v>13</v>
      </c>
      <c r="F17" s="17" t="n">
        <f aca="false">IFERROR(INDEX($B$5:$C$173, MATCH($E17, $B$5:$B$175, 0), 2), 0)*investment!$C$2</f>
        <v>0</v>
      </c>
      <c r="G17" s="6" t="n">
        <f aca="false">demand!C15</f>
        <v>0</v>
      </c>
      <c r="H17" s="2" t="n">
        <f aca="false">solgen!C15</f>
        <v>0</v>
      </c>
      <c r="I17" s="2" t="n">
        <f aca="false">import!C15</f>
        <v>0</v>
      </c>
      <c r="J17" s="2" t="n">
        <f aca="false">-export!C15</f>
        <v>-0</v>
      </c>
      <c r="K17" s="2" t="n">
        <f aca="false">-charge!C15</f>
        <v>-0</v>
      </c>
      <c r="L17" s="2" t="n">
        <f aca="false">discharge!C15</f>
        <v>0</v>
      </c>
      <c r="M17" s="2" t="n">
        <f aca="false">soc!C15/investment!$E$2 *100</f>
        <v>69.9916000677577</v>
      </c>
      <c r="N17" s="5" t="n">
        <f aca="false">p_micro!C14</f>
        <v>0</v>
      </c>
    </row>
    <row r="18" customFormat="false" ht="13.8" hidden="false" customHeight="false" outlineLevel="0" collapsed="false">
      <c r="B18" s="11" t="n">
        <f aca="false">_xlfn.NUMBERVALUE(solar!B15)</f>
        <v>33</v>
      </c>
      <c r="C18" s="12" t="n">
        <f aca="false">solar!C15</f>
        <v>0</v>
      </c>
      <c r="D18" s="12" t="n">
        <v>14</v>
      </c>
      <c r="E18" s="6" t="n">
        <v>14</v>
      </c>
      <c r="F18" s="17" t="n">
        <f aca="false">IFERROR(INDEX($B$5:$C$173, MATCH($E18, $B$5:$B$175, 0), 2), 0)*investment!$C$2</f>
        <v>0</v>
      </c>
      <c r="G18" s="6" t="n">
        <f aca="false">demand!C16</f>
        <v>0</v>
      </c>
      <c r="H18" s="2" t="n">
        <f aca="false">solgen!C16</f>
        <v>0</v>
      </c>
      <c r="I18" s="2" t="n">
        <f aca="false">import!C16</f>
        <v>0</v>
      </c>
      <c r="J18" s="2" t="n">
        <f aca="false">-export!C16</f>
        <v>-0</v>
      </c>
      <c r="K18" s="2" t="n">
        <f aca="false">-charge!C16</f>
        <v>-0</v>
      </c>
      <c r="L18" s="2" t="n">
        <f aca="false">discharge!C16</f>
        <v>0</v>
      </c>
      <c r="M18" s="2" t="n">
        <f aca="false">soc!C16/investment!$E$2 *100</f>
        <v>69.9909001454178</v>
      </c>
      <c r="N18" s="5" t="n">
        <f aca="false">p_micro!C15</f>
        <v>0</v>
      </c>
    </row>
    <row r="19" customFormat="false" ht="13.8" hidden="false" customHeight="false" outlineLevel="0" collapsed="false">
      <c r="B19" s="11" t="n">
        <f aca="false">_xlfn.NUMBERVALUE(solar!B16)</f>
        <v>34</v>
      </c>
      <c r="C19" s="12" t="n">
        <f aca="false">solar!C16</f>
        <v>0</v>
      </c>
      <c r="D19" s="12" t="n">
        <v>15</v>
      </c>
      <c r="E19" s="6" t="n">
        <v>15</v>
      </c>
      <c r="F19" s="17" t="n">
        <f aca="false">IFERROR(INDEX($B$5:$C$173, MATCH($E19, $B$5:$B$175, 0), 2), 0)*investment!$C$2</f>
        <v>0</v>
      </c>
      <c r="G19" s="6" t="n">
        <f aca="false">demand!C17</f>
        <v>0</v>
      </c>
      <c r="H19" s="2" t="n">
        <f aca="false">solgen!C17</f>
        <v>0</v>
      </c>
      <c r="I19" s="2" t="n">
        <f aca="false">import!C17</f>
        <v>0</v>
      </c>
      <c r="J19" s="2" t="n">
        <f aca="false">-export!C17</f>
        <v>-0</v>
      </c>
      <c r="K19" s="2" t="n">
        <f aca="false">-charge!C17</f>
        <v>-0</v>
      </c>
      <c r="L19" s="2" t="n">
        <f aca="false">discharge!C17</f>
        <v>0</v>
      </c>
      <c r="M19" s="2" t="n">
        <f aca="false">soc!C17/investment!$E$2 *100</f>
        <v>69.9902002300649</v>
      </c>
      <c r="N19" s="5" t="n">
        <f aca="false">p_micro!C16</f>
        <v>0</v>
      </c>
    </row>
    <row r="20" customFormat="false" ht="13.8" hidden="false" customHeight="false" outlineLevel="0" collapsed="false">
      <c r="B20" s="11" t="n">
        <f aca="false">_xlfn.NUMBERVALUE(solar!B17)</f>
        <v>35</v>
      </c>
      <c r="C20" s="12" t="n">
        <f aca="false">solar!C17</f>
        <v>0</v>
      </c>
      <c r="D20" s="12" t="n">
        <v>16</v>
      </c>
      <c r="E20" s="6" t="n">
        <v>16</v>
      </c>
      <c r="F20" s="17" t="n">
        <f aca="false">IFERROR(INDEX($B$5:$C$173, MATCH($E20, $B$5:$B$175, 0), 2), 0)*investment!$C$2</f>
        <v>0</v>
      </c>
      <c r="G20" s="6" t="n">
        <f aca="false">demand!C18</f>
        <v>0</v>
      </c>
      <c r="H20" s="2" t="n">
        <f aca="false">solgen!C18</f>
        <v>0</v>
      </c>
      <c r="I20" s="2" t="n">
        <f aca="false">import!C18</f>
        <v>0</v>
      </c>
      <c r="J20" s="2" t="n">
        <f aca="false">-export!C18</f>
        <v>-0</v>
      </c>
      <c r="K20" s="2" t="n">
        <f aca="false">-charge!C18</f>
        <v>-0</v>
      </c>
      <c r="L20" s="2" t="n">
        <f aca="false">discharge!C18</f>
        <v>0</v>
      </c>
      <c r="M20" s="2" t="n">
        <f aca="false">soc!C18/investment!$E$2 *100</f>
        <v>69.9895003216991</v>
      </c>
      <c r="N20" s="5" t="n">
        <f aca="false">p_micro!C17</f>
        <v>0</v>
      </c>
    </row>
    <row r="21" customFormat="false" ht="13.8" hidden="false" customHeight="false" outlineLevel="0" collapsed="false">
      <c r="B21" s="11" t="n">
        <f aca="false">_xlfn.NUMBERVALUE(solar!B18)</f>
        <v>36</v>
      </c>
      <c r="C21" s="12" t="n">
        <f aca="false">solar!C18</f>
        <v>0</v>
      </c>
      <c r="D21" s="12" t="n">
        <v>17</v>
      </c>
      <c r="E21" s="6" t="n">
        <v>17</v>
      </c>
      <c r="F21" s="17" t="n">
        <f aca="false">IFERROR(INDEX($B$5:$C$173, MATCH($E21, $B$5:$B$175, 0), 2), 0)*investment!$C$2</f>
        <v>0</v>
      </c>
      <c r="G21" s="6" t="n">
        <f aca="false">demand!C19</f>
        <v>0</v>
      </c>
      <c r="H21" s="2" t="n">
        <f aca="false">solgen!C19</f>
        <v>0</v>
      </c>
      <c r="I21" s="2" t="n">
        <f aca="false">import!C19</f>
        <v>0</v>
      </c>
      <c r="J21" s="2" t="n">
        <f aca="false">-export!C19</f>
        <v>-0</v>
      </c>
      <c r="K21" s="2" t="n">
        <f aca="false">-charge!C19</f>
        <v>-0</v>
      </c>
      <c r="L21" s="2" t="n">
        <f aca="false">discharge!C19</f>
        <v>0</v>
      </c>
      <c r="M21" s="2" t="n">
        <f aca="false">soc!C19/investment!$E$2 *100</f>
        <v>69.9888004203202</v>
      </c>
      <c r="N21" s="5" t="n">
        <f aca="false">p_micro!C18</f>
        <v>0</v>
      </c>
    </row>
    <row r="22" customFormat="false" ht="13.8" hidden="false" customHeight="false" outlineLevel="0" collapsed="false">
      <c r="B22" s="11" t="n">
        <f aca="false">_xlfn.NUMBERVALUE(solar!B19)</f>
        <v>37</v>
      </c>
      <c r="C22" s="12" t="n">
        <f aca="false">solar!C19</f>
        <v>0</v>
      </c>
      <c r="D22" s="12" t="n">
        <v>18</v>
      </c>
      <c r="E22" s="6" t="n">
        <v>18</v>
      </c>
      <c r="F22" s="17" t="n">
        <f aca="false">IFERROR(INDEX($B$5:$C$173, MATCH($E22, $B$5:$B$175, 0), 2), 0)*investment!$C$2</f>
        <v>0</v>
      </c>
      <c r="G22" s="6" t="n">
        <f aca="false">demand!C20</f>
        <v>0</v>
      </c>
      <c r="H22" s="2" t="n">
        <f aca="false">solgen!C20</f>
        <v>0</v>
      </c>
      <c r="I22" s="2" t="n">
        <f aca="false">import!C20</f>
        <v>0</v>
      </c>
      <c r="J22" s="2" t="n">
        <f aca="false">-export!C20</f>
        <v>-0</v>
      </c>
      <c r="K22" s="2" t="n">
        <f aca="false">-charge!C20</f>
        <v>-0</v>
      </c>
      <c r="L22" s="2" t="n">
        <f aca="false">discharge!C20</f>
        <v>0</v>
      </c>
      <c r="M22" s="2" t="n">
        <f aca="false">soc!C20/investment!$E$2 *100</f>
        <v>69.9881005259281</v>
      </c>
      <c r="N22" s="5" t="n">
        <f aca="false">p_micro!C19</f>
        <v>0</v>
      </c>
    </row>
    <row r="23" customFormat="false" ht="13.8" hidden="false" customHeight="false" outlineLevel="0" collapsed="false">
      <c r="B23" s="11" t="n">
        <f aca="false">_xlfn.NUMBERVALUE(solar!B20)</f>
        <v>38</v>
      </c>
      <c r="C23" s="12" t="n">
        <f aca="false">solar!C20</f>
        <v>0</v>
      </c>
      <c r="D23" s="12" t="n">
        <v>19</v>
      </c>
      <c r="E23" s="6" t="n">
        <v>19</v>
      </c>
      <c r="F23" s="17" t="n">
        <f aca="false">IFERROR(INDEX($B$5:$C$173, MATCH($E23, $B$5:$B$175, 0), 2), 0)*investment!$C$2</f>
        <v>0</v>
      </c>
      <c r="G23" s="6" t="n">
        <f aca="false">demand!C21</f>
        <v>0</v>
      </c>
      <c r="H23" s="2" t="n">
        <f aca="false">solgen!C21</f>
        <v>0</v>
      </c>
      <c r="I23" s="2" t="n">
        <f aca="false">import!C21</f>
        <v>0</v>
      </c>
      <c r="J23" s="2" t="n">
        <f aca="false">-export!C21</f>
        <v>-0</v>
      </c>
      <c r="K23" s="2" t="n">
        <f aca="false">-charge!C21</f>
        <v>-0</v>
      </c>
      <c r="L23" s="2" t="n">
        <f aca="false">discharge!C21</f>
        <v>0</v>
      </c>
      <c r="M23" s="2" t="n">
        <f aca="false">soc!C21/investment!$E$2 *100</f>
        <v>69.9874006385228</v>
      </c>
      <c r="N23" s="5" t="n">
        <f aca="false">p_micro!C20</f>
        <v>0</v>
      </c>
    </row>
    <row r="24" customFormat="false" ht="13.8" hidden="false" customHeight="false" outlineLevel="0" collapsed="false">
      <c r="B24" s="11" t="n">
        <f aca="false">_xlfn.NUMBERVALUE(solar!B21)</f>
        <v>39</v>
      </c>
      <c r="C24" s="12" t="n">
        <f aca="false">solar!C21</f>
        <v>0</v>
      </c>
      <c r="D24" s="12" t="n">
        <v>20</v>
      </c>
      <c r="E24" s="6" t="n">
        <v>20</v>
      </c>
      <c r="F24" s="17" t="n">
        <f aca="false">IFERROR(INDEX($B$5:$C$173, MATCH($E24, $B$5:$B$175, 0), 2), 0)*investment!$C$2</f>
        <v>0</v>
      </c>
      <c r="G24" s="6" t="n">
        <f aca="false">demand!C22</f>
        <v>0</v>
      </c>
      <c r="H24" s="2" t="n">
        <f aca="false">solgen!C22</f>
        <v>0</v>
      </c>
      <c r="I24" s="2" t="n">
        <f aca="false">import!C22</f>
        <v>0</v>
      </c>
      <c r="J24" s="2" t="n">
        <f aca="false">-export!C22</f>
        <v>-0</v>
      </c>
      <c r="K24" s="2" t="n">
        <f aca="false">-charge!C22</f>
        <v>-0</v>
      </c>
      <c r="L24" s="2" t="n">
        <f aca="false">discharge!C22</f>
        <v>0</v>
      </c>
      <c r="M24" s="2" t="n">
        <f aca="false">soc!C22/investment!$E$2 *100</f>
        <v>69.9867007581043</v>
      </c>
      <c r="N24" s="5" t="n">
        <f aca="false">p_micro!C21</f>
        <v>0</v>
      </c>
    </row>
    <row r="25" customFormat="false" ht="13.8" hidden="false" customHeight="false" outlineLevel="0" collapsed="false">
      <c r="B25" s="11" t="n">
        <f aca="false">_xlfn.NUMBERVALUE(solar!B22)</f>
        <v>40</v>
      </c>
      <c r="C25" s="12" t="n">
        <f aca="false">solar!C22</f>
        <v>0</v>
      </c>
      <c r="D25" s="12" t="n">
        <v>21</v>
      </c>
      <c r="E25" s="6" t="n">
        <v>21</v>
      </c>
      <c r="F25" s="17" t="n">
        <f aca="false">IFERROR(INDEX($B$5:$C$173, MATCH($E25, $B$5:$B$175, 0), 2), 0)*investment!$C$2</f>
        <v>0</v>
      </c>
      <c r="G25" s="6" t="n">
        <f aca="false">demand!C23</f>
        <v>0</v>
      </c>
      <c r="H25" s="2" t="n">
        <f aca="false">solgen!C23</f>
        <v>0</v>
      </c>
      <c r="I25" s="2" t="n">
        <f aca="false">import!C23</f>
        <v>0</v>
      </c>
      <c r="J25" s="2" t="n">
        <f aca="false">-export!C23</f>
        <v>-0</v>
      </c>
      <c r="K25" s="2" t="n">
        <f aca="false">-charge!C23</f>
        <v>-0</v>
      </c>
      <c r="L25" s="2" t="n">
        <f aca="false">discharge!C23</f>
        <v>0</v>
      </c>
      <c r="M25" s="2" t="n">
        <f aca="false">soc!C23/investment!$E$2 *100</f>
        <v>69.9860008846724</v>
      </c>
      <c r="N25" s="5" t="n">
        <f aca="false">p_micro!C22</f>
        <v>0</v>
      </c>
    </row>
    <row r="26" customFormat="false" ht="13.8" hidden="false" customHeight="false" outlineLevel="0" collapsed="false">
      <c r="B26" s="11" t="n">
        <f aca="false">_xlfn.NUMBERVALUE(solar!B23)</f>
        <v>41</v>
      </c>
      <c r="C26" s="12" t="n">
        <f aca="false">solar!C23</f>
        <v>0</v>
      </c>
      <c r="D26" s="12" t="n">
        <v>22</v>
      </c>
      <c r="E26" s="6" t="n">
        <v>22</v>
      </c>
      <c r="F26" s="17" t="n">
        <f aca="false">IFERROR(INDEX($B$5:$C$173, MATCH($E26, $B$5:$B$175, 0), 2), 0)*investment!$C$2</f>
        <v>0</v>
      </c>
      <c r="G26" s="6" t="n">
        <f aca="false">demand!C24</f>
        <v>0</v>
      </c>
      <c r="H26" s="2" t="n">
        <f aca="false">solgen!C24</f>
        <v>0</v>
      </c>
      <c r="I26" s="2" t="n">
        <f aca="false">import!C24</f>
        <v>0</v>
      </c>
      <c r="J26" s="2" t="n">
        <f aca="false">-export!C24</f>
        <v>-0</v>
      </c>
      <c r="K26" s="2" t="n">
        <f aca="false">-charge!C24</f>
        <v>-0</v>
      </c>
      <c r="L26" s="2" t="n">
        <f aca="false">discharge!C24</f>
        <v>0</v>
      </c>
      <c r="M26" s="2" t="n">
        <f aca="false">soc!C24/investment!$E$2 *100</f>
        <v>69.9853010182271</v>
      </c>
      <c r="N26" s="5" t="n">
        <f aca="false">p_micro!C23</f>
        <v>0</v>
      </c>
    </row>
    <row r="27" customFormat="false" ht="13.8" hidden="false" customHeight="false" outlineLevel="0" collapsed="false">
      <c r="B27" s="11" t="n">
        <f aca="false">_xlfn.NUMBERVALUE(solar!B24)</f>
        <v>42</v>
      </c>
      <c r="C27" s="12" t="n">
        <f aca="false">solar!C24</f>
        <v>0</v>
      </c>
      <c r="D27" s="12" t="n">
        <v>23</v>
      </c>
      <c r="E27" s="6" t="n">
        <v>23</v>
      </c>
      <c r="F27" s="17" t="n">
        <f aca="false">IFERROR(INDEX($B$5:$C$173, MATCH($E27, $B$5:$B$175, 0), 2), 0)*investment!$C$2</f>
        <v>0</v>
      </c>
      <c r="G27" s="6" t="n">
        <f aca="false">demand!C25</f>
        <v>0</v>
      </c>
      <c r="H27" s="2" t="n">
        <f aca="false">solgen!C25</f>
        <v>0</v>
      </c>
      <c r="I27" s="2" t="n">
        <f aca="false">import!C25</f>
        <v>0</v>
      </c>
      <c r="J27" s="2" t="n">
        <f aca="false">-export!C25</f>
        <v>-0</v>
      </c>
      <c r="K27" s="2" t="n">
        <f aca="false">-charge!C25</f>
        <v>-0</v>
      </c>
      <c r="L27" s="2" t="n">
        <f aca="false">discharge!C25</f>
        <v>0</v>
      </c>
      <c r="M27" s="2" t="n">
        <f aca="false">soc!C25/investment!$E$2 *100</f>
        <v>69.9846011587683</v>
      </c>
      <c r="N27" s="5" t="n">
        <f aca="false">p_micro!C24</f>
        <v>0</v>
      </c>
    </row>
    <row r="28" customFormat="false" ht="13.8" hidden="false" customHeight="false" outlineLevel="0" collapsed="false">
      <c r="B28" s="11" t="n">
        <f aca="false">_xlfn.NUMBERVALUE(solar!B25)</f>
        <v>43</v>
      </c>
      <c r="C28" s="12" t="n">
        <f aca="false">solar!C25</f>
        <v>0</v>
      </c>
      <c r="D28" s="12" t="n">
        <v>24</v>
      </c>
      <c r="E28" s="6" t="n">
        <v>24</v>
      </c>
      <c r="F28" s="17" t="n">
        <f aca="false">IFERROR(INDEX($B$5:$C$173, MATCH($E28, $B$5:$B$175, 0), 2), 0)*investment!$C$2</f>
        <v>0</v>
      </c>
      <c r="G28" s="6" t="n">
        <f aca="false">demand!C26</f>
        <v>0</v>
      </c>
      <c r="H28" s="2" t="n">
        <f aca="false">solgen!C26</f>
        <v>0</v>
      </c>
      <c r="I28" s="2" t="n">
        <f aca="false">import!C26</f>
        <v>0</v>
      </c>
      <c r="J28" s="2" t="n">
        <f aca="false">-export!C26</f>
        <v>-0</v>
      </c>
      <c r="K28" s="2" t="n">
        <f aca="false">-charge!C26</f>
        <v>-0</v>
      </c>
      <c r="L28" s="2" t="n">
        <f aca="false">discharge!C26</f>
        <v>0</v>
      </c>
      <c r="M28" s="2" t="n">
        <f aca="false">soc!C26/investment!$E$2 *100</f>
        <v>69.9839013062959</v>
      </c>
      <c r="N28" s="5" t="n">
        <f aca="false">p_micro!C25</f>
        <v>0</v>
      </c>
    </row>
    <row r="29" customFormat="false" ht="13.8" hidden="false" customHeight="false" outlineLevel="0" collapsed="false">
      <c r="B29" s="11" t="n">
        <f aca="false">_xlfn.NUMBERVALUE(solar!B26)</f>
        <v>56</v>
      </c>
      <c r="C29" s="12" t="n">
        <f aca="false">solar!C26</f>
        <v>0</v>
      </c>
      <c r="D29" s="12" t="n">
        <v>1</v>
      </c>
      <c r="E29" s="6" t="n">
        <v>25</v>
      </c>
      <c r="F29" s="17" t="n">
        <f aca="false">IFERROR(INDEX($B$5:$C$173, MATCH($E29, $B$5:$B$175, 0), 2), 0)*investment!$C$2</f>
        <v>0</v>
      </c>
      <c r="G29" s="6" t="n">
        <f aca="false">demand!C27</f>
        <v>0</v>
      </c>
      <c r="H29" s="2" t="n">
        <f aca="false">solgen!C27</f>
        <v>0</v>
      </c>
      <c r="I29" s="2" t="n">
        <f aca="false">import!C27</f>
        <v>0</v>
      </c>
      <c r="J29" s="2" t="n">
        <f aca="false">-export!C27</f>
        <v>-0</v>
      </c>
      <c r="K29" s="2" t="n">
        <f aca="false">-charge!C27</f>
        <v>-0</v>
      </c>
      <c r="L29" s="2" t="n">
        <f aca="false">discharge!C27</f>
        <v>0</v>
      </c>
      <c r="M29" s="2" t="n">
        <f aca="false">soc!C27/investment!$E$2 *100</f>
        <v>69.9832014608623</v>
      </c>
      <c r="N29" s="5" t="n">
        <f aca="false">p_micro!C26</f>
        <v>0</v>
      </c>
    </row>
    <row r="30" customFormat="false" ht="13.8" hidden="false" customHeight="false" outlineLevel="0" collapsed="false">
      <c r="B30" s="11" t="n">
        <f aca="false">_xlfn.NUMBERVALUE(solar!B27)</f>
        <v>57</v>
      </c>
      <c r="C30" s="12" t="n">
        <f aca="false">solar!C27</f>
        <v>0</v>
      </c>
      <c r="D30" s="12" t="n">
        <v>2</v>
      </c>
      <c r="E30" s="6" t="n">
        <v>26</v>
      </c>
      <c r="F30" s="17" t="n">
        <f aca="false">IFERROR(INDEX($B$5:$C$173, MATCH($E30, $B$5:$B$175, 0), 2), 0)*investment!$C$2</f>
        <v>0</v>
      </c>
      <c r="G30" s="6" t="n">
        <f aca="false">demand!C28</f>
        <v>0</v>
      </c>
      <c r="H30" s="2" t="n">
        <f aca="false">solgen!C28</f>
        <v>0</v>
      </c>
      <c r="I30" s="2" t="n">
        <f aca="false">import!C28</f>
        <v>0</v>
      </c>
      <c r="J30" s="2" t="n">
        <f aca="false">-export!C28</f>
        <v>-0</v>
      </c>
      <c r="K30" s="2" t="n">
        <f aca="false">-charge!C28</f>
        <v>-0</v>
      </c>
      <c r="L30" s="2" t="n">
        <f aca="false">discharge!C28</f>
        <v>0</v>
      </c>
      <c r="M30" s="2" t="n">
        <f aca="false">soc!C28/investment!$E$2 *100</f>
        <v>61.0337026903198</v>
      </c>
      <c r="N30" s="5" t="n">
        <f aca="false">p_micro!C27</f>
        <v>0</v>
      </c>
    </row>
    <row r="31" customFormat="false" ht="13.8" hidden="false" customHeight="false" outlineLevel="0" collapsed="false">
      <c r="B31" s="11" t="n">
        <f aca="false">_xlfn.NUMBERVALUE(solar!B28)</f>
        <v>58</v>
      </c>
      <c r="C31" s="12" t="n">
        <f aca="false">solar!C28</f>
        <v>0</v>
      </c>
      <c r="D31" s="12" t="n">
        <v>3</v>
      </c>
      <c r="E31" s="6" t="n">
        <v>27</v>
      </c>
      <c r="F31" s="17" t="n">
        <f aca="false">IFERROR(INDEX($B$5:$C$173, MATCH($E31, $B$5:$B$175, 0), 2), 0)*investment!$C$2</f>
        <v>0</v>
      </c>
      <c r="G31" s="6" t="n">
        <f aca="false">demand!C29</f>
        <v>0</v>
      </c>
      <c r="H31" s="2" t="n">
        <f aca="false">solgen!C29</f>
        <v>0</v>
      </c>
      <c r="I31" s="2" t="n">
        <f aca="false">import!C29</f>
        <v>0</v>
      </c>
      <c r="J31" s="2" t="n">
        <f aca="false">-export!C29</f>
        <v>-0</v>
      </c>
      <c r="K31" s="2" t="n">
        <f aca="false">-charge!C29</f>
        <v>-0</v>
      </c>
      <c r="L31" s="2" t="n">
        <f aca="false">discharge!C29</f>
        <v>0</v>
      </c>
      <c r="M31" s="2" t="n">
        <f aca="false">soc!C29/investment!$E$2 *100</f>
        <v>40.5331492443792</v>
      </c>
      <c r="N31" s="5" t="n">
        <f aca="false">p_micro!C28</f>
        <v>0</v>
      </c>
    </row>
    <row r="32" customFormat="false" ht="13.8" hidden="false" customHeight="false" outlineLevel="0" collapsed="false">
      <c r="B32" s="11" t="n">
        <f aca="false">_xlfn.NUMBERVALUE(solar!B29)</f>
        <v>59</v>
      </c>
      <c r="C32" s="12" t="n">
        <f aca="false">solar!C29</f>
        <v>0</v>
      </c>
      <c r="D32" s="12" t="n">
        <v>4</v>
      </c>
      <c r="E32" s="6" t="n">
        <v>28</v>
      </c>
      <c r="F32" s="17" t="n">
        <f aca="false">IFERROR(INDEX($B$5:$C$173, MATCH($E32, $B$5:$B$175, 0), 2), 0)*investment!$C$2</f>
        <v>0</v>
      </c>
      <c r="G32" s="6" t="n">
        <f aca="false">demand!C30</f>
        <v>0</v>
      </c>
      <c r="H32" s="2" t="n">
        <f aca="false">solgen!C30</f>
        <v>0</v>
      </c>
      <c r="I32" s="2" t="n">
        <f aca="false">import!C30</f>
        <v>0</v>
      </c>
      <c r="J32" s="2" t="n">
        <f aca="false">-export!C30</f>
        <v>-0</v>
      </c>
      <c r="K32" s="2" t="n">
        <f aca="false">-charge!C30</f>
        <v>-0</v>
      </c>
      <c r="L32" s="2" t="n">
        <f aca="false">discharge!C30</f>
        <v>0</v>
      </c>
      <c r="M32" s="2" t="n">
        <f aca="false">soc!C30/investment!$E$2 *100</f>
        <v>3.19880300706932</v>
      </c>
      <c r="N32" s="5" t="n">
        <f aca="false">p_micro!C29</f>
        <v>0</v>
      </c>
    </row>
    <row r="33" customFormat="false" ht="13.8" hidden="false" customHeight="false" outlineLevel="0" collapsed="false">
      <c r="B33" s="11" t="n">
        <f aca="false">_xlfn.NUMBERVALUE(solar!B30)</f>
        <v>60</v>
      </c>
      <c r="C33" s="12" t="n">
        <f aca="false">solar!C30</f>
        <v>0</v>
      </c>
      <c r="D33" s="12" t="n">
        <v>5</v>
      </c>
      <c r="E33" s="6" t="n">
        <v>29</v>
      </c>
      <c r="F33" s="17" t="n">
        <f aca="false">IFERROR(INDEX($B$5:$C$173, MATCH($E33, $B$5:$B$175, 0), 2), 0)*investment!$C$2</f>
        <v>0</v>
      </c>
      <c r="G33" s="6" t="n">
        <f aca="false">demand!C31</f>
        <v>0</v>
      </c>
      <c r="H33" s="2" t="n">
        <f aca="false">solgen!C31</f>
        <v>0</v>
      </c>
      <c r="I33" s="2" t="n">
        <f aca="false">import!C31</f>
        <v>0</v>
      </c>
      <c r="J33" s="2" t="n">
        <f aca="false">-export!C31</f>
        <v>-0</v>
      </c>
      <c r="K33" s="2" t="n">
        <f aca="false">-charge!C31</f>
        <v>-0</v>
      </c>
      <c r="L33" s="2" t="n">
        <f aca="false">discharge!C31</f>
        <v>0</v>
      </c>
      <c r="M33" s="2" t="n">
        <f aca="false">soc!C31/investment!$E$2 *100</f>
        <v>1.05323130433253E-009</v>
      </c>
      <c r="N33" s="5" t="n">
        <f aca="false">p_micro!C30</f>
        <v>0</v>
      </c>
    </row>
    <row r="34" customFormat="false" ht="13.8" hidden="false" customHeight="false" outlineLevel="0" collapsed="false">
      <c r="B34" s="11" t="n">
        <f aca="false">_xlfn.NUMBERVALUE(solar!B31)</f>
        <v>61</v>
      </c>
      <c r="C34" s="12" t="n">
        <f aca="false">solar!C31</f>
        <v>0</v>
      </c>
      <c r="D34" s="12" t="n">
        <v>6</v>
      </c>
      <c r="E34" s="6" t="n">
        <v>30</v>
      </c>
      <c r="F34" s="17" t="n">
        <f aca="false">IFERROR(INDEX($B$5:$C$173, MATCH($E34, $B$5:$B$175, 0), 2), 0)*investment!$C$2</f>
        <v>0</v>
      </c>
      <c r="G34" s="6" t="n">
        <f aca="false">demand!C32</f>
        <v>0</v>
      </c>
      <c r="H34" s="2" t="n">
        <f aca="false">solgen!C32</f>
        <v>0</v>
      </c>
      <c r="I34" s="2" t="n">
        <f aca="false">import!C32</f>
        <v>0</v>
      </c>
      <c r="J34" s="2" t="n">
        <f aca="false">-export!C32</f>
        <v>-0</v>
      </c>
      <c r="K34" s="2" t="n">
        <f aca="false">-charge!C32</f>
        <v>-0</v>
      </c>
      <c r="L34" s="2" t="n">
        <f aca="false">discharge!C32</f>
        <v>0</v>
      </c>
      <c r="M34" s="2" t="n">
        <f aca="false">soc!C32/investment!$E$2 *100</f>
        <v>1.48094864391089E-010</v>
      </c>
      <c r="N34" s="5" t="n">
        <f aca="false">p_micro!C31</f>
        <v>0</v>
      </c>
    </row>
    <row r="35" customFormat="false" ht="13.8" hidden="false" customHeight="false" outlineLevel="0" collapsed="false">
      <c r="B35" s="11" t="n">
        <f aca="false">_xlfn.NUMBERVALUE(solar!B32)</f>
        <v>62</v>
      </c>
      <c r="C35" s="12" t="n">
        <f aca="false">solar!C32</f>
        <v>0</v>
      </c>
      <c r="D35" s="12" t="n">
        <v>7</v>
      </c>
      <c r="E35" s="6" t="n">
        <v>31</v>
      </c>
      <c r="F35" s="17" t="n">
        <f aca="false">IFERROR(INDEX($B$5:$C$173, MATCH($E35, $B$5:$B$175, 0), 2), 0)*investment!$C$2</f>
        <v>0</v>
      </c>
      <c r="G35" s="6" t="n">
        <f aca="false">demand!C33</f>
        <v>0</v>
      </c>
      <c r="H35" s="2" t="n">
        <f aca="false">solgen!C33</f>
        <v>0</v>
      </c>
      <c r="I35" s="2" t="n">
        <f aca="false">import!C33</f>
        <v>0</v>
      </c>
      <c r="J35" s="2" t="n">
        <f aca="false">-export!C33</f>
        <v>-0</v>
      </c>
      <c r="K35" s="2" t="n">
        <f aca="false">-charge!C33</f>
        <v>-0</v>
      </c>
      <c r="L35" s="2" t="n">
        <f aca="false">discharge!C33</f>
        <v>0</v>
      </c>
      <c r="M35" s="2" t="n">
        <f aca="false">soc!C33/investment!$E$2 *100</f>
        <v>2.85039579542384E-013</v>
      </c>
      <c r="N35" s="5" t="n">
        <f aca="false">p_micro!C32</f>
        <v>0</v>
      </c>
    </row>
    <row r="36" customFormat="false" ht="13.8" hidden="false" customHeight="false" outlineLevel="0" collapsed="false">
      <c r="B36" s="11" t="n">
        <f aca="false">_xlfn.NUMBERVALUE(solar!B33)</f>
        <v>63</v>
      </c>
      <c r="C36" s="12" t="n">
        <f aca="false">solar!C33</f>
        <v>0</v>
      </c>
      <c r="D36" s="12" t="n">
        <v>8</v>
      </c>
      <c r="E36" s="6" t="n">
        <v>32</v>
      </c>
      <c r="F36" s="17" t="n">
        <f aca="false">IFERROR(INDEX($B$5:$C$173, MATCH($E36, $B$5:$B$175, 0), 2), 0)*investment!$C$2</f>
        <v>0</v>
      </c>
      <c r="G36" s="6" t="n">
        <f aca="false">demand!C34</f>
        <v>0</v>
      </c>
      <c r="H36" s="2" t="n">
        <f aca="false">solgen!C34</f>
        <v>0</v>
      </c>
      <c r="I36" s="2" t="n">
        <f aca="false">import!C34</f>
        <v>0</v>
      </c>
      <c r="J36" s="2" t="n">
        <f aca="false">-export!C34</f>
        <v>-0</v>
      </c>
      <c r="K36" s="2" t="n">
        <f aca="false">-charge!C34</f>
        <v>-0</v>
      </c>
      <c r="L36" s="2" t="n">
        <f aca="false">discharge!C34</f>
        <v>0</v>
      </c>
      <c r="M36" s="2" t="n">
        <f aca="false">soc!C34/investment!$E$2 *100</f>
        <v>5.15449639886195E-015</v>
      </c>
      <c r="N36" s="5" t="n">
        <f aca="false">p_micro!C33</f>
        <v>0</v>
      </c>
    </row>
    <row r="37" customFormat="false" ht="13.8" hidden="false" customHeight="false" outlineLevel="0" collapsed="false">
      <c r="B37" s="11" t="n">
        <f aca="false">_xlfn.NUMBERVALUE(solar!B34)</f>
        <v>64</v>
      </c>
      <c r="C37" s="12" t="n">
        <f aca="false">solar!C34</f>
        <v>0</v>
      </c>
      <c r="D37" s="12" t="n">
        <v>9</v>
      </c>
      <c r="E37" s="6" t="n">
        <v>33</v>
      </c>
      <c r="F37" s="17" t="n">
        <f aca="false">IFERROR(INDEX($B$5:$C$173, MATCH($E37, $B$5:$B$175, 0), 2), 0)*investment!$C$2</f>
        <v>0</v>
      </c>
      <c r="G37" s="6" t="n">
        <f aca="false">demand!C35</f>
        <v>0</v>
      </c>
      <c r="H37" s="2" t="n">
        <f aca="false">solgen!C35</f>
        <v>0</v>
      </c>
      <c r="I37" s="2" t="n">
        <f aca="false">import!C35</f>
        <v>0</v>
      </c>
      <c r="J37" s="2" t="n">
        <f aca="false">-export!C35</f>
        <v>-0</v>
      </c>
      <c r="K37" s="2" t="n">
        <f aca="false">-charge!C35</f>
        <v>-0</v>
      </c>
      <c r="L37" s="2" t="n">
        <f aca="false">discharge!C35</f>
        <v>0</v>
      </c>
      <c r="M37" s="2" t="n">
        <f aca="false">soc!C35/investment!$E$2 *100</f>
        <v>1.59530956473987E-015</v>
      </c>
      <c r="N37" s="5" t="n">
        <f aca="false">p_micro!C34</f>
        <v>0</v>
      </c>
    </row>
    <row r="38" customFormat="false" ht="13.8" hidden="false" customHeight="false" outlineLevel="0" collapsed="false">
      <c r="B38" s="11" t="n">
        <f aca="false">_xlfn.NUMBERVALUE(solar!B35)</f>
        <v>65</v>
      </c>
      <c r="C38" s="12" t="n">
        <f aca="false">solar!C35</f>
        <v>0</v>
      </c>
      <c r="D38" s="12" t="n">
        <v>10</v>
      </c>
      <c r="E38" s="6" t="n">
        <v>34</v>
      </c>
      <c r="F38" s="17" t="n">
        <f aca="false">IFERROR(INDEX($B$5:$C$173, MATCH($E38, $B$5:$B$175, 0), 2), 0)*investment!$C$2</f>
        <v>0</v>
      </c>
      <c r="G38" s="6" t="n">
        <f aca="false">demand!C36</f>
        <v>0</v>
      </c>
      <c r="H38" s="2" t="n">
        <f aca="false">solgen!C36</f>
        <v>0</v>
      </c>
      <c r="I38" s="2" t="n">
        <f aca="false">import!C36</f>
        <v>0</v>
      </c>
      <c r="J38" s="2" t="n">
        <f aca="false">-export!C36</f>
        <v>-0</v>
      </c>
      <c r="K38" s="2" t="n">
        <f aca="false">-charge!C36</f>
        <v>-0</v>
      </c>
      <c r="L38" s="2" t="n">
        <f aca="false">discharge!C36</f>
        <v>0</v>
      </c>
      <c r="M38" s="2" t="n">
        <f aca="false">soc!C36/investment!$E$2 *100</f>
        <v>1.53790519950839E-015</v>
      </c>
      <c r="N38" s="5" t="n">
        <f aca="false">p_micro!C35</f>
        <v>0</v>
      </c>
    </row>
    <row r="39" customFormat="false" ht="13.8" hidden="false" customHeight="false" outlineLevel="0" collapsed="false">
      <c r="B39" s="11" t="n">
        <f aca="false">_xlfn.NUMBERVALUE(solar!B36)</f>
        <v>66</v>
      </c>
      <c r="C39" s="12" t="n">
        <f aca="false">solar!C36</f>
        <v>0</v>
      </c>
      <c r="D39" s="12" t="n">
        <v>11</v>
      </c>
      <c r="E39" s="6" t="n">
        <v>35</v>
      </c>
      <c r="F39" s="17" t="n">
        <f aca="false">IFERROR(INDEX($B$5:$C$173, MATCH($E39, $B$5:$B$175, 0), 2), 0)*investment!$C$2</f>
        <v>0</v>
      </c>
      <c r="G39" s="6" t="n">
        <f aca="false">demand!C37</f>
        <v>0</v>
      </c>
      <c r="H39" s="2" t="n">
        <f aca="false">solgen!C37</f>
        <v>0</v>
      </c>
      <c r="I39" s="2" t="n">
        <f aca="false">import!C37</f>
        <v>0</v>
      </c>
      <c r="J39" s="2" t="n">
        <f aca="false">-export!C37</f>
        <v>-0</v>
      </c>
      <c r="K39" s="2" t="n">
        <f aca="false">-charge!C37</f>
        <v>-0</v>
      </c>
      <c r="L39" s="2" t="n">
        <f aca="false">discharge!C37</f>
        <v>0</v>
      </c>
      <c r="M39" s="2" t="n">
        <f aca="false">soc!C37/investment!$E$2 *100</f>
        <v>1.53881380410671E-015</v>
      </c>
      <c r="N39" s="5" t="n">
        <f aca="false">p_micro!C36</f>
        <v>0</v>
      </c>
    </row>
    <row r="40" customFormat="false" ht="13.8" hidden="false" customHeight="false" outlineLevel="0" collapsed="false">
      <c r="B40" s="11" t="n">
        <f aca="false">_xlfn.NUMBERVALUE(solar!B37)</f>
        <v>67</v>
      </c>
      <c r="C40" s="12" t="n">
        <f aca="false">solar!C37</f>
        <v>0</v>
      </c>
      <c r="D40" s="12" t="n">
        <v>12</v>
      </c>
      <c r="E40" s="6" t="n">
        <v>36</v>
      </c>
      <c r="F40" s="17" t="n">
        <f aca="false">IFERROR(INDEX($B$5:$C$173, MATCH($E40, $B$5:$B$175, 0), 2), 0)*investment!$C$2</f>
        <v>0</v>
      </c>
      <c r="G40" s="6" t="n">
        <f aca="false">demand!C38</f>
        <v>0</v>
      </c>
      <c r="H40" s="2" t="n">
        <f aca="false">solgen!C38</f>
        <v>0</v>
      </c>
      <c r="I40" s="2" t="n">
        <f aca="false">import!C38</f>
        <v>0</v>
      </c>
      <c r="J40" s="2" t="n">
        <f aca="false">-export!C38</f>
        <v>-0</v>
      </c>
      <c r="K40" s="2" t="n">
        <f aca="false">-charge!C38</f>
        <v>-0</v>
      </c>
      <c r="L40" s="2" t="n">
        <f aca="false">discharge!C38</f>
        <v>0</v>
      </c>
      <c r="M40" s="2" t="n">
        <f aca="false">soc!C38/investment!$E$2 *100</f>
        <v>1.50581110120877E-015</v>
      </c>
      <c r="N40" s="5" t="n">
        <f aca="false">p_micro!C37</f>
        <v>0</v>
      </c>
    </row>
    <row r="41" customFormat="false" ht="13.8" hidden="false" customHeight="false" outlineLevel="0" collapsed="false">
      <c r="B41" s="11" t="n">
        <f aca="false">_xlfn.NUMBERVALUE(solar!B38)</f>
        <v>80</v>
      </c>
      <c r="C41" s="12" t="n">
        <f aca="false">solar!C38</f>
        <v>0</v>
      </c>
      <c r="D41" s="12" t="n">
        <v>13</v>
      </c>
      <c r="E41" s="6" t="n">
        <v>37</v>
      </c>
      <c r="F41" s="17" t="n">
        <f aca="false">IFERROR(INDEX($B$5:$C$173, MATCH($E41, $B$5:$B$175, 0), 2), 0)*investment!$C$2</f>
        <v>0</v>
      </c>
      <c r="G41" s="6" t="n">
        <f aca="false">demand!C39</f>
        <v>0</v>
      </c>
      <c r="H41" s="2" t="n">
        <f aca="false">solgen!C39</f>
        <v>0</v>
      </c>
      <c r="I41" s="2" t="n">
        <f aca="false">import!C39</f>
        <v>0</v>
      </c>
      <c r="J41" s="2" t="n">
        <f aca="false">-export!C39</f>
        <v>-0</v>
      </c>
      <c r="K41" s="2" t="n">
        <f aca="false">-charge!C39</f>
        <v>-0</v>
      </c>
      <c r="L41" s="2" t="n">
        <f aca="false">discharge!C39</f>
        <v>0</v>
      </c>
      <c r="M41" s="2" t="n">
        <f aca="false">soc!C39/investment!$E$2 *100</f>
        <v>1.09009781698227E-014</v>
      </c>
      <c r="N41" s="5" t="n">
        <f aca="false">p_micro!C38</f>
        <v>0</v>
      </c>
    </row>
    <row r="42" customFormat="false" ht="13.8" hidden="false" customHeight="false" outlineLevel="0" collapsed="false">
      <c r="B42" s="11" t="n">
        <f aca="false">_xlfn.NUMBERVALUE(solar!B39)</f>
        <v>81</v>
      </c>
      <c r="C42" s="12" t="n">
        <f aca="false">solar!C39</f>
        <v>0</v>
      </c>
      <c r="D42" s="12" t="n">
        <v>14</v>
      </c>
      <c r="E42" s="6" t="n">
        <v>38</v>
      </c>
      <c r="F42" s="17" t="n">
        <f aca="false">IFERROR(INDEX($B$5:$C$173, MATCH($E42, $B$5:$B$175, 0), 2), 0)*investment!$C$2</f>
        <v>0</v>
      </c>
      <c r="G42" s="6" t="n">
        <f aca="false">demand!C40</f>
        <v>0</v>
      </c>
      <c r="H42" s="2" t="n">
        <f aca="false">solgen!C40</f>
        <v>0</v>
      </c>
      <c r="I42" s="2" t="n">
        <f aca="false">import!C40</f>
        <v>0</v>
      </c>
      <c r="J42" s="2" t="n">
        <f aca="false">-export!C40</f>
        <v>-0</v>
      </c>
      <c r="K42" s="2" t="n">
        <f aca="false">-charge!C40</f>
        <v>-0</v>
      </c>
      <c r="L42" s="2" t="n">
        <f aca="false">discharge!C40</f>
        <v>0</v>
      </c>
      <c r="M42" s="2" t="n">
        <f aca="false">soc!C40/investment!$E$2 *100</f>
        <v>1.08013378924348E-014</v>
      </c>
      <c r="N42" s="5" t="n">
        <f aca="false">p_micro!C39</f>
        <v>0</v>
      </c>
    </row>
    <row r="43" customFormat="false" ht="13.8" hidden="false" customHeight="false" outlineLevel="0" collapsed="false">
      <c r="B43" s="11" t="n">
        <f aca="false">_xlfn.NUMBERVALUE(solar!B40)</f>
        <v>82</v>
      </c>
      <c r="C43" s="12" t="n">
        <f aca="false">solar!C40</f>
        <v>0</v>
      </c>
      <c r="D43" s="12" t="n">
        <v>15</v>
      </c>
      <c r="E43" s="6" t="n">
        <v>39</v>
      </c>
      <c r="F43" s="17" t="n">
        <f aca="false">IFERROR(INDEX($B$5:$C$173, MATCH($E43, $B$5:$B$175, 0), 2), 0)*investment!$C$2</f>
        <v>0</v>
      </c>
      <c r="G43" s="6" t="n">
        <f aca="false">demand!C41</f>
        <v>0</v>
      </c>
      <c r="H43" s="2" t="n">
        <f aca="false">solgen!C41</f>
        <v>0</v>
      </c>
      <c r="I43" s="2" t="n">
        <f aca="false">import!C41</f>
        <v>0</v>
      </c>
      <c r="J43" s="2" t="n">
        <f aca="false">-export!C41</f>
        <v>-0</v>
      </c>
      <c r="K43" s="2" t="n">
        <f aca="false">-charge!C41</f>
        <v>-0</v>
      </c>
      <c r="L43" s="2" t="n">
        <f aca="false">discharge!C41</f>
        <v>0</v>
      </c>
      <c r="M43" s="2" t="n">
        <f aca="false">soc!C41/investment!$E$2 *100</f>
        <v>0</v>
      </c>
      <c r="N43" s="5" t="n">
        <f aca="false">p_micro!C40</f>
        <v>0</v>
      </c>
    </row>
    <row r="44" customFormat="false" ht="13.8" hidden="false" customHeight="false" outlineLevel="0" collapsed="false">
      <c r="B44" s="11" t="n">
        <f aca="false">_xlfn.NUMBERVALUE(solar!B41)</f>
        <v>83</v>
      </c>
      <c r="C44" s="12" t="n">
        <f aca="false">solar!C41</f>
        <v>0</v>
      </c>
      <c r="D44" s="12" t="n">
        <v>16</v>
      </c>
      <c r="E44" s="6" t="n">
        <v>40</v>
      </c>
      <c r="F44" s="17" t="n">
        <f aca="false">IFERROR(INDEX($B$5:$C$173, MATCH($E44, $B$5:$B$175, 0), 2), 0)*investment!$C$2</f>
        <v>0</v>
      </c>
      <c r="G44" s="6" t="n">
        <f aca="false">demand!C42</f>
        <v>0</v>
      </c>
      <c r="H44" s="2" t="n">
        <f aca="false">solgen!C42</f>
        <v>0</v>
      </c>
      <c r="I44" s="2" t="n">
        <f aca="false">import!C42</f>
        <v>0</v>
      </c>
      <c r="J44" s="2" t="n">
        <f aca="false">-export!C42</f>
        <v>-0</v>
      </c>
      <c r="K44" s="2" t="n">
        <f aca="false">-charge!C42</f>
        <v>-0</v>
      </c>
      <c r="L44" s="2" t="n">
        <f aca="false">discharge!C42</f>
        <v>0</v>
      </c>
      <c r="M44" s="2" t="n">
        <f aca="false">soc!C42/investment!$E$2 *100</f>
        <v>0</v>
      </c>
      <c r="N44" s="5" t="n">
        <f aca="false">p_micro!C41</f>
        <v>0</v>
      </c>
    </row>
    <row r="45" customFormat="false" ht="13.8" hidden="false" customHeight="false" outlineLevel="0" collapsed="false">
      <c r="B45" s="11" t="n">
        <f aca="false">_xlfn.NUMBERVALUE(solar!B42)</f>
        <v>84</v>
      </c>
      <c r="C45" s="12" t="n">
        <f aca="false">solar!C42</f>
        <v>0</v>
      </c>
      <c r="D45" s="12" t="n">
        <v>17</v>
      </c>
      <c r="E45" s="6" t="n">
        <v>41</v>
      </c>
      <c r="F45" s="17" t="n">
        <f aca="false">IFERROR(INDEX($B$5:$C$173, MATCH($E45, $B$5:$B$175, 0), 2), 0)*investment!$C$2</f>
        <v>0</v>
      </c>
      <c r="G45" s="6" t="n">
        <f aca="false">demand!C43</f>
        <v>0</v>
      </c>
      <c r="H45" s="2" t="n">
        <f aca="false">solgen!C43</f>
        <v>0</v>
      </c>
      <c r="I45" s="2" t="n">
        <f aca="false">import!C43</f>
        <v>0</v>
      </c>
      <c r="J45" s="2" t="n">
        <f aca="false">-export!C43</f>
        <v>-0</v>
      </c>
      <c r="K45" s="2" t="n">
        <f aca="false">-charge!C43</f>
        <v>-0</v>
      </c>
      <c r="L45" s="2" t="n">
        <f aca="false">discharge!C43</f>
        <v>0</v>
      </c>
      <c r="M45" s="2" t="n">
        <f aca="false">soc!C43/investment!$E$2 *100</f>
        <v>16.9165158151469</v>
      </c>
      <c r="N45" s="5" t="n">
        <f aca="false">p_micro!C42</f>
        <v>0</v>
      </c>
    </row>
    <row r="46" customFormat="false" ht="13.8" hidden="false" customHeight="false" outlineLevel="0" collapsed="false">
      <c r="B46" s="11" t="n">
        <f aca="false">_xlfn.NUMBERVALUE(solar!B43)</f>
        <v>85</v>
      </c>
      <c r="C46" s="12" t="n">
        <f aca="false">solar!C43</f>
        <v>0</v>
      </c>
      <c r="D46" s="12" t="n">
        <v>18</v>
      </c>
      <c r="E46" s="6" t="n">
        <v>42</v>
      </c>
      <c r="F46" s="17" t="n">
        <f aca="false">IFERROR(INDEX($B$5:$C$173, MATCH($E46, $B$5:$B$175, 0), 2), 0)*investment!$C$2</f>
        <v>0</v>
      </c>
      <c r="G46" s="6" t="n">
        <f aca="false">demand!C44</f>
        <v>0</v>
      </c>
      <c r="H46" s="2" t="n">
        <f aca="false">solgen!C44</f>
        <v>0</v>
      </c>
      <c r="I46" s="2" t="n">
        <f aca="false">import!C44</f>
        <v>0</v>
      </c>
      <c r="J46" s="2" t="n">
        <f aca="false">-export!C44</f>
        <v>-0</v>
      </c>
      <c r="K46" s="2" t="n">
        <f aca="false">-charge!C44</f>
        <v>-0</v>
      </c>
      <c r="L46" s="2" t="n">
        <f aca="false">discharge!C44</f>
        <v>0</v>
      </c>
      <c r="M46" s="2" t="n">
        <f aca="false">soc!C44/investment!$E$2 *100</f>
        <v>16.9163466501658</v>
      </c>
      <c r="N46" s="5" t="n">
        <f aca="false">p_micro!C43</f>
        <v>0</v>
      </c>
    </row>
    <row r="47" customFormat="false" ht="13.8" hidden="false" customHeight="false" outlineLevel="0" collapsed="false">
      <c r="B47" s="11" t="n">
        <f aca="false">_xlfn.NUMBERVALUE(solar!B44)</f>
        <v>86</v>
      </c>
      <c r="C47" s="12" t="n">
        <f aca="false">solar!C44</f>
        <v>0</v>
      </c>
      <c r="D47" s="12" t="n">
        <v>19</v>
      </c>
      <c r="E47" s="6" t="n">
        <v>43</v>
      </c>
      <c r="F47" s="17" t="n">
        <f aca="false">IFERROR(INDEX($B$5:$C$173, MATCH($E47, $B$5:$B$175, 0), 2), 0)*investment!$C$2</f>
        <v>0</v>
      </c>
      <c r="G47" s="6" t="n">
        <f aca="false">demand!C45</f>
        <v>0</v>
      </c>
      <c r="H47" s="2" t="n">
        <f aca="false">solgen!C45</f>
        <v>0</v>
      </c>
      <c r="I47" s="2" t="n">
        <f aca="false">import!C45</f>
        <v>0</v>
      </c>
      <c r="J47" s="2" t="n">
        <f aca="false">-export!C45</f>
        <v>-0</v>
      </c>
      <c r="K47" s="2" t="n">
        <f aca="false">-charge!C45</f>
        <v>-0</v>
      </c>
      <c r="L47" s="2" t="n">
        <f aca="false">discharge!C45</f>
        <v>0</v>
      </c>
      <c r="M47" s="2" t="n">
        <f aca="false">soc!C45/investment!$E$2 *100</f>
        <v>16.9161776577464</v>
      </c>
      <c r="N47" s="5" t="n">
        <f aca="false">p_micro!C44</f>
        <v>0</v>
      </c>
    </row>
    <row r="48" customFormat="false" ht="13.8" hidden="false" customHeight="false" outlineLevel="0" collapsed="false">
      <c r="B48" s="11" t="n">
        <f aca="false">_xlfn.NUMBERVALUE(solar!B45)</f>
        <v>87</v>
      </c>
      <c r="C48" s="12" t="n">
        <f aca="false">solar!C45</f>
        <v>0</v>
      </c>
      <c r="D48" s="12" t="n">
        <v>20</v>
      </c>
      <c r="E48" s="6" t="n">
        <v>44</v>
      </c>
      <c r="F48" s="17" t="n">
        <f aca="false">IFERROR(INDEX($B$5:$C$173, MATCH($E48, $B$5:$B$175, 0), 2), 0)*investment!$C$2</f>
        <v>0</v>
      </c>
      <c r="G48" s="6" t="n">
        <f aca="false">demand!C46</f>
        <v>0</v>
      </c>
      <c r="H48" s="2" t="n">
        <f aca="false">solgen!C46</f>
        <v>0</v>
      </c>
      <c r="I48" s="2" t="n">
        <f aca="false">import!C46</f>
        <v>0</v>
      </c>
      <c r="J48" s="2" t="n">
        <f aca="false">-export!C46</f>
        <v>-0</v>
      </c>
      <c r="K48" s="2" t="n">
        <f aca="false">-charge!C46</f>
        <v>-0</v>
      </c>
      <c r="L48" s="2" t="n">
        <f aca="false">discharge!C46</f>
        <v>0</v>
      </c>
      <c r="M48" s="2" t="n">
        <f aca="false">soc!C46/investment!$E$2 *100</f>
        <v>35.6249619729687</v>
      </c>
      <c r="N48" s="5" t="n">
        <f aca="false">p_micro!C45</f>
        <v>0</v>
      </c>
    </row>
    <row r="49" customFormat="false" ht="13.8" hidden="false" customHeight="false" outlineLevel="0" collapsed="false">
      <c r="B49" s="11" t="n">
        <f aca="false">_xlfn.NUMBERVALUE(solar!B46)</f>
        <v>88</v>
      </c>
      <c r="C49" s="12" t="n">
        <f aca="false">solar!C46</f>
        <v>0</v>
      </c>
      <c r="D49" s="12" t="n">
        <v>21</v>
      </c>
      <c r="E49" s="6" t="n">
        <v>45</v>
      </c>
      <c r="F49" s="17" t="n">
        <f aca="false">IFERROR(INDEX($B$5:$C$173, MATCH($E49, $B$5:$B$175, 0), 2), 0)*investment!$C$2</f>
        <v>0</v>
      </c>
      <c r="G49" s="6" t="n">
        <f aca="false">demand!C47</f>
        <v>0</v>
      </c>
      <c r="H49" s="2" t="n">
        <f aca="false">solgen!C47</f>
        <v>0</v>
      </c>
      <c r="I49" s="2" t="n">
        <f aca="false">import!C47</f>
        <v>0</v>
      </c>
      <c r="J49" s="2" t="n">
        <f aca="false">-export!C47</f>
        <v>-0</v>
      </c>
      <c r="K49" s="2" t="n">
        <f aca="false">-charge!C47</f>
        <v>-0</v>
      </c>
      <c r="L49" s="2" t="n">
        <f aca="false">discharge!C47</f>
        <v>0</v>
      </c>
      <c r="M49" s="2" t="n">
        <f aca="false">soc!C47/investment!$E$2 *100</f>
        <v>40.3804965225908</v>
      </c>
      <c r="N49" s="5" t="n">
        <f aca="false">p_micro!C46</f>
        <v>0</v>
      </c>
    </row>
    <row r="50" customFormat="false" ht="13.8" hidden="false" customHeight="false" outlineLevel="0" collapsed="false">
      <c r="B50" s="11" t="n">
        <f aca="false">_xlfn.NUMBERVALUE(solar!B47)</f>
        <v>89</v>
      </c>
      <c r="C50" s="12" t="n">
        <f aca="false">solar!C47</f>
        <v>0</v>
      </c>
      <c r="D50" s="12" t="n">
        <v>22</v>
      </c>
      <c r="E50" s="6" t="n">
        <v>46</v>
      </c>
      <c r="F50" s="17" t="n">
        <f aca="false">IFERROR(INDEX($B$5:$C$173, MATCH($E50, $B$5:$B$175, 0), 2), 0)*investment!$C$2</f>
        <v>0</v>
      </c>
      <c r="G50" s="6" t="n">
        <f aca="false">demand!C48</f>
        <v>0</v>
      </c>
      <c r="H50" s="2" t="n">
        <f aca="false">solgen!C48</f>
        <v>0</v>
      </c>
      <c r="I50" s="2" t="n">
        <f aca="false">import!C48</f>
        <v>0</v>
      </c>
      <c r="J50" s="2" t="n">
        <f aca="false">-export!C48</f>
        <v>-0</v>
      </c>
      <c r="K50" s="2" t="n">
        <f aca="false">-charge!C48</f>
        <v>-0</v>
      </c>
      <c r="L50" s="2" t="n">
        <f aca="false">discharge!C48</f>
        <v>0</v>
      </c>
      <c r="M50" s="2" t="n">
        <f aca="false">soc!C48/investment!$E$2 *100</f>
        <v>58.2373426001869</v>
      </c>
      <c r="N50" s="5" t="n">
        <f aca="false">p_micro!C47</f>
        <v>0</v>
      </c>
    </row>
    <row r="51" customFormat="false" ht="13.8" hidden="false" customHeight="false" outlineLevel="0" collapsed="false">
      <c r="B51" s="11" t="n">
        <f aca="false">_xlfn.NUMBERVALUE(solar!B48)</f>
        <v>90</v>
      </c>
      <c r="C51" s="12" t="n">
        <f aca="false">solar!C48</f>
        <v>0</v>
      </c>
      <c r="D51" s="12" t="n">
        <v>23</v>
      </c>
      <c r="E51" s="6" t="n">
        <v>47</v>
      </c>
      <c r="F51" s="17" t="n">
        <f aca="false">IFERROR(INDEX($B$5:$C$173, MATCH($E51, $B$5:$B$175, 0), 2), 0)*investment!$C$2</f>
        <v>0</v>
      </c>
      <c r="G51" s="6" t="n">
        <f aca="false">demand!C49</f>
        <v>0</v>
      </c>
      <c r="H51" s="2" t="n">
        <f aca="false">solgen!C49</f>
        <v>0</v>
      </c>
      <c r="I51" s="2" t="n">
        <f aca="false">import!C49</f>
        <v>0</v>
      </c>
      <c r="J51" s="2" t="n">
        <f aca="false">-export!C49</f>
        <v>-0</v>
      </c>
      <c r="K51" s="2" t="n">
        <f aca="false">-charge!C49</f>
        <v>-0</v>
      </c>
      <c r="L51" s="2" t="n">
        <f aca="false">discharge!C49</f>
        <v>0</v>
      </c>
      <c r="M51" s="2" t="n">
        <f aca="false">soc!C49/investment!$E$2 *100</f>
        <v>84.1982351672723</v>
      </c>
      <c r="N51" s="5" t="n">
        <f aca="false">p_micro!C48</f>
        <v>0</v>
      </c>
    </row>
    <row r="52" customFormat="false" ht="13.8" hidden="false" customHeight="false" outlineLevel="0" collapsed="false">
      <c r="B52" s="11" t="n">
        <f aca="false">_xlfn.NUMBERVALUE(solar!B49)</f>
        <v>91</v>
      </c>
      <c r="C52" s="12" t="n">
        <f aca="false">solar!C49</f>
        <v>0</v>
      </c>
      <c r="D52" s="12" t="n">
        <v>24</v>
      </c>
      <c r="E52" s="6" t="n">
        <v>48</v>
      </c>
      <c r="F52" s="17" t="n">
        <f aca="false">IFERROR(INDEX($B$5:$C$173, MATCH($E52, $B$5:$B$175, 0), 2), 0)*investment!$C$2</f>
        <v>0</v>
      </c>
      <c r="G52" s="6" t="n">
        <f aca="false">demand!C50</f>
        <v>0</v>
      </c>
      <c r="H52" s="2" t="n">
        <f aca="false">solgen!C50</f>
        <v>0</v>
      </c>
      <c r="I52" s="2" t="n">
        <f aca="false">import!C50</f>
        <v>0</v>
      </c>
      <c r="J52" s="2" t="n">
        <f aca="false">-export!C50</f>
        <v>-0</v>
      </c>
      <c r="K52" s="2" t="n">
        <f aca="false">-charge!C50</f>
        <v>-0</v>
      </c>
      <c r="L52" s="2" t="n">
        <f aca="false">discharge!C50</f>
        <v>0</v>
      </c>
      <c r="M52" s="2" t="n">
        <f aca="false">soc!C50/investment!$E$2 *100</f>
        <v>84.1973939827025</v>
      </c>
      <c r="N52" s="5" t="n">
        <f aca="false">p_micro!C49</f>
        <v>0</v>
      </c>
    </row>
    <row r="53" customFormat="false" ht="13.8" hidden="false" customHeight="false" outlineLevel="0" collapsed="false">
      <c r="B53" s="11" t="n">
        <f aca="false">_xlfn.NUMBERVALUE(solar!B50)</f>
        <v>104</v>
      </c>
      <c r="C53" s="12" t="n">
        <f aca="false">solar!C50</f>
        <v>0</v>
      </c>
      <c r="D53" s="12" t="n">
        <v>1</v>
      </c>
      <c r="E53" s="6" t="n">
        <v>49</v>
      </c>
      <c r="F53" s="17" t="n">
        <f aca="false">IFERROR(INDEX($B$5:$C$173, MATCH($E53, $B$5:$B$175, 0), 2), 0)*investment!$C$2</f>
        <v>0</v>
      </c>
      <c r="G53" s="6" t="n">
        <f aca="false">demand!C51</f>
        <v>0</v>
      </c>
      <c r="H53" s="2" t="n">
        <f aca="false">solgen!C51</f>
        <v>0</v>
      </c>
      <c r="I53" s="2" t="n">
        <f aca="false">import!C51</f>
        <v>0</v>
      </c>
      <c r="J53" s="2" t="n">
        <f aca="false">-export!C51</f>
        <v>-0</v>
      </c>
      <c r="K53" s="2" t="n">
        <f aca="false">-charge!C51</f>
        <v>-0</v>
      </c>
      <c r="L53" s="2" t="n">
        <f aca="false">discharge!C51</f>
        <v>0</v>
      </c>
      <c r="M53" s="2" t="n">
        <f aca="false">soc!C51/investment!$E$2 *100</f>
        <v>99.9999995947502</v>
      </c>
      <c r="N53" s="5" t="n">
        <f aca="false">p_micro!C50</f>
        <v>0</v>
      </c>
    </row>
    <row r="54" customFormat="false" ht="13.8" hidden="false" customHeight="false" outlineLevel="0" collapsed="false">
      <c r="B54" s="11" t="n">
        <f aca="false">_xlfn.NUMBERVALUE(solar!B51)</f>
        <v>105</v>
      </c>
      <c r="C54" s="12" t="n">
        <f aca="false">solar!C51</f>
        <v>0</v>
      </c>
      <c r="D54" s="12" t="n">
        <v>2</v>
      </c>
      <c r="E54" s="6" t="n">
        <v>50</v>
      </c>
      <c r="F54" s="17" t="n">
        <f aca="false">IFERROR(INDEX($B$5:$C$173, MATCH($E54, $B$5:$B$175, 0), 2), 0)*investment!$C$2</f>
        <v>0</v>
      </c>
      <c r="G54" s="6" t="n">
        <f aca="false">demand!C52</f>
        <v>0</v>
      </c>
      <c r="H54" s="2" t="n">
        <f aca="false">solgen!C52</f>
        <v>0</v>
      </c>
      <c r="I54" s="2" t="n">
        <f aca="false">import!C52</f>
        <v>0</v>
      </c>
      <c r="J54" s="2" t="n">
        <f aca="false">-export!C52</f>
        <v>-0</v>
      </c>
      <c r="K54" s="2" t="n">
        <f aca="false">-charge!C52</f>
        <v>-0</v>
      </c>
      <c r="L54" s="2" t="n">
        <f aca="false">discharge!C52</f>
        <v>0</v>
      </c>
      <c r="M54" s="2" t="n">
        <f aca="false">soc!C52/investment!$E$2 *100</f>
        <v>99.999999594062</v>
      </c>
      <c r="N54" s="5" t="n">
        <f aca="false">p_micro!C51</f>
        <v>0</v>
      </c>
    </row>
    <row r="55" customFormat="false" ht="13.8" hidden="false" customHeight="false" outlineLevel="0" collapsed="false">
      <c r="B55" s="11" t="n">
        <f aca="false">_xlfn.NUMBERVALUE(solar!B52)</f>
        <v>106</v>
      </c>
      <c r="C55" s="12" t="n">
        <f aca="false">solar!C52</f>
        <v>0</v>
      </c>
      <c r="D55" s="12" t="n">
        <v>3</v>
      </c>
      <c r="E55" s="6" t="n">
        <v>51</v>
      </c>
      <c r="F55" s="17" t="n">
        <f aca="false">IFERROR(INDEX($B$5:$C$173, MATCH($E55, $B$5:$B$175, 0), 2), 0)*investment!$C$2</f>
        <v>0</v>
      </c>
      <c r="G55" s="6" t="n">
        <f aca="false">demand!C53</f>
        <v>0</v>
      </c>
      <c r="H55" s="2" t="n">
        <f aca="false">solgen!C53</f>
        <v>0</v>
      </c>
      <c r="I55" s="2" t="n">
        <f aca="false">import!C53</f>
        <v>0</v>
      </c>
      <c r="J55" s="2" t="n">
        <f aca="false">-export!C53</f>
        <v>-0</v>
      </c>
      <c r="K55" s="2" t="n">
        <f aca="false">-charge!C53</f>
        <v>-0</v>
      </c>
      <c r="L55" s="2" t="n">
        <f aca="false">discharge!C53</f>
        <v>0</v>
      </c>
      <c r="M55" s="2" t="n">
        <f aca="false">soc!C53/investment!$E$2 *100</f>
        <v>99.9999995940774</v>
      </c>
      <c r="N55" s="5" t="n">
        <f aca="false">p_micro!C52</f>
        <v>0</v>
      </c>
    </row>
    <row r="56" customFormat="false" ht="13.8" hidden="false" customHeight="false" outlineLevel="0" collapsed="false">
      <c r="B56" s="11" t="n">
        <f aca="false">_xlfn.NUMBERVALUE(solar!B53)</f>
        <v>107</v>
      </c>
      <c r="C56" s="12" t="n">
        <f aca="false">solar!C53</f>
        <v>0</v>
      </c>
      <c r="D56" s="12" t="n">
        <v>4</v>
      </c>
      <c r="E56" s="6" t="n">
        <v>52</v>
      </c>
      <c r="F56" s="17" t="n">
        <f aca="false">IFERROR(INDEX($B$5:$C$173, MATCH($E56, $B$5:$B$175, 0), 2), 0)*investment!$C$2</f>
        <v>0</v>
      </c>
      <c r="G56" s="6" t="n">
        <f aca="false">demand!C54</f>
        <v>0</v>
      </c>
      <c r="H56" s="2" t="n">
        <f aca="false">solgen!C54</f>
        <v>0</v>
      </c>
      <c r="I56" s="2" t="n">
        <f aca="false">import!C54</f>
        <v>0</v>
      </c>
      <c r="J56" s="2" t="n">
        <f aca="false">-export!C54</f>
        <v>-0</v>
      </c>
      <c r="K56" s="2" t="n">
        <f aca="false">-charge!C54</f>
        <v>-0</v>
      </c>
      <c r="L56" s="2" t="n">
        <f aca="false">discharge!C54</f>
        <v>0</v>
      </c>
      <c r="M56" s="2" t="n">
        <f aca="false">soc!C54/investment!$E$2 *100</f>
        <v>99.9999995940772</v>
      </c>
      <c r="N56" s="5" t="n">
        <f aca="false">p_micro!C53</f>
        <v>0</v>
      </c>
    </row>
    <row r="57" customFormat="false" ht="13.8" hidden="false" customHeight="false" outlineLevel="0" collapsed="false">
      <c r="B57" s="11" t="n">
        <f aca="false">_xlfn.NUMBERVALUE(solar!B54)</f>
        <v>108</v>
      </c>
      <c r="C57" s="12" t="n">
        <f aca="false">solar!C54</f>
        <v>0</v>
      </c>
      <c r="D57" s="12" t="n">
        <v>5</v>
      </c>
      <c r="E57" s="6" t="n">
        <v>53</v>
      </c>
      <c r="F57" s="17" t="n">
        <f aca="false">IFERROR(INDEX($B$5:$C$173, MATCH($E57, $B$5:$B$175, 0), 2), 0)*investment!$C$2</f>
        <v>0</v>
      </c>
      <c r="G57" s="6" t="n">
        <f aca="false">demand!C55</f>
        <v>0</v>
      </c>
      <c r="H57" s="2" t="n">
        <f aca="false">solgen!C55</f>
        <v>0</v>
      </c>
      <c r="I57" s="2" t="n">
        <f aca="false">import!C55</f>
        <v>0</v>
      </c>
      <c r="J57" s="2" t="n">
        <f aca="false">-export!C55</f>
        <v>-0</v>
      </c>
      <c r="K57" s="2" t="n">
        <f aca="false">-charge!C55</f>
        <v>-0</v>
      </c>
      <c r="L57" s="2" t="n">
        <f aca="false">discharge!C55</f>
        <v>0</v>
      </c>
      <c r="M57" s="2" t="n">
        <f aca="false">soc!C55/investment!$E$2 *100</f>
        <v>99.9999995940772</v>
      </c>
      <c r="N57" s="5" t="n">
        <f aca="false">p_micro!C54</f>
        <v>0</v>
      </c>
    </row>
    <row r="58" customFormat="false" ht="13.8" hidden="false" customHeight="false" outlineLevel="0" collapsed="false">
      <c r="B58" s="11" t="n">
        <f aca="false">_xlfn.NUMBERVALUE(solar!B55)</f>
        <v>109</v>
      </c>
      <c r="C58" s="12" t="n">
        <f aca="false">solar!C55</f>
        <v>0</v>
      </c>
      <c r="D58" s="12" t="n">
        <v>6</v>
      </c>
      <c r="E58" s="6" t="n">
        <v>54</v>
      </c>
      <c r="F58" s="17" t="n">
        <f aca="false">IFERROR(INDEX($B$5:$C$173, MATCH($E58, $B$5:$B$175, 0), 2), 0)*investment!$C$2</f>
        <v>0</v>
      </c>
      <c r="G58" s="6" t="n">
        <f aca="false">demand!C56</f>
        <v>0</v>
      </c>
      <c r="H58" s="2" t="n">
        <f aca="false">solgen!C56</f>
        <v>0</v>
      </c>
      <c r="I58" s="2" t="n">
        <f aca="false">import!C56</f>
        <v>0</v>
      </c>
      <c r="J58" s="2" t="n">
        <f aca="false">-export!C56</f>
        <v>-0</v>
      </c>
      <c r="K58" s="2" t="n">
        <f aca="false">-charge!C56</f>
        <v>-0</v>
      </c>
      <c r="L58" s="2" t="n">
        <f aca="false">discharge!C56</f>
        <v>0</v>
      </c>
      <c r="M58" s="2" t="n">
        <f aca="false">soc!C56/investment!$E$2 *100</f>
        <v>99.9999995940772</v>
      </c>
      <c r="N58" s="5" t="n">
        <f aca="false">p_micro!C55</f>
        <v>0</v>
      </c>
    </row>
    <row r="59" customFormat="false" ht="13.8" hidden="false" customHeight="false" outlineLevel="0" collapsed="false">
      <c r="B59" s="11" t="n">
        <f aca="false">_xlfn.NUMBERVALUE(solar!B56)</f>
        <v>110</v>
      </c>
      <c r="C59" s="12" t="n">
        <f aca="false">solar!C56</f>
        <v>0</v>
      </c>
      <c r="D59" s="12" t="n">
        <v>7</v>
      </c>
      <c r="E59" s="6" t="n">
        <v>55</v>
      </c>
      <c r="F59" s="17" t="n">
        <f aca="false">IFERROR(INDEX($B$5:$C$173, MATCH($E59, $B$5:$B$175, 0), 2), 0)*investment!$C$2</f>
        <v>0</v>
      </c>
      <c r="G59" s="6" t="n">
        <f aca="false">demand!C57</f>
        <v>0</v>
      </c>
      <c r="H59" s="2" t="n">
        <f aca="false">solgen!C57</f>
        <v>0</v>
      </c>
      <c r="I59" s="2" t="n">
        <f aca="false">import!C57</f>
        <v>0</v>
      </c>
      <c r="J59" s="2" t="n">
        <f aca="false">-export!C57</f>
        <v>-0</v>
      </c>
      <c r="K59" s="2" t="n">
        <f aca="false">-charge!C57</f>
        <v>-0</v>
      </c>
      <c r="L59" s="2" t="n">
        <f aca="false">discharge!C57</f>
        <v>0</v>
      </c>
      <c r="M59" s="2" t="n">
        <f aca="false">soc!C57/investment!$E$2 *100</f>
        <v>99.9999995940772</v>
      </c>
      <c r="N59" s="5" t="n">
        <f aca="false">p_micro!C56</f>
        <v>0</v>
      </c>
    </row>
    <row r="60" customFormat="false" ht="13.8" hidden="false" customHeight="false" outlineLevel="0" collapsed="false">
      <c r="B60" s="11" t="n">
        <f aca="false">_xlfn.NUMBERVALUE(solar!B57)</f>
        <v>111</v>
      </c>
      <c r="C60" s="12" t="n">
        <f aca="false">solar!C57</f>
        <v>0</v>
      </c>
      <c r="D60" s="12" t="n">
        <v>8</v>
      </c>
      <c r="E60" s="6" t="n">
        <v>56</v>
      </c>
      <c r="F60" s="17" t="n">
        <f aca="false">IFERROR(INDEX($B$5:$C$173, MATCH($E60, $B$5:$B$175, 0), 2), 0)*investment!$C$2</f>
        <v>0</v>
      </c>
      <c r="G60" s="6" t="n">
        <f aca="false">demand!C58</f>
        <v>0</v>
      </c>
      <c r="H60" s="2" t="n">
        <f aca="false">solgen!C58</f>
        <v>0</v>
      </c>
      <c r="I60" s="2" t="n">
        <f aca="false">import!C58</f>
        <v>0</v>
      </c>
      <c r="J60" s="2" t="n">
        <f aca="false">-export!C58</f>
        <v>-0</v>
      </c>
      <c r="K60" s="2" t="n">
        <f aca="false">-charge!C58</f>
        <v>-0</v>
      </c>
      <c r="L60" s="2" t="n">
        <f aca="false">discharge!C58</f>
        <v>0</v>
      </c>
      <c r="M60" s="2" t="n">
        <f aca="false">soc!C58/investment!$E$2 *100</f>
        <v>99.9999995940771</v>
      </c>
      <c r="N60" s="5" t="n">
        <f aca="false">p_micro!C57</f>
        <v>0</v>
      </c>
    </row>
    <row r="61" customFormat="false" ht="13.8" hidden="false" customHeight="false" outlineLevel="0" collapsed="false">
      <c r="B61" s="11" t="n">
        <f aca="false">_xlfn.NUMBERVALUE(solar!B58)</f>
        <v>112</v>
      </c>
      <c r="C61" s="12" t="n">
        <f aca="false">solar!C58</f>
        <v>0</v>
      </c>
      <c r="D61" s="12" t="n">
        <v>9</v>
      </c>
      <c r="E61" s="6" t="n">
        <v>57</v>
      </c>
      <c r="F61" s="17" t="n">
        <f aca="false">IFERROR(INDEX($B$5:$C$173, MATCH($E61, $B$5:$B$175, 0), 2), 0)*investment!$C$2</f>
        <v>0</v>
      </c>
      <c r="G61" s="6" t="n">
        <f aca="false">demand!C59</f>
        <v>0</v>
      </c>
      <c r="H61" s="2" t="n">
        <f aca="false">solgen!C59</f>
        <v>0</v>
      </c>
      <c r="I61" s="2" t="n">
        <f aca="false">import!C59</f>
        <v>0</v>
      </c>
      <c r="J61" s="2" t="n">
        <f aca="false">-export!C59</f>
        <v>-0</v>
      </c>
      <c r="K61" s="2" t="n">
        <f aca="false">-charge!C59</f>
        <v>-0</v>
      </c>
      <c r="L61" s="2" t="n">
        <f aca="false">discharge!C59</f>
        <v>0</v>
      </c>
      <c r="M61" s="2" t="n">
        <f aca="false">soc!C59/investment!$E$2 *100</f>
        <v>99.9999995940639</v>
      </c>
      <c r="N61" s="5" t="n">
        <f aca="false">p_micro!C58</f>
        <v>0</v>
      </c>
    </row>
    <row r="62" customFormat="false" ht="13.8" hidden="false" customHeight="false" outlineLevel="0" collapsed="false">
      <c r="B62" s="11" t="n">
        <f aca="false">_xlfn.NUMBERVALUE(solar!B59)</f>
        <v>113</v>
      </c>
      <c r="C62" s="12" t="n">
        <f aca="false">solar!C59</f>
        <v>0</v>
      </c>
      <c r="D62" s="12" t="n">
        <v>10</v>
      </c>
      <c r="E62" s="6" t="n">
        <v>58</v>
      </c>
      <c r="F62" s="17" t="n">
        <f aca="false">IFERROR(INDEX($B$5:$C$173, MATCH($E62, $B$5:$B$175, 0), 2), 0)*investment!$C$2</f>
        <v>0</v>
      </c>
      <c r="G62" s="6" t="n">
        <f aca="false">demand!C60</f>
        <v>0</v>
      </c>
      <c r="H62" s="2" t="n">
        <f aca="false">solgen!C60</f>
        <v>0</v>
      </c>
      <c r="I62" s="2" t="n">
        <f aca="false">import!C60</f>
        <v>0</v>
      </c>
      <c r="J62" s="2" t="n">
        <f aca="false">-export!C60</f>
        <v>-0</v>
      </c>
      <c r="K62" s="2" t="n">
        <f aca="false">-charge!C60</f>
        <v>-0</v>
      </c>
      <c r="L62" s="2" t="n">
        <f aca="false">discharge!C60</f>
        <v>0</v>
      </c>
      <c r="M62" s="2" t="n">
        <f aca="false">soc!C60/investment!$E$2 *100</f>
        <v>99.9989995934165</v>
      </c>
      <c r="N62" s="5" t="n">
        <f aca="false">p_micro!C59</f>
        <v>0</v>
      </c>
    </row>
    <row r="63" customFormat="false" ht="13.8" hidden="false" customHeight="false" outlineLevel="0" collapsed="false">
      <c r="B63" s="11" t="n">
        <f aca="false">_xlfn.NUMBERVALUE(solar!B60)</f>
        <v>114</v>
      </c>
      <c r="C63" s="12" t="n">
        <f aca="false">solar!C60</f>
        <v>0</v>
      </c>
      <c r="D63" s="12" t="n">
        <v>11</v>
      </c>
      <c r="E63" s="6" t="n">
        <v>59</v>
      </c>
      <c r="F63" s="17" t="n">
        <f aca="false">IFERROR(INDEX($B$5:$C$173, MATCH($E63, $B$5:$B$175, 0), 2), 0)*investment!$C$2</f>
        <v>0</v>
      </c>
      <c r="G63" s="6" t="n">
        <f aca="false">demand!C61</f>
        <v>0</v>
      </c>
      <c r="H63" s="2" t="n">
        <f aca="false">solgen!C61</f>
        <v>0</v>
      </c>
      <c r="I63" s="2" t="n">
        <f aca="false">import!C61</f>
        <v>0</v>
      </c>
      <c r="J63" s="2" t="n">
        <f aca="false">-export!C61</f>
        <v>-0</v>
      </c>
      <c r="K63" s="2" t="n">
        <f aca="false">-charge!C61</f>
        <v>-0</v>
      </c>
      <c r="L63" s="2" t="n">
        <f aca="false">discharge!C61</f>
        <v>0</v>
      </c>
      <c r="M63" s="2" t="n">
        <f aca="false">soc!C61/investment!$E$2 *100</f>
        <v>99.9999995923967</v>
      </c>
      <c r="N63" s="5" t="n">
        <f aca="false">p_micro!C60</f>
        <v>0</v>
      </c>
    </row>
    <row r="64" customFormat="false" ht="13.8" hidden="false" customHeight="false" outlineLevel="0" collapsed="false">
      <c r="B64" s="11" t="n">
        <f aca="false">_xlfn.NUMBERVALUE(solar!B61)</f>
        <v>115</v>
      </c>
      <c r="C64" s="12" t="n">
        <f aca="false">solar!C61</f>
        <v>0</v>
      </c>
      <c r="D64" s="12" t="n">
        <v>12</v>
      </c>
      <c r="E64" s="6" t="n">
        <v>60</v>
      </c>
      <c r="F64" s="17" t="n">
        <f aca="false">IFERROR(INDEX($B$5:$C$173, MATCH($E64, $B$5:$B$175, 0), 2), 0)*investment!$C$2</f>
        <v>0</v>
      </c>
      <c r="G64" s="6" t="n">
        <f aca="false">demand!C62</f>
        <v>0</v>
      </c>
      <c r="H64" s="2" t="n">
        <f aca="false">solgen!C62</f>
        <v>0</v>
      </c>
      <c r="I64" s="2" t="n">
        <f aca="false">import!C62</f>
        <v>0</v>
      </c>
      <c r="J64" s="2" t="n">
        <f aca="false">-export!C62</f>
        <v>-0</v>
      </c>
      <c r="K64" s="2" t="n">
        <f aca="false">-charge!C62</f>
        <v>-0</v>
      </c>
      <c r="L64" s="2" t="n">
        <f aca="false">discharge!C62</f>
        <v>0</v>
      </c>
      <c r="M64" s="2" t="n">
        <f aca="false">soc!C62/investment!$E$2 *100</f>
        <v>99.9989995934158</v>
      </c>
      <c r="N64" s="5" t="n">
        <f aca="false">p_micro!C61</f>
        <v>0</v>
      </c>
    </row>
    <row r="65" customFormat="false" ht="13.8" hidden="false" customHeight="false" outlineLevel="0" collapsed="false">
      <c r="B65" s="11" t="n">
        <f aca="false">_xlfn.NUMBERVALUE(solar!B62)</f>
        <v>128</v>
      </c>
      <c r="C65" s="12" t="n">
        <f aca="false">solar!C62</f>
        <v>0</v>
      </c>
      <c r="D65" s="12" t="n">
        <v>13</v>
      </c>
      <c r="E65" s="6" t="n">
        <v>61</v>
      </c>
      <c r="F65" s="17" t="n">
        <f aca="false">IFERROR(INDEX($B$5:$C$173, MATCH($E65, $B$5:$B$175, 0), 2), 0)*investment!$C$2</f>
        <v>0</v>
      </c>
      <c r="G65" s="6" t="n">
        <f aca="false">demand!C63</f>
        <v>0</v>
      </c>
      <c r="H65" s="2" t="n">
        <f aca="false">solgen!C63</f>
        <v>0</v>
      </c>
      <c r="I65" s="2" t="n">
        <f aca="false">import!C63</f>
        <v>0</v>
      </c>
      <c r="J65" s="2" t="n">
        <f aca="false">-export!C63</f>
        <v>-0</v>
      </c>
      <c r="K65" s="2" t="n">
        <f aca="false">-charge!C63</f>
        <v>-0</v>
      </c>
      <c r="L65" s="2" t="n">
        <f aca="false">discharge!C63</f>
        <v>0</v>
      </c>
      <c r="M65" s="2" t="n">
        <f aca="false">soc!C63/investment!$E$2 *100</f>
        <v>99.9979996062351</v>
      </c>
      <c r="N65" s="5" t="n">
        <f aca="false">p_micro!C62</f>
        <v>0</v>
      </c>
    </row>
    <row r="66" customFormat="false" ht="13.8" hidden="false" customHeight="false" outlineLevel="0" collapsed="false">
      <c r="B66" s="11" t="n">
        <f aca="false">_xlfn.NUMBERVALUE(solar!B63)</f>
        <v>129</v>
      </c>
      <c r="C66" s="12" t="n">
        <f aca="false">solar!C63</f>
        <v>0</v>
      </c>
      <c r="D66" s="12" t="n">
        <v>14</v>
      </c>
      <c r="E66" s="6" t="n">
        <v>62</v>
      </c>
      <c r="F66" s="17" t="n">
        <f aca="false">IFERROR(INDEX($B$5:$C$173, MATCH($E66, $B$5:$B$175, 0), 2), 0)*investment!$C$2</f>
        <v>0</v>
      </c>
      <c r="G66" s="6" t="n">
        <f aca="false">demand!C64</f>
        <v>0</v>
      </c>
      <c r="H66" s="2" t="n">
        <f aca="false">solgen!C64</f>
        <v>0</v>
      </c>
      <c r="I66" s="2" t="n">
        <f aca="false">import!C64</f>
        <v>0</v>
      </c>
      <c r="J66" s="2" t="n">
        <f aca="false">-export!C64</f>
        <v>-0</v>
      </c>
      <c r="K66" s="2" t="n">
        <f aca="false">-charge!C64</f>
        <v>-0</v>
      </c>
      <c r="L66" s="2" t="n">
        <f aca="false">discharge!C64</f>
        <v>0</v>
      </c>
      <c r="M66" s="2" t="n">
        <f aca="false">soc!C64/investment!$E$2 *100</f>
        <v>99.9969996291065</v>
      </c>
      <c r="N66" s="5" t="n">
        <f aca="false">p_micro!C63</f>
        <v>0</v>
      </c>
    </row>
    <row r="67" customFormat="false" ht="13.8" hidden="false" customHeight="false" outlineLevel="0" collapsed="false">
      <c r="B67" s="11" t="n">
        <f aca="false">_xlfn.NUMBERVALUE(solar!B64)</f>
        <v>130</v>
      </c>
      <c r="C67" s="12" t="n">
        <f aca="false">solar!C64</f>
        <v>0</v>
      </c>
      <c r="D67" s="12" t="n">
        <v>15</v>
      </c>
      <c r="E67" s="6" t="n">
        <v>63</v>
      </c>
      <c r="F67" s="17" t="n">
        <f aca="false">IFERROR(INDEX($B$5:$C$173, MATCH($E67, $B$5:$B$175, 0), 2), 0)*investment!$C$2</f>
        <v>0</v>
      </c>
      <c r="G67" s="6" t="n">
        <f aca="false">demand!C65</f>
        <v>0</v>
      </c>
      <c r="H67" s="2" t="n">
        <f aca="false">solgen!C65</f>
        <v>0</v>
      </c>
      <c r="I67" s="2" t="n">
        <f aca="false">import!C65</f>
        <v>0</v>
      </c>
      <c r="J67" s="2" t="n">
        <f aca="false">-export!C65</f>
        <v>-0</v>
      </c>
      <c r="K67" s="2" t="n">
        <f aca="false">-charge!C65</f>
        <v>-0</v>
      </c>
      <c r="L67" s="2" t="n">
        <f aca="false">discharge!C65</f>
        <v>0</v>
      </c>
      <c r="M67" s="2" t="n">
        <f aca="false">soc!C65/investment!$E$2 *100</f>
        <v>99.9959996619598</v>
      </c>
      <c r="N67" s="5" t="n">
        <f aca="false">p_micro!C64</f>
        <v>0</v>
      </c>
    </row>
    <row r="68" customFormat="false" ht="13.8" hidden="false" customHeight="false" outlineLevel="0" collapsed="false">
      <c r="B68" s="11" t="n">
        <f aca="false">_xlfn.NUMBERVALUE(solar!B65)</f>
        <v>131</v>
      </c>
      <c r="C68" s="12" t="n">
        <f aca="false">solar!C65</f>
        <v>0</v>
      </c>
      <c r="D68" s="12" t="n">
        <v>16</v>
      </c>
      <c r="E68" s="6" t="n">
        <v>64</v>
      </c>
      <c r="F68" s="17" t="n">
        <f aca="false">IFERROR(INDEX($B$5:$C$173, MATCH($E68, $B$5:$B$175, 0), 2), 0)*investment!$C$2</f>
        <v>0</v>
      </c>
      <c r="G68" s="6" t="n">
        <f aca="false">demand!C66</f>
        <v>0</v>
      </c>
      <c r="H68" s="2" t="n">
        <f aca="false">solgen!C66</f>
        <v>0</v>
      </c>
      <c r="I68" s="2" t="n">
        <f aca="false">import!C66</f>
        <v>0</v>
      </c>
      <c r="J68" s="2" t="n">
        <f aca="false">-export!C66</f>
        <v>-0</v>
      </c>
      <c r="K68" s="2" t="n">
        <f aca="false">-charge!C66</f>
        <v>-0</v>
      </c>
      <c r="L68" s="2" t="n">
        <f aca="false">discharge!C66</f>
        <v>0</v>
      </c>
      <c r="M68" s="2" t="n">
        <f aca="false">soc!C66/investment!$E$2 *100</f>
        <v>99.9949997047963</v>
      </c>
      <c r="N68" s="5" t="n">
        <f aca="false">p_micro!C65</f>
        <v>0</v>
      </c>
    </row>
    <row r="69" customFormat="false" ht="13.8" hidden="false" customHeight="false" outlineLevel="0" collapsed="false">
      <c r="B69" s="11" t="n">
        <f aca="false">_xlfn.NUMBERVALUE(solar!B66)</f>
        <v>132</v>
      </c>
      <c r="C69" s="12" t="n">
        <f aca="false">solar!C66</f>
        <v>0</v>
      </c>
      <c r="D69" s="12" t="n">
        <v>17</v>
      </c>
      <c r="E69" s="6" t="n">
        <v>65</v>
      </c>
      <c r="F69" s="17" t="n">
        <f aca="false">IFERROR(INDEX($B$5:$C$173, MATCH($E69, $B$5:$B$175, 0), 2), 0)*investment!$C$2</f>
        <v>0</v>
      </c>
      <c r="G69" s="6" t="n">
        <f aca="false">demand!C67</f>
        <v>0</v>
      </c>
      <c r="H69" s="2" t="n">
        <f aca="false">solgen!C67</f>
        <v>0</v>
      </c>
      <c r="I69" s="2" t="n">
        <f aca="false">import!C67</f>
        <v>0</v>
      </c>
      <c r="J69" s="2" t="n">
        <f aca="false">-export!C67</f>
        <v>-0</v>
      </c>
      <c r="K69" s="2" t="n">
        <f aca="false">-charge!C67</f>
        <v>-0</v>
      </c>
      <c r="L69" s="2" t="n">
        <f aca="false">discharge!C67</f>
        <v>0</v>
      </c>
      <c r="M69" s="2" t="n">
        <f aca="false">soc!C67/investment!$E$2 *100</f>
        <v>99.9939997576147</v>
      </c>
      <c r="N69" s="5" t="n">
        <f aca="false">p_micro!C66</f>
        <v>0</v>
      </c>
    </row>
    <row r="70" customFormat="false" ht="13.8" hidden="false" customHeight="false" outlineLevel="0" collapsed="false">
      <c r="B70" s="11" t="n">
        <f aca="false">_xlfn.NUMBERVALUE(solar!B67)</f>
        <v>133</v>
      </c>
      <c r="C70" s="12" t="n">
        <f aca="false">solar!C67</f>
        <v>0</v>
      </c>
      <c r="D70" s="12" t="n">
        <v>18</v>
      </c>
      <c r="E70" s="6" t="n">
        <v>66</v>
      </c>
      <c r="F70" s="17" t="n">
        <f aca="false">IFERROR(INDEX($B$5:$C$173, MATCH($E70, $B$5:$B$175, 0), 2), 0)*investment!$C$2</f>
        <v>0</v>
      </c>
      <c r="G70" s="6" t="n">
        <f aca="false">demand!C68</f>
        <v>0</v>
      </c>
      <c r="H70" s="2" t="n">
        <f aca="false">solgen!C68</f>
        <v>0</v>
      </c>
      <c r="I70" s="2" t="n">
        <f aca="false">import!C68</f>
        <v>0</v>
      </c>
      <c r="J70" s="2" t="n">
        <f aca="false">-export!C68</f>
        <v>-0</v>
      </c>
      <c r="K70" s="2" t="n">
        <f aca="false">-charge!C68</f>
        <v>-0</v>
      </c>
      <c r="L70" s="2" t="n">
        <f aca="false">discharge!C68</f>
        <v>0</v>
      </c>
      <c r="M70" s="2" t="n">
        <f aca="false">soc!C68/investment!$E$2 *100</f>
        <v>99.9929998204154</v>
      </c>
      <c r="N70" s="5" t="n">
        <f aca="false">p_micro!C67</f>
        <v>0</v>
      </c>
    </row>
    <row r="71" customFormat="false" ht="13.8" hidden="false" customHeight="false" outlineLevel="0" collapsed="false">
      <c r="B71" s="11" t="n">
        <f aca="false">_xlfn.NUMBERVALUE(solar!B68)</f>
        <v>134</v>
      </c>
      <c r="C71" s="12" t="n">
        <f aca="false">solar!C68</f>
        <v>0</v>
      </c>
      <c r="D71" s="12" t="n">
        <v>19</v>
      </c>
      <c r="E71" s="6" t="n">
        <v>67</v>
      </c>
      <c r="F71" s="17" t="n">
        <f aca="false">IFERROR(INDEX($B$5:$C$173, MATCH($E71, $B$5:$B$175, 0), 2), 0)*investment!$C$2</f>
        <v>0</v>
      </c>
      <c r="G71" s="6" t="n">
        <f aca="false">demand!C69</f>
        <v>0</v>
      </c>
      <c r="H71" s="2" t="n">
        <f aca="false">solgen!C69</f>
        <v>0</v>
      </c>
      <c r="I71" s="2" t="n">
        <f aca="false">import!C69</f>
        <v>0</v>
      </c>
      <c r="J71" s="2" t="n">
        <f aca="false">-export!C69</f>
        <v>-0</v>
      </c>
      <c r="K71" s="2" t="n">
        <f aca="false">-charge!C69</f>
        <v>-0</v>
      </c>
      <c r="L71" s="2" t="n">
        <f aca="false">discharge!C69</f>
        <v>0</v>
      </c>
      <c r="M71" s="2" t="n">
        <f aca="false">soc!C69/investment!$E$2 *100</f>
        <v>99.9919998951712</v>
      </c>
      <c r="N71" s="5" t="n">
        <f aca="false">p_micro!C68</f>
        <v>0</v>
      </c>
    </row>
    <row r="72" customFormat="false" ht="13.8" hidden="false" customHeight="false" outlineLevel="0" collapsed="false">
      <c r="B72" s="11" t="n">
        <f aca="false">_xlfn.NUMBERVALUE(solar!B69)</f>
        <v>135</v>
      </c>
      <c r="C72" s="12" t="n">
        <f aca="false">solar!C69</f>
        <v>0</v>
      </c>
      <c r="D72" s="12" t="n">
        <v>20</v>
      </c>
      <c r="E72" s="6" t="n">
        <v>68</v>
      </c>
      <c r="F72" s="17" t="n">
        <f aca="false">IFERROR(INDEX($B$5:$C$173, MATCH($E72, $B$5:$B$175, 0), 2), 0)*investment!$C$2</f>
        <v>0</v>
      </c>
      <c r="G72" s="6" t="n">
        <f aca="false">demand!C70</f>
        <v>0</v>
      </c>
      <c r="H72" s="2" t="n">
        <f aca="false">solgen!C70</f>
        <v>0</v>
      </c>
      <c r="I72" s="2" t="n">
        <f aca="false">import!C70</f>
        <v>0</v>
      </c>
      <c r="J72" s="2" t="n">
        <f aca="false">-export!C70</f>
        <v>-0</v>
      </c>
      <c r="K72" s="2" t="n">
        <f aca="false">-charge!C70</f>
        <v>-0</v>
      </c>
      <c r="L72" s="2" t="n">
        <f aca="false">discharge!C70</f>
        <v>0</v>
      </c>
      <c r="M72" s="2" t="n">
        <f aca="false">soc!C70/investment!$E$2 *100</f>
        <v>99.9910010086038</v>
      </c>
      <c r="N72" s="5" t="n">
        <f aca="false">p_micro!C69</f>
        <v>0</v>
      </c>
    </row>
    <row r="73" customFormat="false" ht="13.8" hidden="false" customHeight="false" outlineLevel="0" collapsed="false">
      <c r="B73" s="11" t="n">
        <f aca="false">_xlfn.NUMBERVALUE(solar!B70)</f>
        <v>136</v>
      </c>
      <c r="C73" s="12" t="n">
        <f aca="false">solar!C70</f>
        <v>0</v>
      </c>
      <c r="D73" s="12" t="n">
        <v>21</v>
      </c>
      <c r="E73" s="6" t="n">
        <v>69</v>
      </c>
      <c r="F73" s="17" t="n">
        <f aca="false">IFERROR(INDEX($B$5:$C$173, MATCH($E73, $B$5:$B$175, 0), 2), 0)*investment!$C$2</f>
        <v>0</v>
      </c>
      <c r="G73" s="6" t="n">
        <f aca="false">demand!C71</f>
        <v>0</v>
      </c>
      <c r="H73" s="2" t="n">
        <f aca="false">solgen!C71</f>
        <v>0</v>
      </c>
      <c r="I73" s="2" t="n">
        <f aca="false">import!C71</f>
        <v>0</v>
      </c>
      <c r="J73" s="2" t="n">
        <f aca="false">-export!C71</f>
        <v>-0</v>
      </c>
      <c r="K73" s="2" t="n">
        <f aca="false">-charge!C71</f>
        <v>-0</v>
      </c>
      <c r="L73" s="2" t="n">
        <f aca="false">discharge!C71</f>
        <v>0</v>
      </c>
      <c r="M73" s="2" t="n">
        <f aca="false">soc!C71/investment!$E$2 *100</f>
        <v>99.9900000424393</v>
      </c>
      <c r="N73" s="5" t="n">
        <f aca="false">p_micro!C70</f>
        <v>0</v>
      </c>
    </row>
    <row r="74" customFormat="false" ht="13.8" hidden="false" customHeight="false" outlineLevel="0" collapsed="false">
      <c r="B74" s="11" t="n">
        <f aca="false">_xlfn.NUMBERVALUE(solar!B71)</f>
        <v>137</v>
      </c>
      <c r="C74" s="12" t="n">
        <f aca="false">solar!C71</f>
        <v>0</v>
      </c>
      <c r="D74" s="12" t="n">
        <v>22</v>
      </c>
      <c r="E74" s="6" t="n">
        <v>70</v>
      </c>
      <c r="F74" s="17" t="n">
        <f aca="false">IFERROR(INDEX($B$5:$C$173, MATCH($E74, $B$5:$B$175, 0), 2), 0)*investment!$C$2</f>
        <v>0</v>
      </c>
      <c r="G74" s="6" t="n">
        <f aca="false">demand!C72</f>
        <v>0</v>
      </c>
      <c r="H74" s="2" t="n">
        <f aca="false">solgen!C72</f>
        <v>0</v>
      </c>
      <c r="I74" s="2" t="n">
        <f aca="false">import!C72</f>
        <v>0</v>
      </c>
      <c r="J74" s="2" t="n">
        <f aca="false">-export!C72</f>
        <v>-0</v>
      </c>
      <c r="K74" s="2" t="n">
        <f aca="false">-charge!C72</f>
        <v>-0</v>
      </c>
      <c r="L74" s="2" t="n">
        <f aca="false">discharge!C72</f>
        <v>0</v>
      </c>
      <c r="M74" s="2" t="n">
        <f aca="false">soc!C72/investment!$E$2 *100</f>
        <v>99.9890001431488</v>
      </c>
      <c r="N74" s="5" t="n">
        <f aca="false">p_micro!C71</f>
        <v>0</v>
      </c>
    </row>
    <row r="75" customFormat="false" ht="13.8" hidden="false" customHeight="false" outlineLevel="0" collapsed="false">
      <c r="B75" s="11" t="n">
        <f aca="false">_xlfn.NUMBERVALUE(solar!B72)</f>
        <v>138</v>
      </c>
      <c r="C75" s="12" t="n">
        <f aca="false">solar!C72</f>
        <v>0</v>
      </c>
      <c r="D75" s="12" t="n">
        <v>23</v>
      </c>
      <c r="E75" s="6" t="n">
        <v>71</v>
      </c>
      <c r="F75" s="17" t="n">
        <f aca="false">IFERROR(INDEX($B$5:$C$173, MATCH($E75, $B$5:$B$175, 0), 2), 0)*investment!$C$2</f>
        <v>0</v>
      </c>
      <c r="G75" s="6" t="n">
        <f aca="false">demand!C73</f>
        <v>0</v>
      </c>
      <c r="H75" s="2" t="n">
        <f aca="false">solgen!C73</f>
        <v>0</v>
      </c>
      <c r="I75" s="2" t="n">
        <f aca="false">import!C73</f>
        <v>0</v>
      </c>
      <c r="J75" s="2" t="n">
        <f aca="false">-export!C73</f>
        <v>-0</v>
      </c>
      <c r="K75" s="2" t="n">
        <f aca="false">-charge!C73</f>
        <v>-0</v>
      </c>
      <c r="L75" s="2" t="n">
        <f aca="false">discharge!C73</f>
        <v>0</v>
      </c>
      <c r="M75" s="2" t="n">
        <f aca="false">soc!C73/investment!$E$2 *100</f>
        <v>99.9880002558597</v>
      </c>
      <c r="N75" s="5" t="n">
        <f aca="false">p_micro!C72</f>
        <v>0</v>
      </c>
    </row>
    <row r="76" customFormat="false" ht="13.8" hidden="false" customHeight="false" outlineLevel="0" collapsed="false">
      <c r="B76" s="11" t="n">
        <f aca="false">_xlfn.NUMBERVALUE(solar!B73)</f>
        <v>139</v>
      </c>
      <c r="C76" s="12" t="n">
        <f aca="false">solar!C73</f>
        <v>0</v>
      </c>
      <c r="D76" s="12" t="n">
        <v>24</v>
      </c>
      <c r="E76" s="6" t="n">
        <v>72</v>
      </c>
      <c r="F76" s="17" t="n">
        <f aca="false">IFERROR(INDEX($B$5:$C$173, MATCH($E76, $B$5:$B$175, 0), 2), 0)*investment!$C$2</f>
        <v>0</v>
      </c>
      <c r="G76" s="6" t="n">
        <f aca="false">demand!C74</f>
        <v>0</v>
      </c>
      <c r="H76" s="2" t="n">
        <f aca="false">solgen!C74</f>
        <v>0</v>
      </c>
      <c r="I76" s="2" t="n">
        <f aca="false">import!C74</f>
        <v>0</v>
      </c>
      <c r="J76" s="2" t="n">
        <f aca="false">-export!C74</f>
        <v>-0</v>
      </c>
      <c r="K76" s="2" t="n">
        <f aca="false">-charge!C74</f>
        <v>-0</v>
      </c>
      <c r="L76" s="2" t="n">
        <f aca="false">discharge!C74</f>
        <v>0</v>
      </c>
      <c r="M76" s="2" t="n">
        <f aca="false">soc!C74/investment!$E$2 *100</f>
        <v>99.9870003785522</v>
      </c>
      <c r="N76" s="5" t="n">
        <f aca="false">p_micro!C73</f>
        <v>0</v>
      </c>
    </row>
    <row r="77" customFormat="false" ht="13.8" hidden="false" customHeight="false" outlineLevel="0" collapsed="false">
      <c r="B77" s="11" t="n">
        <f aca="false">_xlfn.NUMBERVALUE(solar!B74)</f>
        <v>152</v>
      </c>
      <c r="C77" s="12" t="n">
        <f aca="false">solar!C74</f>
        <v>0</v>
      </c>
      <c r="D77" s="12" t="n">
        <v>1</v>
      </c>
      <c r="E77" s="6" t="n">
        <v>73</v>
      </c>
      <c r="F77" s="17" t="n">
        <f aca="false">IFERROR(INDEX($B$5:$C$173, MATCH($E77, $B$5:$B$175, 0), 2), 0)*investment!$C$2</f>
        <v>0</v>
      </c>
      <c r="G77" s="6" t="n">
        <f aca="false">demand!C75</f>
        <v>0</v>
      </c>
      <c r="H77" s="2" t="n">
        <f aca="false">solgen!C75</f>
        <v>0</v>
      </c>
      <c r="I77" s="2" t="n">
        <f aca="false">import!C75</f>
        <v>0</v>
      </c>
      <c r="J77" s="2" t="n">
        <f aca="false">-export!C75</f>
        <v>-0</v>
      </c>
      <c r="K77" s="2" t="n">
        <f aca="false">-charge!C75</f>
        <v>-0</v>
      </c>
      <c r="L77" s="2" t="n">
        <f aca="false">discharge!C75</f>
        <v>0</v>
      </c>
      <c r="M77" s="2" t="n">
        <f aca="false">soc!C75/investment!$E$2 *100</f>
        <v>99.9860005112034</v>
      </c>
      <c r="N77" s="5" t="n">
        <f aca="false">p_micro!C74</f>
        <v>0</v>
      </c>
    </row>
    <row r="78" customFormat="false" ht="13.8" hidden="false" customHeight="false" outlineLevel="0" collapsed="false">
      <c r="B78" s="11" t="n">
        <f aca="false">_xlfn.NUMBERVALUE(solar!B75)</f>
        <v>153</v>
      </c>
      <c r="C78" s="12" t="n">
        <f aca="false">solar!C75</f>
        <v>0</v>
      </c>
      <c r="D78" s="12" t="n">
        <v>2</v>
      </c>
      <c r="E78" s="6" t="n">
        <v>74</v>
      </c>
      <c r="F78" s="17" t="n">
        <f aca="false">IFERROR(INDEX($B$5:$C$173, MATCH($E78, $B$5:$B$175, 0), 2), 0)*investment!$C$2</f>
        <v>0</v>
      </c>
      <c r="G78" s="6" t="n">
        <f aca="false">demand!C76</f>
        <v>0</v>
      </c>
      <c r="H78" s="2" t="n">
        <f aca="false">solgen!C76</f>
        <v>0</v>
      </c>
      <c r="I78" s="2" t="n">
        <f aca="false">import!C76</f>
        <v>0</v>
      </c>
      <c r="J78" s="2" t="n">
        <f aca="false">-export!C76</f>
        <v>-0</v>
      </c>
      <c r="K78" s="2" t="n">
        <f aca="false">-charge!C76</f>
        <v>-0</v>
      </c>
      <c r="L78" s="2" t="n">
        <f aca="false">discharge!C76</f>
        <v>0</v>
      </c>
      <c r="M78" s="2" t="n">
        <f aca="false">soc!C76/investment!$E$2 *100</f>
        <v>99.9850006538535</v>
      </c>
      <c r="N78" s="5" t="n">
        <f aca="false">p_micro!C75</f>
        <v>0</v>
      </c>
    </row>
    <row r="79" customFormat="false" ht="13.8" hidden="false" customHeight="false" outlineLevel="0" collapsed="false">
      <c r="B79" s="11" t="n">
        <f aca="false">_xlfn.NUMBERVALUE(solar!B76)</f>
        <v>154</v>
      </c>
      <c r="C79" s="12" t="n">
        <f aca="false">solar!C76</f>
        <v>0</v>
      </c>
      <c r="D79" s="12" t="n">
        <v>3</v>
      </c>
      <c r="E79" s="6" t="n">
        <v>75</v>
      </c>
      <c r="F79" s="17" t="n">
        <f aca="false">IFERROR(INDEX($B$5:$C$173, MATCH($E79, $B$5:$B$175, 0), 2), 0)*investment!$C$2</f>
        <v>0</v>
      </c>
      <c r="G79" s="6" t="n">
        <f aca="false">demand!C77</f>
        <v>0</v>
      </c>
      <c r="H79" s="2" t="n">
        <f aca="false">solgen!C77</f>
        <v>0</v>
      </c>
      <c r="I79" s="2" t="n">
        <f aca="false">import!C77</f>
        <v>0</v>
      </c>
      <c r="J79" s="2" t="n">
        <f aca="false">-export!C77</f>
        <v>-0</v>
      </c>
      <c r="K79" s="2" t="n">
        <f aca="false">-charge!C77</f>
        <v>-0</v>
      </c>
      <c r="L79" s="2" t="n">
        <f aca="false">discharge!C77</f>
        <v>0</v>
      </c>
      <c r="M79" s="2" t="n">
        <f aca="false">soc!C77/investment!$E$2 *100</f>
        <v>99.9840008064896</v>
      </c>
      <c r="N79" s="5" t="n">
        <f aca="false">p_micro!C76</f>
        <v>0</v>
      </c>
    </row>
    <row r="80" customFormat="false" ht="13.8" hidden="false" customHeight="false" outlineLevel="0" collapsed="false">
      <c r="B80" s="11" t="n">
        <f aca="false">_xlfn.NUMBERVALUE(solar!B77)</f>
        <v>155</v>
      </c>
      <c r="C80" s="12" t="n">
        <f aca="false">solar!C77</f>
        <v>0</v>
      </c>
      <c r="D80" s="12" t="n">
        <v>4</v>
      </c>
      <c r="E80" s="6" t="n">
        <v>76</v>
      </c>
      <c r="F80" s="17" t="n">
        <f aca="false">IFERROR(INDEX($B$5:$C$173, MATCH($E80, $B$5:$B$175, 0), 2), 0)*investment!$C$2</f>
        <v>0</v>
      </c>
      <c r="G80" s="6" t="n">
        <f aca="false">demand!C78</f>
        <v>0</v>
      </c>
      <c r="H80" s="2" t="n">
        <f aca="false">solgen!C78</f>
        <v>0</v>
      </c>
      <c r="I80" s="2" t="n">
        <f aca="false">import!C78</f>
        <v>0</v>
      </c>
      <c r="J80" s="2" t="n">
        <f aca="false">-export!C78</f>
        <v>-0</v>
      </c>
      <c r="K80" s="2" t="n">
        <f aca="false">-charge!C78</f>
        <v>-0</v>
      </c>
      <c r="L80" s="2" t="n">
        <f aca="false">discharge!C78</f>
        <v>0</v>
      </c>
      <c r="M80" s="2" t="n">
        <f aca="false">soc!C78/investment!$E$2 *100</f>
        <v>99.9830009691069</v>
      </c>
      <c r="N80" s="5" t="n">
        <f aca="false">p_micro!C77</f>
        <v>0</v>
      </c>
    </row>
    <row r="81" customFormat="false" ht="13.8" hidden="false" customHeight="false" outlineLevel="0" collapsed="false">
      <c r="B81" s="11" t="n">
        <f aca="false">_xlfn.NUMBERVALUE(solar!B78)</f>
        <v>156</v>
      </c>
      <c r="C81" s="12" t="n">
        <f aca="false">solar!C78</f>
        <v>0</v>
      </c>
      <c r="D81" s="12" t="n">
        <v>5</v>
      </c>
      <c r="E81" s="6" t="n">
        <v>77</v>
      </c>
      <c r="F81" s="17" t="n">
        <f aca="false">IFERROR(INDEX($B$5:$C$173, MATCH($E81, $B$5:$B$175, 0), 2), 0)*investment!$C$2</f>
        <v>0</v>
      </c>
      <c r="G81" s="6" t="n">
        <f aca="false">demand!C79</f>
        <v>0</v>
      </c>
      <c r="H81" s="2" t="n">
        <f aca="false">solgen!C79</f>
        <v>0</v>
      </c>
      <c r="I81" s="2" t="n">
        <f aca="false">import!C79</f>
        <v>0</v>
      </c>
      <c r="J81" s="2" t="n">
        <f aca="false">-export!C79</f>
        <v>-0</v>
      </c>
      <c r="K81" s="2" t="n">
        <f aca="false">-charge!C79</f>
        <v>-0</v>
      </c>
      <c r="L81" s="2" t="n">
        <f aca="false">discharge!C79</f>
        <v>0</v>
      </c>
      <c r="M81" s="2" t="n">
        <f aca="false">soc!C79/investment!$E$2 *100</f>
        <v>99.9820011417054</v>
      </c>
      <c r="N81" s="5" t="n">
        <f aca="false">p_micro!C78</f>
        <v>0</v>
      </c>
    </row>
    <row r="82" customFormat="false" ht="13.8" hidden="false" customHeight="false" outlineLevel="0" collapsed="false">
      <c r="B82" s="11" t="n">
        <f aca="false">_xlfn.NUMBERVALUE(solar!B79)</f>
        <v>157</v>
      </c>
      <c r="C82" s="12" t="n">
        <f aca="false">solar!C79</f>
        <v>0</v>
      </c>
      <c r="D82" s="12" t="n">
        <v>6</v>
      </c>
      <c r="E82" s="6" t="n">
        <v>78</v>
      </c>
      <c r="F82" s="17" t="n">
        <f aca="false">IFERROR(INDEX($B$5:$C$173, MATCH($E82, $B$5:$B$175, 0), 2), 0)*investment!$C$2</f>
        <v>0</v>
      </c>
      <c r="G82" s="6" t="n">
        <f aca="false">demand!C80</f>
        <v>0</v>
      </c>
      <c r="H82" s="2" t="n">
        <f aca="false">solgen!C80</f>
        <v>0</v>
      </c>
      <c r="I82" s="2" t="n">
        <f aca="false">import!C80</f>
        <v>0</v>
      </c>
      <c r="J82" s="2" t="n">
        <f aca="false">-export!C80</f>
        <v>-0</v>
      </c>
      <c r="K82" s="2" t="n">
        <f aca="false">-charge!C80</f>
        <v>-0</v>
      </c>
      <c r="L82" s="2" t="n">
        <f aca="false">discharge!C80</f>
        <v>0</v>
      </c>
      <c r="M82" s="2" t="n">
        <f aca="false">soc!C80/investment!$E$2 *100</f>
        <v>99.9810013242849</v>
      </c>
      <c r="N82" s="5" t="n">
        <f aca="false">p_micro!C79</f>
        <v>0</v>
      </c>
    </row>
    <row r="83" customFormat="false" ht="13.8" hidden="false" customHeight="false" outlineLevel="0" collapsed="false">
      <c r="B83" s="11" t="n">
        <f aca="false">_xlfn.NUMBERVALUE(solar!B80)</f>
        <v>158</v>
      </c>
      <c r="C83" s="12" t="n">
        <f aca="false">solar!C80</f>
        <v>0</v>
      </c>
      <c r="D83" s="12" t="n">
        <v>7</v>
      </c>
      <c r="E83" s="6" t="n">
        <v>79</v>
      </c>
      <c r="F83" s="17" t="n">
        <f aca="false">IFERROR(INDEX($B$5:$C$173, MATCH($E83, $B$5:$B$175, 0), 2), 0)*investment!$C$2</f>
        <v>0</v>
      </c>
      <c r="G83" s="6" t="n">
        <f aca="false">demand!C81</f>
        <v>0</v>
      </c>
      <c r="H83" s="2" t="n">
        <f aca="false">solgen!C81</f>
        <v>0</v>
      </c>
      <c r="I83" s="2" t="n">
        <f aca="false">import!C81</f>
        <v>0</v>
      </c>
      <c r="J83" s="2" t="n">
        <f aca="false">-export!C81</f>
        <v>-0</v>
      </c>
      <c r="K83" s="2" t="n">
        <f aca="false">-charge!C81</f>
        <v>-0</v>
      </c>
      <c r="L83" s="2" t="n">
        <f aca="false">discharge!C81</f>
        <v>0</v>
      </c>
      <c r="M83" s="2" t="n">
        <f aca="false">soc!C81/investment!$E$2 *100</f>
        <v>99.9800015168453</v>
      </c>
      <c r="N83" s="5" t="n">
        <f aca="false">p_micro!C80</f>
        <v>0</v>
      </c>
    </row>
    <row r="84" customFormat="false" ht="13.8" hidden="false" customHeight="false" outlineLevel="0" collapsed="false">
      <c r="B84" s="11" t="n">
        <f aca="false">_xlfn.NUMBERVALUE(solar!B81)</f>
        <v>159</v>
      </c>
      <c r="C84" s="12" t="n">
        <f aca="false">solar!C81</f>
        <v>0</v>
      </c>
      <c r="D84" s="12" t="n">
        <v>8</v>
      </c>
      <c r="E84" s="6" t="n">
        <v>80</v>
      </c>
      <c r="F84" s="17" t="n">
        <f aca="false">IFERROR(INDEX($B$5:$C$173, MATCH($E84, $B$5:$B$175, 0), 2), 0)*investment!$C$2</f>
        <v>0</v>
      </c>
      <c r="G84" s="6" t="n">
        <f aca="false">demand!C82</f>
        <v>0</v>
      </c>
      <c r="H84" s="2" t="n">
        <f aca="false">solgen!C82</f>
        <v>0</v>
      </c>
      <c r="I84" s="2" t="n">
        <f aca="false">import!C82</f>
        <v>0</v>
      </c>
      <c r="J84" s="2" t="n">
        <f aca="false">-export!C82</f>
        <v>-0</v>
      </c>
      <c r="K84" s="2" t="n">
        <f aca="false">-charge!C82</f>
        <v>-0</v>
      </c>
      <c r="L84" s="2" t="n">
        <f aca="false">discharge!C82</f>
        <v>0</v>
      </c>
      <c r="M84" s="2" t="n">
        <f aca="false">soc!C82/investment!$E$2 *100</f>
        <v>99.9790017193865</v>
      </c>
      <c r="N84" s="5" t="n">
        <f aca="false">p_micro!C81</f>
        <v>0</v>
      </c>
    </row>
    <row r="85" customFormat="false" ht="13.8" hidden="false" customHeight="false" outlineLevel="0" collapsed="false">
      <c r="B85" s="11" t="n">
        <f aca="false">_xlfn.NUMBERVALUE(solar!B82)</f>
        <v>160</v>
      </c>
      <c r="C85" s="12" t="n">
        <f aca="false">solar!C82</f>
        <v>0</v>
      </c>
      <c r="D85" s="12" t="n">
        <v>9</v>
      </c>
      <c r="E85" s="6" t="n">
        <v>81</v>
      </c>
      <c r="F85" s="17" t="n">
        <f aca="false">IFERROR(INDEX($B$5:$C$173, MATCH($E85, $B$5:$B$175, 0), 2), 0)*investment!$C$2</f>
        <v>0</v>
      </c>
      <c r="G85" s="6" t="n">
        <f aca="false">demand!C83</f>
        <v>0</v>
      </c>
      <c r="H85" s="2" t="n">
        <f aca="false">solgen!C83</f>
        <v>0</v>
      </c>
      <c r="I85" s="2" t="n">
        <f aca="false">import!C83</f>
        <v>0</v>
      </c>
      <c r="J85" s="2" t="n">
        <f aca="false">-export!C83</f>
        <v>-0</v>
      </c>
      <c r="K85" s="2" t="n">
        <f aca="false">-charge!C83</f>
        <v>-0</v>
      </c>
      <c r="L85" s="2" t="n">
        <f aca="false">discharge!C83</f>
        <v>0</v>
      </c>
      <c r="M85" s="2" t="n">
        <f aca="false">soc!C83/investment!$E$2 *100</f>
        <v>99.9780019319085</v>
      </c>
      <c r="N85" s="5" t="n">
        <f aca="false">p_micro!C82</f>
        <v>0</v>
      </c>
    </row>
    <row r="86" customFormat="false" ht="13.8" hidden="false" customHeight="false" outlineLevel="0" collapsed="false">
      <c r="B86" s="11" t="n">
        <f aca="false">_xlfn.NUMBERVALUE(solar!B83)</f>
        <v>161</v>
      </c>
      <c r="C86" s="12" t="n">
        <f aca="false">solar!C83</f>
        <v>0</v>
      </c>
      <c r="D86" s="12" t="n">
        <v>10</v>
      </c>
      <c r="E86" s="6" t="n">
        <v>82</v>
      </c>
      <c r="F86" s="17" t="n">
        <f aca="false">IFERROR(INDEX($B$5:$C$173, MATCH($E86, $B$5:$B$175, 0), 2), 0)*investment!$C$2</f>
        <v>0</v>
      </c>
      <c r="G86" s="6" t="n">
        <f aca="false">demand!C84</f>
        <v>0</v>
      </c>
      <c r="H86" s="2" t="n">
        <f aca="false">solgen!C84</f>
        <v>0</v>
      </c>
      <c r="I86" s="2" t="n">
        <f aca="false">import!C84</f>
        <v>0</v>
      </c>
      <c r="J86" s="2" t="n">
        <f aca="false">-export!C84</f>
        <v>-0</v>
      </c>
      <c r="K86" s="2" t="n">
        <f aca="false">-charge!C84</f>
        <v>-0</v>
      </c>
      <c r="L86" s="2" t="n">
        <f aca="false">discharge!C84</f>
        <v>0</v>
      </c>
      <c r="M86" s="2" t="n">
        <f aca="false">soc!C84/investment!$E$2 *100</f>
        <v>99.9770021544111</v>
      </c>
      <c r="N86" s="5" t="n">
        <f aca="false">p_micro!C83</f>
        <v>0</v>
      </c>
    </row>
    <row r="87" customFormat="false" ht="13.8" hidden="false" customHeight="false" outlineLevel="0" collapsed="false">
      <c r="B87" s="11" t="n">
        <f aca="false">_xlfn.NUMBERVALUE(solar!B84)</f>
        <v>162</v>
      </c>
      <c r="C87" s="12" t="n">
        <f aca="false">solar!C84</f>
        <v>0</v>
      </c>
      <c r="D87" s="12" t="n">
        <v>11</v>
      </c>
      <c r="E87" s="6" t="n">
        <v>83</v>
      </c>
      <c r="F87" s="17" t="n">
        <f aca="false">IFERROR(INDEX($B$5:$C$173, MATCH($E87, $B$5:$B$175, 0), 2), 0)*investment!$C$2</f>
        <v>0</v>
      </c>
      <c r="G87" s="6" t="n">
        <f aca="false">demand!C85</f>
        <v>0</v>
      </c>
      <c r="H87" s="2" t="n">
        <f aca="false">solgen!C85</f>
        <v>0</v>
      </c>
      <c r="I87" s="2" t="n">
        <f aca="false">import!C85</f>
        <v>0</v>
      </c>
      <c r="J87" s="2" t="n">
        <f aca="false">-export!C85</f>
        <v>-0</v>
      </c>
      <c r="K87" s="2" t="n">
        <f aca="false">-charge!C85</f>
        <v>-0</v>
      </c>
      <c r="L87" s="2" t="n">
        <f aca="false">discharge!C85</f>
        <v>0</v>
      </c>
      <c r="M87" s="2" t="n">
        <f aca="false">soc!C85/investment!$E$2 *100</f>
        <v>99.9760023868943</v>
      </c>
      <c r="N87" s="5" t="n">
        <f aca="false">p_micro!C84</f>
        <v>0</v>
      </c>
    </row>
    <row r="88" customFormat="false" ht="13.8" hidden="false" customHeight="false" outlineLevel="0" collapsed="false">
      <c r="B88" s="11" t="n">
        <f aca="false">_xlfn.NUMBERVALUE(solar!B85)</f>
        <v>163</v>
      </c>
      <c r="C88" s="12" t="n">
        <f aca="false">solar!C85</f>
        <v>0</v>
      </c>
      <c r="D88" s="12" t="n">
        <v>12</v>
      </c>
      <c r="E88" s="6" t="n">
        <v>84</v>
      </c>
      <c r="F88" s="17" t="n">
        <f aca="false">IFERROR(INDEX($B$5:$C$173, MATCH($E88, $B$5:$B$175, 0), 2), 0)*investment!$C$2</f>
        <v>0</v>
      </c>
      <c r="G88" s="6" t="n">
        <f aca="false">demand!C86</f>
        <v>0</v>
      </c>
      <c r="H88" s="2" t="n">
        <f aca="false">solgen!C86</f>
        <v>0</v>
      </c>
      <c r="I88" s="2" t="n">
        <f aca="false">import!C86</f>
        <v>0</v>
      </c>
      <c r="J88" s="2" t="n">
        <f aca="false">-export!C86</f>
        <v>-0</v>
      </c>
      <c r="K88" s="2" t="n">
        <f aca="false">-charge!C86</f>
        <v>-0</v>
      </c>
      <c r="L88" s="2" t="n">
        <f aca="false">discharge!C86</f>
        <v>0</v>
      </c>
      <c r="M88" s="2" t="n">
        <f aca="false">soc!C86/investment!$E$2 *100</f>
        <v>99.9750026293578</v>
      </c>
      <c r="N88" s="5" t="n">
        <f aca="false">p_micro!C85</f>
        <v>0</v>
      </c>
    </row>
    <row r="89" customFormat="false" ht="13.8" hidden="false" customHeight="false" outlineLevel="0" collapsed="false">
      <c r="B89" s="11" t="n">
        <f aca="false">_xlfn.NUMBERVALUE(solar!B86)</f>
        <v>0</v>
      </c>
      <c r="C89" s="12" t="n">
        <f aca="false">solar!C86</f>
        <v>0</v>
      </c>
      <c r="D89" s="12" t="n">
        <v>13</v>
      </c>
      <c r="E89" s="6" t="n">
        <v>85</v>
      </c>
      <c r="F89" s="17" t="n">
        <f aca="false">IFERROR(INDEX($B$5:$C$173, MATCH($E89, $B$5:$B$175, 0), 2), 0)*investment!$C$2</f>
        <v>0</v>
      </c>
      <c r="G89" s="6" t="n">
        <f aca="false">demand!C87</f>
        <v>0</v>
      </c>
      <c r="H89" s="2" t="n">
        <f aca="false">solgen!C87</f>
        <v>0</v>
      </c>
      <c r="I89" s="2" t="n">
        <f aca="false">import!C87</f>
        <v>0</v>
      </c>
      <c r="J89" s="2" t="n">
        <f aca="false">-export!C87</f>
        <v>-0</v>
      </c>
      <c r="K89" s="2" t="n">
        <f aca="false">-charge!C87</f>
        <v>-0</v>
      </c>
      <c r="L89" s="2" t="n">
        <f aca="false">discharge!C87</f>
        <v>0</v>
      </c>
      <c r="M89" s="2" t="n">
        <f aca="false">soc!C87/investment!$E$2 *100</f>
        <v>99.9740028818017</v>
      </c>
      <c r="N89" s="5" t="n">
        <f aca="false">p_micro!C86</f>
        <v>0</v>
      </c>
    </row>
    <row r="90" customFormat="false" ht="13.8" hidden="false" customHeight="false" outlineLevel="0" collapsed="false">
      <c r="B90" s="11" t="n">
        <f aca="false">_xlfn.NUMBERVALUE(solar!B87)</f>
        <v>0</v>
      </c>
      <c r="C90" s="12" t="n">
        <f aca="false">solar!C87</f>
        <v>0</v>
      </c>
      <c r="D90" s="12" t="n">
        <v>14</v>
      </c>
      <c r="E90" s="6" t="n">
        <v>86</v>
      </c>
      <c r="F90" s="17" t="n">
        <f aca="false">IFERROR(INDEX($B$5:$C$173, MATCH($E90, $B$5:$B$175, 0), 2), 0)*investment!$C$2</f>
        <v>0</v>
      </c>
      <c r="G90" s="6" t="n">
        <f aca="false">demand!C88</f>
        <v>0</v>
      </c>
      <c r="H90" s="2" t="n">
        <f aca="false">solgen!C88</f>
        <v>0</v>
      </c>
      <c r="I90" s="2" t="n">
        <f aca="false">import!C88</f>
        <v>0</v>
      </c>
      <c r="J90" s="2" t="n">
        <f aca="false">-export!C88</f>
        <v>-0</v>
      </c>
      <c r="K90" s="2" t="n">
        <f aca="false">-charge!C88</f>
        <v>-0</v>
      </c>
      <c r="L90" s="2" t="n">
        <f aca="false">discharge!C88</f>
        <v>0</v>
      </c>
      <c r="M90" s="2" t="n">
        <f aca="false">soc!C88/investment!$E$2 *100</f>
        <v>99.9730031442259</v>
      </c>
      <c r="N90" s="5" t="n">
        <f aca="false">p_micro!C87</f>
        <v>0</v>
      </c>
    </row>
    <row r="91" customFormat="false" ht="13.8" hidden="false" customHeight="false" outlineLevel="0" collapsed="false">
      <c r="B91" s="11" t="n">
        <f aca="false">_xlfn.NUMBERVALUE(solar!B88)</f>
        <v>0</v>
      </c>
      <c r="C91" s="12" t="n">
        <f aca="false">solar!C88</f>
        <v>0</v>
      </c>
      <c r="D91" s="12" t="n">
        <v>15</v>
      </c>
      <c r="E91" s="6" t="n">
        <v>87</v>
      </c>
      <c r="F91" s="17" t="n">
        <f aca="false">IFERROR(INDEX($B$5:$C$173, MATCH($E91, $B$5:$B$175, 0), 2), 0)*investment!$C$2</f>
        <v>0</v>
      </c>
      <c r="G91" s="6" t="n">
        <f aca="false">demand!C89</f>
        <v>0</v>
      </c>
      <c r="H91" s="2" t="n">
        <f aca="false">solgen!C89</f>
        <v>0</v>
      </c>
      <c r="I91" s="2" t="n">
        <f aca="false">import!C89</f>
        <v>0</v>
      </c>
      <c r="J91" s="2" t="n">
        <f aca="false">-export!C89</f>
        <v>-0</v>
      </c>
      <c r="K91" s="2" t="n">
        <f aca="false">-charge!C89</f>
        <v>-0</v>
      </c>
      <c r="L91" s="2" t="n">
        <f aca="false">discharge!C89</f>
        <v>0</v>
      </c>
      <c r="M91" s="2" t="n">
        <f aca="false">soc!C89/investment!$E$2 *100</f>
        <v>99.9720034166301</v>
      </c>
      <c r="N91" s="5" t="n">
        <f aca="false">p_micro!C88</f>
        <v>0</v>
      </c>
    </row>
    <row r="92" customFormat="false" ht="13.8" hidden="false" customHeight="false" outlineLevel="0" collapsed="false">
      <c r="B92" s="11" t="n">
        <f aca="false">_xlfn.NUMBERVALUE(solar!B89)</f>
        <v>0</v>
      </c>
      <c r="C92" s="12" t="n">
        <f aca="false">solar!C89</f>
        <v>0</v>
      </c>
      <c r="D92" s="12" t="n">
        <v>16</v>
      </c>
      <c r="E92" s="6" t="n">
        <v>88</v>
      </c>
      <c r="F92" s="17" t="n">
        <f aca="false">IFERROR(INDEX($B$5:$C$173, MATCH($E92, $B$5:$B$175, 0), 2), 0)*investment!$C$2</f>
        <v>0</v>
      </c>
      <c r="G92" s="6" t="n">
        <f aca="false">demand!C90</f>
        <v>0</v>
      </c>
      <c r="H92" s="2" t="n">
        <f aca="false">solgen!C90</f>
        <v>0</v>
      </c>
      <c r="I92" s="2" t="n">
        <f aca="false">import!C90</f>
        <v>0</v>
      </c>
      <c r="J92" s="2" t="n">
        <f aca="false">-export!C90</f>
        <v>-0</v>
      </c>
      <c r="K92" s="2" t="n">
        <f aca="false">-charge!C90</f>
        <v>-0</v>
      </c>
      <c r="L92" s="2" t="n">
        <f aca="false">discharge!C90</f>
        <v>0</v>
      </c>
      <c r="M92" s="2" t="n">
        <f aca="false">soc!C90/investment!$E$2 *100</f>
        <v>99.9710036990144</v>
      </c>
      <c r="N92" s="5" t="n">
        <f aca="false">p_micro!C89</f>
        <v>0</v>
      </c>
    </row>
    <row r="93" customFormat="false" ht="13.8" hidden="false" customHeight="false" outlineLevel="0" collapsed="false">
      <c r="B93" s="11" t="n">
        <f aca="false">_xlfn.NUMBERVALUE(solar!B90)</f>
        <v>0</v>
      </c>
      <c r="C93" s="12" t="n">
        <f aca="false">solar!C90</f>
        <v>0</v>
      </c>
      <c r="D93" s="12" t="n">
        <v>17</v>
      </c>
      <c r="E93" s="6" t="n">
        <v>89</v>
      </c>
      <c r="F93" s="17" t="n">
        <f aca="false">IFERROR(INDEX($B$5:$C$173, MATCH($E93, $B$5:$B$175, 0), 2), 0)*investment!$C$2</f>
        <v>0</v>
      </c>
      <c r="G93" s="6" t="n">
        <f aca="false">demand!C91</f>
        <v>0</v>
      </c>
      <c r="H93" s="2" t="n">
        <f aca="false">solgen!C91</f>
        <v>0</v>
      </c>
      <c r="I93" s="2" t="n">
        <f aca="false">import!C91</f>
        <v>0</v>
      </c>
      <c r="J93" s="2" t="n">
        <f aca="false">-export!C91</f>
        <v>-0</v>
      </c>
      <c r="K93" s="2" t="n">
        <f aca="false">-charge!C91</f>
        <v>-0</v>
      </c>
      <c r="L93" s="2" t="n">
        <f aca="false">discharge!C91</f>
        <v>0</v>
      </c>
      <c r="M93" s="2" t="n">
        <f aca="false">soc!C91/investment!$E$2 *100</f>
        <v>99.9700039913786</v>
      </c>
      <c r="N93" s="5" t="n">
        <f aca="false">p_micro!C90</f>
        <v>0</v>
      </c>
    </row>
    <row r="94" customFormat="false" ht="13.8" hidden="false" customHeight="false" outlineLevel="0" collapsed="false">
      <c r="B94" s="11" t="n">
        <f aca="false">_xlfn.NUMBERVALUE(solar!B91)</f>
        <v>0</v>
      </c>
      <c r="C94" s="12" t="n">
        <f aca="false">solar!C91</f>
        <v>0</v>
      </c>
      <c r="D94" s="12" t="n">
        <v>18</v>
      </c>
      <c r="E94" s="6" t="n">
        <v>90</v>
      </c>
      <c r="F94" s="17" t="n">
        <f aca="false">IFERROR(INDEX($B$5:$C$173, MATCH($E94, $B$5:$B$175, 0), 2), 0)*investment!$C$2</f>
        <v>0</v>
      </c>
      <c r="G94" s="6" t="n">
        <f aca="false">demand!C92</f>
        <v>0</v>
      </c>
      <c r="H94" s="2" t="n">
        <f aca="false">solgen!C92</f>
        <v>0</v>
      </c>
      <c r="I94" s="2" t="n">
        <f aca="false">import!C92</f>
        <v>0</v>
      </c>
      <c r="J94" s="2" t="n">
        <f aca="false">-export!C92</f>
        <v>-0</v>
      </c>
      <c r="K94" s="2" t="n">
        <f aca="false">-charge!C92</f>
        <v>-0</v>
      </c>
      <c r="L94" s="2" t="n">
        <f aca="false">discharge!C92</f>
        <v>0</v>
      </c>
      <c r="M94" s="2" t="n">
        <f aca="false">soc!C92/investment!$E$2 *100</f>
        <v>99.9690042937227</v>
      </c>
      <c r="N94" s="5" t="n">
        <f aca="false">p_micro!C91</f>
        <v>0</v>
      </c>
    </row>
    <row r="95" customFormat="false" ht="13.8" hidden="false" customHeight="false" outlineLevel="0" collapsed="false">
      <c r="B95" s="11" t="n">
        <f aca="false">_xlfn.NUMBERVALUE(solar!B92)</f>
        <v>0</v>
      </c>
      <c r="C95" s="12" t="n">
        <f aca="false">solar!C92</f>
        <v>0</v>
      </c>
      <c r="D95" s="12" t="n">
        <v>19</v>
      </c>
      <c r="E95" s="6" t="n">
        <v>91</v>
      </c>
      <c r="F95" s="17" t="n">
        <f aca="false">IFERROR(INDEX($B$5:$C$173, MATCH($E95, $B$5:$B$175, 0), 2), 0)*investment!$C$2</f>
        <v>0</v>
      </c>
      <c r="G95" s="6" t="n">
        <f aca="false">demand!C93</f>
        <v>0</v>
      </c>
      <c r="H95" s="2" t="n">
        <f aca="false">solgen!C93</f>
        <v>0</v>
      </c>
      <c r="I95" s="2" t="n">
        <f aca="false">import!C93</f>
        <v>0</v>
      </c>
      <c r="J95" s="2" t="n">
        <f aca="false">-export!C93</f>
        <v>-0</v>
      </c>
      <c r="K95" s="2" t="n">
        <f aca="false">-charge!C93</f>
        <v>-0</v>
      </c>
      <c r="L95" s="2" t="n">
        <f aca="false">discharge!C93</f>
        <v>0</v>
      </c>
      <c r="M95" s="2" t="n">
        <f aca="false">soc!C93/investment!$E$2 *100</f>
        <v>99.9680046060232</v>
      </c>
      <c r="N95" s="5" t="n">
        <f aca="false">p_micro!C92</f>
        <v>0</v>
      </c>
    </row>
    <row r="96" customFormat="false" ht="13.8" hidden="false" customHeight="false" outlineLevel="0" collapsed="false">
      <c r="B96" s="11" t="n">
        <f aca="false">_xlfn.NUMBERVALUE(solar!B93)</f>
        <v>0</v>
      </c>
      <c r="C96" s="12" t="n">
        <f aca="false">solar!C93</f>
        <v>0</v>
      </c>
      <c r="D96" s="12" t="n">
        <v>20</v>
      </c>
      <c r="E96" s="6" t="n">
        <v>92</v>
      </c>
      <c r="F96" s="17" t="n">
        <f aca="false">IFERROR(INDEX($B$5:$C$173, MATCH($E96, $B$5:$B$175, 0), 2), 0)*investment!$C$2</f>
        <v>0</v>
      </c>
      <c r="G96" s="6" t="n">
        <f aca="false">demand!C94</f>
        <v>0</v>
      </c>
      <c r="H96" s="2" t="n">
        <f aca="false">solgen!C94</f>
        <v>0</v>
      </c>
      <c r="I96" s="2" t="n">
        <f aca="false">import!C94</f>
        <v>0</v>
      </c>
      <c r="J96" s="2" t="n">
        <f aca="false">-export!C94</f>
        <v>-0</v>
      </c>
      <c r="K96" s="2" t="n">
        <f aca="false">-charge!C94</f>
        <v>-0</v>
      </c>
      <c r="L96" s="2" t="n">
        <f aca="false">discharge!C94</f>
        <v>0</v>
      </c>
      <c r="M96" s="2" t="n">
        <f aca="false">soc!C94/investment!$E$2 *100</f>
        <v>99.9670049161372</v>
      </c>
      <c r="N96" s="5" t="n">
        <f aca="false">p_micro!C93</f>
        <v>0</v>
      </c>
    </row>
    <row r="97" customFormat="false" ht="13.8" hidden="false" customHeight="false" outlineLevel="0" collapsed="false">
      <c r="B97" s="11" t="n">
        <f aca="false">_xlfn.NUMBERVALUE(solar!B94)</f>
        <v>0</v>
      </c>
      <c r="C97" s="12" t="n">
        <f aca="false">solar!C94</f>
        <v>0</v>
      </c>
      <c r="D97" s="12" t="n">
        <v>21</v>
      </c>
      <c r="E97" s="6" t="n">
        <v>93</v>
      </c>
      <c r="F97" s="17" t="n">
        <f aca="false">IFERROR(INDEX($B$5:$C$173, MATCH($E97, $B$5:$B$175, 0), 2), 0)*investment!$C$2</f>
        <v>0</v>
      </c>
      <c r="G97" s="6" t="n">
        <f aca="false">demand!C95</f>
        <v>0</v>
      </c>
      <c r="H97" s="2" t="n">
        <f aca="false">solgen!C95</f>
        <v>0</v>
      </c>
      <c r="I97" s="2" t="n">
        <f aca="false">import!C95</f>
        <v>0</v>
      </c>
      <c r="J97" s="2" t="n">
        <f aca="false">-export!C95</f>
        <v>-0</v>
      </c>
      <c r="K97" s="2" t="n">
        <f aca="false">-charge!C95</f>
        <v>-0</v>
      </c>
      <c r="L97" s="2" t="n">
        <f aca="false">discharge!C95</f>
        <v>0</v>
      </c>
      <c r="M97" s="2" t="n">
        <f aca="false">soc!C95/investment!$E$2 *100</f>
        <v>99.9660052747403</v>
      </c>
      <c r="N97" s="5" t="n">
        <f aca="false">p_micro!C94</f>
        <v>0</v>
      </c>
    </row>
    <row r="98" customFormat="false" ht="13.8" hidden="false" customHeight="false" outlineLevel="0" collapsed="false">
      <c r="B98" s="11" t="n">
        <f aca="false">_xlfn.NUMBERVALUE(solar!B95)</f>
        <v>0</v>
      </c>
      <c r="C98" s="12" t="n">
        <f aca="false">solar!C95</f>
        <v>0</v>
      </c>
      <c r="D98" s="12" t="n">
        <v>22</v>
      </c>
      <c r="E98" s="6" t="n">
        <v>94</v>
      </c>
      <c r="F98" s="17" t="n">
        <f aca="false">IFERROR(INDEX($B$5:$C$173, MATCH($E98, $B$5:$B$175, 0), 2), 0)*investment!$C$2</f>
        <v>0</v>
      </c>
      <c r="G98" s="6" t="n">
        <f aca="false">demand!C96</f>
        <v>0</v>
      </c>
      <c r="H98" s="2" t="n">
        <f aca="false">solgen!C96</f>
        <v>0</v>
      </c>
      <c r="I98" s="2" t="n">
        <f aca="false">import!C96</f>
        <v>0</v>
      </c>
      <c r="J98" s="2" t="n">
        <f aca="false">-export!C96</f>
        <v>-0</v>
      </c>
      <c r="K98" s="2" t="n">
        <f aca="false">-charge!C96</f>
        <v>-0</v>
      </c>
      <c r="L98" s="2" t="n">
        <f aca="false">discharge!C96</f>
        <v>0</v>
      </c>
      <c r="M98" s="2" t="n">
        <f aca="false">soc!C96/investment!$E$2 *100</f>
        <v>99.9650056170528</v>
      </c>
      <c r="N98" s="5" t="n">
        <f aca="false">p_micro!C95</f>
        <v>0</v>
      </c>
    </row>
    <row r="99" customFormat="false" ht="13.8" hidden="false" customHeight="false" outlineLevel="0" collapsed="false">
      <c r="B99" s="11" t="n">
        <f aca="false">_xlfn.NUMBERVALUE(solar!B96)</f>
        <v>0</v>
      </c>
      <c r="C99" s="12" t="n">
        <f aca="false">solar!C96</f>
        <v>0</v>
      </c>
      <c r="D99" s="12" t="n">
        <v>23</v>
      </c>
      <c r="E99" s="6" t="n">
        <v>95</v>
      </c>
      <c r="F99" s="17" t="n">
        <f aca="false">IFERROR(INDEX($B$5:$C$173, MATCH($E99, $B$5:$B$175, 0), 2), 0)*investment!$C$2</f>
        <v>0</v>
      </c>
      <c r="G99" s="6" t="n">
        <f aca="false">demand!C97</f>
        <v>0</v>
      </c>
      <c r="H99" s="2" t="n">
        <f aca="false">solgen!C97</f>
        <v>0</v>
      </c>
      <c r="I99" s="2" t="n">
        <f aca="false">import!C97</f>
        <v>0</v>
      </c>
      <c r="J99" s="2" t="n">
        <f aca="false">-export!C97</f>
        <v>-0</v>
      </c>
      <c r="K99" s="2" t="n">
        <f aca="false">-charge!C97</f>
        <v>-0</v>
      </c>
      <c r="L99" s="2" t="n">
        <f aca="false">discharge!C97</f>
        <v>0</v>
      </c>
      <c r="M99" s="2" t="n">
        <f aca="false">soc!C97/investment!$E$2 *100</f>
        <v>99.9640059692945</v>
      </c>
      <c r="N99" s="5" t="n">
        <f aca="false">p_micro!C96</f>
        <v>0</v>
      </c>
    </row>
    <row r="100" customFormat="false" ht="13.8" hidden="false" customHeight="false" outlineLevel="0" collapsed="false">
      <c r="B100" s="11" t="n">
        <f aca="false">_xlfn.NUMBERVALUE(solar!B97)</f>
        <v>0</v>
      </c>
      <c r="C100" s="12" t="n">
        <f aca="false">solar!C97</f>
        <v>0</v>
      </c>
      <c r="D100" s="12" t="n">
        <v>24</v>
      </c>
      <c r="E100" s="6" t="n">
        <v>96</v>
      </c>
      <c r="F100" s="17" t="n">
        <f aca="false">IFERROR(INDEX($B$5:$C$173, MATCH($E100, $B$5:$B$175, 0), 2), 0)*investment!$C$2</f>
        <v>0</v>
      </c>
      <c r="G100" s="6" t="n">
        <f aca="false">demand!C98</f>
        <v>0</v>
      </c>
      <c r="H100" s="2" t="n">
        <f aca="false">solgen!C98</f>
        <v>0</v>
      </c>
      <c r="I100" s="2" t="n">
        <f aca="false">import!C98</f>
        <v>0</v>
      </c>
      <c r="J100" s="2" t="n">
        <f aca="false">-export!C98</f>
        <v>-0</v>
      </c>
      <c r="K100" s="2" t="n">
        <f aca="false">-charge!C98</f>
        <v>-0</v>
      </c>
      <c r="L100" s="2" t="n">
        <f aca="false">discharge!C98</f>
        <v>0</v>
      </c>
      <c r="M100" s="2" t="n">
        <f aca="false">soc!C98/investment!$E$2 *100</f>
        <v>99.9630063315162</v>
      </c>
      <c r="N100" s="5" t="n">
        <f aca="false">p_micro!C97</f>
        <v>0</v>
      </c>
    </row>
    <row r="101" customFormat="false" ht="13.8" hidden="false" customHeight="false" outlineLevel="0" collapsed="false">
      <c r="B101" s="11" t="n">
        <f aca="false">_xlfn.NUMBERVALUE(solar!B98)</f>
        <v>0</v>
      </c>
      <c r="C101" s="12" t="n">
        <f aca="false">solar!C98</f>
        <v>0</v>
      </c>
      <c r="D101" s="12" t="n">
        <v>1</v>
      </c>
      <c r="E101" s="6" t="n">
        <v>97</v>
      </c>
      <c r="F101" s="17" t="n">
        <f aca="false">IFERROR(INDEX($B$5:$C$173, MATCH($E101, $B$5:$B$175, 0), 2), 0)*investment!$C$2</f>
        <v>0</v>
      </c>
      <c r="G101" s="6" t="n">
        <f aca="false">demand!C99</f>
        <v>0</v>
      </c>
      <c r="H101" s="2" t="n">
        <f aca="false">solgen!C99</f>
        <v>0</v>
      </c>
      <c r="I101" s="2" t="n">
        <f aca="false">import!C99</f>
        <v>0</v>
      </c>
      <c r="J101" s="2" t="n">
        <f aca="false">-export!C99</f>
        <v>-0</v>
      </c>
      <c r="K101" s="2" t="n">
        <f aca="false">-charge!C99</f>
        <v>-0</v>
      </c>
      <c r="L101" s="2" t="n">
        <f aca="false">discharge!C99</f>
        <v>0</v>
      </c>
      <c r="M101" s="2" t="n">
        <f aca="false">soc!C99/investment!$E$2 *100</f>
        <v>99.9620067041323</v>
      </c>
      <c r="N101" s="5" t="n">
        <f aca="false">p_micro!C98</f>
        <v>0</v>
      </c>
    </row>
    <row r="102" customFormat="false" ht="13.8" hidden="false" customHeight="false" outlineLevel="0" collapsed="false">
      <c r="B102" s="11" t="n">
        <f aca="false">_xlfn.NUMBERVALUE(solar!B99)</f>
        <v>0</v>
      </c>
      <c r="C102" s="12" t="n">
        <f aca="false">solar!C99</f>
        <v>0</v>
      </c>
      <c r="D102" s="12" t="n">
        <v>2</v>
      </c>
      <c r="E102" s="6" t="n">
        <v>98</v>
      </c>
      <c r="F102" s="17" t="n">
        <f aca="false">IFERROR(INDEX($B$5:$C$173, MATCH($E102, $B$5:$B$175, 0), 2), 0)*investment!$C$2</f>
        <v>0</v>
      </c>
      <c r="G102" s="6" t="n">
        <f aca="false">demand!C100</f>
        <v>0</v>
      </c>
      <c r="H102" s="2" t="n">
        <f aca="false">solgen!C100</f>
        <v>0</v>
      </c>
      <c r="I102" s="2" t="n">
        <f aca="false">import!C100</f>
        <v>0</v>
      </c>
      <c r="J102" s="2" t="n">
        <f aca="false">-export!C100</f>
        <v>-0</v>
      </c>
      <c r="K102" s="2" t="n">
        <f aca="false">-charge!C100</f>
        <v>-0</v>
      </c>
      <c r="L102" s="2" t="n">
        <f aca="false">discharge!C100</f>
        <v>0</v>
      </c>
      <c r="M102" s="2" t="n">
        <f aca="false">soc!C100/investment!$E$2 *100</f>
        <v>99.9610070854779</v>
      </c>
      <c r="N102" s="5" t="n">
        <f aca="false">p_micro!C99</f>
        <v>0</v>
      </c>
    </row>
    <row r="103" customFormat="false" ht="13.8" hidden="false" customHeight="false" outlineLevel="0" collapsed="false">
      <c r="B103" s="11" t="n">
        <f aca="false">_xlfn.NUMBERVALUE(solar!B100)</f>
        <v>0</v>
      </c>
      <c r="C103" s="12" t="n">
        <f aca="false">solar!C100</f>
        <v>0</v>
      </c>
      <c r="D103" s="12" t="n">
        <v>3</v>
      </c>
      <c r="E103" s="6" t="n">
        <v>99</v>
      </c>
      <c r="F103" s="17" t="n">
        <f aca="false">IFERROR(INDEX($B$5:$C$173, MATCH($E103, $B$5:$B$175, 0), 2), 0)*investment!$C$2</f>
        <v>0</v>
      </c>
      <c r="G103" s="6" t="n">
        <f aca="false">demand!C101</f>
        <v>0</v>
      </c>
      <c r="H103" s="2" t="n">
        <f aca="false">solgen!C101</f>
        <v>0</v>
      </c>
      <c r="I103" s="2" t="n">
        <f aca="false">import!C101</f>
        <v>0</v>
      </c>
      <c r="J103" s="2" t="n">
        <f aca="false">-export!C101</f>
        <v>-0</v>
      </c>
      <c r="K103" s="2" t="n">
        <f aca="false">-charge!C101</f>
        <v>-0</v>
      </c>
      <c r="L103" s="2" t="n">
        <f aca="false">discharge!C101</f>
        <v>0</v>
      </c>
      <c r="M103" s="2" t="n">
        <f aca="false">soc!C101/investment!$E$2 *100</f>
        <v>99.9600074780519</v>
      </c>
      <c r="N103" s="5" t="n">
        <f aca="false">p_micro!C100</f>
        <v>0</v>
      </c>
    </row>
    <row r="104" customFormat="false" ht="13.8" hidden="false" customHeight="false" outlineLevel="0" collapsed="false">
      <c r="B104" s="11" t="n">
        <f aca="false">_xlfn.NUMBERVALUE(solar!B101)</f>
        <v>0</v>
      </c>
      <c r="C104" s="12" t="n">
        <f aca="false">solar!C101</f>
        <v>0</v>
      </c>
      <c r="D104" s="12" t="n">
        <v>4</v>
      </c>
      <c r="E104" s="6" t="n">
        <v>100</v>
      </c>
      <c r="F104" s="17" t="n">
        <f aca="false">IFERROR(INDEX($B$5:$C$173, MATCH($E104, $B$5:$B$175, 0), 2), 0)*investment!$C$2</f>
        <v>0</v>
      </c>
      <c r="G104" s="6" t="n">
        <f aca="false">demand!C102</f>
        <v>0</v>
      </c>
      <c r="H104" s="2" t="n">
        <f aca="false">solgen!C102</f>
        <v>0</v>
      </c>
      <c r="I104" s="2" t="n">
        <f aca="false">import!C102</f>
        <v>0</v>
      </c>
      <c r="J104" s="2" t="n">
        <f aca="false">-export!C102</f>
        <v>-0</v>
      </c>
      <c r="K104" s="2" t="n">
        <f aca="false">-charge!C102</f>
        <v>-0</v>
      </c>
      <c r="L104" s="2" t="n">
        <f aca="false">discharge!C102</f>
        <v>0</v>
      </c>
      <c r="M104" s="2" t="n">
        <f aca="false">soc!C102/investment!$E$2 *100</f>
        <v>99.9590078801896</v>
      </c>
      <c r="N104" s="5" t="n">
        <f aca="false">p_micro!C101</f>
        <v>0</v>
      </c>
    </row>
    <row r="105" customFormat="false" ht="13.8" hidden="false" customHeight="false" outlineLevel="0" collapsed="false">
      <c r="B105" s="11" t="n">
        <f aca="false">_xlfn.NUMBERVALUE(solar!B102)</f>
        <v>0</v>
      </c>
      <c r="C105" s="12" t="n">
        <f aca="false">solar!C102</f>
        <v>0</v>
      </c>
      <c r="D105" s="12" t="n">
        <v>5</v>
      </c>
      <c r="E105" s="6" t="n">
        <v>101</v>
      </c>
      <c r="F105" s="17" t="n">
        <f aca="false">IFERROR(INDEX($B$5:$C$173, MATCH($E105, $B$5:$B$175, 0), 2), 0)*investment!$C$2</f>
        <v>0</v>
      </c>
      <c r="G105" s="6" t="n">
        <f aca="false">demand!C103</f>
        <v>0</v>
      </c>
      <c r="H105" s="2" t="n">
        <f aca="false">solgen!C103</f>
        <v>0</v>
      </c>
      <c r="I105" s="2" t="n">
        <f aca="false">import!C103</f>
        <v>0</v>
      </c>
      <c r="J105" s="2" t="n">
        <f aca="false">-export!C103</f>
        <v>-0</v>
      </c>
      <c r="K105" s="2" t="n">
        <f aca="false">-charge!C103</f>
        <v>-0</v>
      </c>
      <c r="L105" s="2" t="n">
        <f aca="false">discharge!C103</f>
        <v>0</v>
      </c>
      <c r="M105" s="2" t="n">
        <f aca="false">soc!C103/investment!$E$2 *100</f>
        <v>99.9580082923052</v>
      </c>
      <c r="N105" s="5" t="n">
        <f aca="false">p_micro!C102</f>
        <v>0</v>
      </c>
    </row>
    <row r="106" customFormat="false" ht="13.8" hidden="false" customHeight="false" outlineLevel="0" collapsed="false">
      <c r="B106" s="11" t="n">
        <f aca="false">_xlfn.NUMBERVALUE(solar!B103)</f>
        <v>0</v>
      </c>
      <c r="C106" s="12" t="n">
        <f aca="false">solar!C103</f>
        <v>0</v>
      </c>
      <c r="D106" s="12" t="n">
        <v>6</v>
      </c>
      <c r="E106" s="6" t="n">
        <v>102</v>
      </c>
      <c r="F106" s="17" t="n">
        <f aca="false">IFERROR(INDEX($B$5:$C$173, MATCH($E106, $B$5:$B$175, 0), 2), 0)*investment!$C$2</f>
        <v>0</v>
      </c>
      <c r="G106" s="6" t="n">
        <f aca="false">demand!C104</f>
        <v>0</v>
      </c>
      <c r="H106" s="2" t="n">
        <f aca="false">solgen!C104</f>
        <v>0</v>
      </c>
      <c r="I106" s="2" t="n">
        <f aca="false">import!C104</f>
        <v>0</v>
      </c>
      <c r="J106" s="2" t="n">
        <f aca="false">-export!C104</f>
        <v>-0</v>
      </c>
      <c r="K106" s="2" t="n">
        <f aca="false">-charge!C104</f>
        <v>-0</v>
      </c>
      <c r="L106" s="2" t="n">
        <f aca="false">discharge!C104</f>
        <v>0</v>
      </c>
      <c r="M106" s="2" t="n">
        <f aca="false">soc!C104/investment!$E$2 *100</f>
        <v>99.9570087143994</v>
      </c>
      <c r="N106" s="5" t="n">
        <f aca="false">p_micro!C103</f>
        <v>0</v>
      </c>
    </row>
    <row r="107" customFormat="false" ht="13.8" hidden="false" customHeight="false" outlineLevel="0" collapsed="false">
      <c r="B107" s="11" t="n">
        <f aca="false">_xlfn.NUMBERVALUE(solar!B104)</f>
        <v>0</v>
      </c>
      <c r="C107" s="12" t="n">
        <f aca="false">solar!C104</f>
        <v>0</v>
      </c>
      <c r="D107" s="12" t="n">
        <v>7</v>
      </c>
      <c r="E107" s="6" t="n">
        <v>103</v>
      </c>
      <c r="F107" s="17" t="n">
        <f aca="false">IFERROR(INDEX($B$5:$C$173, MATCH($E107, $B$5:$B$175, 0), 2), 0)*investment!$C$2</f>
        <v>0</v>
      </c>
      <c r="G107" s="6" t="n">
        <f aca="false">demand!C105</f>
        <v>0</v>
      </c>
      <c r="H107" s="2" t="n">
        <f aca="false">solgen!C105</f>
        <v>0</v>
      </c>
      <c r="I107" s="2" t="n">
        <f aca="false">import!C105</f>
        <v>0</v>
      </c>
      <c r="J107" s="2" t="n">
        <f aca="false">-export!C105</f>
        <v>-0</v>
      </c>
      <c r="K107" s="2" t="n">
        <f aca="false">-charge!C105</f>
        <v>-0</v>
      </c>
      <c r="L107" s="2" t="n">
        <f aca="false">discharge!C105</f>
        <v>0</v>
      </c>
      <c r="M107" s="2" t="n">
        <f aca="false">soc!C105/investment!$E$2 *100</f>
        <v>99.9560091464722</v>
      </c>
      <c r="N107" s="5" t="n">
        <f aca="false">p_micro!C104</f>
        <v>0</v>
      </c>
    </row>
    <row r="108" customFormat="false" ht="13.8" hidden="false" customHeight="false" outlineLevel="0" collapsed="false">
      <c r="B108" s="11" t="n">
        <f aca="false">_xlfn.NUMBERVALUE(solar!B105)</f>
        <v>0</v>
      </c>
      <c r="C108" s="12" t="n">
        <f aca="false">solar!C105</f>
        <v>0</v>
      </c>
      <c r="D108" s="12" t="n">
        <v>8</v>
      </c>
      <c r="E108" s="6" t="n">
        <v>104</v>
      </c>
      <c r="F108" s="17" t="n">
        <f aca="false">IFERROR(INDEX($B$5:$C$173, MATCH($E108, $B$5:$B$175, 0), 2), 0)*investment!$C$2</f>
        <v>0</v>
      </c>
      <c r="G108" s="6" t="n">
        <f aca="false">demand!C106</f>
        <v>0</v>
      </c>
      <c r="H108" s="2" t="n">
        <f aca="false">solgen!C106</f>
        <v>0</v>
      </c>
      <c r="I108" s="2" t="n">
        <f aca="false">import!C106</f>
        <v>0</v>
      </c>
      <c r="J108" s="2" t="n">
        <f aca="false">-export!C106</f>
        <v>-0</v>
      </c>
      <c r="K108" s="2" t="n">
        <f aca="false">-charge!C106</f>
        <v>-0</v>
      </c>
      <c r="L108" s="2" t="n">
        <f aca="false">discharge!C106</f>
        <v>0</v>
      </c>
      <c r="M108" s="2" t="n">
        <f aca="false">soc!C106/investment!$E$2 *100</f>
        <v>99.9550095885235</v>
      </c>
      <c r="N108" s="5" t="n">
        <f aca="false">p_micro!C105</f>
        <v>0</v>
      </c>
    </row>
    <row r="109" customFormat="false" ht="13.8" hidden="false" customHeight="false" outlineLevel="0" collapsed="false">
      <c r="B109" s="11" t="n">
        <f aca="false">_xlfn.NUMBERVALUE(solar!B106)</f>
        <v>0</v>
      </c>
      <c r="C109" s="12" t="n">
        <f aca="false">solar!C106</f>
        <v>0</v>
      </c>
      <c r="D109" s="12" t="n">
        <v>9</v>
      </c>
      <c r="E109" s="6" t="n">
        <v>105</v>
      </c>
      <c r="F109" s="17" t="n">
        <f aca="false">IFERROR(INDEX($B$5:$C$173, MATCH($E109, $B$5:$B$175, 0), 2), 0)*investment!$C$2</f>
        <v>0</v>
      </c>
      <c r="G109" s="6" t="n">
        <f aca="false">demand!C107</f>
        <v>0</v>
      </c>
      <c r="H109" s="2" t="n">
        <f aca="false">solgen!C107</f>
        <v>0</v>
      </c>
      <c r="I109" s="2" t="n">
        <f aca="false">import!C107</f>
        <v>0</v>
      </c>
      <c r="J109" s="2" t="n">
        <f aca="false">-export!C107</f>
        <v>-0</v>
      </c>
      <c r="K109" s="2" t="n">
        <f aca="false">-charge!C107</f>
        <v>-0</v>
      </c>
      <c r="L109" s="2" t="n">
        <f aca="false">discharge!C107</f>
        <v>0</v>
      </c>
      <c r="M109" s="2" t="n">
        <f aca="false">soc!C107/investment!$E$2 *100</f>
        <v>99.954010040553</v>
      </c>
      <c r="N109" s="5" t="n">
        <f aca="false">p_micro!C106</f>
        <v>0</v>
      </c>
    </row>
    <row r="110" customFormat="false" ht="13.8" hidden="false" customHeight="false" outlineLevel="0" collapsed="false">
      <c r="B110" s="11" t="n">
        <f aca="false">_xlfn.NUMBERVALUE(solar!B107)</f>
        <v>0</v>
      </c>
      <c r="C110" s="12" t="n">
        <f aca="false">solar!C107</f>
        <v>0</v>
      </c>
      <c r="D110" s="12" t="n">
        <v>10</v>
      </c>
      <c r="E110" s="6" t="n">
        <v>106</v>
      </c>
      <c r="F110" s="17" t="n">
        <f aca="false">IFERROR(INDEX($B$5:$C$173, MATCH($E110, $B$5:$B$175, 0), 2), 0)*investment!$C$2</f>
        <v>0</v>
      </c>
      <c r="G110" s="6" t="n">
        <f aca="false">demand!C108</f>
        <v>0</v>
      </c>
      <c r="H110" s="2" t="n">
        <f aca="false">solgen!C108</f>
        <v>0</v>
      </c>
      <c r="I110" s="2" t="n">
        <f aca="false">import!C108</f>
        <v>0</v>
      </c>
      <c r="J110" s="2" t="n">
        <f aca="false">-export!C108</f>
        <v>-0</v>
      </c>
      <c r="K110" s="2" t="n">
        <f aca="false">-charge!C108</f>
        <v>-0</v>
      </c>
      <c r="L110" s="2" t="n">
        <f aca="false">discharge!C108</f>
        <v>0</v>
      </c>
      <c r="M110" s="2" t="n">
        <f aca="false">soc!C108/investment!$E$2 *100</f>
        <v>99.9530105025608</v>
      </c>
      <c r="N110" s="5" t="n">
        <f aca="false">p_micro!C107</f>
        <v>0</v>
      </c>
    </row>
    <row r="111" customFormat="false" ht="13.8" hidden="false" customHeight="false" outlineLevel="0" collapsed="false">
      <c r="B111" s="11" t="n">
        <f aca="false">_xlfn.NUMBERVALUE(solar!B108)</f>
        <v>0</v>
      </c>
      <c r="C111" s="12" t="n">
        <f aca="false">solar!C108</f>
        <v>0</v>
      </c>
      <c r="D111" s="12" t="n">
        <v>11</v>
      </c>
      <c r="E111" s="6" t="n">
        <v>107</v>
      </c>
      <c r="F111" s="17" t="n">
        <f aca="false">IFERROR(INDEX($B$5:$C$173, MATCH($E111, $B$5:$B$175, 0), 2), 0)*investment!$C$2</f>
        <v>0</v>
      </c>
      <c r="G111" s="6" t="n">
        <f aca="false">demand!C109</f>
        <v>0</v>
      </c>
      <c r="H111" s="2" t="n">
        <f aca="false">solgen!C109</f>
        <v>0</v>
      </c>
      <c r="I111" s="2" t="n">
        <f aca="false">import!C109</f>
        <v>0</v>
      </c>
      <c r="J111" s="2" t="n">
        <f aca="false">-export!C109</f>
        <v>-0</v>
      </c>
      <c r="K111" s="2" t="n">
        <f aca="false">-charge!C109</f>
        <v>-0</v>
      </c>
      <c r="L111" s="2" t="n">
        <f aca="false">discharge!C109</f>
        <v>0</v>
      </c>
      <c r="M111" s="2" t="n">
        <f aca="false">soc!C109/investment!$E$2 *100</f>
        <v>99.9520109745467</v>
      </c>
      <c r="N111" s="5" t="n">
        <f aca="false">p_micro!C108</f>
        <v>0</v>
      </c>
    </row>
    <row r="112" customFormat="false" ht="13.8" hidden="false" customHeight="false" outlineLevel="0" collapsed="false">
      <c r="B112" s="11" t="n">
        <f aca="false">_xlfn.NUMBERVALUE(solar!B109)</f>
        <v>0</v>
      </c>
      <c r="C112" s="12" t="n">
        <f aca="false">solar!C109</f>
        <v>0</v>
      </c>
      <c r="D112" s="12" t="n">
        <v>12</v>
      </c>
      <c r="E112" s="6" t="n">
        <v>108</v>
      </c>
      <c r="F112" s="17" t="n">
        <f aca="false">IFERROR(INDEX($B$5:$C$173, MATCH($E112, $B$5:$B$175, 0), 2), 0)*investment!$C$2</f>
        <v>0</v>
      </c>
      <c r="G112" s="6" t="n">
        <f aca="false">demand!C110</f>
        <v>0</v>
      </c>
      <c r="H112" s="2" t="n">
        <f aca="false">solgen!C110</f>
        <v>0</v>
      </c>
      <c r="I112" s="2" t="n">
        <f aca="false">import!C110</f>
        <v>0</v>
      </c>
      <c r="J112" s="2" t="n">
        <f aca="false">-export!C110</f>
        <v>-0</v>
      </c>
      <c r="K112" s="2" t="n">
        <f aca="false">-charge!C110</f>
        <v>-0</v>
      </c>
      <c r="L112" s="2" t="n">
        <f aca="false">discharge!C110</f>
        <v>0</v>
      </c>
      <c r="M112" s="2" t="n">
        <f aca="false">soc!C110/investment!$E$2 *100</f>
        <v>99.9510114565107</v>
      </c>
      <c r="N112" s="5" t="n">
        <f aca="false">p_micro!C109</f>
        <v>0</v>
      </c>
    </row>
    <row r="113" customFormat="false" ht="13.8" hidden="false" customHeight="false" outlineLevel="0" collapsed="false">
      <c r="B113" s="11" t="n">
        <f aca="false">_xlfn.NUMBERVALUE(solar!B110)</f>
        <v>0</v>
      </c>
      <c r="C113" s="12" t="n">
        <f aca="false">solar!C110</f>
        <v>0</v>
      </c>
      <c r="D113" s="12" t="n">
        <v>13</v>
      </c>
      <c r="E113" s="6" t="n">
        <v>109</v>
      </c>
      <c r="F113" s="17" t="n">
        <f aca="false">IFERROR(INDEX($B$5:$C$173, MATCH($E113, $B$5:$B$175, 0), 2), 0)*investment!$C$2</f>
        <v>0</v>
      </c>
      <c r="G113" s="6" t="n">
        <f aca="false">demand!C111</f>
        <v>0</v>
      </c>
      <c r="H113" s="2" t="n">
        <f aca="false">solgen!C111</f>
        <v>0</v>
      </c>
      <c r="I113" s="2" t="n">
        <f aca="false">import!C111</f>
        <v>0</v>
      </c>
      <c r="J113" s="2" t="n">
        <f aca="false">-export!C111</f>
        <v>-0</v>
      </c>
      <c r="K113" s="2" t="n">
        <f aca="false">-charge!C111</f>
        <v>-0</v>
      </c>
      <c r="L113" s="2" t="n">
        <f aca="false">discharge!C111</f>
        <v>0</v>
      </c>
      <c r="M113" s="2" t="n">
        <f aca="false">soc!C111/investment!$E$2 *100</f>
        <v>99.9500119484526</v>
      </c>
      <c r="N113" s="5" t="n">
        <f aca="false">p_micro!C110</f>
        <v>0</v>
      </c>
    </row>
    <row r="114" customFormat="false" ht="13.8" hidden="false" customHeight="false" outlineLevel="0" collapsed="false">
      <c r="B114" s="11" t="n">
        <f aca="false">_xlfn.NUMBERVALUE(solar!B111)</f>
        <v>0</v>
      </c>
      <c r="C114" s="12" t="n">
        <f aca="false">solar!C111</f>
        <v>0</v>
      </c>
      <c r="D114" s="12" t="n">
        <v>14</v>
      </c>
      <c r="E114" s="6" t="n">
        <v>110</v>
      </c>
      <c r="F114" s="17" t="n">
        <f aca="false">IFERROR(INDEX($B$5:$C$173, MATCH($E114, $B$5:$B$175, 0), 2), 0)*investment!$C$2</f>
        <v>0</v>
      </c>
      <c r="G114" s="6" t="n">
        <f aca="false">demand!C112</f>
        <v>0</v>
      </c>
      <c r="H114" s="2" t="n">
        <f aca="false">solgen!C112</f>
        <v>0</v>
      </c>
      <c r="I114" s="2" t="n">
        <f aca="false">import!C112</f>
        <v>0</v>
      </c>
      <c r="J114" s="2" t="n">
        <f aca="false">-export!C112</f>
        <v>-0</v>
      </c>
      <c r="K114" s="2" t="n">
        <f aca="false">-charge!C112</f>
        <v>-0</v>
      </c>
      <c r="L114" s="2" t="n">
        <f aca="false">discharge!C112</f>
        <v>0</v>
      </c>
      <c r="M114" s="2" t="n">
        <f aca="false">soc!C112/investment!$E$2 *100</f>
        <v>99.9490124503723</v>
      </c>
      <c r="N114" s="5" t="n">
        <f aca="false">p_micro!C111</f>
        <v>0</v>
      </c>
    </row>
    <row r="115" customFormat="false" ht="13.8" hidden="false" customHeight="false" outlineLevel="0" collapsed="false">
      <c r="B115" s="11" t="n">
        <f aca="false">_xlfn.NUMBERVALUE(solar!B112)</f>
        <v>0</v>
      </c>
      <c r="C115" s="12" t="n">
        <f aca="false">solar!C112</f>
        <v>0</v>
      </c>
      <c r="D115" s="12" t="n">
        <v>15</v>
      </c>
      <c r="E115" s="6" t="n">
        <v>111</v>
      </c>
      <c r="F115" s="17" t="n">
        <f aca="false">IFERROR(INDEX($B$5:$C$173, MATCH($E115, $B$5:$B$175, 0), 2), 0)*investment!$C$2</f>
        <v>0</v>
      </c>
      <c r="G115" s="6" t="n">
        <f aca="false">demand!C113</f>
        <v>0</v>
      </c>
      <c r="H115" s="2" t="n">
        <f aca="false">solgen!C113</f>
        <v>0</v>
      </c>
      <c r="I115" s="2" t="n">
        <f aca="false">import!C113</f>
        <v>0</v>
      </c>
      <c r="J115" s="2" t="n">
        <f aca="false">-export!C113</f>
        <v>-0</v>
      </c>
      <c r="K115" s="2" t="n">
        <f aca="false">-charge!C113</f>
        <v>-0</v>
      </c>
      <c r="L115" s="2" t="n">
        <f aca="false">discharge!C113</f>
        <v>0</v>
      </c>
      <c r="M115" s="2" t="n">
        <f aca="false">soc!C113/investment!$E$2 *100</f>
        <v>99.9480129622698</v>
      </c>
      <c r="N115" s="5" t="n">
        <f aca="false">p_micro!C112</f>
        <v>0</v>
      </c>
    </row>
    <row r="116" customFormat="false" ht="13.8" hidden="false" customHeight="false" outlineLevel="0" collapsed="false">
      <c r="B116" s="11" t="n">
        <f aca="false">_xlfn.NUMBERVALUE(solar!B113)</f>
        <v>0</v>
      </c>
      <c r="C116" s="12" t="n">
        <f aca="false">solar!C113</f>
        <v>0</v>
      </c>
      <c r="D116" s="12" t="n">
        <v>16</v>
      </c>
      <c r="E116" s="6" t="n">
        <v>112</v>
      </c>
      <c r="F116" s="17" t="n">
        <f aca="false">IFERROR(INDEX($B$5:$C$173, MATCH($E116, $B$5:$B$175, 0), 2), 0)*investment!$C$2</f>
        <v>0</v>
      </c>
      <c r="G116" s="6" t="n">
        <f aca="false">demand!C114</f>
        <v>0</v>
      </c>
      <c r="H116" s="2" t="n">
        <f aca="false">solgen!C114</f>
        <v>0</v>
      </c>
      <c r="I116" s="2" t="n">
        <f aca="false">import!C114</f>
        <v>0</v>
      </c>
      <c r="J116" s="2" t="n">
        <f aca="false">-export!C114</f>
        <v>-0</v>
      </c>
      <c r="K116" s="2" t="n">
        <f aca="false">-charge!C114</f>
        <v>-0</v>
      </c>
      <c r="L116" s="2" t="n">
        <f aca="false">discharge!C114</f>
        <v>0</v>
      </c>
      <c r="M116" s="2" t="n">
        <f aca="false">soc!C114/investment!$E$2 *100</f>
        <v>99.9470134841449</v>
      </c>
      <c r="N116" s="5" t="n">
        <f aca="false">p_micro!C113</f>
        <v>0</v>
      </c>
    </row>
    <row r="117" customFormat="false" ht="13.8" hidden="false" customHeight="false" outlineLevel="0" collapsed="false">
      <c r="B117" s="11" t="n">
        <f aca="false">_xlfn.NUMBERVALUE(solar!B114)</f>
        <v>0</v>
      </c>
      <c r="C117" s="12" t="n">
        <f aca="false">solar!C114</f>
        <v>0</v>
      </c>
      <c r="D117" s="12" t="n">
        <v>17</v>
      </c>
      <c r="E117" s="6" t="n">
        <v>113</v>
      </c>
      <c r="F117" s="17" t="n">
        <f aca="false">IFERROR(INDEX($B$5:$C$173, MATCH($E117, $B$5:$B$175, 0), 2), 0)*investment!$C$2</f>
        <v>0</v>
      </c>
      <c r="G117" s="6" t="n">
        <f aca="false">demand!C115</f>
        <v>0</v>
      </c>
      <c r="H117" s="2" t="n">
        <f aca="false">solgen!C115</f>
        <v>0</v>
      </c>
      <c r="I117" s="2" t="n">
        <f aca="false">import!C115</f>
        <v>0</v>
      </c>
      <c r="J117" s="2" t="n">
        <f aca="false">-export!C115</f>
        <v>-0</v>
      </c>
      <c r="K117" s="2" t="n">
        <f aca="false">-charge!C115</f>
        <v>-0</v>
      </c>
      <c r="L117" s="2" t="n">
        <f aca="false">discharge!C115</f>
        <v>0</v>
      </c>
      <c r="M117" s="2" t="n">
        <f aca="false">soc!C115/investment!$E$2 *100</f>
        <v>99.9460140159976</v>
      </c>
      <c r="N117" s="5" t="n">
        <f aca="false">p_micro!C114</f>
        <v>0</v>
      </c>
    </row>
    <row r="118" customFormat="false" ht="13.8" hidden="false" customHeight="false" outlineLevel="0" collapsed="false">
      <c r="B118" s="11" t="n">
        <f aca="false">_xlfn.NUMBERVALUE(solar!B115)</f>
        <v>0</v>
      </c>
      <c r="C118" s="12" t="n">
        <f aca="false">solar!C115</f>
        <v>0</v>
      </c>
      <c r="D118" s="12" t="n">
        <v>18</v>
      </c>
      <c r="E118" s="6" t="n">
        <v>114</v>
      </c>
      <c r="F118" s="17" t="n">
        <f aca="false">IFERROR(INDEX($B$5:$C$173, MATCH($E118, $B$5:$B$175, 0), 2), 0)*investment!$C$2</f>
        <v>0</v>
      </c>
      <c r="G118" s="6" t="n">
        <f aca="false">demand!C116</f>
        <v>0</v>
      </c>
      <c r="H118" s="2" t="n">
        <f aca="false">solgen!C116</f>
        <v>0</v>
      </c>
      <c r="I118" s="2" t="n">
        <f aca="false">import!C116</f>
        <v>0</v>
      </c>
      <c r="J118" s="2" t="n">
        <f aca="false">-export!C116</f>
        <v>-0</v>
      </c>
      <c r="K118" s="2" t="n">
        <f aca="false">-charge!C116</f>
        <v>-0</v>
      </c>
      <c r="L118" s="2" t="n">
        <f aca="false">discharge!C116</f>
        <v>0</v>
      </c>
      <c r="M118" s="2" t="n">
        <f aca="false">soc!C116/investment!$E$2 *100</f>
        <v>99.9450145578276</v>
      </c>
      <c r="N118" s="5" t="n">
        <f aca="false">p_micro!C115</f>
        <v>0</v>
      </c>
    </row>
    <row r="119" customFormat="false" ht="13.8" hidden="false" customHeight="false" outlineLevel="0" collapsed="false">
      <c r="B119" s="11" t="n">
        <f aca="false">_xlfn.NUMBERVALUE(solar!B116)</f>
        <v>0</v>
      </c>
      <c r="C119" s="12" t="n">
        <f aca="false">solar!C116</f>
        <v>0</v>
      </c>
      <c r="D119" s="12" t="n">
        <v>19</v>
      </c>
      <c r="E119" s="6" t="n">
        <v>115</v>
      </c>
      <c r="F119" s="17" t="n">
        <f aca="false">IFERROR(INDEX($B$5:$C$173, MATCH($E119, $B$5:$B$175, 0), 2), 0)*investment!$C$2</f>
        <v>0</v>
      </c>
      <c r="G119" s="6" t="n">
        <f aca="false">demand!C117</f>
        <v>0</v>
      </c>
      <c r="H119" s="2" t="n">
        <f aca="false">solgen!C117</f>
        <v>0</v>
      </c>
      <c r="I119" s="2" t="n">
        <f aca="false">import!C117</f>
        <v>0</v>
      </c>
      <c r="J119" s="2" t="n">
        <f aca="false">-export!C117</f>
        <v>-0</v>
      </c>
      <c r="K119" s="2" t="n">
        <f aca="false">-charge!C117</f>
        <v>-0</v>
      </c>
      <c r="L119" s="2" t="n">
        <f aca="false">discharge!C117</f>
        <v>0</v>
      </c>
      <c r="M119" s="2" t="n">
        <f aca="false">soc!C117/investment!$E$2 *100</f>
        <v>99.9440151096248</v>
      </c>
      <c r="N119" s="5" t="n">
        <f aca="false">p_micro!C116</f>
        <v>0</v>
      </c>
    </row>
    <row r="120" customFormat="false" ht="13.8" hidden="false" customHeight="false" outlineLevel="0" collapsed="false">
      <c r="B120" s="11" t="n">
        <f aca="false">_xlfn.NUMBERVALUE(solar!B117)</f>
        <v>0</v>
      </c>
      <c r="C120" s="12" t="n">
        <f aca="false">solar!C117</f>
        <v>0</v>
      </c>
      <c r="D120" s="12" t="n">
        <v>20</v>
      </c>
      <c r="E120" s="6" t="n">
        <v>116</v>
      </c>
      <c r="F120" s="17" t="n">
        <f aca="false">IFERROR(INDEX($B$5:$C$173, MATCH($E120, $B$5:$B$175, 0), 2), 0)*investment!$C$2</f>
        <v>0</v>
      </c>
      <c r="G120" s="6" t="n">
        <f aca="false">demand!C118</f>
        <v>0</v>
      </c>
      <c r="H120" s="2" t="n">
        <f aca="false">solgen!C118</f>
        <v>0</v>
      </c>
      <c r="I120" s="2" t="n">
        <f aca="false">import!C118</f>
        <v>0</v>
      </c>
      <c r="J120" s="2" t="n">
        <f aca="false">-export!C118</f>
        <v>-0</v>
      </c>
      <c r="K120" s="2" t="n">
        <f aca="false">-charge!C118</f>
        <v>-0</v>
      </c>
      <c r="L120" s="2" t="n">
        <f aca="false">discharge!C118</f>
        <v>0</v>
      </c>
      <c r="M120" s="2" t="n">
        <f aca="false">soc!C118/investment!$E$2 *100</f>
        <v>99.9430156660576</v>
      </c>
      <c r="N120" s="5" t="n">
        <f aca="false">p_micro!C117</f>
        <v>0</v>
      </c>
    </row>
    <row r="121" customFormat="false" ht="13.8" hidden="false" customHeight="false" outlineLevel="0" collapsed="false">
      <c r="B121" s="11" t="n">
        <f aca="false">_xlfn.NUMBERVALUE(solar!B118)</f>
        <v>0</v>
      </c>
      <c r="C121" s="12" t="n">
        <f aca="false">solar!C118</f>
        <v>0</v>
      </c>
      <c r="D121" s="12" t="n">
        <v>21</v>
      </c>
      <c r="E121" s="6" t="n">
        <v>117</v>
      </c>
      <c r="F121" s="17" t="n">
        <f aca="false">IFERROR(INDEX($B$5:$C$173, MATCH($E121, $B$5:$B$175, 0), 2), 0)*investment!$C$2</f>
        <v>0</v>
      </c>
      <c r="G121" s="6" t="n">
        <f aca="false">demand!C119</f>
        <v>0</v>
      </c>
      <c r="H121" s="2" t="n">
        <f aca="false">solgen!C119</f>
        <v>0</v>
      </c>
      <c r="I121" s="2" t="n">
        <f aca="false">import!C119</f>
        <v>0</v>
      </c>
      <c r="J121" s="2" t="n">
        <f aca="false">-export!C119</f>
        <v>-0</v>
      </c>
      <c r="K121" s="2" t="n">
        <f aca="false">-charge!C119</f>
        <v>-0</v>
      </c>
      <c r="L121" s="2" t="n">
        <f aca="false">discharge!C119</f>
        <v>0</v>
      </c>
      <c r="M121" s="2" t="n">
        <f aca="false">soc!C119/investment!$E$2 *100</f>
        <v>84.1261684416294</v>
      </c>
      <c r="N121" s="5" t="n">
        <f aca="false">p_micro!C118</f>
        <v>0</v>
      </c>
    </row>
    <row r="122" customFormat="false" ht="13.8" hidden="false" customHeight="false" outlineLevel="0" collapsed="false">
      <c r="B122" s="11" t="n">
        <f aca="false">_xlfn.NUMBERVALUE(solar!B119)</f>
        <v>0</v>
      </c>
      <c r="C122" s="12" t="n">
        <f aca="false">solar!C119</f>
        <v>0</v>
      </c>
      <c r="D122" s="12" t="n">
        <v>22</v>
      </c>
      <c r="E122" s="6" t="n">
        <v>118</v>
      </c>
      <c r="F122" s="17" t="n">
        <f aca="false">IFERROR(INDEX($B$5:$C$173, MATCH($E122, $B$5:$B$175, 0), 2), 0)*investment!$C$2</f>
        <v>0</v>
      </c>
      <c r="G122" s="6" t="n">
        <f aca="false">demand!C120</f>
        <v>0</v>
      </c>
      <c r="H122" s="2" t="n">
        <f aca="false">solgen!C120</f>
        <v>0</v>
      </c>
      <c r="I122" s="2" t="n">
        <f aca="false">import!C120</f>
        <v>0</v>
      </c>
      <c r="J122" s="2" t="n">
        <f aca="false">-export!C120</f>
        <v>-0</v>
      </c>
      <c r="K122" s="2" t="n">
        <f aca="false">-charge!C120</f>
        <v>-0</v>
      </c>
      <c r="L122" s="2" t="n">
        <f aca="false">discharge!C120</f>
        <v>0</v>
      </c>
      <c r="M122" s="2" t="n">
        <f aca="false">soc!C120/investment!$E$2 *100</f>
        <v>82.8555420039981</v>
      </c>
      <c r="N122" s="5" t="n">
        <f aca="false">p_micro!C119</f>
        <v>0</v>
      </c>
    </row>
    <row r="123" customFormat="false" ht="13.8" hidden="false" customHeight="false" outlineLevel="0" collapsed="false">
      <c r="B123" s="11" t="n">
        <f aca="false">_xlfn.NUMBERVALUE(solar!B120)</f>
        <v>0</v>
      </c>
      <c r="C123" s="12" t="n">
        <f aca="false">solar!C120</f>
        <v>0</v>
      </c>
      <c r="D123" s="12" t="n">
        <v>23</v>
      </c>
      <c r="E123" s="6" t="n">
        <v>119</v>
      </c>
      <c r="F123" s="17" t="n">
        <f aca="false">IFERROR(INDEX($B$5:$C$173, MATCH($E123, $B$5:$B$175, 0), 2), 0)*investment!$C$2</f>
        <v>0</v>
      </c>
      <c r="G123" s="6" t="n">
        <f aca="false">demand!C121</f>
        <v>0</v>
      </c>
      <c r="H123" s="2" t="n">
        <f aca="false">solgen!C121</f>
        <v>0</v>
      </c>
      <c r="I123" s="2" t="n">
        <f aca="false">import!C121</f>
        <v>0</v>
      </c>
      <c r="J123" s="2" t="n">
        <f aca="false">-export!C121</f>
        <v>-0</v>
      </c>
      <c r="K123" s="2" t="n">
        <f aca="false">-charge!C121</f>
        <v>-0</v>
      </c>
      <c r="L123" s="2" t="n">
        <f aca="false">discharge!C121</f>
        <v>0</v>
      </c>
      <c r="M123" s="2" t="n">
        <f aca="false">soc!C121/investment!$E$2 *100</f>
        <v>66.0173471681527</v>
      </c>
      <c r="N123" s="5" t="n">
        <f aca="false">p_micro!C120</f>
        <v>0</v>
      </c>
    </row>
    <row r="124" customFormat="false" ht="13.8" hidden="false" customHeight="false" outlineLevel="0" collapsed="false">
      <c r="B124" s="11" t="n">
        <f aca="false">_xlfn.NUMBERVALUE(solar!B121)</f>
        <v>0</v>
      </c>
      <c r="C124" s="12" t="n">
        <f aca="false">solar!C121</f>
        <v>0</v>
      </c>
      <c r="D124" s="12" t="n">
        <v>24</v>
      </c>
      <c r="E124" s="6" t="n">
        <v>120</v>
      </c>
      <c r="F124" s="17" t="n">
        <f aca="false">IFERROR(INDEX($B$5:$C$173, MATCH($E124, $B$5:$B$175, 0), 2), 0)*investment!$C$2</f>
        <v>0</v>
      </c>
      <c r="G124" s="6" t="n">
        <f aca="false">demand!C122</f>
        <v>0</v>
      </c>
      <c r="H124" s="2" t="n">
        <f aca="false">solgen!C122</f>
        <v>0</v>
      </c>
      <c r="I124" s="2" t="n">
        <f aca="false">import!C122</f>
        <v>0</v>
      </c>
      <c r="J124" s="2" t="n">
        <f aca="false">-export!C122</f>
        <v>-0</v>
      </c>
      <c r="K124" s="2" t="n">
        <f aca="false">-charge!C122</f>
        <v>-0</v>
      </c>
      <c r="L124" s="2" t="n">
        <f aca="false">discharge!C122</f>
        <v>0</v>
      </c>
      <c r="M124" s="2" t="n">
        <f aca="false">soc!C122/investment!$E$2 *100</f>
        <v>24.9864868236641</v>
      </c>
      <c r="N124" s="5" t="n">
        <f aca="false">p_micro!C121</f>
        <v>0</v>
      </c>
    </row>
    <row r="125" customFormat="false" ht="13.8" hidden="false" customHeight="false" outlineLevel="0" collapsed="false">
      <c r="B125" s="11" t="n">
        <f aca="false">_xlfn.NUMBERVALUE(solar!B122)</f>
        <v>0</v>
      </c>
      <c r="C125" s="12" t="n">
        <f aca="false">solar!C122</f>
        <v>0</v>
      </c>
      <c r="D125" s="12" t="n">
        <v>1</v>
      </c>
      <c r="E125" s="6" t="n">
        <v>121</v>
      </c>
      <c r="F125" s="17" t="n">
        <f aca="false">IFERROR(INDEX($B$5:$C$173, MATCH($E125, $B$5:$B$175, 0), 2), 0)*investment!$C$2</f>
        <v>0</v>
      </c>
      <c r="G125" s="6" t="n">
        <f aca="false">demand!C123</f>
        <v>0</v>
      </c>
      <c r="H125" s="2" t="n">
        <f aca="false">solgen!C123</f>
        <v>0</v>
      </c>
      <c r="I125" s="2" t="n">
        <f aca="false">import!C123</f>
        <v>0</v>
      </c>
      <c r="J125" s="2" t="n">
        <f aca="false">-export!C123</f>
        <v>-0</v>
      </c>
      <c r="K125" s="2" t="n">
        <f aca="false">-charge!C123</f>
        <v>-0</v>
      </c>
      <c r="L125" s="2" t="n">
        <f aca="false">discharge!C123</f>
        <v>0</v>
      </c>
      <c r="M125" s="2" t="n">
        <f aca="false">soc!C123/investment!$E$2 *100</f>
        <v>24.9862369604721</v>
      </c>
      <c r="N125" s="5" t="n">
        <f aca="false">p_micro!C122</f>
        <v>0</v>
      </c>
    </row>
    <row r="126" customFormat="false" ht="13.8" hidden="false" customHeight="false" outlineLevel="0" collapsed="false">
      <c r="B126" s="11" t="n">
        <f aca="false">_xlfn.NUMBERVALUE(solar!B123)</f>
        <v>0</v>
      </c>
      <c r="C126" s="12" t="n">
        <f aca="false">solar!C123</f>
        <v>0</v>
      </c>
      <c r="D126" s="12" t="n">
        <v>2</v>
      </c>
      <c r="E126" s="6" t="n">
        <v>122</v>
      </c>
      <c r="F126" s="17" t="n">
        <f aca="false">IFERROR(INDEX($B$5:$C$173, MATCH($E126, $B$5:$B$175, 0), 2), 0)*investment!$C$2</f>
        <v>0</v>
      </c>
      <c r="G126" s="6" t="n">
        <f aca="false">demand!C124</f>
        <v>0</v>
      </c>
      <c r="H126" s="2" t="n">
        <f aca="false">solgen!C124</f>
        <v>0</v>
      </c>
      <c r="I126" s="2" t="n">
        <f aca="false">import!C124</f>
        <v>0</v>
      </c>
      <c r="J126" s="2" t="n">
        <f aca="false">-export!C124</f>
        <v>-0</v>
      </c>
      <c r="K126" s="2" t="n">
        <f aca="false">-charge!C124</f>
        <v>-0</v>
      </c>
      <c r="L126" s="2" t="n">
        <f aca="false">discharge!C124</f>
        <v>0</v>
      </c>
      <c r="M126" s="2" t="n">
        <f aca="false">soc!C124/investment!$E$2 *100</f>
        <v>0</v>
      </c>
      <c r="N126" s="5" t="n">
        <f aca="false">p_micro!C123</f>
        <v>0</v>
      </c>
    </row>
    <row r="127" customFormat="false" ht="13.8" hidden="false" customHeight="false" outlineLevel="0" collapsed="false">
      <c r="B127" s="11" t="n">
        <f aca="false">_xlfn.NUMBERVALUE(solar!B124)</f>
        <v>0</v>
      </c>
      <c r="C127" s="12" t="n">
        <f aca="false">solar!C124</f>
        <v>0</v>
      </c>
      <c r="D127" s="12" t="n">
        <v>3</v>
      </c>
      <c r="E127" s="6" t="n">
        <v>123</v>
      </c>
      <c r="F127" s="17" t="n">
        <f aca="false">IFERROR(INDEX($B$5:$C$173, MATCH($E127, $B$5:$B$175, 0), 2), 0)*investment!$C$2</f>
        <v>0</v>
      </c>
      <c r="G127" s="6" t="n">
        <f aca="false">demand!C125</f>
        <v>0</v>
      </c>
      <c r="H127" s="2" t="n">
        <f aca="false">solgen!C125</f>
        <v>0</v>
      </c>
      <c r="I127" s="2" t="n">
        <f aca="false">import!C125</f>
        <v>0</v>
      </c>
      <c r="J127" s="2" t="n">
        <f aca="false">-export!C125</f>
        <v>-0</v>
      </c>
      <c r="K127" s="2" t="n">
        <f aca="false">-charge!C125</f>
        <v>-0</v>
      </c>
      <c r="L127" s="2" t="n">
        <f aca="false">discharge!C125</f>
        <v>0</v>
      </c>
      <c r="M127" s="2" t="n">
        <f aca="false">soc!C125/investment!$E$2 *100</f>
        <v>1.12210668721677E-011</v>
      </c>
      <c r="N127" s="5" t="n">
        <f aca="false">p_micro!C124</f>
        <v>0</v>
      </c>
    </row>
    <row r="128" customFormat="false" ht="13.8" hidden="false" customHeight="false" outlineLevel="0" collapsed="false">
      <c r="B128" s="11" t="n">
        <f aca="false">_xlfn.NUMBERVALUE(solar!B125)</f>
        <v>0</v>
      </c>
      <c r="C128" s="12" t="n">
        <f aca="false">solar!C125</f>
        <v>0</v>
      </c>
      <c r="D128" s="12" t="n">
        <v>4</v>
      </c>
      <c r="E128" s="6" t="n">
        <v>124</v>
      </c>
      <c r="F128" s="17" t="n">
        <f aca="false">IFERROR(INDEX($B$5:$C$173, MATCH($E128, $B$5:$B$175, 0), 2), 0)*investment!$C$2</f>
        <v>0</v>
      </c>
      <c r="G128" s="6" t="n">
        <f aca="false">demand!C126</f>
        <v>0</v>
      </c>
      <c r="H128" s="2" t="n">
        <f aca="false">solgen!C126</f>
        <v>0</v>
      </c>
      <c r="I128" s="2" t="n">
        <f aca="false">import!C126</f>
        <v>0</v>
      </c>
      <c r="J128" s="2" t="n">
        <f aca="false">-export!C126</f>
        <v>-0</v>
      </c>
      <c r="K128" s="2" t="n">
        <f aca="false">-charge!C126</f>
        <v>-0</v>
      </c>
      <c r="L128" s="2" t="n">
        <f aca="false">discharge!C126</f>
        <v>0</v>
      </c>
      <c r="M128" s="2" t="n">
        <f aca="false">soc!C126/investment!$E$2 *100</f>
        <v>2.12228215806241E-011</v>
      </c>
      <c r="N128" s="5" t="n">
        <f aca="false">p_micro!C125</f>
        <v>0</v>
      </c>
    </row>
    <row r="129" customFormat="false" ht="13.8" hidden="false" customHeight="false" outlineLevel="0" collapsed="false">
      <c r="B129" s="11" t="n">
        <f aca="false">_xlfn.NUMBERVALUE(solar!B126)</f>
        <v>0</v>
      </c>
      <c r="C129" s="12" t="n">
        <f aca="false">solar!C126</f>
        <v>0</v>
      </c>
      <c r="D129" s="12" t="n">
        <v>5</v>
      </c>
      <c r="E129" s="6" t="n">
        <v>125</v>
      </c>
      <c r="F129" s="17" t="n">
        <f aca="false">IFERROR(INDEX($B$5:$C$173, MATCH($E129, $B$5:$B$175, 0), 2), 0)*investment!$C$2</f>
        <v>0</v>
      </c>
      <c r="G129" s="6" t="n">
        <f aca="false">demand!C127</f>
        <v>0</v>
      </c>
      <c r="H129" s="2" t="n">
        <f aca="false">solgen!C127</f>
        <v>0</v>
      </c>
      <c r="I129" s="2" t="n">
        <f aca="false">import!C127</f>
        <v>0</v>
      </c>
      <c r="J129" s="2" t="n">
        <f aca="false">-export!C127</f>
        <v>-0</v>
      </c>
      <c r="K129" s="2" t="n">
        <f aca="false">-charge!C127</f>
        <v>-0</v>
      </c>
      <c r="L129" s="2" t="n">
        <f aca="false">discharge!C127</f>
        <v>0</v>
      </c>
      <c r="M129" s="2" t="n">
        <f aca="false">soc!C127/investment!$E$2 *100</f>
        <v>2.96732415083396E-011</v>
      </c>
      <c r="N129" s="5" t="n">
        <f aca="false">p_micro!C126</f>
        <v>0</v>
      </c>
    </row>
    <row r="130" customFormat="false" ht="13.8" hidden="false" customHeight="false" outlineLevel="0" collapsed="false">
      <c r="B130" s="11" t="n">
        <f aca="false">_xlfn.NUMBERVALUE(solar!B127)</f>
        <v>0</v>
      </c>
      <c r="C130" s="12" t="n">
        <f aca="false">solar!C127</f>
        <v>0</v>
      </c>
      <c r="D130" s="12" t="n">
        <v>6</v>
      </c>
      <c r="E130" s="6" t="n">
        <v>126</v>
      </c>
      <c r="F130" s="17" t="n">
        <f aca="false">IFERROR(INDEX($B$5:$C$173, MATCH($E130, $B$5:$B$175, 0), 2), 0)*investment!$C$2</f>
        <v>0</v>
      </c>
      <c r="G130" s="6" t="n">
        <f aca="false">demand!C128</f>
        <v>0</v>
      </c>
      <c r="H130" s="2" t="n">
        <f aca="false">solgen!C128</f>
        <v>0</v>
      </c>
      <c r="I130" s="2" t="n">
        <f aca="false">import!C128</f>
        <v>0</v>
      </c>
      <c r="J130" s="2" t="n">
        <f aca="false">-export!C128</f>
        <v>-0</v>
      </c>
      <c r="K130" s="2" t="n">
        <f aca="false">-charge!C128</f>
        <v>-0</v>
      </c>
      <c r="L130" s="2" t="n">
        <f aca="false">discharge!C128</f>
        <v>0</v>
      </c>
      <c r="M130" s="2" t="n">
        <f aca="false">soc!C128/investment!$E$2 *100</f>
        <v>3.65328859904019E-011</v>
      </c>
      <c r="N130" s="5" t="n">
        <f aca="false">p_micro!C127</f>
        <v>0</v>
      </c>
    </row>
    <row r="131" customFormat="false" ht="13.8" hidden="false" customHeight="false" outlineLevel="0" collapsed="false">
      <c r="B131" s="11" t="n">
        <f aca="false">_xlfn.NUMBERVALUE(solar!B128)</f>
        <v>0</v>
      </c>
      <c r="C131" s="12" t="n">
        <f aca="false">solar!C128</f>
        <v>0</v>
      </c>
      <c r="D131" s="12" t="n">
        <v>7</v>
      </c>
      <c r="E131" s="6" t="n">
        <v>127</v>
      </c>
      <c r="F131" s="17" t="n">
        <f aca="false">IFERROR(INDEX($B$5:$C$173, MATCH($E131, $B$5:$B$175, 0), 2), 0)*investment!$C$2</f>
        <v>0</v>
      </c>
      <c r="G131" s="6" t="n">
        <f aca="false">demand!C129</f>
        <v>0</v>
      </c>
      <c r="H131" s="2" t="n">
        <f aca="false">solgen!C129</f>
        <v>0</v>
      </c>
      <c r="I131" s="2" t="n">
        <f aca="false">import!C129</f>
        <v>0</v>
      </c>
      <c r="J131" s="2" t="n">
        <f aca="false">-export!C129</f>
        <v>-0</v>
      </c>
      <c r="K131" s="2" t="n">
        <f aca="false">-charge!C129</f>
        <v>-0</v>
      </c>
      <c r="L131" s="2" t="n">
        <f aca="false">discharge!C129</f>
        <v>0</v>
      </c>
      <c r="M131" s="2" t="n">
        <f aca="false">soc!C129/investment!$E$2 *100</f>
        <v>4.19137542425202E-011</v>
      </c>
      <c r="N131" s="5" t="n">
        <f aca="false">p_micro!C128</f>
        <v>0</v>
      </c>
    </row>
    <row r="132" customFormat="false" ht="13.8" hidden="false" customHeight="false" outlineLevel="0" collapsed="false">
      <c r="B132" s="11" t="n">
        <f aca="false">_xlfn.NUMBERVALUE(solar!B129)</f>
        <v>0</v>
      </c>
      <c r="C132" s="12" t="n">
        <f aca="false">solar!C129</f>
        <v>0</v>
      </c>
      <c r="D132" s="12" t="n">
        <v>8</v>
      </c>
      <c r="E132" s="6" t="n">
        <v>128</v>
      </c>
      <c r="F132" s="17" t="n">
        <f aca="false">IFERROR(INDEX($B$5:$C$173, MATCH($E132, $B$5:$B$175, 0), 2), 0)*investment!$C$2</f>
        <v>0</v>
      </c>
      <c r="G132" s="6" t="n">
        <f aca="false">demand!C130</f>
        <v>0</v>
      </c>
      <c r="H132" s="2" t="n">
        <f aca="false">solgen!C130</f>
        <v>0</v>
      </c>
      <c r="I132" s="2" t="n">
        <f aca="false">import!C130</f>
        <v>0</v>
      </c>
      <c r="J132" s="2" t="n">
        <f aca="false">-export!C130</f>
        <v>-0</v>
      </c>
      <c r="K132" s="2" t="n">
        <f aca="false">-charge!C130</f>
        <v>-0</v>
      </c>
      <c r="L132" s="2" t="n">
        <f aca="false">discharge!C130</f>
        <v>0</v>
      </c>
      <c r="M132" s="2" t="n">
        <f aca="false">soc!C130/investment!$E$2 *100</f>
        <v>4.56293888440444E-011</v>
      </c>
      <c r="N132" s="5" t="n">
        <f aca="false">p_micro!C129</f>
        <v>0</v>
      </c>
    </row>
    <row r="133" customFormat="false" ht="13.8" hidden="false" customHeight="false" outlineLevel="0" collapsed="false">
      <c r="B133" s="11" t="n">
        <f aca="false">_xlfn.NUMBERVALUE(solar!B130)</f>
        <v>0</v>
      </c>
      <c r="C133" s="12" t="n">
        <f aca="false">solar!C130</f>
        <v>0</v>
      </c>
      <c r="D133" s="12" t="n">
        <v>9</v>
      </c>
      <c r="E133" s="6" t="n">
        <v>129</v>
      </c>
      <c r="F133" s="17" t="n">
        <f aca="false">IFERROR(INDEX($B$5:$C$173, MATCH($E133, $B$5:$B$175, 0), 2), 0)*investment!$C$2</f>
        <v>0</v>
      </c>
      <c r="G133" s="6" t="n">
        <f aca="false">demand!C131</f>
        <v>0</v>
      </c>
      <c r="H133" s="2" t="n">
        <f aca="false">solgen!C131</f>
        <v>0</v>
      </c>
      <c r="I133" s="2" t="n">
        <f aca="false">import!C131</f>
        <v>0</v>
      </c>
      <c r="J133" s="2" t="n">
        <f aca="false">-export!C131</f>
        <v>-0</v>
      </c>
      <c r="K133" s="2" t="n">
        <f aca="false">-charge!C131</f>
        <v>-0</v>
      </c>
      <c r="L133" s="2" t="n">
        <f aca="false">discharge!C131</f>
        <v>0</v>
      </c>
      <c r="M133" s="2" t="n">
        <f aca="false">soc!C131/investment!$E$2 *100</f>
        <v>4.78179731733711E-011</v>
      </c>
      <c r="N133" s="5" t="n">
        <f aca="false">p_micro!C130</f>
        <v>0</v>
      </c>
    </row>
    <row r="134" customFormat="false" ht="13.8" hidden="false" customHeight="false" outlineLevel="0" collapsed="false">
      <c r="B134" s="11" t="n">
        <f aca="false">_xlfn.NUMBERVALUE(solar!B131)</f>
        <v>0</v>
      </c>
      <c r="C134" s="12" t="n">
        <f aca="false">solar!C131</f>
        <v>0</v>
      </c>
      <c r="D134" s="12" t="n">
        <v>10</v>
      </c>
      <c r="E134" s="6" t="n">
        <v>130</v>
      </c>
      <c r="F134" s="17" t="n">
        <f aca="false">IFERROR(INDEX($B$5:$C$173, MATCH($E134, $B$5:$B$175, 0), 2), 0)*investment!$C$2</f>
        <v>0</v>
      </c>
      <c r="G134" s="6" t="n">
        <f aca="false">demand!C132</f>
        <v>0</v>
      </c>
      <c r="H134" s="2" t="n">
        <f aca="false">solgen!C132</f>
        <v>0</v>
      </c>
      <c r="I134" s="2" t="n">
        <f aca="false">import!C132</f>
        <v>0</v>
      </c>
      <c r="J134" s="2" t="n">
        <f aca="false">-export!C132</f>
        <v>-0</v>
      </c>
      <c r="K134" s="2" t="n">
        <f aca="false">-charge!C132</f>
        <v>-0</v>
      </c>
      <c r="L134" s="2" t="n">
        <f aca="false">discharge!C132</f>
        <v>0</v>
      </c>
      <c r="M134" s="2" t="n">
        <f aca="false">soc!C132/investment!$E$2 *100</f>
        <v>1.39767883178718</v>
      </c>
      <c r="N134" s="5" t="n">
        <f aca="false">p_micro!C131</f>
        <v>0</v>
      </c>
    </row>
    <row r="135" customFormat="false" ht="13.8" hidden="false" customHeight="false" outlineLevel="0" collapsed="false">
      <c r="B135" s="11" t="n">
        <f aca="false">_xlfn.NUMBERVALUE(solar!B132)</f>
        <v>0</v>
      </c>
      <c r="C135" s="12" t="n">
        <f aca="false">solar!C132</f>
        <v>0</v>
      </c>
      <c r="D135" s="12" t="n">
        <v>11</v>
      </c>
      <c r="E135" s="6" t="n">
        <v>131</v>
      </c>
      <c r="F135" s="17" t="n">
        <f aca="false">IFERROR(INDEX($B$5:$C$173, MATCH($E135, $B$5:$B$175, 0), 2), 0)*investment!$C$2</f>
        <v>0</v>
      </c>
      <c r="G135" s="6" t="n">
        <f aca="false">demand!C133</f>
        <v>0</v>
      </c>
      <c r="H135" s="2" t="n">
        <f aca="false">solgen!C133</f>
        <v>0</v>
      </c>
      <c r="I135" s="2" t="n">
        <f aca="false">import!C133</f>
        <v>0</v>
      </c>
      <c r="J135" s="2" t="n">
        <f aca="false">-export!C133</f>
        <v>-0</v>
      </c>
      <c r="K135" s="2" t="n">
        <f aca="false">-charge!C133</f>
        <v>-0</v>
      </c>
      <c r="L135" s="2" t="n">
        <f aca="false">discharge!C133</f>
        <v>0</v>
      </c>
      <c r="M135" s="2" t="n">
        <f aca="false">soc!C133/investment!$E$2 *100</f>
        <v>5.13040941477644</v>
      </c>
      <c r="N135" s="5" t="n">
        <f aca="false">p_micro!C132</f>
        <v>0</v>
      </c>
    </row>
    <row r="136" customFormat="false" ht="13.8" hidden="false" customHeight="false" outlineLevel="0" collapsed="false">
      <c r="B136" s="11" t="n">
        <f aca="false">_xlfn.NUMBERVALUE(solar!B133)</f>
        <v>0</v>
      </c>
      <c r="C136" s="12" t="n">
        <f aca="false">solar!C133</f>
        <v>0</v>
      </c>
      <c r="D136" s="12" t="n">
        <v>12</v>
      </c>
      <c r="E136" s="6" t="n">
        <v>132</v>
      </c>
      <c r="F136" s="17" t="n">
        <f aca="false">IFERROR(INDEX($B$5:$C$173, MATCH($E136, $B$5:$B$175, 0), 2), 0)*investment!$C$2</f>
        <v>0</v>
      </c>
      <c r="G136" s="6" t="n">
        <f aca="false">demand!C134</f>
        <v>0</v>
      </c>
      <c r="H136" s="2" t="n">
        <f aca="false">solgen!C134</f>
        <v>0</v>
      </c>
      <c r="I136" s="2" t="n">
        <f aca="false">import!C134</f>
        <v>0</v>
      </c>
      <c r="J136" s="2" t="n">
        <f aca="false">-export!C134</f>
        <v>-0</v>
      </c>
      <c r="K136" s="2" t="n">
        <f aca="false">-charge!C134</f>
        <v>-0</v>
      </c>
      <c r="L136" s="2" t="n">
        <f aca="false">discharge!C134</f>
        <v>0</v>
      </c>
      <c r="M136" s="2" t="n">
        <f aca="false">soc!C134/investment!$E$2 *100</f>
        <v>5.13035811092787</v>
      </c>
      <c r="N136" s="5" t="n">
        <f aca="false">p_micro!C133</f>
        <v>0</v>
      </c>
    </row>
    <row r="137" customFormat="false" ht="13.8" hidden="false" customHeight="false" outlineLevel="0" collapsed="false">
      <c r="B137" s="11" t="n">
        <f aca="false">_xlfn.NUMBERVALUE(solar!B134)</f>
        <v>0</v>
      </c>
      <c r="C137" s="12" t="n">
        <f aca="false">solar!C134</f>
        <v>0</v>
      </c>
      <c r="D137" s="12" t="n">
        <v>13</v>
      </c>
      <c r="E137" s="6" t="n">
        <v>133</v>
      </c>
      <c r="F137" s="17" t="n">
        <f aca="false">IFERROR(INDEX($B$5:$C$173, MATCH($E137, $B$5:$B$175, 0), 2), 0)*investment!$C$2</f>
        <v>0</v>
      </c>
      <c r="G137" s="6" t="n">
        <f aca="false">demand!C135</f>
        <v>0</v>
      </c>
      <c r="H137" s="2" t="n">
        <f aca="false">solgen!C135</f>
        <v>0</v>
      </c>
      <c r="I137" s="2" t="n">
        <f aca="false">import!C135</f>
        <v>0</v>
      </c>
      <c r="J137" s="2" t="n">
        <f aca="false">-export!C135</f>
        <v>-0</v>
      </c>
      <c r="K137" s="2" t="n">
        <f aca="false">-charge!C135</f>
        <v>-0</v>
      </c>
      <c r="L137" s="2" t="n">
        <f aca="false">discharge!C135</f>
        <v>0</v>
      </c>
      <c r="M137" s="2" t="n">
        <f aca="false">soc!C135/investment!$E$2 *100</f>
        <v>14.8038681912784</v>
      </c>
      <c r="N137" s="5" t="n">
        <f aca="false">p_micro!C134</f>
        <v>0</v>
      </c>
    </row>
    <row r="138" customFormat="false" ht="13.8" hidden="false" customHeight="false" outlineLevel="0" collapsed="false">
      <c r="B138" s="11" t="n">
        <f aca="false">_xlfn.NUMBERVALUE(solar!B135)</f>
        <v>0</v>
      </c>
      <c r="C138" s="12" t="n">
        <f aca="false">solar!C135</f>
        <v>0</v>
      </c>
      <c r="D138" s="12" t="n">
        <v>14</v>
      </c>
      <c r="E138" s="6" t="n">
        <v>134</v>
      </c>
      <c r="F138" s="17" t="n">
        <f aca="false">IFERROR(INDEX($B$5:$C$173, MATCH($E138, $B$5:$B$175, 0), 2), 0)*investment!$C$2</f>
        <v>0</v>
      </c>
      <c r="G138" s="6" t="n">
        <f aca="false">demand!C136</f>
        <v>0</v>
      </c>
      <c r="H138" s="2" t="n">
        <f aca="false">solgen!C136</f>
        <v>0</v>
      </c>
      <c r="I138" s="2" t="n">
        <f aca="false">import!C136</f>
        <v>0</v>
      </c>
      <c r="J138" s="2" t="n">
        <f aca="false">-export!C136</f>
        <v>-0</v>
      </c>
      <c r="K138" s="2" t="n">
        <f aca="false">-charge!C136</f>
        <v>-0</v>
      </c>
      <c r="L138" s="2" t="n">
        <f aca="false">discharge!C136</f>
        <v>0</v>
      </c>
      <c r="M138" s="2" t="n">
        <f aca="false">soc!C136/investment!$E$2 *100</f>
        <v>14.8037201526952</v>
      </c>
      <c r="N138" s="5" t="n">
        <f aca="false">p_micro!C135</f>
        <v>0</v>
      </c>
    </row>
    <row r="139" customFormat="false" ht="13.8" hidden="false" customHeight="false" outlineLevel="0" collapsed="false">
      <c r="B139" s="11" t="n">
        <f aca="false">_xlfn.NUMBERVALUE(solar!B136)</f>
        <v>0</v>
      </c>
      <c r="C139" s="12" t="n">
        <f aca="false">solar!C136</f>
        <v>0</v>
      </c>
      <c r="D139" s="12" t="n">
        <v>15</v>
      </c>
      <c r="E139" s="6" t="n">
        <v>135</v>
      </c>
      <c r="F139" s="17" t="n">
        <f aca="false">IFERROR(INDEX($B$5:$C$173, MATCH($E139, $B$5:$B$175, 0), 2), 0)*investment!$C$2</f>
        <v>0</v>
      </c>
      <c r="G139" s="6" t="n">
        <f aca="false">demand!C137</f>
        <v>0</v>
      </c>
      <c r="H139" s="2" t="n">
        <f aca="false">solgen!C137</f>
        <v>0</v>
      </c>
      <c r="I139" s="2" t="n">
        <f aca="false">import!C137</f>
        <v>0</v>
      </c>
      <c r="J139" s="2" t="n">
        <f aca="false">-export!C137</f>
        <v>-0</v>
      </c>
      <c r="K139" s="2" t="n">
        <f aca="false">-charge!C137</f>
        <v>-0</v>
      </c>
      <c r="L139" s="2" t="n">
        <f aca="false">discharge!C137</f>
        <v>0</v>
      </c>
      <c r="M139" s="2" t="n">
        <f aca="false">soc!C137/investment!$E$2 *100</f>
        <v>28.1103852636663</v>
      </c>
      <c r="N139" s="5" t="n">
        <f aca="false">p_micro!C136</f>
        <v>0</v>
      </c>
    </row>
    <row r="140" customFormat="false" ht="13.8" hidden="false" customHeight="false" outlineLevel="0" collapsed="false">
      <c r="B140" s="11" t="n">
        <f aca="false">_xlfn.NUMBERVALUE(solar!B137)</f>
        <v>0</v>
      </c>
      <c r="C140" s="12" t="n">
        <f aca="false">solar!C137</f>
        <v>0</v>
      </c>
      <c r="D140" s="12" t="n">
        <v>16</v>
      </c>
      <c r="E140" s="6" t="n">
        <v>136</v>
      </c>
      <c r="F140" s="17" t="n">
        <f aca="false">IFERROR(INDEX($B$5:$C$173, MATCH($E140, $B$5:$B$175, 0), 2), 0)*investment!$C$2</f>
        <v>0</v>
      </c>
      <c r="G140" s="6" t="n">
        <f aca="false">demand!C138</f>
        <v>0</v>
      </c>
      <c r="H140" s="2" t="n">
        <f aca="false">solgen!C138</f>
        <v>0</v>
      </c>
      <c r="I140" s="2" t="n">
        <f aca="false">import!C138</f>
        <v>0</v>
      </c>
      <c r="J140" s="2" t="n">
        <f aca="false">-export!C138</f>
        <v>-0</v>
      </c>
      <c r="K140" s="2" t="n">
        <f aca="false">-charge!C138</f>
        <v>-0</v>
      </c>
      <c r="L140" s="2" t="n">
        <f aca="false">discharge!C138</f>
        <v>0</v>
      </c>
      <c r="M140" s="2" t="n">
        <f aca="false">soc!C138/investment!$E$2 *100</f>
        <v>30.1751408815732</v>
      </c>
      <c r="N140" s="5" t="n">
        <f aca="false">p_micro!C137</f>
        <v>0</v>
      </c>
    </row>
    <row r="141" customFormat="false" ht="13.8" hidden="false" customHeight="false" outlineLevel="0" collapsed="false">
      <c r="B141" s="11" t="n">
        <f aca="false">_xlfn.NUMBERVALUE(solar!B138)</f>
        <v>0</v>
      </c>
      <c r="C141" s="12" t="n">
        <f aca="false">solar!C138</f>
        <v>0</v>
      </c>
      <c r="D141" s="12" t="n">
        <v>17</v>
      </c>
      <c r="E141" s="6" t="n">
        <v>137</v>
      </c>
      <c r="F141" s="17" t="n">
        <f aca="false">IFERROR(INDEX($B$5:$C$173, MATCH($E141, $B$5:$B$175, 0), 2), 0)*investment!$C$2</f>
        <v>0</v>
      </c>
      <c r="G141" s="6" t="n">
        <f aca="false">demand!C139</f>
        <v>0</v>
      </c>
      <c r="H141" s="2" t="n">
        <f aca="false">solgen!C139</f>
        <v>0</v>
      </c>
      <c r="I141" s="2" t="n">
        <f aca="false">import!C139</f>
        <v>0</v>
      </c>
      <c r="J141" s="2" t="n">
        <f aca="false">-export!C139</f>
        <v>-0</v>
      </c>
      <c r="K141" s="2" t="n">
        <f aca="false">-charge!C139</f>
        <v>-0</v>
      </c>
      <c r="L141" s="2" t="n">
        <f aca="false">discharge!C139</f>
        <v>0</v>
      </c>
      <c r="M141" s="2" t="n">
        <f aca="false">soc!C139/investment!$E$2 *100</f>
        <v>45.4982186460234</v>
      </c>
      <c r="N141" s="5" t="n">
        <f aca="false">p_micro!C138</f>
        <v>0</v>
      </c>
    </row>
    <row r="142" customFormat="false" ht="13.8" hidden="false" customHeight="false" outlineLevel="0" collapsed="false">
      <c r="B142" s="11" t="n">
        <f aca="false">_xlfn.NUMBERVALUE(solar!B139)</f>
        <v>0</v>
      </c>
      <c r="C142" s="12" t="n">
        <f aca="false">solar!C139</f>
        <v>0</v>
      </c>
      <c r="D142" s="12" t="n">
        <v>18</v>
      </c>
      <c r="E142" s="6" t="n">
        <v>138</v>
      </c>
      <c r="F142" s="17" t="n">
        <f aca="false">IFERROR(INDEX($B$5:$C$173, MATCH($E142, $B$5:$B$175, 0), 2), 0)*investment!$C$2</f>
        <v>0</v>
      </c>
      <c r="G142" s="6" t="n">
        <f aca="false">demand!C140</f>
        <v>0</v>
      </c>
      <c r="H142" s="2" t="n">
        <f aca="false">solgen!C140</f>
        <v>0</v>
      </c>
      <c r="I142" s="2" t="n">
        <f aca="false">import!C140</f>
        <v>0</v>
      </c>
      <c r="J142" s="2" t="n">
        <f aca="false">-export!C140</f>
        <v>-0</v>
      </c>
      <c r="K142" s="2" t="n">
        <f aca="false">-charge!C140</f>
        <v>-0</v>
      </c>
      <c r="L142" s="2" t="n">
        <f aca="false">discharge!C140</f>
        <v>0</v>
      </c>
      <c r="M142" s="2" t="n">
        <f aca="false">soc!C140/investment!$E$2 *100</f>
        <v>49.8337444564128</v>
      </c>
      <c r="N142" s="5" t="n">
        <f aca="false">p_micro!C139</f>
        <v>0</v>
      </c>
    </row>
    <row r="143" customFormat="false" ht="13.8" hidden="false" customHeight="false" outlineLevel="0" collapsed="false">
      <c r="B143" s="11" t="n">
        <f aca="false">_xlfn.NUMBERVALUE(solar!B140)</f>
        <v>0</v>
      </c>
      <c r="C143" s="12" t="n">
        <f aca="false">solar!C140</f>
        <v>0</v>
      </c>
      <c r="D143" s="12" t="n">
        <v>19</v>
      </c>
      <c r="E143" s="6" t="n">
        <v>139</v>
      </c>
      <c r="F143" s="17" t="n">
        <f aca="false">IFERROR(INDEX($B$5:$C$173, MATCH($E143, $B$5:$B$175, 0), 2), 0)*investment!$C$2</f>
        <v>0</v>
      </c>
      <c r="G143" s="6" t="n">
        <f aca="false">demand!C141</f>
        <v>0</v>
      </c>
      <c r="H143" s="2" t="n">
        <f aca="false">solgen!C141</f>
        <v>0</v>
      </c>
      <c r="I143" s="2" t="n">
        <f aca="false">import!C141</f>
        <v>0</v>
      </c>
      <c r="J143" s="2" t="n">
        <f aca="false">-export!C141</f>
        <v>-0</v>
      </c>
      <c r="K143" s="2" t="n">
        <f aca="false">-charge!C141</f>
        <v>-0</v>
      </c>
      <c r="L143" s="2" t="n">
        <f aca="false">discharge!C141</f>
        <v>0</v>
      </c>
      <c r="M143" s="2" t="n">
        <f aca="false">soc!C141/investment!$E$2 *100</f>
        <v>67.8284032895693</v>
      </c>
      <c r="N143" s="5" t="n">
        <f aca="false">p_micro!C140</f>
        <v>0</v>
      </c>
    </row>
    <row r="144" customFormat="false" ht="13.8" hidden="false" customHeight="false" outlineLevel="0" collapsed="false">
      <c r="B144" s="11" t="n">
        <f aca="false">_xlfn.NUMBERVALUE(solar!B141)</f>
        <v>0</v>
      </c>
      <c r="C144" s="12" t="n">
        <f aca="false">solar!C141</f>
        <v>0</v>
      </c>
      <c r="D144" s="12" t="n">
        <v>20</v>
      </c>
      <c r="E144" s="6" t="n">
        <v>140</v>
      </c>
      <c r="F144" s="17" t="n">
        <f aca="false">IFERROR(INDEX($B$5:$C$173, MATCH($E144, $B$5:$B$175, 0), 2), 0)*investment!$C$2</f>
        <v>0</v>
      </c>
      <c r="G144" s="6" t="n">
        <f aca="false">demand!C142</f>
        <v>0</v>
      </c>
      <c r="H144" s="2" t="n">
        <f aca="false">solgen!C142</f>
        <v>0</v>
      </c>
      <c r="I144" s="2" t="n">
        <f aca="false">import!C142</f>
        <v>0</v>
      </c>
      <c r="J144" s="2" t="n">
        <f aca="false">-export!C142</f>
        <v>-0</v>
      </c>
      <c r="K144" s="2" t="n">
        <f aca="false">-charge!C142</f>
        <v>-0</v>
      </c>
      <c r="L144" s="2" t="n">
        <f aca="false">discharge!C142</f>
        <v>0</v>
      </c>
      <c r="M144" s="2" t="n">
        <f aca="false">soc!C142/investment!$E$2 *100</f>
        <v>70.1351207923529</v>
      </c>
      <c r="N144" s="5" t="n">
        <f aca="false">p_micro!C141</f>
        <v>0</v>
      </c>
    </row>
    <row r="145" customFormat="false" ht="13.8" hidden="false" customHeight="false" outlineLevel="0" collapsed="false">
      <c r="B145" s="11" t="n">
        <f aca="false">_xlfn.NUMBERVALUE(solar!B142)</f>
        <v>0</v>
      </c>
      <c r="C145" s="12" t="n">
        <f aca="false">solar!C142</f>
        <v>0</v>
      </c>
      <c r="D145" s="12" t="n">
        <v>21</v>
      </c>
      <c r="E145" s="6" t="n">
        <v>141</v>
      </c>
      <c r="F145" s="17" t="n">
        <f aca="false">IFERROR(INDEX($B$5:$C$173, MATCH($E145, $B$5:$B$175, 0), 2), 0)*investment!$C$2</f>
        <v>0</v>
      </c>
      <c r="G145" s="6" t="n">
        <f aca="false">demand!C143</f>
        <v>0</v>
      </c>
      <c r="H145" s="2" t="n">
        <f aca="false">solgen!C143</f>
        <v>0</v>
      </c>
      <c r="I145" s="2" t="n">
        <f aca="false">import!C143</f>
        <v>0</v>
      </c>
      <c r="J145" s="2" t="n">
        <f aca="false">-export!C143</f>
        <v>-0</v>
      </c>
      <c r="K145" s="2" t="n">
        <f aca="false">-charge!C143</f>
        <v>-0</v>
      </c>
      <c r="L145" s="2" t="n">
        <f aca="false">discharge!C143</f>
        <v>0</v>
      </c>
      <c r="M145" s="2" t="n">
        <f aca="false">soc!C143/investment!$E$2 *100</f>
        <v>88.9334037742804</v>
      </c>
      <c r="N145" s="5" t="n">
        <f aca="false">p_micro!C142</f>
        <v>0</v>
      </c>
    </row>
    <row r="146" customFormat="false" ht="13.8" hidden="false" customHeight="false" outlineLevel="0" collapsed="false">
      <c r="B146" s="11" t="n">
        <f aca="false">_xlfn.NUMBERVALUE(solar!B143)</f>
        <v>0</v>
      </c>
      <c r="C146" s="12" t="n">
        <f aca="false">solar!C143</f>
        <v>0</v>
      </c>
      <c r="D146" s="12" t="n">
        <v>22</v>
      </c>
      <c r="E146" s="6" t="n">
        <v>142</v>
      </c>
      <c r="F146" s="17" t="n">
        <f aca="false">IFERROR(INDEX($B$5:$C$173, MATCH($E146, $B$5:$B$175, 0), 2), 0)*investment!$C$2</f>
        <v>0</v>
      </c>
      <c r="G146" s="6" t="n">
        <f aca="false">demand!C144</f>
        <v>0</v>
      </c>
      <c r="H146" s="2" t="n">
        <f aca="false">solgen!C144</f>
        <v>0</v>
      </c>
      <c r="I146" s="2" t="n">
        <f aca="false">import!C144</f>
        <v>0</v>
      </c>
      <c r="J146" s="2" t="n">
        <f aca="false">-export!C144</f>
        <v>-0</v>
      </c>
      <c r="K146" s="2" t="n">
        <f aca="false">-charge!C144</f>
        <v>-0</v>
      </c>
      <c r="L146" s="2" t="n">
        <f aca="false">discharge!C144</f>
        <v>0</v>
      </c>
      <c r="M146" s="2" t="n">
        <f aca="false">soc!C144/investment!$E$2 *100</f>
        <v>88.9325144534757</v>
      </c>
      <c r="N146" s="5" t="n">
        <f aca="false">p_micro!C143</f>
        <v>0</v>
      </c>
    </row>
    <row r="147" customFormat="false" ht="13.8" hidden="false" customHeight="false" outlineLevel="0" collapsed="false">
      <c r="B147" s="11" t="n">
        <f aca="false">_xlfn.NUMBERVALUE(solar!B144)</f>
        <v>0</v>
      </c>
      <c r="C147" s="12" t="n">
        <f aca="false">solar!C144</f>
        <v>0</v>
      </c>
      <c r="D147" s="12" t="n">
        <v>23</v>
      </c>
      <c r="E147" s="6" t="n">
        <v>143</v>
      </c>
      <c r="F147" s="17" t="n">
        <f aca="false">IFERROR(INDEX($B$5:$C$173, MATCH($E147, $B$5:$B$175, 0), 2), 0)*investment!$C$2</f>
        <v>0</v>
      </c>
      <c r="G147" s="6" t="n">
        <f aca="false">demand!C145</f>
        <v>0</v>
      </c>
      <c r="H147" s="2" t="n">
        <f aca="false">solgen!C145</f>
        <v>0</v>
      </c>
      <c r="I147" s="2" t="n">
        <f aca="false">import!C145</f>
        <v>0</v>
      </c>
      <c r="J147" s="2" t="n">
        <f aca="false">-export!C145</f>
        <v>-0</v>
      </c>
      <c r="K147" s="2" t="n">
        <f aca="false">-charge!C145</f>
        <v>-0</v>
      </c>
      <c r="L147" s="2" t="n">
        <f aca="false">discharge!C145</f>
        <v>0</v>
      </c>
      <c r="M147" s="2" t="n">
        <f aca="false">soc!C145/investment!$E$2 *100</f>
        <v>88.9316251721549</v>
      </c>
      <c r="N147" s="5" t="n">
        <f aca="false">p_micro!C144</f>
        <v>0</v>
      </c>
    </row>
    <row r="148" customFormat="false" ht="13.8" hidden="false" customHeight="false" outlineLevel="0" collapsed="false">
      <c r="B148" s="11" t="n">
        <f aca="false">_xlfn.NUMBERVALUE(solar!B145)</f>
        <v>0</v>
      </c>
      <c r="C148" s="12" t="n">
        <f aca="false">solar!C145</f>
        <v>0</v>
      </c>
      <c r="D148" s="12" t="n">
        <v>24</v>
      </c>
      <c r="E148" s="6" t="n">
        <v>144</v>
      </c>
      <c r="F148" s="17" t="n">
        <f aca="false">IFERROR(INDEX($B$5:$C$173, MATCH($E148, $B$5:$B$175, 0), 2), 0)*investment!$C$2</f>
        <v>0</v>
      </c>
      <c r="G148" s="6" t="n">
        <f aca="false">demand!C146</f>
        <v>0</v>
      </c>
      <c r="H148" s="2" t="n">
        <f aca="false">solgen!C146</f>
        <v>0</v>
      </c>
      <c r="I148" s="2" t="n">
        <f aca="false">import!C146</f>
        <v>0</v>
      </c>
      <c r="J148" s="2" t="n">
        <f aca="false">-export!C146</f>
        <v>-0</v>
      </c>
      <c r="K148" s="2" t="n">
        <f aca="false">-charge!C146</f>
        <v>-0</v>
      </c>
      <c r="L148" s="2" t="n">
        <f aca="false">discharge!C146</f>
        <v>0</v>
      </c>
      <c r="M148" s="2" t="n">
        <f aca="false">soc!C146/investment!$E$2 *100</f>
        <v>94.9436996438401</v>
      </c>
      <c r="N148" s="5" t="n">
        <f aca="false">p_micro!C145</f>
        <v>0</v>
      </c>
    </row>
    <row r="149" customFormat="false" ht="13.8" hidden="false" customHeight="false" outlineLevel="0" collapsed="false">
      <c r="B149" s="11" t="n">
        <f aca="false">_xlfn.NUMBERVALUE(solar!B146)</f>
        <v>0</v>
      </c>
      <c r="C149" s="12" t="n">
        <f aca="false">solar!C146</f>
        <v>0</v>
      </c>
      <c r="D149" s="12" t="n">
        <v>1</v>
      </c>
      <c r="E149" s="6" t="n">
        <v>145</v>
      </c>
      <c r="F149" s="17" t="n">
        <f aca="false">IFERROR(INDEX($B$5:$C$173, MATCH($E149, $B$5:$B$175, 0), 2), 0)*investment!$C$2</f>
        <v>0</v>
      </c>
      <c r="G149" s="6" t="n">
        <f aca="false">demand!C147</f>
        <v>0</v>
      </c>
      <c r="H149" s="2" t="n">
        <f aca="false">solgen!C147</f>
        <v>0</v>
      </c>
      <c r="I149" s="2" t="n">
        <f aca="false">import!C147</f>
        <v>0</v>
      </c>
      <c r="J149" s="2" t="n">
        <f aca="false">-export!C147</f>
        <v>-0</v>
      </c>
      <c r="K149" s="2" t="n">
        <f aca="false">-charge!C147</f>
        <v>-0</v>
      </c>
      <c r="L149" s="2" t="n">
        <f aca="false">discharge!C147</f>
        <v>0</v>
      </c>
      <c r="M149" s="2" t="n">
        <f aca="false">soc!C147/investment!$E$2 *100</f>
        <v>99.9999995940739</v>
      </c>
      <c r="N149" s="5" t="n">
        <f aca="false">p_micro!C146</f>
        <v>0</v>
      </c>
    </row>
    <row r="150" customFormat="false" ht="13.8" hidden="false" customHeight="false" outlineLevel="0" collapsed="false">
      <c r="B150" s="11" t="n">
        <f aca="false">_xlfn.NUMBERVALUE(solar!B147)</f>
        <v>0</v>
      </c>
      <c r="C150" s="12" t="n">
        <f aca="false">solar!C147</f>
        <v>0</v>
      </c>
      <c r="D150" s="12" t="n">
        <v>2</v>
      </c>
      <c r="E150" s="6" t="n">
        <v>146</v>
      </c>
      <c r="F150" s="17" t="n">
        <f aca="false">IFERROR(INDEX($B$5:$C$173, MATCH($E150, $B$5:$B$175, 0), 2), 0)*investment!$C$2</f>
        <v>0</v>
      </c>
      <c r="G150" s="6" t="n">
        <f aca="false">demand!C148</f>
        <v>0</v>
      </c>
      <c r="H150" s="2" t="n">
        <f aca="false">solgen!C148</f>
        <v>0</v>
      </c>
      <c r="I150" s="2" t="n">
        <f aca="false">import!C148</f>
        <v>0</v>
      </c>
      <c r="J150" s="2" t="n">
        <f aca="false">-export!C148</f>
        <v>-0</v>
      </c>
      <c r="K150" s="2" t="n">
        <f aca="false">-charge!C148</f>
        <v>-0</v>
      </c>
      <c r="L150" s="2" t="n">
        <f aca="false">discharge!C148</f>
        <v>0</v>
      </c>
      <c r="M150" s="2" t="n">
        <f aca="false">soc!C148/investment!$E$2 *100</f>
        <v>99.9999995940696</v>
      </c>
      <c r="N150" s="5" t="n">
        <f aca="false">p_micro!C147</f>
        <v>0</v>
      </c>
    </row>
    <row r="151" customFormat="false" ht="13.8" hidden="false" customHeight="false" outlineLevel="0" collapsed="false">
      <c r="B151" s="11" t="n">
        <f aca="false">_xlfn.NUMBERVALUE(solar!B148)</f>
        <v>0</v>
      </c>
      <c r="C151" s="12" t="n">
        <f aca="false">solar!C148</f>
        <v>0</v>
      </c>
      <c r="D151" s="12" t="n">
        <v>3</v>
      </c>
      <c r="E151" s="6" t="n">
        <v>147</v>
      </c>
      <c r="F151" s="17" t="n">
        <f aca="false">IFERROR(INDEX($B$5:$C$173, MATCH($E151, $B$5:$B$175, 0), 2), 0)*investment!$C$2</f>
        <v>0</v>
      </c>
      <c r="G151" s="6" t="n">
        <f aca="false">demand!C149</f>
        <v>0</v>
      </c>
      <c r="H151" s="2" t="n">
        <f aca="false">solgen!C149</f>
        <v>0</v>
      </c>
      <c r="I151" s="2" t="n">
        <f aca="false">import!C149</f>
        <v>0</v>
      </c>
      <c r="J151" s="2" t="n">
        <f aca="false">-export!C149</f>
        <v>-0</v>
      </c>
      <c r="K151" s="2" t="n">
        <f aca="false">-charge!C149</f>
        <v>-0</v>
      </c>
      <c r="L151" s="2" t="n">
        <f aca="false">discharge!C149</f>
        <v>0</v>
      </c>
      <c r="M151" s="2" t="n">
        <f aca="false">soc!C149/investment!$E$2 *100</f>
        <v>99.9999995940773</v>
      </c>
      <c r="N151" s="5" t="n">
        <f aca="false">p_micro!C148</f>
        <v>0</v>
      </c>
    </row>
    <row r="152" customFormat="false" ht="13.8" hidden="false" customHeight="false" outlineLevel="0" collapsed="false">
      <c r="B152" s="11" t="n">
        <f aca="false">_xlfn.NUMBERVALUE(solar!B149)</f>
        <v>0</v>
      </c>
      <c r="C152" s="12" t="n">
        <f aca="false">solar!C149</f>
        <v>0</v>
      </c>
      <c r="D152" s="12" t="n">
        <v>4</v>
      </c>
      <c r="E152" s="6" t="n">
        <v>148</v>
      </c>
      <c r="F152" s="17" t="n">
        <f aca="false">IFERROR(INDEX($B$5:$C$173, MATCH($E152, $B$5:$B$175, 0), 2), 0)*investment!$C$2</f>
        <v>0</v>
      </c>
      <c r="G152" s="6" t="n">
        <f aca="false">demand!C150</f>
        <v>0</v>
      </c>
      <c r="H152" s="2" t="n">
        <f aca="false">solgen!C150</f>
        <v>0</v>
      </c>
      <c r="I152" s="2" t="n">
        <f aca="false">import!C150</f>
        <v>0</v>
      </c>
      <c r="J152" s="2" t="n">
        <f aca="false">-export!C150</f>
        <v>-0</v>
      </c>
      <c r="K152" s="2" t="n">
        <f aca="false">-charge!C150</f>
        <v>-0</v>
      </c>
      <c r="L152" s="2" t="n">
        <f aca="false">discharge!C150</f>
        <v>0</v>
      </c>
      <c r="M152" s="2" t="n">
        <f aca="false">soc!C150/investment!$E$2 *100</f>
        <v>99.9999995940771</v>
      </c>
      <c r="N152" s="5" t="n">
        <f aca="false">p_micro!C149</f>
        <v>0</v>
      </c>
    </row>
    <row r="153" customFormat="false" ht="13.8" hidden="false" customHeight="false" outlineLevel="0" collapsed="false">
      <c r="B153" s="11" t="n">
        <f aca="false">_xlfn.NUMBERVALUE(solar!B150)</f>
        <v>0</v>
      </c>
      <c r="C153" s="12" t="n">
        <f aca="false">solar!C150</f>
        <v>0</v>
      </c>
      <c r="D153" s="12" t="n">
        <v>5</v>
      </c>
      <c r="E153" s="6" t="n">
        <v>149</v>
      </c>
      <c r="F153" s="17" t="n">
        <f aca="false">IFERROR(INDEX($B$5:$C$173, MATCH($E153, $B$5:$B$175, 0), 2), 0)*investment!$C$2</f>
        <v>0</v>
      </c>
      <c r="G153" s="6" t="n">
        <f aca="false">demand!C151</f>
        <v>0</v>
      </c>
      <c r="H153" s="2" t="n">
        <f aca="false">solgen!C151</f>
        <v>0</v>
      </c>
      <c r="I153" s="2" t="n">
        <f aca="false">import!C151</f>
        <v>0</v>
      </c>
      <c r="J153" s="2" t="n">
        <f aca="false">-export!C151</f>
        <v>-0</v>
      </c>
      <c r="K153" s="2" t="n">
        <f aca="false">-charge!C151</f>
        <v>-0</v>
      </c>
      <c r="L153" s="2" t="n">
        <f aca="false">discharge!C151</f>
        <v>0</v>
      </c>
      <c r="M153" s="2" t="n">
        <f aca="false">soc!C151/investment!$E$2 *100</f>
        <v>99.9999995940638</v>
      </c>
      <c r="N153" s="5" t="n">
        <f aca="false">p_micro!C150</f>
        <v>0</v>
      </c>
    </row>
    <row r="154" customFormat="false" ht="13.8" hidden="false" customHeight="false" outlineLevel="0" collapsed="false">
      <c r="B154" s="11" t="n">
        <f aca="false">_xlfn.NUMBERVALUE(solar!B151)</f>
        <v>0</v>
      </c>
      <c r="C154" s="12" t="n">
        <f aca="false">solar!C151</f>
        <v>0</v>
      </c>
      <c r="D154" s="12" t="n">
        <v>6</v>
      </c>
      <c r="E154" s="6" t="n">
        <v>150</v>
      </c>
      <c r="F154" s="17" t="n">
        <f aca="false">IFERROR(INDEX($B$5:$C$173, MATCH($E154, $B$5:$B$175, 0), 2), 0)*investment!$C$2</f>
        <v>0</v>
      </c>
      <c r="G154" s="6" t="n">
        <f aca="false">demand!C152</f>
        <v>0</v>
      </c>
      <c r="H154" s="2" t="n">
        <f aca="false">solgen!C152</f>
        <v>0</v>
      </c>
      <c r="I154" s="2" t="n">
        <f aca="false">import!C152</f>
        <v>0</v>
      </c>
      <c r="J154" s="2" t="n">
        <f aca="false">-export!C152</f>
        <v>-0</v>
      </c>
      <c r="K154" s="2" t="n">
        <f aca="false">-charge!C152</f>
        <v>-0</v>
      </c>
      <c r="L154" s="2" t="n">
        <f aca="false">discharge!C152</f>
        <v>0</v>
      </c>
      <c r="M154" s="2" t="n">
        <f aca="false">soc!C152/investment!$E$2 *100</f>
        <v>99.9989995933474</v>
      </c>
      <c r="N154" s="5" t="n">
        <f aca="false">p_micro!C151</f>
        <v>0</v>
      </c>
    </row>
    <row r="155" customFormat="false" ht="13.8" hidden="false" customHeight="false" outlineLevel="0" collapsed="false">
      <c r="B155" s="11" t="n">
        <f aca="false">_xlfn.NUMBERVALUE(solar!B152)</f>
        <v>0</v>
      </c>
      <c r="C155" s="12" t="n">
        <f aca="false">solar!C152</f>
        <v>0</v>
      </c>
      <c r="D155" s="12" t="n">
        <v>7</v>
      </c>
      <c r="E155" s="6" t="n">
        <v>151</v>
      </c>
      <c r="F155" s="17" t="n">
        <f aca="false">IFERROR(INDEX($B$5:$C$173, MATCH($E155, $B$5:$B$175, 0), 2), 0)*investment!$C$2</f>
        <v>0</v>
      </c>
      <c r="G155" s="6" t="n">
        <f aca="false">demand!C153</f>
        <v>0</v>
      </c>
      <c r="H155" s="2" t="n">
        <f aca="false">solgen!C153</f>
        <v>0</v>
      </c>
      <c r="I155" s="2" t="n">
        <f aca="false">import!C153</f>
        <v>0</v>
      </c>
      <c r="J155" s="2" t="n">
        <f aca="false">-export!C153</f>
        <v>-0</v>
      </c>
      <c r="K155" s="2" t="n">
        <f aca="false">-charge!C153</f>
        <v>-0</v>
      </c>
      <c r="L155" s="2" t="n">
        <f aca="false">discharge!C153</f>
        <v>0</v>
      </c>
      <c r="M155" s="2" t="n">
        <f aca="false">soc!C153/investment!$E$2 *100</f>
        <v>99.9999995940646</v>
      </c>
      <c r="N155" s="5" t="n">
        <f aca="false">p_micro!C152</f>
        <v>0</v>
      </c>
    </row>
    <row r="156" customFormat="false" ht="13.8" hidden="false" customHeight="false" outlineLevel="0" collapsed="false">
      <c r="B156" s="11" t="n">
        <f aca="false">_xlfn.NUMBERVALUE(solar!B153)</f>
        <v>0</v>
      </c>
      <c r="C156" s="12" t="n">
        <f aca="false">solar!C153</f>
        <v>0</v>
      </c>
      <c r="D156" s="12" t="n">
        <v>8</v>
      </c>
      <c r="E156" s="6" t="n">
        <v>152</v>
      </c>
      <c r="F156" s="17" t="n">
        <f aca="false">IFERROR(INDEX($B$5:$C$173, MATCH($E156, $B$5:$B$175, 0), 2), 0)*investment!$C$2</f>
        <v>0</v>
      </c>
      <c r="G156" s="6" t="n">
        <f aca="false">demand!C154</f>
        <v>0</v>
      </c>
      <c r="H156" s="2" t="n">
        <f aca="false">solgen!C154</f>
        <v>0</v>
      </c>
      <c r="I156" s="2" t="n">
        <f aca="false">import!C154</f>
        <v>0</v>
      </c>
      <c r="J156" s="2" t="n">
        <f aca="false">-export!C154</f>
        <v>-0</v>
      </c>
      <c r="K156" s="2" t="n">
        <f aca="false">-charge!C154</f>
        <v>-0</v>
      </c>
      <c r="L156" s="2" t="n">
        <f aca="false">discharge!C154</f>
        <v>0</v>
      </c>
      <c r="M156" s="2" t="n">
        <f aca="false">soc!C154/investment!$E$2 *100</f>
        <v>99.9989995933566</v>
      </c>
      <c r="N156" s="5" t="n">
        <f aca="false">p_micro!C153</f>
        <v>0</v>
      </c>
    </row>
    <row r="157" customFormat="false" ht="13.8" hidden="false" customHeight="false" outlineLevel="0" collapsed="false">
      <c r="B157" s="11" t="n">
        <f aca="false">_xlfn.NUMBERVALUE(solar!B154)</f>
        <v>0</v>
      </c>
      <c r="C157" s="12" t="n">
        <f aca="false">solar!C154</f>
        <v>0</v>
      </c>
      <c r="D157" s="12" t="n">
        <v>9</v>
      </c>
      <c r="E157" s="6" t="n">
        <v>153</v>
      </c>
      <c r="F157" s="17" t="n">
        <f aca="false">IFERROR(INDEX($B$5:$C$173, MATCH($E157, $B$5:$B$175, 0), 2), 0)*investment!$C$2</f>
        <v>0</v>
      </c>
      <c r="G157" s="6" t="n">
        <f aca="false">demand!C155</f>
        <v>0</v>
      </c>
      <c r="H157" s="2" t="n">
        <f aca="false">solgen!C155</f>
        <v>0</v>
      </c>
      <c r="I157" s="2" t="n">
        <f aca="false">import!C155</f>
        <v>0</v>
      </c>
      <c r="J157" s="2" t="n">
        <f aca="false">-export!C155</f>
        <v>-0</v>
      </c>
      <c r="K157" s="2" t="n">
        <f aca="false">-charge!C155</f>
        <v>-0</v>
      </c>
      <c r="L157" s="2" t="n">
        <f aca="false">discharge!C155</f>
        <v>0</v>
      </c>
      <c r="M157" s="2" t="n">
        <f aca="false">soc!C155/investment!$E$2 *100</f>
        <v>99.9999995940682</v>
      </c>
      <c r="N157" s="5" t="n">
        <f aca="false">p_micro!C154</f>
        <v>0</v>
      </c>
    </row>
    <row r="158" customFormat="false" ht="13.8" hidden="false" customHeight="false" outlineLevel="0" collapsed="false">
      <c r="B158" s="11" t="n">
        <f aca="false">_xlfn.NUMBERVALUE(solar!B155)</f>
        <v>0</v>
      </c>
      <c r="C158" s="12" t="n">
        <f aca="false">solar!C155</f>
        <v>0</v>
      </c>
      <c r="D158" s="12" t="n">
        <v>10</v>
      </c>
      <c r="E158" s="6" t="n">
        <v>154</v>
      </c>
      <c r="F158" s="17" t="n">
        <f aca="false">IFERROR(INDEX($B$5:$C$173, MATCH($E158, $B$5:$B$175, 0), 2), 0)*investment!$C$2</f>
        <v>0</v>
      </c>
      <c r="G158" s="6" t="n">
        <f aca="false">demand!C156</f>
        <v>0</v>
      </c>
      <c r="H158" s="2" t="n">
        <f aca="false">solgen!C156</f>
        <v>0</v>
      </c>
      <c r="I158" s="2" t="n">
        <f aca="false">import!C156</f>
        <v>0</v>
      </c>
      <c r="J158" s="2" t="n">
        <f aca="false">-export!C156</f>
        <v>-0</v>
      </c>
      <c r="K158" s="2" t="n">
        <f aca="false">-charge!C156</f>
        <v>-0</v>
      </c>
      <c r="L158" s="2" t="n">
        <f aca="false">discharge!C156</f>
        <v>0</v>
      </c>
      <c r="M158" s="2" t="n">
        <f aca="false">soc!C156/investment!$E$2 *100</f>
        <v>99.9999995940638</v>
      </c>
      <c r="N158" s="5" t="n">
        <f aca="false">p_micro!C155</f>
        <v>0</v>
      </c>
    </row>
    <row r="159" customFormat="false" ht="13.8" hidden="false" customHeight="false" outlineLevel="0" collapsed="false">
      <c r="B159" s="11" t="n">
        <f aca="false">_xlfn.NUMBERVALUE(solar!B156)</f>
        <v>0</v>
      </c>
      <c r="C159" s="12" t="n">
        <f aca="false">solar!C156</f>
        <v>0</v>
      </c>
      <c r="D159" s="12" t="n">
        <v>11</v>
      </c>
      <c r="E159" s="6" t="n">
        <v>155</v>
      </c>
      <c r="F159" s="17" t="n">
        <f aca="false">IFERROR(INDEX($B$5:$C$173, MATCH($E159, $B$5:$B$175, 0), 2), 0)*investment!$C$2</f>
        <v>0</v>
      </c>
      <c r="G159" s="6" t="n">
        <f aca="false">demand!C157</f>
        <v>0</v>
      </c>
      <c r="H159" s="2" t="n">
        <f aca="false">solgen!C157</f>
        <v>0</v>
      </c>
      <c r="I159" s="2" t="n">
        <f aca="false">import!C157</f>
        <v>0</v>
      </c>
      <c r="J159" s="2" t="n">
        <f aca="false">-export!C157</f>
        <v>-0</v>
      </c>
      <c r="K159" s="2" t="n">
        <f aca="false">-charge!C157</f>
        <v>-0</v>
      </c>
      <c r="L159" s="2" t="n">
        <f aca="false">discharge!C157</f>
        <v>0</v>
      </c>
      <c r="M159" s="2" t="n">
        <f aca="false">soc!C157/investment!$E$2 *100</f>
        <v>99.9989995933476</v>
      </c>
      <c r="N159" s="5" t="n">
        <f aca="false">p_micro!C156</f>
        <v>0</v>
      </c>
    </row>
    <row r="160" customFormat="false" ht="13.8" hidden="false" customHeight="false" outlineLevel="0" collapsed="false">
      <c r="B160" s="11" t="n">
        <f aca="false">_xlfn.NUMBERVALUE(solar!B157)</f>
        <v>0</v>
      </c>
      <c r="C160" s="12" t="n">
        <f aca="false">solar!C157</f>
        <v>0</v>
      </c>
      <c r="D160" s="12" t="n">
        <v>12</v>
      </c>
      <c r="E160" s="6" t="n">
        <v>156</v>
      </c>
      <c r="F160" s="17" t="n">
        <f aca="false">IFERROR(INDEX($B$5:$C$173, MATCH($E160, $B$5:$B$175, 0), 2), 0)*investment!$C$2</f>
        <v>0</v>
      </c>
      <c r="G160" s="6" t="n">
        <f aca="false">demand!C158</f>
        <v>0</v>
      </c>
      <c r="H160" s="2" t="n">
        <f aca="false">solgen!C158</f>
        <v>0</v>
      </c>
      <c r="I160" s="2" t="n">
        <f aca="false">import!C158</f>
        <v>0</v>
      </c>
      <c r="J160" s="2" t="n">
        <f aca="false">-export!C158</f>
        <v>-0</v>
      </c>
      <c r="K160" s="2" t="n">
        <f aca="false">-charge!C158</f>
        <v>-0</v>
      </c>
      <c r="L160" s="2" t="n">
        <f aca="false">discharge!C158</f>
        <v>0</v>
      </c>
      <c r="M160" s="2" t="n">
        <f aca="false">soc!C158/investment!$E$2 *100</f>
        <v>99.9999995940503</v>
      </c>
      <c r="N160" s="5" t="n">
        <f aca="false">p_micro!C157</f>
        <v>0</v>
      </c>
    </row>
    <row r="161" customFormat="false" ht="13.8" hidden="false" customHeight="false" outlineLevel="0" collapsed="false">
      <c r="B161" s="11" t="n">
        <f aca="false">_xlfn.NUMBERVALUE(solar!B158)</f>
        <v>0</v>
      </c>
      <c r="C161" s="12" t="n">
        <f aca="false">solar!C158</f>
        <v>0</v>
      </c>
      <c r="D161" s="12" t="n">
        <v>13</v>
      </c>
      <c r="E161" s="6" t="n">
        <v>157</v>
      </c>
      <c r="F161" s="17" t="n">
        <f aca="false">IFERROR(INDEX($B$5:$C$173, MATCH($E161, $B$5:$B$175, 0), 2), 0)*investment!$C$2</f>
        <v>0</v>
      </c>
      <c r="G161" s="6" t="n">
        <f aca="false">demand!C159</f>
        <v>0</v>
      </c>
      <c r="H161" s="2" t="n">
        <f aca="false">solgen!C159</f>
        <v>0</v>
      </c>
      <c r="I161" s="2" t="n">
        <f aca="false">import!C159</f>
        <v>0</v>
      </c>
      <c r="J161" s="2" t="n">
        <f aca="false">-export!C159</f>
        <v>-0</v>
      </c>
      <c r="K161" s="2" t="n">
        <f aca="false">-charge!C159</f>
        <v>-0</v>
      </c>
      <c r="L161" s="2" t="n">
        <f aca="false">discharge!C159</f>
        <v>0</v>
      </c>
      <c r="M161" s="2" t="n">
        <f aca="false">soc!C159/investment!$E$2 *100</f>
        <v>99.9989995933478</v>
      </c>
      <c r="N161" s="5" t="n">
        <f aca="false">p_micro!C158</f>
        <v>0</v>
      </c>
    </row>
    <row r="162" customFormat="false" ht="13.8" hidden="false" customHeight="false" outlineLevel="0" collapsed="false">
      <c r="B162" s="11" t="n">
        <f aca="false">_xlfn.NUMBERVALUE(solar!B159)</f>
        <v>0</v>
      </c>
      <c r="C162" s="12" t="n">
        <f aca="false">solar!C159</f>
        <v>0</v>
      </c>
      <c r="D162" s="12" t="n">
        <v>14</v>
      </c>
      <c r="E162" s="6" t="n">
        <v>158</v>
      </c>
      <c r="F162" s="17" t="n">
        <f aca="false">IFERROR(INDEX($B$5:$C$173, MATCH($E162, $B$5:$B$175, 0), 2), 0)*investment!$C$2</f>
        <v>0</v>
      </c>
      <c r="G162" s="6" t="n">
        <f aca="false">demand!C160</f>
        <v>0</v>
      </c>
      <c r="H162" s="2" t="n">
        <f aca="false">solgen!C160</f>
        <v>0</v>
      </c>
      <c r="I162" s="2" t="n">
        <f aca="false">import!C160</f>
        <v>0</v>
      </c>
      <c r="J162" s="2" t="n">
        <f aca="false">-export!C160</f>
        <v>-0</v>
      </c>
      <c r="K162" s="2" t="n">
        <f aca="false">-charge!C160</f>
        <v>-0</v>
      </c>
      <c r="L162" s="2" t="n">
        <f aca="false">discharge!C160</f>
        <v>0</v>
      </c>
      <c r="M162" s="2" t="n">
        <f aca="false">soc!C160/investment!$E$2 *100</f>
        <v>99.9979996033689</v>
      </c>
      <c r="N162" s="5" t="n">
        <f aca="false">p_micro!C159</f>
        <v>0</v>
      </c>
    </row>
    <row r="163" customFormat="false" ht="13.8" hidden="false" customHeight="false" outlineLevel="0" collapsed="false">
      <c r="B163" s="11" t="n">
        <f aca="false">_xlfn.NUMBERVALUE(solar!B160)</f>
        <v>0</v>
      </c>
      <c r="C163" s="12" t="n">
        <f aca="false">solar!C160</f>
        <v>0</v>
      </c>
      <c r="D163" s="12" t="n">
        <v>15</v>
      </c>
      <c r="E163" s="6" t="n">
        <v>159</v>
      </c>
      <c r="F163" s="17" t="n">
        <f aca="false">IFERROR(INDEX($B$5:$C$173, MATCH($E163, $B$5:$B$175, 0), 2), 0)*investment!$C$2</f>
        <v>0</v>
      </c>
      <c r="G163" s="6" t="n">
        <f aca="false">demand!C161</f>
        <v>0</v>
      </c>
      <c r="H163" s="2" t="n">
        <f aca="false">solgen!C161</f>
        <v>0</v>
      </c>
      <c r="I163" s="2" t="n">
        <f aca="false">import!C161</f>
        <v>0</v>
      </c>
      <c r="J163" s="2" t="n">
        <f aca="false">-export!C161</f>
        <v>-0</v>
      </c>
      <c r="K163" s="2" t="n">
        <f aca="false">-charge!C161</f>
        <v>-0</v>
      </c>
      <c r="L163" s="2" t="n">
        <f aca="false">discharge!C161</f>
        <v>0</v>
      </c>
      <c r="M163" s="2" t="n">
        <f aca="false">soc!C161/investment!$E$2 *100</f>
        <v>99.9999995940647</v>
      </c>
      <c r="N163" s="5" t="n">
        <f aca="false">p_micro!C160</f>
        <v>0</v>
      </c>
    </row>
    <row r="164" customFormat="false" ht="13.8" hidden="false" customHeight="false" outlineLevel="0" collapsed="false">
      <c r="B164" s="11" t="n">
        <f aca="false">_xlfn.NUMBERVALUE(solar!B161)</f>
        <v>0</v>
      </c>
      <c r="C164" s="12" t="n">
        <f aca="false">solar!C161</f>
        <v>0</v>
      </c>
      <c r="D164" s="12" t="n">
        <v>16</v>
      </c>
      <c r="E164" s="6" t="n">
        <v>160</v>
      </c>
      <c r="F164" s="17" t="n">
        <f aca="false">IFERROR(INDEX($B$5:$C$173, MATCH($E164, $B$5:$B$175, 0), 2), 0)*investment!$C$2</f>
        <v>0</v>
      </c>
      <c r="G164" s="6" t="n">
        <f aca="false">demand!C162</f>
        <v>0</v>
      </c>
      <c r="H164" s="2" t="n">
        <f aca="false">solgen!C162</f>
        <v>0</v>
      </c>
      <c r="I164" s="2" t="n">
        <f aca="false">import!C162</f>
        <v>0</v>
      </c>
      <c r="J164" s="2" t="n">
        <f aca="false">-export!C162</f>
        <v>-0</v>
      </c>
      <c r="K164" s="2" t="n">
        <f aca="false">-charge!C162</f>
        <v>-0</v>
      </c>
      <c r="L164" s="2" t="n">
        <f aca="false">discharge!C162</f>
        <v>0</v>
      </c>
      <c r="M164" s="2" t="n">
        <f aca="false">soc!C162/investment!$E$2 *100</f>
        <v>99.9989995933988</v>
      </c>
      <c r="N164" s="5" t="n">
        <f aca="false">p_micro!C161</f>
        <v>0</v>
      </c>
    </row>
    <row r="165" customFormat="false" ht="13.8" hidden="false" customHeight="false" outlineLevel="0" collapsed="false">
      <c r="B165" s="11" t="n">
        <f aca="false">_xlfn.NUMBERVALUE(solar!B162)</f>
        <v>0</v>
      </c>
      <c r="C165" s="12" t="n">
        <f aca="false">solar!C162</f>
        <v>0</v>
      </c>
      <c r="D165" s="12" t="n">
        <v>17</v>
      </c>
      <c r="E165" s="6" t="n">
        <v>161</v>
      </c>
      <c r="F165" s="17" t="n">
        <f aca="false">IFERROR(INDEX($B$5:$C$173, MATCH($E165, $B$5:$B$175, 0), 2), 0)*investment!$C$2</f>
        <v>0</v>
      </c>
      <c r="G165" s="6" t="n">
        <f aca="false">demand!C163</f>
        <v>0</v>
      </c>
      <c r="H165" s="2" t="n">
        <f aca="false">solgen!C163</f>
        <v>0</v>
      </c>
      <c r="I165" s="2" t="n">
        <f aca="false">import!C163</f>
        <v>0</v>
      </c>
      <c r="J165" s="2" t="n">
        <f aca="false">-export!C163</f>
        <v>-0</v>
      </c>
      <c r="K165" s="2" t="n">
        <f aca="false">-charge!C163</f>
        <v>-0</v>
      </c>
      <c r="L165" s="2" t="n">
        <f aca="false">discharge!C163</f>
        <v>0</v>
      </c>
      <c r="M165" s="2" t="n">
        <f aca="false">soc!C163/investment!$E$2 *100</f>
        <v>99.9999995928537</v>
      </c>
      <c r="N165" s="5" t="n">
        <f aca="false">p_micro!C162</f>
        <v>0</v>
      </c>
    </row>
    <row r="166" customFormat="false" ht="13.8" hidden="false" customHeight="false" outlineLevel="0" collapsed="false">
      <c r="B166" s="11" t="n">
        <f aca="false">_xlfn.NUMBERVALUE(solar!B163)</f>
        <v>0</v>
      </c>
      <c r="C166" s="12" t="n">
        <f aca="false">solar!C163</f>
        <v>0</v>
      </c>
      <c r="D166" s="12" t="n">
        <v>18</v>
      </c>
      <c r="E166" s="6" t="n">
        <v>162</v>
      </c>
      <c r="F166" s="17" t="n">
        <f aca="false">IFERROR(INDEX($B$5:$C$173, MATCH($E166, $B$5:$B$175, 0), 2), 0)*investment!$C$2</f>
        <v>0</v>
      </c>
      <c r="G166" s="6" t="n">
        <f aca="false">demand!C164</f>
        <v>0</v>
      </c>
      <c r="H166" s="2" t="n">
        <f aca="false">solgen!C164</f>
        <v>0</v>
      </c>
      <c r="I166" s="2" t="n">
        <f aca="false">import!C164</f>
        <v>0</v>
      </c>
      <c r="J166" s="2" t="n">
        <f aca="false">-export!C164</f>
        <v>-0</v>
      </c>
      <c r="K166" s="2" t="n">
        <f aca="false">-charge!C164</f>
        <v>-0</v>
      </c>
      <c r="L166" s="2" t="n">
        <f aca="false">discharge!C164</f>
        <v>0</v>
      </c>
      <c r="M166" s="2" t="n">
        <f aca="false">soc!C164/investment!$E$2 *100</f>
        <v>99.99899959548</v>
      </c>
      <c r="N166" s="5" t="n">
        <f aca="false">p_micro!C163</f>
        <v>0</v>
      </c>
    </row>
    <row r="167" customFormat="false" ht="13.8" hidden="false" customHeight="false" outlineLevel="0" collapsed="false">
      <c r="B167" s="11" t="n">
        <f aca="false">_xlfn.NUMBERVALUE(solar!B164)</f>
        <v>0</v>
      </c>
      <c r="C167" s="12" t="n">
        <f aca="false">solar!C164</f>
        <v>0</v>
      </c>
      <c r="D167" s="12" t="n">
        <v>19</v>
      </c>
      <c r="E167" s="6" t="n">
        <v>163</v>
      </c>
      <c r="F167" s="17" t="n">
        <f aca="false">IFERROR(INDEX($B$5:$C$173, MATCH($E167, $B$5:$B$175, 0), 2), 0)*investment!$C$2</f>
        <v>0</v>
      </c>
      <c r="G167" s="6" t="n">
        <f aca="false">demand!C165</f>
        <v>0</v>
      </c>
      <c r="H167" s="2" t="n">
        <f aca="false">solgen!C165</f>
        <v>0</v>
      </c>
      <c r="I167" s="2" t="n">
        <f aca="false">import!C165</f>
        <v>0</v>
      </c>
      <c r="J167" s="2" t="n">
        <f aca="false">-export!C165</f>
        <v>-0</v>
      </c>
      <c r="K167" s="2" t="n">
        <f aca="false">-charge!C165</f>
        <v>-0</v>
      </c>
      <c r="L167" s="2" t="n">
        <f aca="false">discharge!C165</f>
        <v>0</v>
      </c>
      <c r="M167" s="2" t="n">
        <f aca="false">soc!C165/investment!$E$2 *100</f>
        <v>99.9980006986886</v>
      </c>
      <c r="N167" s="5" t="n">
        <f aca="false">p_micro!C164</f>
        <v>0</v>
      </c>
    </row>
    <row r="168" customFormat="false" ht="13.8" hidden="false" customHeight="false" outlineLevel="0" collapsed="false">
      <c r="B168" s="11" t="n">
        <f aca="false">_xlfn.NUMBERVALUE(solar!B165)</f>
        <v>0</v>
      </c>
      <c r="C168" s="12" t="n">
        <f aca="false">solar!C165</f>
        <v>0</v>
      </c>
      <c r="D168" s="12" t="n">
        <v>20</v>
      </c>
      <c r="E168" s="6" t="n">
        <v>164</v>
      </c>
      <c r="F168" s="17" t="n">
        <f aca="false">IFERROR(INDEX($B$5:$C$173, MATCH($E168, $B$5:$B$175, 0), 2), 0)*investment!$C$2</f>
        <v>0</v>
      </c>
      <c r="G168" s="6" t="n">
        <f aca="false">demand!C166</f>
        <v>0</v>
      </c>
      <c r="H168" s="2" t="n">
        <f aca="false">solgen!C166</f>
        <v>0</v>
      </c>
      <c r="I168" s="2" t="n">
        <f aca="false">import!C166</f>
        <v>0</v>
      </c>
      <c r="J168" s="2" t="n">
        <f aca="false">-export!C166</f>
        <v>-0</v>
      </c>
      <c r="K168" s="2" t="n">
        <f aca="false">-charge!C166</f>
        <v>-0</v>
      </c>
      <c r="L168" s="2" t="n">
        <f aca="false">discharge!C166</f>
        <v>0</v>
      </c>
      <c r="M168" s="2" t="n">
        <f aca="false">soc!C166/investment!$E$2 *100</f>
        <v>99.9969985363789</v>
      </c>
      <c r="N168" s="5" t="n">
        <f aca="false">p_micro!C165</f>
        <v>0</v>
      </c>
    </row>
    <row r="169" customFormat="false" ht="13.8" hidden="false" customHeight="false" outlineLevel="0" collapsed="false">
      <c r="B169" s="11" t="n">
        <f aca="false">_xlfn.NUMBERVALUE(solar!B166)</f>
        <v>0</v>
      </c>
      <c r="C169" s="12" t="n">
        <f aca="false">solar!C166</f>
        <v>0</v>
      </c>
      <c r="D169" s="12" t="n">
        <v>21</v>
      </c>
      <c r="E169" s="6" t="n">
        <v>165</v>
      </c>
      <c r="F169" s="17" t="n">
        <f aca="false">IFERROR(INDEX($B$5:$C$173, MATCH($E169, $B$5:$B$175, 0), 2), 0)*investment!$C$2</f>
        <v>0</v>
      </c>
      <c r="G169" s="6" t="n">
        <f aca="false">demand!C167</f>
        <v>0</v>
      </c>
      <c r="H169" s="2" t="n">
        <f aca="false">solgen!C167</f>
        <v>0</v>
      </c>
      <c r="I169" s="2" t="n">
        <f aca="false">import!C167</f>
        <v>0</v>
      </c>
      <c r="J169" s="2" t="n">
        <f aca="false">-export!C167</f>
        <v>-0</v>
      </c>
      <c r="K169" s="2" t="n">
        <f aca="false">-charge!C167</f>
        <v>-0</v>
      </c>
      <c r="L169" s="2" t="n">
        <f aca="false">discharge!C167</f>
        <v>0</v>
      </c>
      <c r="M169" s="2" t="n">
        <f aca="false">soc!C167/investment!$E$2 *100</f>
        <v>99.9960006965197</v>
      </c>
      <c r="N169" s="5" t="n">
        <f aca="false">p_micro!C166</f>
        <v>0</v>
      </c>
    </row>
    <row r="170" customFormat="false" ht="13.8" hidden="false" customHeight="false" outlineLevel="0" collapsed="false">
      <c r="B170" s="11" t="n">
        <f aca="false">_xlfn.NUMBERVALUE(solar!B167)</f>
        <v>0</v>
      </c>
      <c r="C170" s="12" t="n">
        <f aca="false">solar!C167</f>
        <v>0</v>
      </c>
      <c r="D170" s="12" t="n">
        <v>22</v>
      </c>
      <c r="E170" s="6" t="n">
        <v>166</v>
      </c>
      <c r="F170" s="17" t="n">
        <f aca="false">IFERROR(INDEX($B$5:$C$173, MATCH($E170, $B$5:$B$175, 0), 2), 0)*investment!$C$2</f>
        <v>0</v>
      </c>
      <c r="G170" s="6" t="n">
        <f aca="false">demand!C168</f>
        <v>0</v>
      </c>
      <c r="H170" s="2" t="n">
        <f aca="false">solgen!C168</f>
        <v>0</v>
      </c>
      <c r="I170" s="2" t="n">
        <f aca="false">import!C168</f>
        <v>0</v>
      </c>
      <c r="J170" s="2" t="n">
        <f aca="false">-export!C168</f>
        <v>-0</v>
      </c>
      <c r="K170" s="2" t="n">
        <f aca="false">-charge!C168</f>
        <v>-0</v>
      </c>
      <c r="L170" s="2" t="n">
        <f aca="false">discharge!C168</f>
        <v>0</v>
      </c>
      <c r="M170" s="2" t="n">
        <f aca="false">soc!C168/investment!$E$2 *100</f>
        <v>99.9949996755484</v>
      </c>
      <c r="N170" s="5" t="n">
        <f aca="false">p_micro!C167</f>
        <v>0</v>
      </c>
    </row>
    <row r="171" customFormat="false" ht="13.8" hidden="false" customHeight="false" outlineLevel="0" collapsed="false">
      <c r="B171" s="11" t="n">
        <f aca="false">_xlfn.NUMBERVALUE(solar!B168)</f>
        <v>0</v>
      </c>
      <c r="C171" s="12" t="n">
        <f aca="false">solar!C168</f>
        <v>0</v>
      </c>
      <c r="D171" s="12" t="n">
        <v>23</v>
      </c>
      <c r="E171" s="6" t="n">
        <v>167</v>
      </c>
      <c r="F171" s="17" t="n">
        <f aca="false">IFERROR(INDEX($B$5:$C$173, MATCH($E171, $B$5:$B$175, 0), 2), 0)*investment!$C$2</f>
        <v>0</v>
      </c>
      <c r="G171" s="6" t="n">
        <f aca="false">demand!C169</f>
        <v>0</v>
      </c>
      <c r="H171" s="2" t="n">
        <f aca="false">solgen!C169</f>
        <v>0</v>
      </c>
      <c r="I171" s="2" t="n">
        <f aca="false">import!C169</f>
        <v>0</v>
      </c>
      <c r="J171" s="2" t="n">
        <f aca="false">-export!C169</f>
        <v>-0</v>
      </c>
      <c r="K171" s="2" t="n">
        <f aca="false">-charge!C169</f>
        <v>-0</v>
      </c>
      <c r="L171" s="2" t="n">
        <f aca="false">discharge!C169</f>
        <v>0</v>
      </c>
      <c r="M171" s="2" t="n">
        <f aca="false">soc!C169/investment!$E$2 *100</f>
        <v>99.9939997255885</v>
      </c>
      <c r="N171" s="5" t="n">
        <f aca="false">p_micro!C168</f>
        <v>0</v>
      </c>
    </row>
    <row r="172" customFormat="false" ht="13.8" hidden="false" customHeight="false" outlineLevel="0" collapsed="false">
      <c r="B172" s="11" t="n">
        <f aca="false">_xlfn.NUMBERVALUE(solar!B169)</f>
        <v>0</v>
      </c>
      <c r="C172" s="12" t="n">
        <f aca="false">solar!C169</f>
        <v>0</v>
      </c>
      <c r="D172" s="12" t="n">
        <v>24</v>
      </c>
      <c r="E172" s="6" t="n">
        <v>168</v>
      </c>
      <c r="F172" s="17" t="n">
        <f aca="false">IFERROR(INDEX($B$5:$C$173, MATCH($E172, $B$5:$B$175, 0), 2), 0)*investment!$C$2</f>
        <v>0</v>
      </c>
      <c r="G172" s="6" t="n">
        <f aca="false">demand!C170</f>
        <v>0</v>
      </c>
      <c r="H172" s="2" t="n">
        <f aca="false">solgen!C170</f>
        <v>0</v>
      </c>
      <c r="I172" s="2" t="n">
        <f aca="false">import!C170</f>
        <v>0</v>
      </c>
      <c r="J172" s="2" t="n">
        <f aca="false">-export!C170</f>
        <v>-0</v>
      </c>
      <c r="K172" s="2" t="n">
        <f aca="false">-charge!C170</f>
        <v>-0</v>
      </c>
      <c r="L172" s="2" t="n">
        <f aca="false">discharge!C170</f>
        <v>0</v>
      </c>
      <c r="M172" s="2" t="n">
        <f aca="false">soc!C170/investment!$E$2 *100</f>
        <v>99.9929997876423</v>
      </c>
      <c r="N172" s="5" t="n">
        <f aca="false">p_micro!C169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72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H79" activeCellId="0" sqref="H79"/>
    </sheetView>
  </sheetViews>
  <sheetFormatPr defaultColWidth="8.54296875" defaultRowHeight="13.8" zeroHeight="false" outlineLevelRow="0" outlineLevelCol="0"/>
  <cols>
    <col collapsed="false" customWidth="true" hidden="false" outlineLevel="0" max="2" min="2" style="6" width="8.85"/>
    <col collapsed="false" customWidth="true" hidden="false" outlineLevel="0" max="4" min="4" style="6" width="8.85"/>
    <col collapsed="false" customWidth="true" hidden="false" outlineLevel="0" max="5" min="5" style="7" width="8.85"/>
    <col collapsed="false" customWidth="true" hidden="false" outlineLevel="0" max="6" min="6" style="2" width="9.43"/>
  </cols>
  <sheetData>
    <row r="2" customFormat="false" ht="13.8" hidden="false" customHeight="false" outlineLevel="0" collapsed="false">
      <c r="B2" s="8" t="s">
        <v>3</v>
      </c>
      <c r="C2" s="9" t="n">
        <v>2</v>
      </c>
      <c r="D2" s="10" t="s">
        <v>17</v>
      </c>
    </row>
    <row r="4" customFormat="false" ht="13.8" hidden="false" customHeight="false" outlineLevel="0" collapsed="false">
      <c r="B4" s="11" t="s">
        <v>5</v>
      </c>
      <c r="C4" s="12"/>
      <c r="D4" s="13" t="s">
        <v>7</v>
      </c>
      <c r="E4" s="14" t="s">
        <v>8</v>
      </c>
      <c r="F4" s="15" t="s">
        <v>9</v>
      </c>
      <c r="G4" s="15" t="s">
        <v>10</v>
      </c>
      <c r="H4" s="15" t="s">
        <v>11</v>
      </c>
      <c r="I4" s="15" t="s">
        <v>12</v>
      </c>
      <c r="J4" s="15" t="s">
        <v>13</v>
      </c>
      <c r="K4" s="15" t="s">
        <v>14</v>
      </c>
      <c r="L4" s="15" t="s">
        <v>15</v>
      </c>
    </row>
    <row r="5" customFormat="false" ht="13.8" hidden="false" customHeight="false" outlineLevel="0" collapsed="false">
      <c r="B5" s="11" t="n">
        <f aca="false">_xlfn.NUMBERVALUE(solar!B2)</f>
        <v>8</v>
      </c>
      <c r="C5" s="12" t="n">
        <f aca="false">solar!C2</f>
        <v>0</v>
      </c>
      <c r="D5" s="6" t="n">
        <v>1</v>
      </c>
      <c r="E5" s="17" t="n">
        <f aca="false">IFERROR(INDEX($B$5:$C$173, MATCH($D5, $B$5:$B$175, 0), 2), 0)*investment!$C$3</f>
        <v>0</v>
      </c>
      <c r="F5" s="18" t="n">
        <f aca="false">demand!D3</f>
        <v>0</v>
      </c>
      <c r="G5" s="2" t="n">
        <f aca="false">solgen!D3</f>
        <v>0</v>
      </c>
      <c r="H5" s="2" t="n">
        <f aca="false">import!D3</f>
        <v>0</v>
      </c>
      <c r="I5" s="2" t="n">
        <f aca="false">-export!D3</f>
        <v>-0</v>
      </c>
      <c r="J5" s="2" t="n">
        <f aca="false">-charge!D3</f>
        <v>-0</v>
      </c>
      <c r="K5" s="2" t="n">
        <f aca="false">discharge!D3</f>
        <v>0</v>
      </c>
      <c r="L5" s="2" t="n">
        <f aca="false">soc!D3/investment!$E$3 *100</f>
        <v>69.999999998936</v>
      </c>
    </row>
    <row r="6" customFormat="false" ht="13.8" hidden="false" customHeight="false" outlineLevel="0" collapsed="false">
      <c r="B6" s="11" t="n">
        <f aca="false">_xlfn.NUMBERVALUE(solar!B3)</f>
        <v>9</v>
      </c>
      <c r="C6" s="12" t="n">
        <f aca="false">solar!C3</f>
        <v>0</v>
      </c>
      <c r="D6" s="6" t="n">
        <v>2</v>
      </c>
      <c r="E6" s="17" t="n">
        <f aca="false">IFERROR(INDEX($B$5:$C$173, MATCH($D6, $B$5:$B$175, 0), 2), 0)*investment!$C$3</f>
        <v>0</v>
      </c>
      <c r="F6" s="18" t="n">
        <f aca="false">demand!D4</f>
        <v>0</v>
      </c>
      <c r="G6" s="2" t="n">
        <f aca="false">solgen!D4</f>
        <v>0</v>
      </c>
      <c r="H6" s="2" t="n">
        <f aca="false">import!D4</f>
        <v>0</v>
      </c>
      <c r="I6" s="2" t="n">
        <f aca="false">-export!D4</f>
        <v>-0</v>
      </c>
      <c r="J6" s="2" t="n">
        <f aca="false">-charge!D4</f>
        <v>-0</v>
      </c>
      <c r="K6" s="2" t="n">
        <f aca="false">discharge!D4</f>
        <v>0</v>
      </c>
      <c r="L6" s="2" t="n">
        <f aca="false">soc!D4/investment!$E$3 *100</f>
        <v>69.9992999980885</v>
      </c>
    </row>
    <row r="7" customFormat="false" ht="13.8" hidden="false" customHeight="false" outlineLevel="0" collapsed="false">
      <c r="B7" s="11" t="n">
        <f aca="false">_xlfn.NUMBERVALUE(solar!B4)</f>
        <v>10</v>
      </c>
      <c r="C7" s="12" t="n">
        <f aca="false">solar!C4</f>
        <v>0</v>
      </c>
      <c r="D7" s="6" t="n">
        <v>3</v>
      </c>
      <c r="E7" s="17" t="n">
        <f aca="false">IFERROR(INDEX($B$5:$C$173, MATCH($D7, $B$5:$B$175, 0), 2), 0)*investment!$C$3</f>
        <v>0</v>
      </c>
      <c r="F7" s="18" t="n">
        <f aca="false">demand!D5</f>
        <v>0</v>
      </c>
      <c r="G7" s="2" t="n">
        <f aca="false">solgen!D5</f>
        <v>0</v>
      </c>
      <c r="H7" s="2" t="n">
        <f aca="false">import!D5</f>
        <v>0</v>
      </c>
      <c r="I7" s="2" t="n">
        <f aca="false">-export!D5</f>
        <v>-0</v>
      </c>
      <c r="J7" s="2" t="n">
        <f aca="false">-charge!D5</f>
        <v>-0</v>
      </c>
      <c r="K7" s="2" t="n">
        <f aca="false">discharge!D5</f>
        <v>0</v>
      </c>
      <c r="L7" s="2" t="n">
        <f aca="false">soc!D5/investment!$E$3 *100</f>
        <v>69.9986000042319</v>
      </c>
    </row>
    <row r="8" customFormat="false" ht="13.8" hidden="false" customHeight="false" outlineLevel="0" collapsed="false">
      <c r="B8" s="11" t="n">
        <f aca="false">_xlfn.NUMBERVALUE(solar!B5)</f>
        <v>11</v>
      </c>
      <c r="C8" s="12" t="n">
        <f aca="false">solar!C5</f>
        <v>0</v>
      </c>
      <c r="D8" s="6" t="n">
        <v>4</v>
      </c>
      <c r="E8" s="17" t="n">
        <f aca="false">IFERROR(INDEX($B$5:$C$173, MATCH($D8, $B$5:$B$175, 0), 2), 0)*investment!$C$3</f>
        <v>0</v>
      </c>
      <c r="F8" s="18" t="n">
        <f aca="false">demand!D6</f>
        <v>0</v>
      </c>
      <c r="G8" s="2" t="n">
        <f aca="false">solgen!D6</f>
        <v>0</v>
      </c>
      <c r="H8" s="2" t="n">
        <f aca="false">import!D6</f>
        <v>0</v>
      </c>
      <c r="I8" s="2" t="n">
        <f aca="false">-export!D6</f>
        <v>-0</v>
      </c>
      <c r="J8" s="2" t="n">
        <f aca="false">-charge!D6</f>
        <v>-0</v>
      </c>
      <c r="K8" s="2" t="n">
        <f aca="false">discharge!D6</f>
        <v>0</v>
      </c>
      <c r="L8" s="2" t="n">
        <f aca="false">soc!D6/investment!$E$3 *100</f>
        <v>69.997900017375</v>
      </c>
    </row>
    <row r="9" customFormat="false" ht="13.8" hidden="false" customHeight="false" outlineLevel="0" collapsed="false">
      <c r="B9" s="11" t="n">
        <f aca="false">_xlfn.NUMBERVALUE(solar!B6)</f>
        <v>12</v>
      </c>
      <c r="C9" s="12" t="n">
        <f aca="false">solar!C6</f>
        <v>0</v>
      </c>
      <c r="D9" s="6" t="n">
        <v>5</v>
      </c>
      <c r="E9" s="17" t="n">
        <f aca="false">IFERROR(INDEX($B$5:$C$173, MATCH($D9, $B$5:$B$175, 0), 2), 0)*investment!$C$3</f>
        <v>0</v>
      </c>
      <c r="F9" s="18" t="n">
        <f aca="false">demand!D7</f>
        <v>0</v>
      </c>
      <c r="G9" s="2" t="n">
        <f aca="false">solgen!D7</f>
        <v>0</v>
      </c>
      <c r="H9" s="2" t="n">
        <f aca="false">import!D7</f>
        <v>0</v>
      </c>
      <c r="I9" s="2" t="n">
        <f aca="false">-export!D7</f>
        <v>-0</v>
      </c>
      <c r="J9" s="2" t="n">
        <f aca="false">-charge!D7</f>
        <v>-0</v>
      </c>
      <c r="K9" s="2" t="n">
        <f aca="false">discharge!D7</f>
        <v>0</v>
      </c>
      <c r="L9" s="2" t="n">
        <f aca="false">soc!D7/investment!$E$3 *100</f>
        <v>69.8646510533996</v>
      </c>
    </row>
    <row r="10" customFormat="false" ht="13.8" hidden="false" customHeight="false" outlineLevel="0" collapsed="false">
      <c r="B10" s="11" t="n">
        <f aca="false">_xlfn.NUMBERVALUE(solar!B7)</f>
        <v>13</v>
      </c>
      <c r="C10" s="12" t="n">
        <f aca="false">solar!C7</f>
        <v>0</v>
      </c>
      <c r="D10" s="6" t="n">
        <v>6</v>
      </c>
      <c r="E10" s="17" t="n">
        <f aca="false">IFERROR(INDEX($B$5:$C$173, MATCH($D10, $B$5:$B$175, 0), 2), 0)*investment!$C$3</f>
        <v>0</v>
      </c>
      <c r="F10" s="18" t="n">
        <f aca="false">demand!D8</f>
        <v>0</v>
      </c>
      <c r="G10" s="2" t="n">
        <f aca="false">solgen!D8</f>
        <v>0</v>
      </c>
      <c r="H10" s="2" t="n">
        <f aca="false">import!D8</f>
        <v>0</v>
      </c>
      <c r="I10" s="2" t="n">
        <f aca="false">-export!D8</f>
        <v>-0</v>
      </c>
      <c r="J10" s="2" t="n">
        <f aca="false">-charge!D8</f>
        <v>-0</v>
      </c>
      <c r="K10" s="2" t="n">
        <f aca="false">discharge!D8</f>
        <v>0</v>
      </c>
      <c r="L10" s="2" t="n">
        <f aca="false">soc!D8/investment!$E$3 *100</f>
        <v>69.2477209055133</v>
      </c>
    </row>
    <row r="11" customFormat="false" ht="13.8" hidden="false" customHeight="false" outlineLevel="0" collapsed="false">
      <c r="B11" s="11" t="n">
        <f aca="false">_xlfn.NUMBERVALUE(solar!B8)</f>
        <v>14</v>
      </c>
      <c r="C11" s="12" t="n">
        <f aca="false">solar!C8</f>
        <v>0</v>
      </c>
      <c r="D11" s="6" t="n">
        <v>7</v>
      </c>
      <c r="E11" s="17" t="n">
        <f aca="false">IFERROR(INDEX($B$5:$C$173, MATCH($D11, $B$5:$B$175, 0), 2), 0)*investment!$C$3</f>
        <v>0</v>
      </c>
      <c r="F11" s="18" t="n">
        <f aca="false">demand!D9</f>
        <v>0</v>
      </c>
      <c r="G11" s="2" t="n">
        <f aca="false">solgen!D9</f>
        <v>0</v>
      </c>
      <c r="H11" s="2" t="n">
        <f aca="false">import!D9</f>
        <v>0</v>
      </c>
      <c r="I11" s="2" t="n">
        <f aca="false">-export!D9</f>
        <v>-0</v>
      </c>
      <c r="J11" s="2" t="n">
        <f aca="false">-charge!D9</f>
        <v>-0</v>
      </c>
      <c r="K11" s="2" t="n">
        <f aca="false">discharge!D9</f>
        <v>0</v>
      </c>
      <c r="L11" s="2" t="n">
        <f aca="false">soc!D9/investment!$E$3 *100</f>
        <v>67.7667213839935</v>
      </c>
    </row>
    <row r="12" customFormat="false" ht="13.8" hidden="false" customHeight="false" outlineLevel="0" collapsed="false">
      <c r="B12" s="11" t="n">
        <f aca="false">_xlfn.NUMBERVALUE(solar!B9)</f>
        <v>15</v>
      </c>
      <c r="C12" s="12" t="n">
        <f aca="false">solar!C9</f>
        <v>0</v>
      </c>
      <c r="D12" s="6" t="n">
        <v>8</v>
      </c>
      <c r="E12" s="17" t="n">
        <f aca="false">IFERROR(INDEX($B$5:$C$173, MATCH($D12, $B$5:$B$175, 0), 2), 0)*investment!$C$3</f>
        <v>0</v>
      </c>
      <c r="F12" s="18" t="n">
        <f aca="false">demand!D10</f>
        <v>0</v>
      </c>
      <c r="G12" s="2" t="n">
        <f aca="false">solgen!D10</f>
        <v>0</v>
      </c>
      <c r="H12" s="2" t="n">
        <f aca="false">import!D10</f>
        <v>0</v>
      </c>
      <c r="I12" s="2" t="n">
        <f aca="false">-export!D10</f>
        <v>-0</v>
      </c>
      <c r="J12" s="2" t="n">
        <f aca="false">-charge!D10</f>
        <v>-0</v>
      </c>
      <c r="K12" s="2" t="n">
        <f aca="false">discharge!D10</f>
        <v>0</v>
      </c>
      <c r="L12" s="2" t="n">
        <f aca="false">soc!D10/investment!$E$3 *100</f>
        <v>62.925926646045</v>
      </c>
    </row>
    <row r="13" customFormat="false" ht="13.8" hidden="false" customHeight="false" outlineLevel="0" collapsed="false">
      <c r="B13" s="11" t="n">
        <f aca="false">_xlfn.NUMBERVALUE(solar!B10)</f>
        <v>16</v>
      </c>
      <c r="C13" s="12" t="n">
        <f aca="false">solar!C10</f>
        <v>0</v>
      </c>
      <c r="D13" s="6" t="n">
        <v>9</v>
      </c>
      <c r="E13" s="17" t="n">
        <f aca="false">IFERROR(INDEX($B$5:$C$173, MATCH($D13, $B$5:$B$175, 0), 2), 0)*investment!$C$3</f>
        <v>0</v>
      </c>
      <c r="F13" s="18" t="n">
        <f aca="false">demand!D11</f>
        <v>0</v>
      </c>
      <c r="G13" s="2" t="n">
        <f aca="false">solgen!D11</f>
        <v>0</v>
      </c>
      <c r="H13" s="2" t="n">
        <f aca="false">import!D11</f>
        <v>0</v>
      </c>
      <c r="I13" s="2" t="n">
        <f aca="false">-export!D11</f>
        <v>-0</v>
      </c>
      <c r="J13" s="2" t="n">
        <f aca="false">-charge!D11</f>
        <v>-0</v>
      </c>
      <c r="K13" s="2" t="n">
        <f aca="false">discharge!D11</f>
        <v>0</v>
      </c>
      <c r="L13" s="2" t="n">
        <f aca="false">soc!D11/investment!$E$3 *100</f>
        <v>58.0851803160356</v>
      </c>
    </row>
    <row r="14" customFormat="false" ht="13.8" hidden="false" customHeight="false" outlineLevel="0" collapsed="false">
      <c r="B14" s="11" t="n">
        <f aca="false">_xlfn.NUMBERVALUE(solar!B11)</f>
        <v>17</v>
      </c>
      <c r="C14" s="12" t="n">
        <f aca="false">solar!C11</f>
        <v>0</v>
      </c>
      <c r="D14" s="6" t="n">
        <v>10</v>
      </c>
      <c r="E14" s="17" t="n">
        <f aca="false">IFERROR(INDEX($B$5:$C$173, MATCH($D14, $B$5:$B$175, 0), 2), 0)*investment!$C$3</f>
        <v>0</v>
      </c>
      <c r="F14" s="18" t="n">
        <f aca="false">demand!D12</f>
        <v>0</v>
      </c>
      <c r="G14" s="2" t="n">
        <f aca="false">solgen!D12</f>
        <v>0</v>
      </c>
      <c r="H14" s="2" t="n">
        <f aca="false">import!D12</f>
        <v>0</v>
      </c>
      <c r="I14" s="2" t="n">
        <f aca="false">-export!D12</f>
        <v>-0</v>
      </c>
      <c r="J14" s="2" t="n">
        <f aca="false">-charge!D12</f>
        <v>-0</v>
      </c>
      <c r="K14" s="2" t="n">
        <f aca="false">discharge!D12</f>
        <v>0</v>
      </c>
      <c r="L14" s="2" t="n">
        <f aca="false">soc!D12/investment!$E$3 *100</f>
        <v>53.2444823934933</v>
      </c>
    </row>
    <row r="15" customFormat="false" ht="13.8" hidden="false" customHeight="false" outlineLevel="0" collapsed="false">
      <c r="B15" s="11" t="n">
        <f aca="false">_xlfn.NUMBERVALUE(solar!B12)</f>
        <v>18</v>
      </c>
      <c r="C15" s="12" t="n">
        <f aca="false">solar!C12</f>
        <v>0</v>
      </c>
      <c r="D15" s="6" t="n">
        <v>11</v>
      </c>
      <c r="E15" s="17" t="n">
        <f aca="false">IFERROR(INDEX($B$5:$C$173, MATCH($D15, $B$5:$B$175, 0), 2), 0)*investment!$C$3</f>
        <v>0</v>
      </c>
      <c r="F15" s="18" t="n">
        <f aca="false">demand!D13</f>
        <v>0</v>
      </c>
      <c r="G15" s="2" t="n">
        <f aca="false">solgen!D13</f>
        <v>0</v>
      </c>
      <c r="H15" s="2" t="n">
        <f aca="false">import!D13</f>
        <v>0</v>
      </c>
      <c r="I15" s="2" t="n">
        <f aca="false">-export!D13</f>
        <v>-0</v>
      </c>
      <c r="J15" s="2" t="n">
        <f aca="false">-charge!D13</f>
        <v>-0</v>
      </c>
      <c r="K15" s="2" t="n">
        <f aca="false">discharge!D13</f>
        <v>0</v>
      </c>
      <c r="L15" s="2" t="n">
        <f aca="false">soc!D13/investment!$E$3 *100</f>
        <v>48.4038328779356</v>
      </c>
    </row>
    <row r="16" customFormat="false" ht="13.8" hidden="false" customHeight="false" outlineLevel="0" collapsed="false">
      <c r="B16" s="11" t="n">
        <f aca="false">_xlfn.NUMBERVALUE(solar!B13)</f>
        <v>19</v>
      </c>
      <c r="C16" s="12" t="n">
        <f aca="false">solar!C13</f>
        <v>0</v>
      </c>
      <c r="D16" s="6" t="n">
        <v>12</v>
      </c>
      <c r="E16" s="17" t="n">
        <f aca="false">IFERROR(INDEX($B$5:$C$173, MATCH($D16, $B$5:$B$175, 0), 2), 0)*investment!$C$3</f>
        <v>0</v>
      </c>
      <c r="F16" s="18" t="n">
        <f aca="false">demand!D14</f>
        <v>0</v>
      </c>
      <c r="G16" s="2" t="n">
        <f aca="false">solgen!D14</f>
        <v>0</v>
      </c>
      <c r="H16" s="2" t="n">
        <f aca="false">import!D14</f>
        <v>0</v>
      </c>
      <c r="I16" s="2" t="n">
        <f aca="false">-export!D14</f>
        <v>-0</v>
      </c>
      <c r="J16" s="2" t="n">
        <f aca="false">-charge!D14</f>
        <v>-0</v>
      </c>
      <c r="K16" s="2" t="n">
        <f aca="false">discharge!D14</f>
        <v>0</v>
      </c>
      <c r="L16" s="2" t="n">
        <f aca="false">soc!D14/investment!$E$3 *100</f>
        <v>43.5632317688805</v>
      </c>
    </row>
    <row r="17" customFormat="false" ht="13.8" hidden="false" customHeight="false" outlineLevel="0" collapsed="false">
      <c r="B17" s="11" t="n">
        <f aca="false">_xlfn.NUMBERVALUE(solar!B14)</f>
        <v>32</v>
      </c>
      <c r="C17" s="12" t="n">
        <f aca="false">solar!C14</f>
        <v>0</v>
      </c>
      <c r="D17" s="6" t="n">
        <v>13</v>
      </c>
      <c r="E17" s="17" t="n">
        <f aca="false">IFERROR(INDEX($B$5:$C$173, MATCH($D17, $B$5:$B$175, 0), 2), 0)*investment!$C$3</f>
        <v>0</v>
      </c>
      <c r="F17" s="18" t="n">
        <f aca="false">demand!D15</f>
        <v>0</v>
      </c>
      <c r="G17" s="2" t="n">
        <f aca="false">solgen!D15</f>
        <v>0</v>
      </c>
      <c r="H17" s="2" t="n">
        <f aca="false">import!D15</f>
        <v>0</v>
      </c>
      <c r="I17" s="2" t="n">
        <f aca="false">-export!D15</f>
        <v>-0</v>
      </c>
      <c r="J17" s="2" t="n">
        <f aca="false">-charge!D15</f>
        <v>-0</v>
      </c>
      <c r="K17" s="2" t="n">
        <f aca="false">discharge!D15</f>
        <v>0</v>
      </c>
      <c r="L17" s="2" t="n">
        <f aca="false">soc!D15/investment!$E$3 *100</f>
        <v>38.7226790658407</v>
      </c>
    </row>
    <row r="18" customFormat="false" ht="13.8" hidden="false" customHeight="false" outlineLevel="0" collapsed="false">
      <c r="B18" s="11" t="n">
        <f aca="false">_xlfn.NUMBERVALUE(solar!B15)</f>
        <v>33</v>
      </c>
      <c r="C18" s="12" t="n">
        <f aca="false">solar!C15</f>
        <v>0</v>
      </c>
      <c r="D18" s="6" t="n">
        <v>14</v>
      </c>
      <c r="E18" s="17" t="n">
        <f aca="false">IFERROR(INDEX($B$5:$C$173, MATCH($D18, $B$5:$B$175, 0), 2), 0)*investment!$C$3</f>
        <v>0</v>
      </c>
      <c r="F18" s="18" t="n">
        <f aca="false">demand!D16</f>
        <v>0</v>
      </c>
      <c r="G18" s="2" t="n">
        <f aca="false">solgen!D16</f>
        <v>0</v>
      </c>
      <c r="H18" s="2" t="n">
        <f aca="false">import!D16</f>
        <v>0</v>
      </c>
      <c r="I18" s="2" t="n">
        <f aca="false">-export!D16</f>
        <v>-0</v>
      </c>
      <c r="J18" s="2" t="n">
        <f aca="false">-charge!D16</f>
        <v>-0</v>
      </c>
      <c r="K18" s="2" t="n">
        <f aca="false">discharge!D16</f>
        <v>0</v>
      </c>
      <c r="L18" s="2" t="n">
        <f aca="false">soc!D16/investment!$E$3 *100</f>
        <v>33.8821747683321</v>
      </c>
    </row>
    <row r="19" customFormat="false" ht="13.8" hidden="false" customHeight="false" outlineLevel="0" collapsed="false">
      <c r="B19" s="11" t="n">
        <f aca="false">_xlfn.NUMBERVALUE(solar!B16)</f>
        <v>34</v>
      </c>
      <c r="C19" s="12" t="n">
        <f aca="false">solar!C16</f>
        <v>0</v>
      </c>
      <c r="D19" s="6" t="n">
        <v>15</v>
      </c>
      <c r="E19" s="17" t="n">
        <f aca="false">IFERROR(INDEX($B$5:$C$173, MATCH($D19, $B$5:$B$175, 0), 2), 0)*investment!$C$3</f>
        <v>0</v>
      </c>
      <c r="F19" s="18" t="n">
        <f aca="false">demand!D17</f>
        <v>0</v>
      </c>
      <c r="G19" s="2" t="n">
        <f aca="false">solgen!D17</f>
        <v>0</v>
      </c>
      <c r="H19" s="2" t="n">
        <f aca="false">import!D17</f>
        <v>0</v>
      </c>
      <c r="I19" s="2" t="n">
        <f aca="false">-export!D17</f>
        <v>-0</v>
      </c>
      <c r="J19" s="2" t="n">
        <f aca="false">-charge!D17</f>
        <v>-0</v>
      </c>
      <c r="K19" s="2" t="n">
        <f aca="false">discharge!D17</f>
        <v>0</v>
      </c>
      <c r="L19" s="2" t="n">
        <f aca="false">soc!D17/investment!$E$3 *100</f>
        <v>29.0417188758708</v>
      </c>
    </row>
    <row r="20" customFormat="false" ht="13.8" hidden="false" customHeight="false" outlineLevel="0" collapsed="false">
      <c r="B20" s="11" t="n">
        <f aca="false">_xlfn.NUMBERVALUE(solar!B17)</f>
        <v>35</v>
      </c>
      <c r="C20" s="12" t="n">
        <f aca="false">solar!C17</f>
        <v>0</v>
      </c>
      <c r="D20" s="6" t="n">
        <v>16</v>
      </c>
      <c r="E20" s="17" t="n">
        <f aca="false">IFERROR(INDEX($B$5:$C$173, MATCH($D20, $B$5:$B$175, 0), 2), 0)*investment!$C$3</f>
        <v>0</v>
      </c>
      <c r="F20" s="18" t="n">
        <f aca="false">demand!D18</f>
        <v>0</v>
      </c>
      <c r="G20" s="2" t="n">
        <f aca="false">solgen!D18</f>
        <v>0</v>
      </c>
      <c r="H20" s="2" t="n">
        <f aca="false">import!D18</f>
        <v>0</v>
      </c>
      <c r="I20" s="2" t="n">
        <f aca="false">-export!D18</f>
        <v>-0</v>
      </c>
      <c r="J20" s="2" t="n">
        <f aca="false">-charge!D18</f>
        <v>-0</v>
      </c>
      <c r="K20" s="2" t="n">
        <f aca="false">discharge!D18</f>
        <v>0</v>
      </c>
      <c r="L20" s="2" t="n">
        <f aca="false">soc!D18/investment!$E$3 *100</f>
        <v>24.2013113879727</v>
      </c>
    </row>
    <row r="21" customFormat="false" ht="13.8" hidden="false" customHeight="false" outlineLevel="0" collapsed="false">
      <c r="B21" s="11" t="n">
        <f aca="false">_xlfn.NUMBERVALUE(solar!B18)</f>
        <v>36</v>
      </c>
      <c r="C21" s="12" t="n">
        <f aca="false">solar!C18</f>
        <v>0</v>
      </c>
      <c r="D21" s="6" t="n">
        <v>17</v>
      </c>
      <c r="E21" s="17" t="n">
        <f aca="false">IFERROR(INDEX($B$5:$C$173, MATCH($D21, $B$5:$B$175, 0), 2), 0)*investment!$C$3</f>
        <v>0</v>
      </c>
      <c r="F21" s="18" t="n">
        <f aca="false">demand!D19</f>
        <v>0</v>
      </c>
      <c r="G21" s="2" t="n">
        <f aca="false">solgen!D19</f>
        <v>0</v>
      </c>
      <c r="H21" s="2" t="n">
        <f aca="false">import!D19</f>
        <v>0</v>
      </c>
      <c r="I21" s="2" t="n">
        <f aca="false">-export!D19</f>
        <v>-0</v>
      </c>
      <c r="J21" s="2" t="n">
        <f aca="false">-charge!D19</f>
        <v>-0</v>
      </c>
      <c r="K21" s="2" t="n">
        <f aca="false">discharge!D19</f>
        <v>0</v>
      </c>
      <c r="L21" s="2" t="n">
        <f aca="false">soc!D19/investment!$E$3 *100</f>
        <v>19.3609523041537</v>
      </c>
    </row>
    <row r="22" customFormat="false" ht="13.8" hidden="false" customHeight="false" outlineLevel="0" collapsed="false">
      <c r="B22" s="11" t="n">
        <f aca="false">_xlfn.NUMBERVALUE(solar!B19)</f>
        <v>37</v>
      </c>
      <c r="C22" s="12" t="n">
        <f aca="false">solar!C19</f>
        <v>0</v>
      </c>
      <c r="D22" s="6" t="n">
        <v>18</v>
      </c>
      <c r="E22" s="17" t="n">
        <f aca="false">IFERROR(INDEX($B$5:$C$173, MATCH($D22, $B$5:$B$175, 0), 2), 0)*investment!$C$3</f>
        <v>0</v>
      </c>
      <c r="F22" s="18" t="n">
        <f aca="false">demand!D20</f>
        <v>0</v>
      </c>
      <c r="G22" s="2" t="n">
        <f aca="false">solgen!D20</f>
        <v>0</v>
      </c>
      <c r="H22" s="2" t="n">
        <f aca="false">import!D20</f>
        <v>0</v>
      </c>
      <c r="I22" s="2" t="n">
        <f aca="false">-export!D20</f>
        <v>-0</v>
      </c>
      <c r="J22" s="2" t="n">
        <f aca="false">-charge!D20</f>
        <v>-0</v>
      </c>
      <c r="K22" s="2" t="n">
        <f aca="false">discharge!D20</f>
        <v>0</v>
      </c>
      <c r="L22" s="2" t="n">
        <f aca="false">soc!D20/investment!$E$3 *100</f>
        <v>14.5206416239298</v>
      </c>
    </row>
    <row r="23" customFormat="false" ht="13.8" hidden="false" customHeight="false" outlineLevel="0" collapsed="false">
      <c r="B23" s="11" t="n">
        <f aca="false">_xlfn.NUMBERVALUE(solar!B20)</f>
        <v>38</v>
      </c>
      <c r="C23" s="12" t="n">
        <f aca="false">solar!C20</f>
        <v>0</v>
      </c>
      <c r="D23" s="6" t="n">
        <v>19</v>
      </c>
      <c r="E23" s="17" t="n">
        <f aca="false">IFERROR(INDEX($B$5:$C$173, MATCH($D23, $B$5:$B$175, 0), 2), 0)*investment!$C$3</f>
        <v>0</v>
      </c>
      <c r="F23" s="18" t="n">
        <f aca="false">demand!D21</f>
        <v>0</v>
      </c>
      <c r="G23" s="2" t="n">
        <f aca="false">solgen!D21</f>
        <v>0</v>
      </c>
      <c r="H23" s="2" t="n">
        <f aca="false">import!D21</f>
        <v>0</v>
      </c>
      <c r="I23" s="2" t="n">
        <f aca="false">-export!D21</f>
        <v>-0</v>
      </c>
      <c r="J23" s="2" t="n">
        <f aca="false">-charge!D21</f>
        <v>-0</v>
      </c>
      <c r="K23" s="2" t="n">
        <f aca="false">discharge!D21</f>
        <v>0</v>
      </c>
      <c r="L23" s="2" t="n">
        <f aca="false">soc!D21/investment!$E$3 *100</f>
        <v>9.680379346817</v>
      </c>
    </row>
    <row r="24" customFormat="false" ht="13.8" hidden="false" customHeight="false" outlineLevel="0" collapsed="false">
      <c r="B24" s="11" t="n">
        <f aca="false">_xlfn.NUMBERVALUE(solar!B21)</f>
        <v>39</v>
      </c>
      <c r="C24" s="12" t="n">
        <f aca="false">solar!C21</f>
        <v>0</v>
      </c>
      <c r="D24" s="6" t="n">
        <v>20</v>
      </c>
      <c r="E24" s="17" t="n">
        <f aca="false">IFERROR(INDEX($B$5:$C$173, MATCH($D24, $B$5:$B$175, 0), 2), 0)*investment!$C$3</f>
        <v>0</v>
      </c>
      <c r="F24" s="18" t="n">
        <f aca="false">demand!D22</f>
        <v>0</v>
      </c>
      <c r="G24" s="2" t="n">
        <f aca="false">solgen!D22</f>
        <v>0</v>
      </c>
      <c r="H24" s="2" t="n">
        <f aca="false">import!D22</f>
        <v>0</v>
      </c>
      <c r="I24" s="2" t="n">
        <f aca="false">-export!D22</f>
        <v>-0</v>
      </c>
      <c r="J24" s="2" t="n">
        <f aca="false">-charge!D22</f>
        <v>-0</v>
      </c>
      <c r="K24" s="2" t="n">
        <f aca="false">discharge!D22</f>
        <v>0</v>
      </c>
      <c r="L24" s="2" t="n">
        <f aca="false">soc!D22/investment!$E$3 *100</f>
        <v>4.84016547235292</v>
      </c>
    </row>
    <row r="25" customFormat="false" ht="13.8" hidden="false" customHeight="false" outlineLevel="0" collapsed="false">
      <c r="B25" s="11" t="n">
        <f aca="false">_xlfn.NUMBERVALUE(solar!B22)</f>
        <v>40</v>
      </c>
      <c r="C25" s="12" t="n">
        <f aca="false">solar!C22</f>
        <v>0</v>
      </c>
      <c r="D25" s="6" t="n">
        <v>21</v>
      </c>
      <c r="E25" s="17" t="n">
        <f aca="false">IFERROR(INDEX($B$5:$C$173, MATCH($D25, $B$5:$B$175, 0), 2), 0)*investment!$C$3</f>
        <v>0</v>
      </c>
      <c r="F25" s="18" t="n">
        <f aca="false">demand!D23</f>
        <v>0</v>
      </c>
      <c r="G25" s="2" t="n">
        <f aca="false">solgen!D23</f>
        <v>0</v>
      </c>
      <c r="H25" s="2" t="n">
        <f aca="false">import!D23</f>
        <v>0</v>
      </c>
      <c r="I25" s="2" t="n">
        <f aca="false">-export!D23</f>
        <v>-0</v>
      </c>
      <c r="J25" s="2" t="n">
        <f aca="false">-charge!D23</f>
        <v>-0</v>
      </c>
      <c r="K25" s="2" t="n">
        <f aca="false">discharge!D23</f>
        <v>0</v>
      </c>
      <c r="L25" s="2" t="n">
        <f aca="false">soc!D23/investment!$E$3 *100</f>
        <v>4.57532902012863E-010</v>
      </c>
    </row>
    <row r="26" customFormat="false" ht="13.8" hidden="false" customHeight="false" outlineLevel="0" collapsed="false">
      <c r="B26" s="11" t="n">
        <f aca="false">_xlfn.NUMBERVALUE(solar!B23)</f>
        <v>41</v>
      </c>
      <c r="C26" s="12" t="n">
        <f aca="false">solar!C23</f>
        <v>0</v>
      </c>
      <c r="D26" s="6" t="n">
        <v>22</v>
      </c>
      <c r="E26" s="17" t="n">
        <f aca="false">IFERROR(INDEX($B$5:$C$173, MATCH($D26, $B$5:$B$175, 0), 2), 0)*investment!$C$3</f>
        <v>0</v>
      </c>
      <c r="F26" s="18" t="n">
        <f aca="false">demand!D24</f>
        <v>0</v>
      </c>
      <c r="G26" s="2" t="n">
        <f aca="false">solgen!D24</f>
        <v>0</v>
      </c>
      <c r="H26" s="2" t="n">
        <f aca="false">import!D24</f>
        <v>0</v>
      </c>
      <c r="I26" s="2" t="n">
        <f aca="false">-export!D24</f>
        <v>-0</v>
      </c>
      <c r="J26" s="2" t="n">
        <f aca="false">-charge!D24</f>
        <v>-0</v>
      </c>
      <c r="K26" s="2" t="n">
        <f aca="false">discharge!D24</f>
        <v>0</v>
      </c>
      <c r="L26" s="2" t="n">
        <f aca="false">soc!D24/investment!$E$3 *100</f>
        <v>7.65224791289632E-010</v>
      </c>
    </row>
    <row r="27" customFormat="false" ht="13.8" hidden="false" customHeight="false" outlineLevel="0" collapsed="false">
      <c r="B27" s="11" t="n">
        <f aca="false">_xlfn.NUMBERVALUE(solar!B24)</f>
        <v>42</v>
      </c>
      <c r="C27" s="12" t="n">
        <f aca="false">solar!C24</f>
        <v>0</v>
      </c>
      <c r="D27" s="6" t="n">
        <v>23</v>
      </c>
      <c r="E27" s="17" t="n">
        <f aca="false">IFERROR(INDEX($B$5:$C$173, MATCH($D27, $B$5:$B$175, 0), 2), 0)*investment!$C$3</f>
        <v>0</v>
      </c>
      <c r="F27" s="18" t="n">
        <f aca="false">demand!D25</f>
        <v>0</v>
      </c>
      <c r="G27" s="2" t="n">
        <f aca="false">solgen!D25</f>
        <v>0</v>
      </c>
      <c r="H27" s="2" t="n">
        <f aca="false">import!D25</f>
        <v>0</v>
      </c>
      <c r="I27" s="2" t="n">
        <f aca="false">-export!D25</f>
        <v>-0</v>
      </c>
      <c r="J27" s="2" t="n">
        <f aca="false">-charge!D25</f>
        <v>-0</v>
      </c>
      <c r="K27" s="2" t="n">
        <f aca="false">discharge!D25</f>
        <v>0</v>
      </c>
      <c r="L27" s="2" t="n">
        <f aca="false">soc!D25/investment!$E$3 *100</f>
        <v>1.47312448206854E-009</v>
      </c>
    </row>
    <row r="28" customFormat="false" ht="13.8" hidden="false" customHeight="false" outlineLevel="0" collapsed="false">
      <c r="B28" s="11" t="n">
        <f aca="false">_xlfn.NUMBERVALUE(solar!B25)</f>
        <v>43</v>
      </c>
      <c r="C28" s="12" t="n">
        <f aca="false">solar!C25</f>
        <v>0</v>
      </c>
      <c r="D28" s="6" t="n">
        <v>24</v>
      </c>
      <c r="E28" s="17" t="n">
        <f aca="false">IFERROR(INDEX($B$5:$C$173, MATCH($D28, $B$5:$B$175, 0), 2), 0)*investment!$C$3</f>
        <v>0</v>
      </c>
      <c r="F28" s="18" t="n">
        <f aca="false">demand!D26</f>
        <v>0</v>
      </c>
      <c r="G28" s="2" t="n">
        <f aca="false">solgen!D26</f>
        <v>0</v>
      </c>
      <c r="H28" s="2" t="n">
        <f aca="false">import!D26</f>
        <v>0</v>
      </c>
      <c r="I28" s="2" t="n">
        <f aca="false">-export!D26</f>
        <v>-0</v>
      </c>
      <c r="J28" s="2" t="n">
        <f aca="false">-charge!D26</f>
        <v>-0</v>
      </c>
      <c r="K28" s="2" t="n">
        <f aca="false">discharge!D26</f>
        <v>0</v>
      </c>
      <c r="L28" s="2" t="n">
        <f aca="false">soc!D26/investment!$E$3 *100</f>
        <v>2.18456533434172E-009</v>
      </c>
    </row>
    <row r="29" customFormat="false" ht="13.8" hidden="false" customHeight="false" outlineLevel="0" collapsed="false">
      <c r="B29" s="11" t="n">
        <f aca="false">_xlfn.NUMBERVALUE(solar!B26)</f>
        <v>56</v>
      </c>
      <c r="C29" s="12" t="n">
        <f aca="false">solar!C26</f>
        <v>0</v>
      </c>
      <c r="D29" s="6" t="n">
        <v>25</v>
      </c>
      <c r="E29" s="17" t="n">
        <f aca="false">IFERROR(INDEX($B$5:$C$173, MATCH($D29, $B$5:$B$175, 0), 2), 0)*investment!$C$3</f>
        <v>0</v>
      </c>
      <c r="F29" s="18" t="n">
        <f aca="false">demand!D27</f>
        <v>0</v>
      </c>
      <c r="G29" s="2" t="n">
        <f aca="false">solgen!D27</f>
        <v>0</v>
      </c>
      <c r="H29" s="2" t="n">
        <f aca="false">import!D27</f>
        <v>0</v>
      </c>
      <c r="I29" s="2" t="n">
        <f aca="false">-export!D27</f>
        <v>-0</v>
      </c>
      <c r="J29" s="2" t="n">
        <f aca="false">-charge!D27</f>
        <v>-0</v>
      </c>
      <c r="K29" s="2" t="n">
        <f aca="false">discharge!D27</f>
        <v>0</v>
      </c>
      <c r="L29" s="2" t="n">
        <f aca="false">soc!D27/investment!$E$3 *100</f>
        <v>2.87786170866578E-009</v>
      </c>
    </row>
    <row r="30" customFormat="false" ht="13.8" hidden="false" customHeight="false" outlineLevel="0" collapsed="false">
      <c r="B30" s="11" t="n">
        <f aca="false">_xlfn.NUMBERVALUE(solar!B27)</f>
        <v>57</v>
      </c>
      <c r="C30" s="12" t="n">
        <f aca="false">solar!C27</f>
        <v>0</v>
      </c>
      <c r="D30" s="6" t="n">
        <v>26</v>
      </c>
      <c r="E30" s="17" t="n">
        <f aca="false">IFERROR(INDEX($B$5:$C$173, MATCH($D30, $B$5:$B$175, 0), 2), 0)*investment!$C$3</f>
        <v>0</v>
      </c>
      <c r="F30" s="18" t="n">
        <f aca="false">demand!D28</f>
        <v>0</v>
      </c>
      <c r="G30" s="2" t="n">
        <f aca="false">solgen!D28</f>
        <v>0</v>
      </c>
      <c r="H30" s="2" t="n">
        <f aca="false">import!D28</f>
        <v>0</v>
      </c>
      <c r="I30" s="2" t="n">
        <f aca="false">-export!D28</f>
        <v>-0</v>
      </c>
      <c r="J30" s="2" t="n">
        <f aca="false">-charge!D28</f>
        <v>-0</v>
      </c>
      <c r="K30" s="2" t="n">
        <f aca="false">discharge!D28</f>
        <v>0</v>
      </c>
      <c r="L30" s="2" t="n">
        <f aca="false">soc!D28/investment!$E$3 *100</f>
        <v>3.55323578858665E-009</v>
      </c>
    </row>
    <row r="31" customFormat="false" ht="13.8" hidden="false" customHeight="false" outlineLevel="0" collapsed="false">
      <c r="B31" s="11" t="n">
        <f aca="false">_xlfn.NUMBERVALUE(solar!B28)</f>
        <v>58</v>
      </c>
      <c r="C31" s="12" t="n">
        <f aca="false">solar!C28</f>
        <v>0</v>
      </c>
      <c r="D31" s="6" t="n">
        <v>27</v>
      </c>
      <c r="E31" s="17" t="n">
        <f aca="false">IFERROR(INDEX($B$5:$C$173, MATCH($D31, $B$5:$B$175, 0), 2), 0)*investment!$C$3</f>
        <v>0</v>
      </c>
      <c r="F31" s="18" t="n">
        <f aca="false">demand!D29</f>
        <v>0</v>
      </c>
      <c r="G31" s="2" t="n">
        <f aca="false">solgen!D29</f>
        <v>0</v>
      </c>
      <c r="H31" s="2" t="n">
        <f aca="false">import!D29</f>
        <v>0</v>
      </c>
      <c r="I31" s="2" t="n">
        <f aca="false">-export!D29</f>
        <v>-0</v>
      </c>
      <c r="J31" s="2" t="n">
        <f aca="false">-charge!D29</f>
        <v>-0</v>
      </c>
      <c r="K31" s="2" t="n">
        <f aca="false">discharge!D29</f>
        <v>0</v>
      </c>
      <c r="L31" s="2" t="n">
        <f aca="false">soc!D29/investment!$E$3 *100</f>
        <v>4.21018670897509E-009</v>
      </c>
    </row>
    <row r="32" customFormat="false" ht="13.8" hidden="false" customHeight="false" outlineLevel="0" collapsed="false">
      <c r="B32" s="11" t="n">
        <f aca="false">_xlfn.NUMBERVALUE(solar!B29)</f>
        <v>59</v>
      </c>
      <c r="C32" s="12" t="n">
        <f aca="false">solar!C29</f>
        <v>0</v>
      </c>
      <c r="D32" s="6" t="n">
        <v>28</v>
      </c>
      <c r="E32" s="17" t="n">
        <f aca="false">IFERROR(INDEX($B$5:$C$173, MATCH($D32, $B$5:$B$175, 0), 2), 0)*investment!$C$3</f>
        <v>0</v>
      </c>
      <c r="F32" s="18" t="n">
        <f aca="false">demand!D30</f>
        <v>0</v>
      </c>
      <c r="G32" s="2" t="n">
        <f aca="false">solgen!D30</f>
        <v>0</v>
      </c>
      <c r="H32" s="2" t="n">
        <f aca="false">import!D30</f>
        <v>0</v>
      </c>
      <c r="I32" s="2" t="n">
        <f aca="false">-export!D30</f>
        <v>-0</v>
      </c>
      <c r="J32" s="2" t="n">
        <f aca="false">-charge!D30</f>
        <v>-0</v>
      </c>
      <c r="K32" s="2" t="n">
        <f aca="false">discharge!D30</f>
        <v>0</v>
      </c>
      <c r="L32" s="2" t="n">
        <f aca="false">soc!D30/investment!$E$3 *100</f>
        <v>4.8488523935142E-009</v>
      </c>
    </row>
    <row r="33" customFormat="false" ht="13.8" hidden="false" customHeight="false" outlineLevel="0" collapsed="false">
      <c r="B33" s="11" t="n">
        <f aca="false">_xlfn.NUMBERVALUE(solar!B30)</f>
        <v>60</v>
      </c>
      <c r="C33" s="12" t="n">
        <f aca="false">solar!C30</f>
        <v>0</v>
      </c>
      <c r="D33" s="6" t="n">
        <v>29</v>
      </c>
      <c r="E33" s="17" t="n">
        <f aca="false">IFERROR(INDEX($B$5:$C$173, MATCH($D33, $B$5:$B$175, 0), 2), 0)*investment!$C$3</f>
        <v>0</v>
      </c>
      <c r="F33" s="18" t="n">
        <f aca="false">demand!D31</f>
        <v>0</v>
      </c>
      <c r="G33" s="2" t="n">
        <f aca="false">solgen!D31</f>
        <v>0</v>
      </c>
      <c r="H33" s="2" t="n">
        <f aca="false">import!D31</f>
        <v>0</v>
      </c>
      <c r="I33" s="2" t="n">
        <f aca="false">-export!D31</f>
        <v>-0</v>
      </c>
      <c r="J33" s="2" t="n">
        <f aca="false">-charge!D31</f>
        <v>-0</v>
      </c>
      <c r="K33" s="2" t="n">
        <f aca="false">discharge!D31</f>
        <v>0</v>
      </c>
      <c r="L33" s="2" t="n">
        <f aca="false">soc!D31/investment!$E$3 *100</f>
        <v>5.45791607611477E-009</v>
      </c>
    </row>
    <row r="34" customFormat="false" ht="13.8" hidden="false" customHeight="false" outlineLevel="0" collapsed="false">
      <c r="B34" s="11" t="n">
        <f aca="false">_xlfn.NUMBERVALUE(solar!B31)</f>
        <v>61</v>
      </c>
      <c r="C34" s="12" t="n">
        <f aca="false">solar!C31</f>
        <v>0</v>
      </c>
      <c r="D34" s="6" t="n">
        <v>30</v>
      </c>
      <c r="E34" s="17" t="n">
        <f aca="false">IFERROR(INDEX($B$5:$C$173, MATCH($D34, $B$5:$B$175, 0), 2), 0)*investment!$C$3</f>
        <v>0</v>
      </c>
      <c r="F34" s="18" t="n">
        <f aca="false">demand!D32</f>
        <v>0</v>
      </c>
      <c r="G34" s="2" t="n">
        <f aca="false">solgen!D32</f>
        <v>0</v>
      </c>
      <c r="H34" s="2" t="n">
        <f aca="false">import!D32</f>
        <v>0</v>
      </c>
      <c r="I34" s="2" t="n">
        <f aca="false">-export!D32</f>
        <v>-0</v>
      </c>
      <c r="J34" s="2" t="n">
        <f aca="false">-charge!D32</f>
        <v>-0</v>
      </c>
      <c r="K34" s="2" t="n">
        <f aca="false">discharge!D32</f>
        <v>0</v>
      </c>
      <c r="L34" s="2" t="n">
        <f aca="false">soc!D32/investment!$E$3 *100</f>
        <v>0.438064522718042</v>
      </c>
    </row>
    <row r="35" customFormat="false" ht="13.8" hidden="false" customHeight="false" outlineLevel="0" collapsed="false">
      <c r="B35" s="11" t="n">
        <f aca="false">_xlfn.NUMBERVALUE(solar!B32)</f>
        <v>62</v>
      </c>
      <c r="C35" s="12" t="n">
        <f aca="false">solar!C32</f>
        <v>0</v>
      </c>
      <c r="D35" s="6" t="n">
        <v>31</v>
      </c>
      <c r="E35" s="17" t="n">
        <f aca="false">IFERROR(INDEX($B$5:$C$173, MATCH($D35, $B$5:$B$175, 0), 2), 0)*investment!$C$3</f>
        <v>0</v>
      </c>
      <c r="F35" s="18" t="n">
        <f aca="false">demand!D33</f>
        <v>0</v>
      </c>
      <c r="G35" s="2" t="n">
        <f aca="false">solgen!D33</f>
        <v>0</v>
      </c>
      <c r="H35" s="2" t="n">
        <f aca="false">import!D33</f>
        <v>0</v>
      </c>
      <c r="I35" s="2" t="n">
        <f aca="false">-export!D33</f>
        <v>-0</v>
      </c>
      <c r="J35" s="2" t="n">
        <f aca="false">-charge!D33</f>
        <v>-0</v>
      </c>
      <c r="K35" s="2" t="n">
        <f aca="false">discharge!D33</f>
        <v>0</v>
      </c>
      <c r="L35" s="2" t="n">
        <f aca="false">soc!D33/investment!$E$3 *100</f>
        <v>1.1547361059066</v>
      </c>
    </row>
    <row r="36" customFormat="false" ht="13.8" hidden="false" customHeight="false" outlineLevel="0" collapsed="false">
      <c r="B36" s="11" t="n">
        <f aca="false">_xlfn.NUMBERVALUE(solar!B33)</f>
        <v>63</v>
      </c>
      <c r="C36" s="12" t="n">
        <f aca="false">solar!C33</f>
        <v>0</v>
      </c>
      <c r="D36" s="6" t="n">
        <v>32</v>
      </c>
      <c r="E36" s="17" t="n">
        <f aca="false">IFERROR(INDEX($B$5:$C$173, MATCH($D36, $B$5:$B$175, 0), 2), 0)*investment!$C$3</f>
        <v>0</v>
      </c>
      <c r="F36" s="18" t="n">
        <f aca="false">demand!D34</f>
        <v>0</v>
      </c>
      <c r="G36" s="2" t="n">
        <f aca="false">solgen!D34</f>
        <v>0</v>
      </c>
      <c r="H36" s="2" t="n">
        <f aca="false">import!D34</f>
        <v>0</v>
      </c>
      <c r="I36" s="2" t="n">
        <f aca="false">-export!D34</f>
        <v>-0</v>
      </c>
      <c r="J36" s="2" t="n">
        <f aca="false">-charge!D34</f>
        <v>-0</v>
      </c>
      <c r="K36" s="2" t="n">
        <f aca="false">discharge!D34</f>
        <v>0</v>
      </c>
      <c r="L36" s="2" t="n">
        <f aca="false">soc!D34/investment!$E$3 *100</f>
        <v>2.11449064595628</v>
      </c>
    </row>
    <row r="37" customFormat="false" ht="13.8" hidden="false" customHeight="false" outlineLevel="0" collapsed="false">
      <c r="B37" s="11" t="n">
        <f aca="false">_xlfn.NUMBERVALUE(solar!B34)</f>
        <v>64</v>
      </c>
      <c r="C37" s="12" t="n">
        <f aca="false">solar!C34</f>
        <v>0</v>
      </c>
      <c r="D37" s="6" t="n">
        <v>33</v>
      </c>
      <c r="E37" s="17" t="n">
        <f aca="false">IFERROR(INDEX($B$5:$C$173, MATCH($D37, $B$5:$B$175, 0), 2), 0)*investment!$C$3</f>
        <v>0</v>
      </c>
      <c r="F37" s="18" t="n">
        <f aca="false">demand!D35</f>
        <v>0</v>
      </c>
      <c r="G37" s="2" t="n">
        <f aca="false">solgen!D35</f>
        <v>0</v>
      </c>
      <c r="H37" s="2" t="n">
        <f aca="false">import!D35</f>
        <v>0</v>
      </c>
      <c r="I37" s="2" t="n">
        <f aca="false">-export!D35</f>
        <v>-0</v>
      </c>
      <c r="J37" s="2" t="n">
        <f aca="false">-charge!D35</f>
        <v>-0</v>
      </c>
      <c r="K37" s="2" t="n">
        <f aca="false">discharge!D35</f>
        <v>0</v>
      </c>
      <c r="L37" s="2" t="n">
        <f aca="false">soc!D35/investment!$E$3 *100</f>
        <v>3.31732571203752</v>
      </c>
    </row>
    <row r="38" customFormat="false" ht="13.8" hidden="false" customHeight="false" outlineLevel="0" collapsed="false">
      <c r="B38" s="11" t="n">
        <f aca="false">_xlfn.NUMBERVALUE(solar!B35)</f>
        <v>65</v>
      </c>
      <c r="C38" s="12" t="n">
        <f aca="false">solar!C35</f>
        <v>0</v>
      </c>
      <c r="D38" s="6" t="n">
        <v>34</v>
      </c>
      <c r="E38" s="17" t="n">
        <f aca="false">IFERROR(INDEX($B$5:$C$173, MATCH($D38, $B$5:$B$175, 0), 2), 0)*investment!$C$3</f>
        <v>0</v>
      </c>
      <c r="F38" s="18" t="n">
        <f aca="false">demand!D36</f>
        <v>0</v>
      </c>
      <c r="G38" s="2" t="n">
        <f aca="false">solgen!D36</f>
        <v>0</v>
      </c>
      <c r="H38" s="2" t="n">
        <f aca="false">import!D36</f>
        <v>0</v>
      </c>
      <c r="I38" s="2" t="n">
        <f aca="false">-export!D36</f>
        <v>-0</v>
      </c>
      <c r="J38" s="2" t="n">
        <f aca="false">-charge!D36</f>
        <v>-0</v>
      </c>
      <c r="K38" s="2" t="n">
        <f aca="false">discharge!D36</f>
        <v>0</v>
      </c>
      <c r="L38" s="2" t="n">
        <f aca="false">soc!D36/investment!$E$3 *100</f>
        <v>4.59481128401283</v>
      </c>
    </row>
    <row r="39" customFormat="false" ht="13.8" hidden="false" customHeight="false" outlineLevel="0" collapsed="false">
      <c r="B39" s="11" t="n">
        <f aca="false">_xlfn.NUMBERVALUE(solar!B36)</f>
        <v>66</v>
      </c>
      <c r="C39" s="12" t="n">
        <f aca="false">solar!C36</f>
        <v>0</v>
      </c>
      <c r="D39" s="6" t="n">
        <v>35</v>
      </c>
      <c r="E39" s="17" t="n">
        <f aca="false">IFERROR(INDEX($B$5:$C$173, MATCH($D39, $B$5:$B$175, 0), 2), 0)*investment!$C$3</f>
        <v>0</v>
      </c>
      <c r="F39" s="18" t="n">
        <f aca="false">demand!D37</f>
        <v>0</v>
      </c>
      <c r="G39" s="2" t="n">
        <f aca="false">solgen!D37</f>
        <v>0</v>
      </c>
      <c r="H39" s="2" t="n">
        <f aca="false">import!D37</f>
        <v>0</v>
      </c>
      <c r="I39" s="2" t="n">
        <f aca="false">-export!D37</f>
        <v>-0</v>
      </c>
      <c r="J39" s="2" t="n">
        <f aca="false">-charge!D37</f>
        <v>-0</v>
      </c>
      <c r="K39" s="2" t="n">
        <f aca="false">discharge!D37</f>
        <v>0</v>
      </c>
      <c r="L39" s="2" t="n">
        <f aca="false">soc!D37/investment!$E$3 *100</f>
        <v>5.94694661537715</v>
      </c>
    </row>
    <row r="40" customFormat="false" ht="13.8" hidden="false" customHeight="false" outlineLevel="0" collapsed="false">
      <c r="B40" s="11" t="n">
        <f aca="false">_xlfn.NUMBERVALUE(solar!B37)</f>
        <v>67</v>
      </c>
      <c r="C40" s="12" t="n">
        <f aca="false">solar!C37</f>
        <v>0</v>
      </c>
      <c r="D40" s="6" t="n">
        <v>36</v>
      </c>
      <c r="E40" s="17" t="n">
        <f aca="false">IFERROR(INDEX($B$5:$C$173, MATCH($D40, $B$5:$B$175, 0), 2), 0)*investment!$C$3</f>
        <v>0</v>
      </c>
      <c r="F40" s="18" t="n">
        <f aca="false">demand!D38</f>
        <v>0</v>
      </c>
      <c r="G40" s="2" t="n">
        <f aca="false">solgen!D38</f>
        <v>0</v>
      </c>
      <c r="H40" s="2" t="n">
        <f aca="false">import!D38</f>
        <v>0</v>
      </c>
      <c r="I40" s="2" t="n">
        <f aca="false">-export!D38</f>
        <v>-0</v>
      </c>
      <c r="J40" s="2" t="n">
        <f aca="false">-charge!D38</f>
        <v>-0</v>
      </c>
      <c r="K40" s="2" t="n">
        <f aca="false">discharge!D38</f>
        <v>0</v>
      </c>
      <c r="L40" s="2" t="n">
        <f aca="false">soc!D38/investment!$E$3 *100</f>
        <v>7.37373095963288</v>
      </c>
    </row>
    <row r="41" customFormat="false" ht="13.8" hidden="false" customHeight="false" outlineLevel="0" collapsed="false">
      <c r="B41" s="11" t="n">
        <f aca="false">_xlfn.NUMBERVALUE(solar!B38)</f>
        <v>80</v>
      </c>
      <c r="C41" s="12" t="n">
        <f aca="false">solar!C38</f>
        <v>0</v>
      </c>
      <c r="D41" s="6" t="n">
        <v>37</v>
      </c>
      <c r="E41" s="17" t="n">
        <f aca="false">IFERROR(INDEX($B$5:$C$173, MATCH($D41, $B$5:$B$175, 0), 2), 0)*investment!$C$3</f>
        <v>0</v>
      </c>
      <c r="F41" s="18" t="n">
        <f aca="false">demand!D39</f>
        <v>0</v>
      </c>
      <c r="G41" s="2" t="n">
        <f aca="false">solgen!D39</f>
        <v>0</v>
      </c>
      <c r="H41" s="2" t="n">
        <f aca="false">import!D39</f>
        <v>0</v>
      </c>
      <c r="I41" s="2" t="n">
        <f aca="false">-export!D39</f>
        <v>-0</v>
      </c>
      <c r="J41" s="2" t="n">
        <f aca="false">-charge!D39</f>
        <v>-0</v>
      </c>
      <c r="K41" s="2" t="n">
        <f aca="false">discharge!D39</f>
        <v>0</v>
      </c>
      <c r="L41" s="2" t="n">
        <f aca="false">soc!D39/investment!$E$3 *100</f>
        <v>8.87516357028988</v>
      </c>
    </row>
    <row r="42" customFormat="false" ht="13.8" hidden="false" customHeight="false" outlineLevel="0" collapsed="false">
      <c r="B42" s="11" t="n">
        <f aca="false">_xlfn.NUMBERVALUE(solar!B39)</f>
        <v>81</v>
      </c>
      <c r="C42" s="12" t="n">
        <f aca="false">solar!C39</f>
        <v>0</v>
      </c>
      <c r="D42" s="6" t="n">
        <v>38</v>
      </c>
      <c r="E42" s="17" t="n">
        <f aca="false">IFERROR(INDEX($B$5:$C$173, MATCH($D42, $B$5:$B$175, 0), 2), 0)*investment!$C$3</f>
        <v>0</v>
      </c>
      <c r="F42" s="18" t="n">
        <f aca="false">demand!D40</f>
        <v>0</v>
      </c>
      <c r="G42" s="2" t="n">
        <f aca="false">solgen!D40</f>
        <v>0</v>
      </c>
      <c r="H42" s="2" t="n">
        <f aca="false">import!D40</f>
        <v>0</v>
      </c>
      <c r="I42" s="2" t="n">
        <f aca="false">-export!D40</f>
        <v>-0</v>
      </c>
      <c r="J42" s="2" t="n">
        <f aca="false">-charge!D40</f>
        <v>-0</v>
      </c>
      <c r="K42" s="2" t="n">
        <f aca="false">discharge!D40</f>
        <v>0</v>
      </c>
      <c r="L42" s="2" t="n">
        <f aca="false">soc!D40/investment!$E$3 *100</f>
        <v>10.8901346632998</v>
      </c>
    </row>
    <row r="43" customFormat="false" ht="13.8" hidden="false" customHeight="false" outlineLevel="0" collapsed="false">
      <c r="B43" s="11" t="n">
        <f aca="false">_xlfn.NUMBERVALUE(solar!B40)</f>
        <v>82</v>
      </c>
      <c r="C43" s="12" t="n">
        <f aca="false">solar!C40</f>
        <v>0</v>
      </c>
      <c r="D43" s="6" t="n">
        <v>39</v>
      </c>
      <c r="E43" s="17" t="n">
        <f aca="false">IFERROR(INDEX($B$5:$C$173, MATCH($D43, $B$5:$B$175, 0), 2), 0)*investment!$C$3</f>
        <v>0</v>
      </c>
      <c r="F43" s="18" t="n">
        <f aca="false">demand!D41</f>
        <v>0</v>
      </c>
      <c r="G43" s="2" t="n">
        <f aca="false">solgen!D41</f>
        <v>0</v>
      </c>
      <c r="H43" s="2" t="n">
        <f aca="false">import!D41</f>
        <v>0</v>
      </c>
      <c r="I43" s="2" t="n">
        <f aca="false">-export!D41</f>
        <v>-0</v>
      </c>
      <c r="J43" s="2" t="n">
        <f aca="false">-charge!D41</f>
        <v>-0</v>
      </c>
      <c r="K43" s="2" t="n">
        <f aca="false">discharge!D41</f>
        <v>0</v>
      </c>
      <c r="L43" s="2" t="n">
        <f aca="false">soc!D41/investment!$E$3 *100</f>
        <v>13.4186391032777</v>
      </c>
    </row>
    <row r="44" customFormat="false" ht="13.8" hidden="false" customHeight="false" outlineLevel="0" collapsed="false">
      <c r="B44" s="11" t="n">
        <f aca="false">_xlfn.NUMBERVALUE(solar!B41)</f>
        <v>83</v>
      </c>
      <c r="C44" s="12" t="n">
        <f aca="false">solar!C41</f>
        <v>0</v>
      </c>
      <c r="D44" s="6" t="n">
        <v>40</v>
      </c>
      <c r="E44" s="17" t="n">
        <f aca="false">IFERROR(INDEX($B$5:$C$173, MATCH($D44, $B$5:$B$175, 0), 2), 0)*investment!$C$3</f>
        <v>0</v>
      </c>
      <c r="F44" s="18" t="n">
        <f aca="false">demand!D42</f>
        <v>0</v>
      </c>
      <c r="G44" s="2" t="n">
        <f aca="false">solgen!D42</f>
        <v>0</v>
      </c>
      <c r="H44" s="2" t="n">
        <f aca="false">import!D42</f>
        <v>0</v>
      </c>
      <c r="I44" s="2" t="n">
        <f aca="false">-export!D42</f>
        <v>-0</v>
      </c>
      <c r="J44" s="2" t="n">
        <f aca="false">-charge!D42</f>
        <v>-0</v>
      </c>
      <c r="K44" s="2" t="n">
        <f aca="false">discharge!D42</f>
        <v>0</v>
      </c>
      <c r="L44" s="2" t="n">
        <f aca="false">soc!D42/investment!$E$3 *100</f>
        <v>16.4606717548903</v>
      </c>
    </row>
    <row r="45" customFormat="false" ht="13.8" hidden="false" customHeight="false" outlineLevel="0" collapsed="false">
      <c r="B45" s="11" t="n">
        <f aca="false">_xlfn.NUMBERVALUE(solar!B42)</f>
        <v>84</v>
      </c>
      <c r="C45" s="12" t="n">
        <f aca="false">solar!C42</f>
        <v>0</v>
      </c>
      <c r="D45" s="6" t="n">
        <v>41</v>
      </c>
      <c r="E45" s="17" t="n">
        <f aca="false">IFERROR(INDEX($B$5:$C$173, MATCH($D45, $B$5:$B$175, 0), 2), 0)*investment!$C$3</f>
        <v>0</v>
      </c>
      <c r="F45" s="18" t="n">
        <f aca="false">demand!D43</f>
        <v>0</v>
      </c>
      <c r="G45" s="2" t="n">
        <f aca="false">solgen!D43</f>
        <v>0</v>
      </c>
      <c r="H45" s="2" t="n">
        <f aca="false">import!D43</f>
        <v>0</v>
      </c>
      <c r="I45" s="2" t="n">
        <f aca="false">-export!D43</f>
        <v>-0</v>
      </c>
      <c r="J45" s="2" t="n">
        <f aca="false">-charge!D43</f>
        <v>-0</v>
      </c>
      <c r="K45" s="2" t="n">
        <f aca="false">discharge!D43</f>
        <v>0</v>
      </c>
      <c r="L45" s="2" t="n">
        <f aca="false">soc!D43/investment!$E$3 *100</f>
        <v>20.0162274828552</v>
      </c>
    </row>
    <row r="46" customFormat="false" ht="13.8" hidden="false" customHeight="false" outlineLevel="0" collapsed="false">
      <c r="B46" s="11" t="n">
        <f aca="false">_xlfn.NUMBERVALUE(solar!B43)</f>
        <v>85</v>
      </c>
      <c r="C46" s="12" t="n">
        <f aca="false">solar!C43</f>
        <v>0</v>
      </c>
      <c r="D46" s="6" t="n">
        <v>42</v>
      </c>
      <c r="E46" s="17" t="n">
        <f aca="false">IFERROR(INDEX($B$5:$C$173, MATCH($D46, $B$5:$B$175, 0), 2), 0)*investment!$C$3</f>
        <v>0</v>
      </c>
      <c r="F46" s="18" t="n">
        <f aca="false">demand!D44</f>
        <v>0</v>
      </c>
      <c r="G46" s="2" t="n">
        <f aca="false">solgen!D44</f>
        <v>0</v>
      </c>
      <c r="H46" s="2" t="n">
        <f aca="false">import!D44</f>
        <v>0</v>
      </c>
      <c r="I46" s="2" t="n">
        <f aca="false">-export!D44</f>
        <v>-0</v>
      </c>
      <c r="J46" s="2" t="n">
        <f aca="false">-charge!D44</f>
        <v>-0</v>
      </c>
      <c r="K46" s="2" t="n">
        <f aca="false">discharge!D44</f>
        <v>0</v>
      </c>
      <c r="L46" s="2" t="n">
        <f aca="false">soc!D44/investment!$E$3 *100</f>
        <v>23.6455665450529</v>
      </c>
    </row>
    <row r="47" customFormat="false" ht="13.8" hidden="false" customHeight="false" outlineLevel="0" collapsed="false">
      <c r="B47" s="11" t="n">
        <f aca="false">_xlfn.NUMBERVALUE(solar!B44)</f>
        <v>86</v>
      </c>
      <c r="C47" s="12" t="n">
        <f aca="false">solar!C44</f>
        <v>0</v>
      </c>
      <c r="D47" s="6" t="n">
        <v>43</v>
      </c>
      <c r="E47" s="17" t="n">
        <f aca="false">IFERROR(INDEX($B$5:$C$173, MATCH($D47, $B$5:$B$175, 0), 2), 0)*investment!$C$3</f>
        <v>0</v>
      </c>
      <c r="F47" s="18" t="n">
        <f aca="false">demand!D45</f>
        <v>0</v>
      </c>
      <c r="G47" s="2" t="n">
        <f aca="false">solgen!D45</f>
        <v>0</v>
      </c>
      <c r="H47" s="2" t="n">
        <f aca="false">import!D45</f>
        <v>0</v>
      </c>
      <c r="I47" s="2" t="n">
        <f aca="false">-export!D45</f>
        <v>-0</v>
      </c>
      <c r="J47" s="2" t="n">
        <f aca="false">-charge!D45</f>
        <v>-0</v>
      </c>
      <c r="K47" s="2" t="n">
        <f aca="false">discharge!D45</f>
        <v>0</v>
      </c>
      <c r="L47" s="2" t="n">
        <f aca="false">soc!D45/investment!$E$3 *100</f>
        <v>27.34868820365</v>
      </c>
    </row>
    <row r="48" customFormat="false" ht="13.8" hidden="false" customHeight="false" outlineLevel="0" collapsed="false">
      <c r="B48" s="11" t="n">
        <f aca="false">_xlfn.NUMBERVALUE(solar!B45)</f>
        <v>87</v>
      </c>
      <c r="C48" s="12" t="n">
        <f aca="false">solar!C45</f>
        <v>0</v>
      </c>
      <c r="D48" s="6" t="n">
        <v>44</v>
      </c>
      <c r="E48" s="17" t="n">
        <f aca="false">IFERROR(INDEX($B$5:$C$173, MATCH($D48, $B$5:$B$175, 0), 2), 0)*investment!$C$3</f>
        <v>0</v>
      </c>
      <c r="F48" s="18" t="n">
        <f aca="false">demand!D46</f>
        <v>0</v>
      </c>
      <c r="G48" s="2" t="n">
        <f aca="false">solgen!D46</f>
        <v>0</v>
      </c>
      <c r="H48" s="2" t="n">
        <f aca="false">import!D46</f>
        <v>0</v>
      </c>
      <c r="I48" s="2" t="n">
        <f aca="false">-export!D46</f>
        <v>-0</v>
      </c>
      <c r="J48" s="2" t="n">
        <f aca="false">-charge!D46</f>
        <v>-0</v>
      </c>
      <c r="K48" s="2" t="n">
        <f aca="false">discharge!D46</f>
        <v>0</v>
      </c>
      <c r="L48" s="2" t="n">
        <f aca="false">soc!D46/investment!$E$3 *100</f>
        <v>31.1255917208189</v>
      </c>
    </row>
    <row r="49" customFormat="false" ht="13.8" hidden="false" customHeight="false" outlineLevel="0" collapsed="false">
      <c r="B49" s="11" t="n">
        <f aca="false">_xlfn.NUMBERVALUE(solar!B46)</f>
        <v>88</v>
      </c>
      <c r="C49" s="12" t="n">
        <f aca="false">solar!C46</f>
        <v>0</v>
      </c>
      <c r="D49" s="6" t="n">
        <v>45</v>
      </c>
      <c r="E49" s="17" t="n">
        <f aca="false">IFERROR(INDEX($B$5:$C$173, MATCH($D49, $B$5:$B$175, 0), 2), 0)*investment!$C$3</f>
        <v>0</v>
      </c>
      <c r="F49" s="18" t="n">
        <f aca="false">demand!D47</f>
        <v>0</v>
      </c>
      <c r="G49" s="2" t="n">
        <f aca="false">solgen!D47</f>
        <v>0</v>
      </c>
      <c r="H49" s="2" t="n">
        <f aca="false">import!D47</f>
        <v>0</v>
      </c>
      <c r="I49" s="2" t="n">
        <f aca="false">-export!D47</f>
        <v>-0</v>
      </c>
      <c r="J49" s="2" t="n">
        <f aca="false">-charge!D47</f>
        <v>-0</v>
      </c>
      <c r="K49" s="2" t="n">
        <f aca="false">discharge!D47</f>
        <v>0</v>
      </c>
      <c r="L49" s="2" t="n">
        <f aca="false">soc!D47/investment!$E$3 *100</f>
        <v>34.976276358613</v>
      </c>
    </row>
    <row r="50" customFormat="false" ht="13.8" hidden="false" customHeight="false" outlineLevel="0" collapsed="false">
      <c r="B50" s="11" t="n">
        <f aca="false">_xlfn.NUMBERVALUE(solar!B47)</f>
        <v>89</v>
      </c>
      <c r="C50" s="12" t="n">
        <f aca="false">solar!C47</f>
        <v>0</v>
      </c>
      <c r="D50" s="6" t="n">
        <v>46</v>
      </c>
      <c r="E50" s="17" t="n">
        <f aca="false">IFERROR(INDEX($B$5:$C$173, MATCH($D50, $B$5:$B$175, 0), 2), 0)*investment!$C$3</f>
        <v>0</v>
      </c>
      <c r="F50" s="18" t="n">
        <f aca="false">demand!D48</f>
        <v>0</v>
      </c>
      <c r="G50" s="2" t="n">
        <f aca="false">solgen!D48</f>
        <v>0</v>
      </c>
      <c r="H50" s="2" t="n">
        <f aca="false">import!D48</f>
        <v>0</v>
      </c>
      <c r="I50" s="2" t="n">
        <f aca="false">-export!D48</f>
        <v>-0</v>
      </c>
      <c r="J50" s="2" t="n">
        <f aca="false">-charge!D48</f>
        <v>-0</v>
      </c>
      <c r="K50" s="2" t="n">
        <f aca="false">discharge!D48</f>
        <v>0</v>
      </c>
      <c r="L50" s="2" t="n">
        <f aca="false">soc!D48/investment!$E$3 *100</f>
        <v>38.8410987295547</v>
      </c>
    </row>
    <row r="51" customFormat="false" ht="13.8" hidden="false" customHeight="false" outlineLevel="0" collapsed="false">
      <c r="B51" s="11" t="n">
        <f aca="false">_xlfn.NUMBERVALUE(solar!B48)</f>
        <v>90</v>
      </c>
      <c r="C51" s="12" t="n">
        <f aca="false">solar!C48</f>
        <v>0</v>
      </c>
      <c r="D51" s="6" t="n">
        <v>47</v>
      </c>
      <c r="E51" s="17" t="n">
        <f aca="false">IFERROR(INDEX($B$5:$C$173, MATCH($D51, $B$5:$B$175, 0), 2), 0)*investment!$C$3</f>
        <v>0</v>
      </c>
      <c r="F51" s="18" t="n">
        <f aca="false">demand!D49</f>
        <v>0</v>
      </c>
      <c r="G51" s="2" t="n">
        <f aca="false">solgen!D49</f>
        <v>0</v>
      </c>
      <c r="H51" s="2" t="n">
        <f aca="false">import!D49</f>
        <v>0</v>
      </c>
      <c r="I51" s="2" t="n">
        <f aca="false">-export!D49</f>
        <v>-0</v>
      </c>
      <c r="J51" s="2" t="n">
        <f aca="false">-charge!D49</f>
        <v>-0</v>
      </c>
      <c r="K51" s="2" t="n">
        <f aca="false">discharge!D49</f>
        <v>0</v>
      </c>
      <c r="L51" s="2" t="n">
        <f aca="false">soc!D49/investment!$E$3 *100</f>
        <v>42.7200586921389</v>
      </c>
    </row>
    <row r="52" customFormat="false" ht="13.8" hidden="false" customHeight="false" outlineLevel="0" collapsed="false">
      <c r="B52" s="11" t="n">
        <f aca="false">_xlfn.NUMBERVALUE(solar!B49)</f>
        <v>91</v>
      </c>
      <c r="C52" s="12" t="n">
        <f aca="false">solar!C49</f>
        <v>0</v>
      </c>
      <c r="D52" s="6" t="n">
        <v>48</v>
      </c>
      <c r="E52" s="17" t="n">
        <f aca="false">IFERROR(INDEX($B$5:$C$173, MATCH($D52, $B$5:$B$175, 0), 2), 0)*investment!$C$3</f>
        <v>0</v>
      </c>
      <c r="F52" s="18" t="n">
        <f aca="false">demand!D50</f>
        <v>0</v>
      </c>
      <c r="G52" s="2" t="n">
        <f aca="false">solgen!D50</f>
        <v>0</v>
      </c>
      <c r="H52" s="2" t="n">
        <f aca="false">import!D50</f>
        <v>0</v>
      </c>
      <c r="I52" s="2" t="n">
        <f aca="false">-export!D50</f>
        <v>-0</v>
      </c>
      <c r="J52" s="2" t="n">
        <f aca="false">-charge!D50</f>
        <v>-0</v>
      </c>
      <c r="K52" s="2" t="n">
        <f aca="false">discharge!D50</f>
        <v>0</v>
      </c>
      <c r="L52" s="2" t="n">
        <f aca="false">soc!D50/investment!$E$3 *100</f>
        <v>46.6131561049879</v>
      </c>
    </row>
    <row r="53" customFormat="false" ht="13.8" hidden="false" customHeight="false" outlineLevel="0" collapsed="false">
      <c r="B53" s="11" t="n">
        <f aca="false">_xlfn.NUMBERVALUE(solar!B50)</f>
        <v>104</v>
      </c>
      <c r="C53" s="12" t="n">
        <f aca="false">solar!C50</f>
        <v>0</v>
      </c>
      <c r="D53" s="6" t="n">
        <v>49</v>
      </c>
      <c r="E53" s="17" t="n">
        <f aca="false">IFERROR(INDEX($B$5:$C$173, MATCH($D53, $B$5:$B$175, 0), 2), 0)*investment!$C$3</f>
        <v>0</v>
      </c>
      <c r="F53" s="18" t="n">
        <f aca="false">demand!D51</f>
        <v>0</v>
      </c>
      <c r="G53" s="2" t="n">
        <f aca="false">solgen!D51</f>
        <v>0</v>
      </c>
      <c r="H53" s="2" t="n">
        <f aca="false">import!D51</f>
        <v>0</v>
      </c>
      <c r="I53" s="2" t="n">
        <f aca="false">-export!D51</f>
        <v>-0</v>
      </c>
      <c r="J53" s="2" t="n">
        <f aca="false">-charge!D51</f>
        <v>-0</v>
      </c>
      <c r="K53" s="2" t="n">
        <f aca="false">discharge!D51</f>
        <v>0</v>
      </c>
      <c r="L53" s="2" t="n">
        <f aca="false">soc!D51/investment!$E$3 *100</f>
        <v>50.520390826726</v>
      </c>
    </row>
    <row r="54" customFormat="false" ht="13.8" hidden="false" customHeight="false" outlineLevel="0" collapsed="false">
      <c r="B54" s="11" t="n">
        <f aca="false">_xlfn.NUMBERVALUE(solar!B51)</f>
        <v>105</v>
      </c>
      <c r="C54" s="12" t="n">
        <f aca="false">solar!C51</f>
        <v>0</v>
      </c>
      <c r="D54" s="6" t="n">
        <v>50</v>
      </c>
      <c r="E54" s="17" t="n">
        <f aca="false">IFERROR(INDEX($B$5:$C$173, MATCH($D54, $B$5:$B$175, 0), 2), 0)*investment!$C$3</f>
        <v>0</v>
      </c>
      <c r="F54" s="18" t="n">
        <f aca="false">demand!D52</f>
        <v>0</v>
      </c>
      <c r="G54" s="2" t="n">
        <f aca="false">solgen!D52</f>
        <v>0</v>
      </c>
      <c r="H54" s="2" t="n">
        <f aca="false">import!D52</f>
        <v>0</v>
      </c>
      <c r="I54" s="2" t="n">
        <f aca="false">-export!D52</f>
        <v>-0</v>
      </c>
      <c r="J54" s="2" t="n">
        <f aca="false">-charge!D52</f>
        <v>-0</v>
      </c>
      <c r="K54" s="2" t="n">
        <f aca="false">discharge!D52</f>
        <v>0</v>
      </c>
      <c r="L54" s="2" t="n">
        <f aca="false">soc!D52/investment!$E$3 *100</f>
        <v>54.4563909081252</v>
      </c>
    </row>
    <row r="55" customFormat="false" ht="13.8" hidden="false" customHeight="false" outlineLevel="0" collapsed="false">
      <c r="B55" s="11" t="n">
        <f aca="false">_xlfn.NUMBERVALUE(solar!B52)</f>
        <v>106</v>
      </c>
      <c r="C55" s="12" t="n">
        <f aca="false">solar!C52</f>
        <v>0</v>
      </c>
      <c r="D55" s="6" t="n">
        <v>51</v>
      </c>
      <c r="E55" s="17" t="n">
        <f aca="false">IFERROR(INDEX($B$5:$C$173, MATCH($D55, $B$5:$B$175, 0), 2), 0)*investment!$C$3</f>
        <v>0</v>
      </c>
      <c r="F55" s="18" t="n">
        <f aca="false">demand!D53</f>
        <v>0</v>
      </c>
      <c r="G55" s="2" t="n">
        <f aca="false">solgen!D53</f>
        <v>0</v>
      </c>
      <c r="H55" s="2" t="n">
        <f aca="false">import!D53</f>
        <v>0</v>
      </c>
      <c r="I55" s="2" t="n">
        <f aca="false">-export!D53</f>
        <v>-0</v>
      </c>
      <c r="J55" s="2" t="n">
        <f aca="false">-charge!D53</f>
        <v>-0</v>
      </c>
      <c r="K55" s="2" t="n">
        <f aca="false">discharge!D53</f>
        <v>0</v>
      </c>
      <c r="L55" s="2" t="n">
        <f aca="false">soc!D53/investment!$E$3 *100</f>
        <v>58.4211560616337</v>
      </c>
    </row>
    <row r="56" customFormat="false" ht="13.8" hidden="false" customHeight="false" outlineLevel="0" collapsed="false">
      <c r="B56" s="11" t="n">
        <f aca="false">_xlfn.NUMBERVALUE(solar!B53)</f>
        <v>107</v>
      </c>
      <c r="C56" s="12" t="n">
        <f aca="false">solar!C53</f>
        <v>0</v>
      </c>
      <c r="D56" s="6" t="n">
        <v>52</v>
      </c>
      <c r="E56" s="17" t="n">
        <f aca="false">IFERROR(INDEX($B$5:$C$173, MATCH($D56, $B$5:$B$175, 0), 2), 0)*investment!$C$3</f>
        <v>0</v>
      </c>
      <c r="F56" s="18" t="n">
        <f aca="false">demand!D54</f>
        <v>0</v>
      </c>
      <c r="G56" s="2" t="n">
        <f aca="false">solgen!D54</f>
        <v>0</v>
      </c>
      <c r="H56" s="2" t="n">
        <f aca="false">import!D54</f>
        <v>0</v>
      </c>
      <c r="I56" s="2" t="n">
        <f aca="false">-export!D54</f>
        <v>-0</v>
      </c>
      <c r="J56" s="2" t="n">
        <f aca="false">-charge!D54</f>
        <v>-0</v>
      </c>
      <c r="K56" s="2" t="n">
        <f aca="false">discharge!D54</f>
        <v>0</v>
      </c>
      <c r="L56" s="2" t="n">
        <f aca="false">soc!D54/investment!$E$3 *100</f>
        <v>62.414685999602</v>
      </c>
    </row>
    <row r="57" customFormat="false" ht="13.8" hidden="false" customHeight="false" outlineLevel="0" collapsed="false">
      <c r="B57" s="11" t="n">
        <f aca="false">_xlfn.NUMBERVALUE(solar!B54)</f>
        <v>108</v>
      </c>
      <c r="C57" s="12" t="n">
        <f aca="false">solar!C54</f>
        <v>0</v>
      </c>
      <c r="D57" s="6" t="n">
        <v>53</v>
      </c>
      <c r="E57" s="17" t="n">
        <f aca="false">IFERROR(INDEX($B$5:$C$173, MATCH($D57, $B$5:$B$175, 0), 2), 0)*investment!$C$3</f>
        <v>0</v>
      </c>
      <c r="F57" s="18" t="n">
        <f aca="false">demand!D55</f>
        <v>0</v>
      </c>
      <c r="G57" s="2" t="n">
        <f aca="false">solgen!D55</f>
        <v>0</v>
      </c>
      <c r="H57" s="2" t="n">
        <f aca="false">import!D55</f>
        <v>0</v>
      </c>
      <c r="I57" s="2" t="n">
        <f aca="false">-export!D55</f>
        <v>-0</v>
      </c>
      <c r="J57" s="2" t="n">
        <f aca="false">-charge!D55</f>
        <v>-0</v>
      </c>
      <c r="K57" s="2" t="n">
        <f aca="false">discharge!D55</f>
        <v>0</v>
      </c>
      <c r="L57" s="2" t="n">
        <f aca="false">soc!D55/investment!$E$3 *100</f>
        <v>66.4369804343822</v>
      </c>
    </row>
    <row r="58" customFormat="false" ht="13.8" hidden="false" customHeight="false" outlineLevel="0" collapsed="false">
      <c r="B58" s="11" t="n">
        <f aca="false">_xlfn.NUMBERVALUE(solar!B55)</f>
        <v>109</v>
      </c>
      <c r="C58" s="12" t="n">
        <f aca="false">solar!C55</f>
        <v>0</v>
      </c>
      <c r="D58" s="6" t="n">
        <v>54</v>
      </c>
      <c r="E58" s="17" t="n">
        <f aca="false">IFERROR(INDEX($B$5:$C$173, MATCH($D58, $B$5:$B$175, 0), 2), 0)*investment!$C$3</f>
        <v>0</v>
      </c>
      <c r="F58" s="18" t="n">
        <f aca="false">demand!D56</f>
        <v>0</v>
      </c>
      <c r="G58" s="2" t="n">
        <f aca="false">solgen!D56</f>
        <v>0</v>
      </c>
      <c r="H58" s="2" t="n">
        <f aca="false">import!D56</f>
        <v>0</v>
      </c>
      <c r="I58" s="2" t="n">
        <f aca="false">-export!D56</f>
        <v>-0</v>
      </c>
      <c r="J58" s="2" t="n">
        <f aca="false">-charge!D56</f>
        <v>-0</v>
      </c>
      <c r="K58" s="2" t="n">
        <f aca="false">discharge!D56</f>
        <v>0</v>
      </c>
      <c r="L58" s="2" t="n">
        <f aca="false">soc!D56/investment!$E$3 *100</f>
        <v>70.3258484319295</v>
      </c>
    </row>
    <row r="59" customFormat="false" ht="13.8" hidden="false" customHeight="false" outlineLevel="0" collapsed="false">
      <c r="B59" s="11" t="n">
        <f aca="false">_xlfn.NUMBERVALUE(solar!B56)</f>
        <v>110</v>
      </c>
      <c r="C59" s="12" t="n">
        <f aca="false">solar!C56</f>
        <v>0</v>
      </c>
      <c r="D59" s="6" t="n">
        <v>55</v>
      </c>
      <c r="E59" s="17" t="n">
        <f aca="false">IFERROR(INDEX($B$5:$C$173, MATCH($D59, $B$5:$B$175, 0), 2), 0)*investment!$C$3</f>
        <v>0</v>
      </c>
      <c r="F59" s="18" t="n">
        <f aca="false">demand!D57</f>
        <v>0</v>
      </c>
      <c r="G59" s="2" t="n">
        <f aca="false">solgen!D57</f>
        <v>0</v>
      </c>
      <c r="H59" s="2" t="n">
        <f aca="false">import!D57</f>
        <v>0</v>
      </c>
      <c r="I59" s="2" t="n">
        <f aca="false">-export!D57</f>
        <v>-0</v>
      </c>
      <c r="J59" s="2" t="n">
        <f aca="false">-charge!D57</f>
        <v>-0</v>
      </c>
      <c r="K59" s="2" t="n">
        <f aca="false">discharge!D57</f>
        <v>0</v>
      </c>
      <c r="L59" s="2" t="n">
        <f aca="false">soc!D57/investment!$E$3 *100</f>
        <v>74.0812913265081</v>
      </c>
    </row>
    <row r="60" customFormat="false" ht="13.8" hidden="false" customHeight="false" outlineLevel="0" collapsed="false">
      <c r="B60" s="11" t="n">
        <f aca="false">_xlfn.NUMBERVALUE(solar!B57)</f>
        <v>111</v>
      </c>
      <c r="C60" s="12" t="n">
        <f aca="false">solar!C57</f>
        <v>0</v>
      </c>
      <c r="D60" s="6" t="n">
        <v>56</v>
      </c>
      <c r="E60" s="17" t="n">
        <f aca="false">IFERROR(INDEX($B$5:$C$173, MATCH($D60, $B$5:$B$175, 0), 2), 0)*investment!$C$3</f>
        <v>0</v>
      </c>
      <c r="F60" s="18" t="n">
        <f aca="false">demand!D58</f>
        <v>0</v>
      </c>
      <c r="G60" s="2" t="n">
        <f aca="false">solgen!D58</f>
        <v>0</v>
      </c>
      <c r="H60" s="2" t="n">
        <f aca="false">import!D58</f>
        <v>0</v>
      </c>
      <c r="I60" s="2" t="n">
        <f aca="false">-export!D58</f>
        <v>-0</v>
      </c>
      <c r="J60" s="2" t="n">
        <f aca="false">-charge!D58</f>
        <v>-0</v>
      </c>
      <c r="K60" s="2" t="n">
        <f aca="false">discharge!D58</f>
        <v>0</v>
      </c>
      <c r="L60" s="2" t="n">
        <f aca="false">soc!D58/investment!$E$3 *100</f>
        <v>77.7033104523691</v>
      </c>
    </row>
    <row r="61" customFormat="false" ht="13.8" hidden="false" customHeight="false" outlineLevel="0" collapsed="false">
      <c r="B61" s="11" t="n">
        <f aca="false">_xlfn.NUMBERVALUE(solar!B58)</f>
        <v>112</v>
      </c>
      <c r="C61" s="12" t="n">
        <f aca="false">solar!C58</f>
        <v>0</v>
      </c>
      <c r="D61" s="6" t="n">
        <v>57</v>
      </c>
      <c r="E61" s="17" t="n">
        <f aca="false">IFERROR(INDEX($B$5:$C$173, MATCH($D61, $B$5:$B$175, 0), 2), 0)*investment!$C$3</f>
        <v>0</v>
      </c>
      <c r="F61" s="18" t="n">
        <f aca="false">demand!D59</f>
        <v>0</v>
      </c>
      <c r="G61" s="2" t="n">
        <f aca="false">solgen!D59</f>
        <v>0</v>
      </c>
      <c r="H61" s="2" t="n">
        <f aca="false">import!D59</f>
        <v>0</v>
      </c>
      <c r="I61" s="2" t="n">
        <f aca="false">-export!D59</f>
        <v>-0</v>
      </c>
      <c r="J61" s="2" t="n">
        <f aca="false">-charge!D59</f>
        <v>-0</v>
      </c>
      <c r="K61" s="2" t="n">
        <f aca="false">discharge!D59</f>
        <v>0</v>
      </c>
      <c r="L61" s="2" t="n">
        <f aca="false">soc!D59/investment!$E$3 *100</f>
        <v>81.1919071437501</v>
      </c>
    </row>
    <row r="62" customFormat="false" ht="13.8" hidden="false" customHeight="false" outlineLevel="0" collapsed="false">
      <c r="B62" s="11" t="n">
        <f aca="false">_xlfn.NUMBERVALUE(solar!B59)</f>
        <v>113</v>
      </c>
      <c r="C62" s="12" t="n">
        <f aca="false">solar!C59</f>
        <v>0</v>
      </c>
      <c r="D62" s="6" t="n">
        <v>58</v>
      </c>
      <c r="E62" s="17" t="n">
        <f aca="false">IFERROR(INDEX($B$5:$C$173, MATCH($D62, $B$5:$B$175, 0), 2), 0)*investment!$C$3</f>
        <v>0</v>
      </c>
      <c r="F62" s="18" t="n">
        <f aca="false">demand!D60</f>
        <v>0</v>
      </c>
      <c r="G62" s="2" t="n">
        <f aca="false">solgen!D60</f>
        <v>0</v>
      </c>
      <c r="H62" s="2" t="n">
        <f aca="false">import!D60</f>
        <v>0</v>
      </c>
      <c r="I62" s="2" t="n">
        <f aca="false">-export!D60</f>
        <v>-0</v>
      </c>
      <c r="J62" s="2" t="n">
        <f aca="false">-charge!D60</f>
        <v>-0</v>
      </c>
      <c r="K62" s="2" t="n">
        <f aca="false">discharge!D60</f>
        <v>0</v>
      </c>
      <c r="L62" s="2" t="n">
        <f aca="false">soc!D60/investment!$E$3 *100</f>
        <v>84.3125646415761</v>
      </c>
    </row>
    <row r="63" customFormat="false" ht="13.8" hidden="false" customHeight="false" outlineLevel="0" collapsed="false">
      <c r="B63" s="11" t="n">
        <f aca="false">_xlfn.NUMBERVALUE(solar!B60)</f>
        <v>114</v>
      </c>
      <c r="C63" s="12" t="n">
        <f aca="false">solar!C60</f>
        <v>0</v>
      </c>
      <c r="D63" s="6" t="n">
        <v>59</v>
      </c>
      <c r="E63" s="17" t="n">
        <f aca="false">IFERROR(INDEX($B$5:$C$173, MATCH($D63, $B$5:$B$175, 0), 2), 0)*investment!$C$3</f>
        <v>0</v>
      </c>
      <c r="F63" s="18" t="n">
        <f aca="false">demand!D61</f>
        <v>0</v>
      </c>
      <c r="G63" s="2" t="n">
        <f aca="false">solgen!D61</f>
        <v>0</v>
      </c>
      <c r="H63" s="2" t="n">
        <f aca="false">import!D61</f>
        <v>0</v>
      </c>
      <c r="I63" s="2" t="n">
        <f aca="false">-export!D61</f>
        <v>-0</v>
      </c>
      <c r="J63" s="2" t="n">
        <f aca="false">-charge!D61</f>
        <v>-0</v>
      </c>
      <c r="K63" s="2" t="n">
        <f aca="false">discharge!D61</f>
        <v>0</v>
      </c>
      <c r="L63" s="2" t="n">
        <f aca="false">soc!D61/investment!$E$3 *100</f>
        <v>87.0652866252368</v>
      </c>
    </row>
    <row r="64" customFormat="false" ht="13.8" hidden="false" customHeight="false" outlineLevel="0" collapsed="false">
      <c r="B64" s="11" t="n">
        <f aca="false">_xlfn.NUMBERVALUE(solar!B61)</f>
        <v>115</v>
      </c>
      <c r="C64" s="12" t="n">
        <f aca="false">solar!C61</f>
        <v>0</v>
      </c>
      <c r="D64" s="6" t="n">
        <v>60</v>
      </c>
      <c r="E64" s="17" t="n">
        <f aca="false">IFERROR(INDEX($B$5:$C$173, MATCH($D64, $B$5:$B$175, 0), 2), 0)*investment!$C$3</f>
        <v>0</v>
      </c>
      <c r="F64" s="18" t="n">
        <f aca="false">demand!D62</f>
        <v>0</v>
      </c>
      <c r="G64" s="2" t="n">
        <f aca="false">solgen!D62</f>
        <v>0</v>
      </c>
      <c r="H64" s="2" t="n">
        <f aca="false">import!D62</f>
        <v>0</v>
      </c>
      <c r="I64" s="2" t="n">
        <f aca="false">-export!D62</f>
        <v>-0</v>
      </c>
      <c r="J64" s="2" t="n">
        <f aca="false">-charge!D62</f>
        <v>-0</v>
      </c>
      <c r="K64" s="2" t="n">
        <f aca="false">discharge!D62</f>
        <v>0</v>
      </c>
      <c r="L64" s="2" t="n">
        <f aca="false">soc!D62/investment!$E$3 *100</f>
        <v>89.450076774108</v>
      </c>
    </row>
    <row r="65" customFormat="false" ht="13.8" hidden="false" customHeight="false" outlineLevel="0" collapsed="false">
      <c r="B65" s="11" t="n">
        <f aca="false">_xlfn.NUMBERVALUE(solar!B62)</f>
        <v>128</v>
      </c>
      <c r="C65" s="12" t="n">
        <f aca="false">solar!C62</f>
        <v>0</v>
      </c>
      <c r="D65" s="6" t="n">
        <v>61</v>
      </c>
      <c r="E65" s="17" t="n">
        <f aca="false">IFERROR(INDEX($B$5:$C$173, MATCH($D65, $B$5:$B$175, 0), 2), 0)*investment!$C$3</f>
        <v>0</v>
      </c>
      <c r="F65" s="18" t="n">
        <f aca="false">demand!D63</f>
        <v>0</v>
      </c>
      <c r="G65" s="2" t="n">
        <f aca="false">solgen!D63</f>
        <v>0</v>
      </c>
      <c r="H65" s="2" t="n">
        <f aca="false">import!D63</f>
        <v>0</v>
      </c>
      <c r="I65" s="2" t="n">
        <f aca="false">-export!D63</f>
        <v>-0</v>
      </c>
      <c r="J65" s="2" t="n">
        <f aca="false">-charge!D63</f>
        <v>-0</v>
      </c>
      <c r="K65" s="2" t="n">
        <f aca="false">discharge!D63</f>
        <v>0</v>
      </c>
      <c r="L65" s="2" t="n">
        <f aca="false">soc!D63/investment!$E$3 *100</f>
        <v>91.4669387674738</v>
      </c>
    </row>
    <row r="66" customFormat="false" ht="13.8" hidden="false" customHeight="false" outlineLevel="0" collapsed="false">
      <c r="B66" s="11" t="n">
        <f aca="false">_xlfn.NUMBERVALUE(solar!B63)</f>
        <v>129</v>
      </c>
      <c r="C66" s="12" t="n">
        <f aca="false">solar!C63</f>
        <v>0</v>
      </c>
      <c r="D66" s="6" t="n">
        <v>62</v>
      </c>
      <c r="E66" s="17" t="n">
        <f aca="false">IFERROR(INDEX($B$5:$C$173, MATCH($D66, $B$5:$B$175, 0), 2), 0)*investment!$C$3</f>
        <v>0</v>
      </c>
      <c r="F66" s="18" t="n">
        <f aca="false">demand!D64</f>
        <v>0</v>
      </c>
      <c r="G66" s="2" t="n">
        <f aca="false">solgen!D64</f>
        <v>0</v>
      </c>
      <c r="H66" s="2" t="n">
        <f aca="false">import!D64</f>
        <v>0</v>
      </c>
      <c r="I66" s="2" t="n">
        <f aca="false">-export!D64</f>
        <v>-0</v>
      </c>
      <c r="J66" s="2" t="n">
        <f aca="false">-charge!D64</f>
        <v>-0</v>
      </c>
      <c r="K66" s="2" t="n">
        <f aca="false">discharge!D64</f>
        <v>0</v>
      </c>
      <c r="L66" s="2" t="n">
        <f aca="false">soc!D64/investment!$E$3 *100</f>
        <v>93.2959793105951</v>
      </c>
    </row>
    <row r="67" customFormat="false" ht="13.8" hidden="false" customHeight="false" outlineLevel="0" collapsed="false">
      <c r="B67" s="11" t="n">
        <f aca="false">_xlfn.NUMBERVALUE(solar!B64)</f>
        <v>130</v>
      </c>
      <c r="C67" s="12" t="n">
        <f aca="false">solar!C64</f>
        <v>0</v>
      </c>
      <c r="D67" s="6" t="n">
        <v>63</v>
      </c>
      <c r="E67" s="17" t="n">
        <f aca="false">IFERROR(INDEX($B$5:$C$173, MATCH($D67, $B$5:$B$175, 0), 2), 0)*investment!$C$3</f>
        <v>0</v>
      </c>
      <c r="F67" s="18" t="n">
        <f aca="false">demand!D65</f>
        <v>0</v>
      </c>
      <c r="G67" s="2" t="n">
        <f aca="false">solgen!D65</f>
        <v>0</v>
      </c>
      <c r="H67" s="2" t="n">
        <f aca="false">import!D65</f>
        <v>0</v>
      </c>
      <c r="I67" s="2" t="n">
        <f aca="false">-export!D65</f>
        <v>-0</v>
      </c>
      <c r="J67" s="2" t="n">
        <f aca="false">-charge!D65</f>
        <v>-0</v>
      </c>
      <c r="K67" s="2" t="n">
        <f aca="false">discharge!D65</f>
        <v>0</v>
      </c>
      <c r="L67" s="2" t="n">
        <f aca="false">soc!D65/investment!$E$3 *100</f>
        <v>94.9372002816857</v>
      </c>
    </row>
    <row r="68" customFormat="false" ht="13.8" hidden="false" customHeight="false" outlineLevel="0" collapsed="false">
      <c r="B68" s="11" t="n">
        <f aca="false">_xlfn.NUMBERVALUE(solar!B65)</f>
        <v>131</v>
      </c>
      <c r="C68" s="12" t="n">
        <f aca="false">solar!C65</f>
        <v>0</v>
      </c>
      <c r="D68" s="6" t="n">
        <v>64</v>
      </c>
      <c r="E68" s="17" t="n">
        <f aca="false">IFERROR(INDEX($B$5:$C$173, MATCH($D68, $B$5:$B$175, 0), 2), 0)*investment!$C$3</f>
        <v>0</v>
      </c>
      <c r="F68" s="18" t="n">
        <f aca="false">demand!D66</f>
        <v>0</v>
      </c>
      <c r="G68" s="2" t="n">
        <f aca="false">solgen!D66</f>
        <v>0</v>
      </c>
      <c r="H68" s="2" t="n">
        <f aca="false">import!D66</f>
        <v>0</v>
      </c>
      <c r="I68" s="2" t="n">
        <f aca="false">-export!D66</f>
        <v>-0</v>
      </c>
      <c r="J68" s="2" t="n">
        <f aca="false">-charge!D66</f>
        <v>-0</v>
      </c>
      <c r="K68" s="2" t="n">
        <f aca="false">discharge!D66</f>
        <v>0</v>
      </c>
      <c r="L68" s="2" t="n">
        <f aca="false">soc!D66/investment!$E$3 *100</f>
        <v>96.3906035589401</v>
      </c>
    </row>
    <row r="69" customFormat="false" ht="13.8" hidden="false" customHeight="false" outlineLevel="0" collapsed="false">
      <c r="B69" s="11" t="n">
        <f aca="false">_xlfn.NUMBERVALUE(solar!B66)</f>
        <v>132</v>
      </c>
      <c r="C69" s="12" t="n">
        <f aca="false">solar!C66</f>
        <v>0</v>
      </c>
      <c r="D69" s="6" t="n">
        <v>65</v>
      </c>
      <c r="E69" s="17" t="n">
        <f aca="false">IFERROR(INDEX($B$5:$C$173, MATCH($D69, $B$5:$B$175, 0), 2), 0)*investment!$C$3</f>
        <v>0</v>
      </c>
      <c r="F69" s="18" t="n">
        <f aca="false">demand!D67</f>
        <v>0</v>
      </c>
      <c r="G69" s="2" t="n">
        <f aca="false">solgen!D67</f>
        <v>0</v>
      </c>
      <c r="H69" s="2" t="n">
        <f aca="false">import!D67</f>
        <v>0</v>
      </c>
      <c r="I69" s="2" t="n">
        <f aca="false">-export!D67</f>
        <v>-0</v>
      </c>
      <c r="J69" s="2" t="n">
        <f aca="false">-charge!D67</f>
        <v>-0</v>
      </c>
      <c r="K69" s="2" t="n">
        <f aca="false">discharge!D67</f>
        <v>0</v>
      </c>
      <c r="L69" s="2" t="n">
        <f aca="false">soc!D67/investment!$E$3 *100</f>
        <v>97.6561910205344</v>
      </c>
    </row>
    <row r="70" customFormat="false" ht="13.8" hidden="false" customHeight="false" outlineLevel="0" collapsed="false">
      <c r="B70" s="11" t="n">
        <f aca="false">_xlfn.NUMBERVALUE(solar!B67)</f>
        <v>133</v>
      </c>
      <c r="C70" s="12" t="n">
        <f aca="false">solar!C67</f>
        <v>0</v>
      </c>
      <c r="D70" s="6" t="n">
        <v>66</v>
      </c>
      <c r="E70" s="17" t="n">
        <f aca="false">IFERROR(INDEX($B$5:$C$173, MATCH($D70, $B$5:$B$175, 0), 2), 0)*investment!$C$3</f>
        <v>0</v>
      </c>
      <c r="F70" s="18" t="n">
        <f aca="false">demand!D68</f>
        <v>0</v>
      </c>
      <c r="G70" s="2" t="n">
        <f aca="false">solgen!D68</f>
        <v>0</v>
      </c>
      <c r="H70" s="2" t="n">
        <f aca="false">import!D68</f>
        <v>0</v>
      </c>
      <c r="I70" s="2" t="n">
        <f aca="false">-export!D68</f>
        <v>-0</v>
      </c>
      <c r="J70" s="2" t="n">
        <f aca="false">-charge!D68</f>
        <v>-0</v>
      </c>
      <c r="K70" s="2" t="n">
        <f aca="false">discharge!D68</f>
        <v>0</v>
      </c>
      <c r="L70" s="2" t="n">
        <f aca="false">soc!D68/investment!$E$3 *100</f>
        <v>98.7304845112507</v>
      </c>
    </row>
    <row r="71" customFormat="false" ht="13.8" hidden="false" customHeight="false" outlineLevel="0" collapsed="false">
      <c r="B71" s="11" t="n">
        <f aca="false">_xlfn.NUMBERVALUE(solar!B68)</f>
        <v>134</v>
      </c>
      <c r="C71" s="12" t="n">
        <f aca="false">solar!C68</f>
        <v>0</v>
      </c>
      <c r="D71" s="6" t="n">
        <v>67</v>
      </c>
      <c r="E71" s="17" t="n">
        <f aca="false">IFERROR(INDEX($B$5:$C$173, MATCH($D71, $B$5:$B$175, 0), 2), 0)*investment!$C$3</f>
        <v>0</v>
      </c>
      <c r="F71" s="18" t="n">
        <f aca="false">demand!D69</f>
        <v>0</v>
      </c>
      <c r="G71" s="2" t="n">
        <f aca="false">solgen!D69</f>
        <v>0</v>
      </c>
      <c r="H71" s="2" t="n">
        <f aca="false">import!D69</f>
        <v>0</v>
      </c>
      <c r="I71" s="2" t="n">
        <f aca="false">-export!D69</f>
        <v>-0</v>
      </c>
      <c r="J71" s="2" t="n">
        <f aca="false">-charge!D69</f>
        <v>-0</v>
      </c>
      <c r="K71" s="2" t="n">
        <f aca="false">discharge!D69</f>
        <v>0</v>
      </c>
      <c r="L71" s="2" t="n">
        <f aca="false">soc!D69/investment!$E$3 *100</f>
        <v>99.6134859440309</v>
      </c>
    </row>
    <row r="72" customFormat="false" ht="13.8" hidden="false" customHeight="false" outlineLevel="0" collapsed="false">
      <c r="B72" s="11" t="n">
        <f aca="false">_xlfn.NUMBERVALUE(solar!B69)</f>
        <v>135</v>
      </c>
      <c r="C72" s="12" t="n">
        <f aca="false">solar!C69</f>
        <v>0</v>
      </c>
      <c r="D72" s="6" t="n">
        <v>68</v>
      </c>
      <c r="E72" s="17" t="n">
        <f aca="false">IFERROR(INDEX($B$5:$C$173, MATCH($D72, $B$5:$B$175, 0), 2), 0)*investment!$C$3</f>
        <v>0</v>
      </c>
      <c r="F72" s="18" t="n">
        <f aca="false">demand!D70</f>
        <v>0</v>
      </c>
      <c r="G72" s="2" t="n">
        <f aca="false">solgen!D70</f>
        <v>0</v>
      </c>
      <c r="H72" s="2" t="n">
        <f aca="false">import!D70</f>
        <v>0</v>
      </c>
      <c r="I72" s="2" t="n">
        <f aca="false">-export!D70</f>
        <v>-0</v>
      </c>
      <c r="J72" s="2" t="n">
        <f aca="false">-charge!D70</f>
        <v>-0</v>
      </c>
      <c r="K72" s="2" t="n">
        <f aca="false">discharge!D70</f>
        <v>0</v>
      </c>
      <c r="L72" s="2" t="n">
        <f aca="false">soc!D70/investment!$E$3 *100</f>
        <v>99.9999999996348</v>
      </c>
    </row>
    <row r="73" customFormat="false" ht="13.8" hidden="false" customHeight="false" outlineLevel="0" collapsed="false">
      <c r="B73" s="11" t="n">
        <f aca="false">_xlfn.NUMBERVALUE(solar!B70)</f>
        <v>136</v>
      </c>
      <c r="C73" s="12" t="n">
        <f aca="false">solar!C70</f>
        <v>0</v>
      </c>
      <c r="D73" s="6" t="n">
        <v>69</v>
      </c>
      <c r="E73" s="17" t="n">
        <f aca="false">IFERROR(INDEX($B$5:$C$173, MATCH($D73, $B$5:$B$175, 0), 2), 0)*investment!$C$3</f>
        <v>0</v>
      </c>
      <c r="F73" s="18" t="n">
        <f aca="false">demand!D71</f>
        <v>0</v>
      </c>
      <c r="G73" s="2" t="n">
        <f aca="false">solgen!D71</f>
        <v>0</v>
      </c>
      <c r="H73" s="2" t="n">
        <f aca="false">import!D71</f>
        <v>0</v>
      </c>
      <c r="I73" s="2" t="n">
        <f aca="false">-export!D71</f>
        <v>-0</v>
      </c>
      <c r="J73" s="2" t="n">
        <f aca="false">-charge!D71</f>
        <v>-0</v>
      </c>
      <c r="K73" s="2" t="n">
        <f aca="false">discharge!D71</f>
        <v>0</v>
      </c>
      <c r="L73" s="2" t="n">
        <f aca="false">soc!D71/investment!$E$3 *100</f>
        <v>99.9989999997516</v>
      </c>
    </row>
    <row r="74" customFormat="false" ht="13.8" hidden="false" customHeight="false" outlineLevel="0" collapsed="false">
      <c r="B74" s="11" t="n">
        <f aca="false">_xlfn.NUMBERVALUE(solar!B71)</f>
        <v>137</v>
      </c>
      <c r="C74" s="12" t="n">
        <f aca="false">solar!C71</f>
        <v>0</v>
      </c>
      <c r="D74" s="6" t="n">
        <v>70</v>
      </c>
      <c r="E74" s="17" t="n">
        <f aca="false">IFERROR(INDEX($B$5:$C$173, MATCH($D74, $B$5:$B$175, 0), 2), 0)*investment!$C$3</f>
        <v>0</v>
      </c>
      <c r="F74" s="18" t="n">
        <f aca="false">demand!D72</f>
        <v>0</v>
      </c>
      <c r="G74" s="2" t="n">
        <f aca="false">solgen!D72</f>
        <v>0</v>
      </c>
      <c r="H74" s="2" t="n">
        <f aca="false">import!D72</f>
        <v>0</v>
      </c>
      <c r="I74" s="2" t="n">
        <f aca="false">-export!D72</f>
        <v>-0</v>
      </c>
      <c r="J74" s="2" t="n">
        <f aca="false">-charge!D72</f>
        <v>-0</v>
      </c>
      <c r="K74" s="2" t="n">
        <f aca="false">discharge!D72</f>
        <v>0</v>
      </c>
      <c r="L74" s="2" t="n">
        <f aca="false">soc!D72/investment!$E$3 *100</f>
        <v>99.9980000098935</v>
      </c>
    </row>
    <row r="75" customFormat="false" ht="13.8" hidden="false" customHeight="false" outlineLevel="0" collapsed="false">
      <c r="B75" s="11" t="n">
        <f aca="false">_xlfn.NUMBERVALUE(solar!B72)</f>
        <v>138</v>
      </c>
      <c r="C75" s="12" t="n">
        <f aca="false">solar!C72</f>
        <v>0</v>
      </c>
      <c r="D75" s="6" t="n">
        <v>71</v>
      </c>
      <c r="E75" s="17" t="n">
        <f aca="false">IFERROR(INDEX($B$5:$C$173, MATCH($D75, $B$5:$B$175, 0), 2), 0)*investment!$C$3</f>
        <v>0</v>
      </c>
      <c r="F75" s="18" t="n">
        <f aca="false">demand!D73</f>
        <v>0</v>
      </c>
      <c r="G75" s="2" t="n">
        <f aca="false">solgen!D73</f>
        <v>0</v>
      </c>
      <c r="H75" s="2" t="n">
        <f aca="false">import!D73</f>
        <v>0</v>
      </c>
      <c r="I75" s="2" t="n">
        <f aca="false">-export!D73</f>
        <v>-0</v>
      </c>
      <c r="J75" s="2" t="n">
        <f aca="false">-charge!D73</f>
        <v>-0</v>
      </c>
      <c r="K75" s="2" t="n">
        <f aca="false">discharge!D73</f>
        <v>0</v>
      </c>
      <c r="L75" s="2" t="n">
        <f aca="false">soc!D73/investment!$E$3 *100</f>
        <v>99.9970000301276</v>
      </c>
    </row>
    <row r="76" customFormat="false" ht="13.8" hidden="false" customHeight="false" outlineLevel="0" collapsed="false">
      <c r="B76" s="11" t="n">
        <f aca="false">_xlfn.NUMBERVALUE(solar!B73)</f>
        <v>139</v>
      </c>
      <c r="C76" s="12" t="n">
        <f aca="false">solar!C73</f>
        <v>0</v>
      </c>
      <c r="D76" s="6" t="n">
        <v>72</v>
      </c>
      <c r="E76" s="17" t="n">
        <f aca="false">IFERROR(INDEX($B$5:$C$173, MATCH($D76, $B$5:$B$175, 0), 2), 0)*investment!$C$3</f>
        <v>0</v>
      </c>
      <c r="F76" s="18" t="n">
        <f aca="false">demand!D74</f>
        <v>0</v>
      </c>
      <c r="G76" s="2" t="n">
        <f aca="false">solgen!D74</f>
        <v>0</v>
      </c>
      <c r="H76" s="2" t="n">
        <f aca="false">import!D74</f>
        <v>0</v>
      </c>
      <c r="I76" s="2" t="n">
        <f aca="false">-export!D74</f>
        <v>-0</v>
      </c>
      <c r="J76" s="2" t="n">
        <f aca="false">-charge!D74</f>
        <v>-0</v>
      </c>
      <c r="K76" s="2" t="n">
        <f aca="false">discharge!D74</f>
        <v>0</v>
      </c>
      <c r="L76" s="2" t="n">
        <f aca="false">soc!D74/investment!$E$3 *100</f>
        <v>99.9960001074765</v>
      </c>
    </row>
    <row r="77" customFormat="false" ht="13.8" hidden="false" customHeight="false" outlineLevel="0" collapsed="false">
      <c r="B77" s="11" t="n">
        <f aca="false">_xlfn.NUMBERVALUE(solar!B74)</f>
        <v>152</v>
      </c>
      <c r="C77" s="12" t="n">
        <f aca="false">solar!C74</f>
        <v>0</v>
      </c>
      <c r="D77" s="6" t="n">
        <v>73</v>
      </c>
      <c r="E77" s="17" t="n">
        <f aca="false">IFERROR(INDEX($B$5:$C$173, MATCH($D77, $B$5:$B$175, 0), 2), 0)*investment!$C$3</f>
        <v>0</v>
      </c>
      <c r="F77" s="18" t="n">
        <f aca="false">demand!D75</f>
        <v>0</v>
      </c>
      <c r="G77" s="2" t="n">
        <f aca="false">solgen!D75</f>
        <v>0</v>
      </c>
      <c r="H77" s="2" t="n">
        <f aca="false">import!D75</f>
        <v>0</v>
      </c>
      <c r="I77" s="2" t="n">
        <f aca="false">-export!D75</f>
        <v>-0</v>
      </c>
      <c r="J77" s="2" t="n">
        <f aca="false">-charge!D75</f>
        <v>-0</v>
      </c>
      <c r="K77" s="2" t="n">
        <f aca="false">discharge!D75</f>
        <v>0</v>
      </c>
      <c r="L77" s="2" t="n">
        <f aca="false">soc!D75/investment!$E$3 *100</f>
        <v>99.9950000981427</v>
      </c>
    </row>
    <row r="78" customFormat="false" ht="13.8" hidden="false" customHeight="false" outlineLevel="0" collapsed="false">
      <c r="B78" s="11" t="n">
        <f aca="false">_xlfn.NUMBERVALUE(solar!B75)</f>
        <v>153</v>
      </c>
      <c r="C78" s="12" t="n">
        <f aca="false">solar!C75</f>
        <v>0</v>
      </c>
      <c r="D78" s="6" t="n">
        <v>74</v>
      </c>
      <c r="E78" s="17" t="n">
        <f aca="false">IFERROR(INDEX($B$5:$C$173, MATCH($D78, $B$5:$B$175, 0), 2), 0)*investment!$C$3</f>
        <v>0</v>
      </c>
      <c r="F78" s="18" t="n">
        <f aca="false">demand!D76</f>
        <v>0</v>
      </c>
      <c r="G78" s="2" t="n">
        <f aca="false">solgen!D76</f>
        <v>0</v>
      </c>
      <c r="H78" s="2" t="n">
        <f aca="false">import!D76</f>
        <v>0</v>
      </c>
      <c r="I78" s="2" t="n">
        <f aca="false">-export!D76</f>
        <v>-0</v>
      </c>
      <c r="J78" s="2" t="n">
        <f aca="false">-charge!D76</f>
        <v>-0</v>
      </c>
      <c r="K78" s="2" t="n">
        <f aca="false">discharge!D76</f>
        <v>0</v>
      </c>
      <c r="L78" s="2" t="n">
        <f aca="false">soc!D76/investment!$E$3 *100</f>
        <v>99.9940001481904</v>
      </c>
    </row>
    <row r="79" customFormat="false" ht="13.8" hidden="false" customHeight="false" outlineLevel="0" collapsed="false">
      <c r="B79" s="11" t="n">
        <f aca="false">_xlfn.NUMBERVALUE(solar!B76)</f>
        <v>154</v>
      </c>
      <c r="C79" s="12" t="n">
        <f aca="false">solar!C76</f>
        <v>0</v>
      </c>
      <c r="D79" s="6" t="n">
        <v>75</v>
      </c>
      <c r="E79" s="17" t="n">
        <f aca="false">IFERROR(INDEX($B$5:$C$173, MATCH($D79, $B$5:$B$175, 0), 2), 0)*investment!$C$3</f>
        <v>0</v>
      </c>
      <c r="F79" s="18" t="n">
        <f aca="false">demand!D77</f>
        <v>0</v>
      </c>
      <c r="G79" s="2" t="n">
        <f aca="false">solgen!D77</f>
        <v>0</v>
      </c>
      <c r="H79" s="2" t="n">
        <f aca="false">import!D77</f>
        <v>0</v>
      </c>
      <c r="I79" s="2" t="n">
        <f aca="false">-export!D77</f>
        <v>-0</v>
      </c>
      <c r="J79" s="2" t="n">
        <f aca="false">-charge!D77</f>
        <v>-0</v>
      </c>
      <c r="K79" s="2" t="n">
        <f aca="false">discharge!D77</f>
        <v>0</v>
      </c>
      <c r="L79" s="2" t="n">
        <f aca="false">soc!D77/investment!$E$3 *100</f>
        <v>99.9930002083316</v>
      </c>
    </row>
    <row r="80" customFormat="false" ht="13.8" hidden="false" customHeight="false" outlineLevel="0" collapsed="false">
      <c r="B80" s="11" t="n">
        <f aca="false">_xlfn.NUMBERVALUE(solar!B77)</f>
        <v>155</v>
      </c>
      <c r="C80" s="12" t="n">
        <f aca="false">solar!C77</f>
        <v>0</v>
      </c>
      <c r="D80" s="6" t="n">
        <v>76</v>
      </c>
      <c r="E80" s="17" t="n">
        <f aca="false">IFERROR(INDEX($B$5:$C$173, MATCH($D80, $B$5:$B$175, 0), 2), 0)*investment!$C$3</f>
        <v>0</v>
      </c>
      <c r="F80" s="18" t="n">
        <f aca="false">demand!D78</f>
        <v>0</v>
      </c>
      <c r="G80" s="2" t="n">
        <f aca="false">solgen!D78</f>
        <v>0</v>
      </c>
      <c r="H80" s="2" t="n">
        <f aca="false">import!D78</f>
        <v>0</v>
      </c>
      <c r="I80" s="2" t="n">
        <f aca="false">-export!D78</f>
        <v>-0</v>
      </c>
      <c r="J80" s="2" t="n">
        <f aca="false">-charge!D78</f>
        <v>-0</v>
      </c>
      <c r="K80" s="2" t="n">
        <f aca="false">discharge!D78</f>
        <v>0</v>
      </c>
      <c r="L80" s="2" t="n">
        <f aca="false">soc!D78/investment!$E$3 *100</f>
        <v>99.9920002784719</v>
      </c>
    </row>
    <row r="81" customFormat="false" ht="13.8" hidden="false" customHeight="false" outlineLevel="0" collapsed="false">
      <c r="B81" s="11" t="n">
        <f aca="false">_xlfn.NUMBERVALUE(solar!B78)</f>
        <v>156</v>
      </c>
      <c r="C81" s="12" t="n">
        <f aca="false">solar!C78</f>
        <v>0</v>
      </c>
      <c r="D81" s="6" t="n">
        <v>77</v>
      </c>
      <c r="E81" s="17" t="n">
        <f aca="false">IFERROR(INDEX($B$5:$C$173, MATCH($D81, $B$5:$B$175, 0), 2), 0)*investment!$C$3</f>
        <v>0</v>
      </c>
      <c r="F81" s="18" t="n">
        <f aca="false">demand!D79</f>
        <v>0</v>
      </c>
      <c r="G81" s="2" t="n">
        <f aca="false">solgen!D79</f>
        <v>0</v>
      </c>
      <c r="H81" s="2" t="n">
        <f aca="false">import!D79</f>
        <v>0</v>
      </c>
      <c r="I81" s="2" t="n">
        <f aca="false">-export!D79</f>
        <v>-0</v>
      </c>
      <c r="J81" s="2" t="n">
        <f aca="false">-charge!D79</f>
        <v>-0</v>
      </c>
      <c r="K81" s="2" t="n">
        <f aca="false">discharge!D79</f>
        <v>0</v>
      </c>
      <c r="L81" s="2" t="n">
        <f aca="false">soc!D79/investment!$E$3 *100</f>
        <v>99.9910003586112</v>
      </c>
    </row>
    <row r="82" customFormat="false" ht="13.8" hidden="false" customHeight="false" outlineLevel="0" collapsed="false">
      <c r="B82" s="11" t="n">
        <f aca="false">_xlfn.NUMBERVALUE(solar!B79)</f>
        <v>157</v>
      </c>
      <c r="C82" s="12" t="n">
        <f aca="false">solar!C79</f>
        <v>0</v>
      </c>
      <c r="D82" s="6" t="n">
        <v>78</v>
      </c>
      <c r="E82" s="17" t="n">
        <f aca="false">IFERROR(INDEX($B$5:$C$173, MATCH($D82, $B$5:$B$175, 0), 2), 0)*investment!$C$3</f>
        <v>0</v>
      </c>
      <c r="F82" s="18" t="n">
        <f aca="false">demand!D80</f>
        <v>0</v>
      </c>
      <c r="G82" s="2" t="n">
        <f aca="false">solgen!D80</f>
        <v>0</v>
      </c>
      <c r="H82" s="2" t="n">
        <f aca="false">import!D80</f>
        <v>0</v>
      </c>
      <c r="I82" s="2" t="n">
        <f aca="false">-export!D80</f>
        <v>-0</v>
      </c>
      <c r="J82" s="2" t="n">
        <f aca="false">-charge!D80</f>
        <v>-0</v>
      </c>
      <c r="K82" s="2" t="n">
        <f aca="false">discharge!D80</f>
        <v>0</v>
      </c>
      <c r="L82" s="2" t="n">
        <f aca="false">soc!D80/investment!$E$3 *100</f>
        <v>99.9900004487493</v>
      </c>
    </row>
    <row r="83" customFormat="false" ht="13.8" hidden="false" customHeight="false" outlineLevel="0" collapsed="false">
      <c r="B83" s="11" t="n">
        <f aca="false">_xlfn.NUMBERVALUE(solar!B80)</f>
        <v>158</v>
      </c>
      <c r="C83" s="12" t="n">
        <f aca="false">solar!C80</f>
        <v>0</v>
      </c>
      <c r="D83" s="6" t="n">
        <v>79</v>
      </c>
      <c r="E83" s="17" t="n">
        <f aca="false">IFERROR(INDEX($B$5:$C$173, MATCH($D83, $B$5:$B$175, 0), 2), 0)*investment!$C$3</f>
        <v>0</v>
      </c>
      <c r="F83" s="18" t="n">
        <f aca="false">demand!D81</f>
        <v>0</v>
      </c>
      <c r="G83" s="2" t="n">
        <f aca="false">solgen!D81</f>
        <v>0</v>
      </c>
      <c r="H83" s="2" t="n">
        <f aca="false">import!D81</f>
        <v>0</v>
      </c>
      <c r="I83" s="2" t="n">
        <f aca="false">-export!D81</f>
        <v>-0</v>
      </c>
      <c r="J83" s="2" t="n">
        <f aca="false">-charge!D81</f>
        <v>-0</v>
      </c>
      <c r="K83" s="2" t="n">
        <f aca="false">discharge!D81</f>
        <v>0</v>
      </c>
      <c r="L83" s="2" t="n">
        <f aca="false">soc!D81/investment!$E$3 *100</f>
        <v>99.9890005488861</v>
      </c>
    </row>
    <row r="84" customFormat="false" ht="13.8" hidden="false" customHeight="false" outlineLevel="0" collapsed="false">
      <c r="B84" s="11" t="n">
        <f aca="false">_xlfn.NUMBERVALUE(solar!B81)</f>
        <v>159</v>
      </c>
      <c r="C84" s="12" t="n">
        <f aca="false">solar!C81</f>
        <v>0</v>
      </c>
      <c r="D84" s="6" t="n">
        <v>80</v>
      </c>
      <c r="E84" s="17" t="n">
        <f aca="false">IFERROR(INDEX($B$5:$C$173, MATCH($D84, $B$5:$B$175, 0), 2), 0)*investment!$C$3</f>
        <v>0</v>
      </c>
      <c r="F84" s="18" t="n">
        <f aca="false">demand!D82</f>
        <v>0</v>
      </c>
      <c r="G84" s="2" t="n">
        <f aca="false">solgen!D82</f>
        <v>0</v>
      </c>
      <c r="H84" s="2" t="n">
        <f aca="false">import!D82</f>
        <v>0</v>
      </c>
      <c r="I84" s="2" t="n">
        <f aca="false">-export!D82</f>
        <v>-0</v>
      </c>
      <c r="J84" s="2" t="n">
        <f aca="false">-charge!D82</f>
        <v>-0</v>
      </c>
      <c r="K84" s="2" t="n">
        <f aca="false">discharge!D82</f>
        <v>0</v>
      </c>
      <c r="L84" s="2" t="n">
        <f aca="false">soc!D82/investment!$E$3 *100</f>
        <v>99.9880006590216</v>
      </c>
    </row>
    <row r="85" customFormat="false" ht="13.8" hidden="false" customHeight="false" outlineLevel="0" collapsed="false">
      <c r="B85" s="11" t="n">
        <f aca="false">_xlfn.NUMBERVALUE(solar!B82)</f>
        <v>160</v>
      </c>
      <c r="C85" s="12" t="n">
        <f aca="false">solar!C82</f>
        <v>0</v>
      </c>
      <c r="D85" s="6" t="n">
        <v>81</v>
      </c>
      <c r="E85" s="17" t="n">
        <f aca="false">IFERROR(INDEX($B$5:$C$173, MATCH($D85, $B$5:$B$175, 0), 2), 0)*investment!$C$3</f>
        <v>0</v>
      </c>
      <c r="F85" s="18" t="n">
        <f aca="false">demand!D83</f>
        <v>0</v>
      </c>
      <c r="G85" s="2" t="n">
        <f aca="false">solgen!D83</f>
        <v>0</v>
      </c>
      <c r="H85" s="2" t="n">
        <f aca="false">import!D83</f>
        <v>0</v>
      </c>
      <c r="I85" s="2" t="n">
        <f aca="false">-export!D83</f>
        <v>-0</v>
      </c>
      <c r="J85" s="2" t="n">
        <f aca="false">-charge!D83</f>
        <v>-0</v>
      </c>
      <c r="K85" s="2" t="n">
        <f aca="false">discharge!D83</f>
        <v>0</v>
      </c>
      <c r="L85" s="2" t="n">
        <f aca="false">soc!D83/investment!$E$3 *100</f>
        <v>99.9870007791556</v>
      </c>
    </row>
    <row r="86" customFormat="false" ht="13.8" hidden="false" customHeight="false" outlineLevel="0" collapsed="false">
      <c r="B86" s="11" t="n">
        <f aca="false">_xlfn.NUMBERVALUE(solar!B83)</f>
        <v>161</v>
      </c>
      <c r="C86" s="12" t="n">
        <f aca="false">solar!C83</f>
        <v>0</v>
      </c>
      <c r="D86" s="6" t="n">
        <v>82</v>
      </c>
      <c r="E86" s="17" t="n">
        <f aca="false">IFERROR(INDEX($B$5:$C$173, MATCH($D86, $B$5:$B$175, 0), 2), 0)*investment!$C$3</f>
        <v>0</v>
      </c>
      <c r="F86" s="18" t="n">
        <f aca="false">demand!D84</f>
        <v>0</v>
      </c>
      <c r="G86" s="2" t="n">
        <f aca="false">solgen!D84</f>
        <v>0</v>
      </c>
      <c r="H86" s="2" t="n">
        <f aca="false">import!D84</f>
        <v>0</v>
      </c>
      <c r="I86" s="2" t="n">
        <f aca="false">-export!D84</f>
        <v>-0</v>
      </c>
      <c r="J86" s="2" t="n">
        <f aca="false">-charge!D84</f>
        <v>-0</v>
      </c>
      <c r="K86" s="2" t="n">
        <f aca="false">discharge!D84</f>
        <v>0</v>
      </c>
      <c r="L86" s="2" t="n">
        <f aca="false">soc!D84/investment!$E$3 *100</f>
        <v>99.9860009092881</v>
      </c>
    </row>
    <row r="87" customFormat="false" ht="13.8" hidden="false" customHeight="false" outlineLevel="0" collapsed="false">
      <c r="B87" s="11" t="n">
        <f aca="false">_xlfn.NUMBERVALUE(solar!B84)</f>
        <v>162</v>
      </c>
      <c r="C87" s="12" t="n">
        <f aca="false">solar!C84</f>
        <v>0</v>
      </c>
      <c r="D87" s="6" t="n">
        <v>83</v>
      </c>
      <c r="E87" s="17" t="n">
        <f aca="false">IFERROR(INDEX($B$5:$C$173, MATCH($D87, $B$5:$B$175, 0), 2), 0)*investment!$C$3</f>
        <v>0</v>
      </c>
      <c r="F87" s="18" t="n">
        <f aca="false">demand!D85</f>
        <v>0</v>
      </c>
      <c r="G87" s="2" t="n">
        <f aca="false">solgen!D85</f>
        <v>0</v>
      </c>
      <c r="H87" s="2" t="n">
        <f aca="false">import!D85</f>
        <v>0</v>
      </c>
      <c r="I87" s="2" t="n">
        <f aca="false">-export!D85</f>
        <v>-0</v>
      </c>
      <c r="J87" s="2" t="n">
        <f aca="false">-charge!D85</f>
        <v>-0</v>
      </c>
      <c r="K87" s="2" t="n">
        <f aca="false">discharge!D85</f>
        <v>0</v>
      </c>
      <c r="L87" s="2" t="n">
        <f aca="false">soc!D85/investment!$E$3 *100</f>
        <v>99.985001049419</v>
      </c>
    </row>
    <row r="88" customFormat="false" ht="13.8" hidden="false" customHeight="false" outlineLevel="0" collapsed="false">
      <c r="B88" s="11" t="n">
        <f aca="false">_xlfn.NUMBERVALUE(solar!B85)</f>
        <v>163</v>
      </c>
      <c r="C88" s="12" t="n">
        <f aca="false">solar!C85</f>
        <v>0</v>
      </c>
      <c r="D88" s="6" t="n">
        <v>84</v>
      </c>
      <c r="E88" s="17" t="n">
        <f aca="false">IFERROR(INDEX($B$5:$C$173, MATCH($D88, $B$5:$B$175, 0), 2), 0)*investment!$C$3</f>
        <v>0</v>
      </c>
      <c r="F88" s="18" t="n">
        <f aca="false">demand!D86</f>
        <v>0</v>
      </c>
      <c r="G88" s="2" t="n">
        <f aca="false">solgen!D86</f>
        <v>0</v>
      </c>
      <c r="H88" s="2" t="n">
        <f aca="false">import!D86</f>
        <v>0</v>
      </c>
      <c r="I88" s="2" t="n">
        <f aca="false">-export!D86</f>
        <v>-0</v>
      </c>
      <c r="J88" s="2" t="n">
        <f aca="false">-charge!D86</f>
        <v>-0</v>
      </c>
      <c r="K88" s="2" t="n">
        <f aca="false">discharge!D86</f>
        <v>0</v>
      </c>
      <c r="L88" s="2" t="n">
        <f aca="false">soc!D86/investment!$E$3 *100</f>
        <v>99.984001199548</v>
      </c>
    </row>
    <row r="89" customFormat="false" ht="13.8" hidden="false" customHeight="false" outlineLevel="0" collapsed="false">
      <c r="B89" s="11" t="n">
        <f aca="false">_xlfn.NUMBERVALUE(solar!B86)</f>
        <v>0</v>
      </c>
      <c r="C89" s="12" t="n">
        <f aca="false">solar!C86</f>
        <v>0</v>
      </c>
      <c r="D89" s="6" t="n">
        <v>85</v>
      </c>
      <c r="E89" s="17" t="n">
        <f aca="false">IFERROR(INDEX($B$5:$C$173, MATCH($D89, $B$5:$B$175, 0), 2), 0)*investment!$C$3</f>
        <v>0</v>
      </c>
      <c r="F89" s="18" t="n">
        <f aca="false">demand!D87</f>
        <v>0</v>
      </c>
      <c r="G89" s="2" t="n">
        <f aca="false">solgen!D87</f>
        <v>0</v>
      </c>
      <c r="H89" s="2" t="n">
        <f aca="false">import!D87</f>
        <v>0</v>
      </c>
      <c r="I89" s="2" t="n">
        <f aca="false">-export!D87</f>
        <v>-0</v>
      </c>
      <c r="J89" s="2" t="n">
        <f aca="false">-charge!D87</f>
        <v>-0</v>
      </c>
      <c r="K89" s="2" t="n">
        <f aca="false">discharge!D87</f>
        <v>0</v>
      </c>
      <c r="L89" s="2" t="n">
        <f aca="false">soc!D87/investment!$E$3 *100</f>
        <v>99.9830013596753</v>
      </c>
    </row>
    <row r="90" customFormat="false" ht="13.8" hidden="false" customHeight="false" outlineLevel="0" collapsed="false">
      <c r="B90" s="11" t="n">
        <f aca="false">_xlfn.NUMBERVALUE(solar!B87)</f>
        <v>0</v>
      </c>
      <c r="C90" s="12" t="n">
        <f aca="false">solar!C87</f>
        <v>0</v>
      </c>
      <c r="D90" s="6" t="n">
        <v>86</v>
      </c>
      <c r="E90" s="17" t="n">
        <f aca="false">IFERROR(INDEX($B$5:$C$173, MATCH($D90, $B$5:$B$175, 0), 2), 0)*investment!$C$3</f>
        <v>0</v>
      </c>
      <c r="F90" s="18" t="n">
        <f aca="false">demand!D88</f>
        <v>0</v>
      </c>
      <c r="G90" s="2" t="n">
        <f aca="false">solgen!D88</f>
        <v>0</v>
      </c>
      <c r="H90" s="2" t="n">
        <f aca="false">import!D88</f>
        <v>0</v>
      </c>
      <c r="I90" s="2" t="n">
        <f aca="false">-export!D88</f>
        <v>-0</v>
      </c>
      <c r="J90" s="2" t="n">
        <f aca="false">-charge!D88</f>
        <v>-0</v>
      </c>
      <c r="K90" s="2" t="n">
        <f aca="false">discharge!D88</f>
        <v>0</v>
      </c>
      <c r="L90" s="2" t="n">
        <f aca="false">soc!D88/investment!$E$3 *100</f>
        <v>99.9820015298005</v>
      </c>
    </row>
    <row r="91" customFormat="false" ht="13.8" hidden="false" customHeight="false" outlineLevel="0" collapsed="false">
      <c r="B91" s="11" t="n">
        <f aca="false">_xlfn.NUMBERVALUE(solar!B88)</f>
        <v>0</v>
      </c>
      <c r="C91" s="12" t="n">
        <f aca="false">solar!C88</f>
        <v>0</v>
      </c>
      <c r="D91" s="6" t="n">
        <v>87</v>
      </c>
      <c r="E91" s="17" t="n">
        <f aca="false">IFERROR(INDEX($B$5:$C$173, MATCH($D91, $B$5:$B$175, 0), 2), 0)*investment!$C$3</f>
        <v>0</v>
      </c>
      <c r="F91" s="18" t="n">
        <f aca="false">demand!D89</f>
        <v>0</v>
      </c>
      <c r="G91" s="2" t="n">
        <f aca="false">solgen!D89</f>
        <v>0</v>
      </c>
      <c r="H91" s="2" t="n">
        <f aca="false">import!D89</f>
        <v>0</v>
      </c>
      <c r="I91" s="2" t="n">
        <f aca="false">-export!D89</f>
        <v>-0</v>
      </c>
      <c r="J91" s="2" t="n">
        <f aca="false">-charge!D89</f>
        <v>-0</v>
      </c>
      <c r="K91" s="2" t="n">
        <f aca="false">discharge!D89</f>
        <v>0</v>
      </c>
      <c r="L91" s="2" t="n">
        <f aca="false">soc!D89/investment!$E$3 *100</f>
        <v>99.9810017099238</v>
      </c>
    </row>
    <row r="92" customFormat="false" ht="13.8" hidden="false" customHeight="false" outlineLevel="0" collapsed="false">
      <c r="B92" s="11" t="n">
        <f aca="false">_xlfn.NUMBERVALUE(solar!B89)</f>
        <v>0</v>
      </c>
      <c r="C92" s="12" t="n">
        <f aca="false">solar!C89</f>
        <v>0</v>
      </c>
      <c r="D92" s="6" t="n">
        <v>88</v>
      </c>
      <c r="E92" s="17" t="n">
        <f aca="false">IFERROR(INDEX($B$5:$C$173, MATCH($D92, $B$5:$B$175, 0), 2), 0)*investment!$C$3</f>
        <v>0</v>
      </c>
      <c r="F92" s="18" t="n">
        <f aca="false">demand!D90</f>
        <v>0</v>
      </c>
      <c r="G92" s="2" t="n">
        <f aca="false">solgen!D90</f>
        <v>0</v>
      </c>
      <c r="H92" s="2" t="n">
        <f aca="false">import!D90</f>
        <v>0</v>
      </c>
      <c r="I92" s="2" t="n">
        <f aca="false">-export!D90</f>
        <v>-0</v>
      </c>
      <c r="J92" s="2" t="n">
        <f aca="false">-charge!D90</f>
        <v>-0</v>
      </c>
      <c r="K92" s="2" t="n">
        <f aca="false">discharge!D90</f>
        <v>0</v>
      </c>
      <c r="L92" s="2" t="n">
        <f aca="false">soc!D90/investment!$E$3 *100</f>
        <v>99.9800019000449</v>
      </c>
    </row>
    <row r="93" customFormat="false" ht="13.8" hidden="false" customHeight="false" outlineLevel="0" collapsed="false">
      <c r="B93" s="11" t="n">
        <f aca="false">_xlfn.NUMBERVALUE(solar!B90)</f>
        <v>0</v>
      </c>
      <c r="C93" s="12" t="n">
        <f aca="false">solar!C90</f>
        <v>0</v>
      </c>
      <c r="D93" s="6" t="n">
        <v>89</v>
      </c>
      <c r="E93" s="17" t="n">
        <f aca="false">IFERROR(INDEX($B$5:$C$173, MATCH($D93, $B$5:$B$175, 0), 2), 0)*investment!$C$3</f>
        <v>0</v>
      </c>
      <c r="F93" s="18" t="n">
        <f aca="false">demand!D91</f>
        <v>0</v>
      </c>
      <c r="G93" s="2" t="n">
        <f aca="false">solgen!D91</f>
        <v>0</v>
      </c>
      <c r="H93" s="2" t="n">
        <f aca="false">import!D91</f>
        <v>0</v>
      </c>
      <c r="I93" s="2" t="n">
        <f aca="false">-export!D91</f>
        <v>-0</v>
      </c>
      <c r="J93" s="2" t="n">
        <f aca="false">-charge!D91</f>
        <v>-0</v>
      </c>
      <c r="K93" s="2" t="n">
        <f aca="false">discharge!D91</f>
        <v>0</v>
      </c>
      <c r="L93" s="2" t="n">
        <f aca="false">soc!D91/investment!$E$3 *100</f>
        <v>99.9790021001637</v>
      </c>
    </row>
    <row r="94" customFormat="false" ht="13.8" hidden="false" customHeight="false" outlineLevel="0" collapsed="false">
      <c r="B94" s="11" t="n">
        <f aca="false">_xlfn.NUMBERVALUE(solar!B91)</f>
        <v>0</v>
      </c>
      <c r="C94" s="12" t="n">
        <f aca="false">solar!C91</f>
        <v>0</v>
      </c>
      <c r="D94" s="6" t="n">
        <v>90</v>
      </c>
      <c r="E94" s="17" t="n">
        <f aca="false">IFERROR(INDEX($B$5:$C$173, MATCH($D94, $B$5:$B$175, 0), 2), 0)*investment!$C$3</f>
        <v>0</v>
      </c>
      <c r="F94" s="18" t="n">
        <f aca="false">demand!D92</f>
        <v>0</v>
      </c>
      <c r="G94" s="2" t="n">
        <f aca="false">solgen!D92</f>
        <v>0</v>
      </c>
      <c r="H94" s="2" t="n">
        <f aca="false">import!D92</f>
        <v>0</v>
      </c>
      <c r="I94" s="2" t="n">
        <f aca="false">-export!D92</f>
        <v>-0</v>
      </c>
      <c r="J94" s="2" t="n">
        <f aca="false">-charge!D92</f>
        <v>-0</v>
      </c>
      <c r="K94" s="2" t="n">
        <f aca="false">discharge!D92</f>
        <v>0</v>
      </c>
      <c r="L94" s="2" t="n">
        <f aca="false">soc!D92/investment!$E$3 *100</f>
        <v>99.9780023102803</v>
      </c>
    </row>
    <row r="95" customFormat="false" ht="13.8" hidden="false" customHeight="false" outlineLevel="0" collapsed="false">
      <c r="B95" s="11" t="n">
        <f aca="false">_xlfn.NUMBERVALUE(solar!B92)</f>
        <v>0</v>
      </c>
      <c r="C95" s="12" t="n">
        <f aca="false">solar!C92</f>
        <v>0</v>
      </c>
      <c r="D95" s="6" t="n">
        <v>91</v>
      </c>
      <c r="E95" s="17" t="n">
        <f aca="false">IFERROR(INDEX($B$5:$C$173, MATCH($D95, $B$5:$B$175, 0), 2), 0)*investment!$C$3</f>
        <v>0</v>
      </c>
      <c r="F95" s="18" t="n">
        <f aca="false">demand!D93</f>
        <v>0</v>
      </c>
      <c r="G95" s="2" t="n">
        <f aca="false">solgen!D93</f>
        <v>0</v>
      </c>
      <c r="H95" s="2" t="n">
        <f aca="false">import!D93</f>
        <v>0</v>
      </c>
      <c r="I95" s="2" t="n">
        <f aca="false">-export!D93</f>
        <v>-0</v>
      </c>
      <c r="J95" s="2" t="n">
        <f aca="false">-charge!D93</f>
        <v>-0</v>
      </c>
      <c r="K95" s="2" t="n">
        <f aca="false">discharge!D93</f>
        <v>0</v>
      </c>
      <c r="L95" s="2" t="n">
        <f aca="false">soc!D93/investment!$E$3 *100</f>
        <v>99.9770025303907</v>
      </c>
    </row>
    <row r="96" customFormat="false" ht="13.8" hidden="false" customHeight="false" outlineLevel="0" collapsed="false">
      <c r="B96" s="11" t="n">
        <f aca="false">_xlfn.NUMBERVALUE(solar!B93)</f>
        <v>0</v>
      </c>
      <c r="C96" s="12" t="n">
        <f aca="false">solar!C93</f>
        <v>0</v>
      </c>
      <c r="D96" s="6" t="n">
        <v>92</v>
      </c>
      <c r="E96" s="17" t="n">
        <f aca="false">IFERROR(INDEX($B$5:$C$173, MATCH($D96, $B$5:$B$175, 0), 2), 0)*investment!$C$3</f>
        <v>0</v>
      </c>
      <c r="F96" s="18" t="n">
        <f aca="false">demand!D94</f>
        <v>0</v>
      </c>
      <c r="G96" s="2" t="n">
        <f aca="false">solgen!D94</f>
        <v>0</v>
      </c>
      <c r="H96" s="2" t="n">
        <f aca="false">import!D94</f>
        <v>0</v>
      </c>
      <c r="I96" s="2" t="n">
        <f aca="false">-export!D94</f>
        <v>-0</v>
      </c>
      <c r="J96" s="2" t="n">
        <f aca="false">-charge!D94</f>
        <v>-0</v>
      </c>
      <c r="K96" s="2" t="n">
        <f aca="false">discharge!D94</f>
        <v>0</v>
      </c>
      <c r="L96" s="2" t="n">
        <f aca="false">soc!D94/investment!$E$3 *100</f>
        <v>99.97600275854</v>
      </c>
    </row>
    <row r="97" customFormat="false" ht="13.8" hidden="false" customHeight="false" outlineLevel="0" collapsed="false">
      <c r="B97" s="11" t="n">
        <f aca="false">_xlfn.NUMBERVALUE(solar!B94)</f>
        <v>0</v>
      </c>
      <c r="C97" s="12" t="n">
        <f aca="false">solar!C94</f>
        <v>0</v>
      </c>
      <c r="D97" s="6" t="n">
        <v>93</v>
      </c>
      <c r="E97" s="17" t="n">
        <f aca="false">IFERROR(INDEX($B$5:$C$173, MATCH($D97, $B$5:$B$175, 0), 2), 0)*investment!$C$3</f>
        <v>0</v>
      </c>
      <c r="F97" s="18" t="n">
        <f aca="false">demand!D95</f>
        <v>0</v>
      </c>
      <c r="G97" s="2" t="n">
        <f aca="false">solgen!D95</f>
        <v>0</v>
      </c>
      <c r="H97" s="2" t="n">
        <f aca="false">import!D95</f>
        <v>0</v>
      </c>
      <c r="I97" s="2" t="n">
        <f aca="false">-export!D95</f>
        <v>-0</v>
      </c>
      <c r="J97" s="2" t="n">
        <f aca="false">-charge!D95</f>
        <v>-0</v>
      </c>
      <c r="K97" s="2" t="n">
        <f aca="false">discharge!D95</f>
        <v>0</v>
      </c>
      <c r="L97" s="2" t="n">
        <f aca="false">soc!D95/investment!$E$3 *100</f>
        <v>99.1229709357557</v>
      </c>
    </row>
    <row r="98" customFormat="false" ht="13.8" hidden="false" customHeight="false" outlineLevel="0" collapsed="false">
      <c r="B98" s="11" t="n">
        <f aca="false">_xlfn.NUMBERVALUE(solar!B95)</f>
        <v>0</v>
      </c>
      <c r="C98" s="12" t="n">
        <f aca="false">solar!C95</f>
        <v>0</v>
      </c>
      <c r="D98" s="6" t="n">
        <v>94</v>
      </c>
      <c r="E98" s="17" t="n">
        <f aca="false">IFERROR(INDEX($B$5:$C$173, MATCH($D98, $B$5:$B$175, 0), 2), 0)*investment!$C$3</f>
        <v>0</v>
      </c>
      <c r="F98" s="18" t="n">
        <f aca="false">demand!D96</f>
        <v>0</v>
      </c>
      <c r="G98" s="2" t="n">
        <f aca="false">solgen!D96</f>
        <v>0</v>
      </c>
      <c r="H98" s="2" t="n">
        <f aca="false">import!D96</f>
        <v>0</v>
      </c>
      <c r="I98" s="2" t="n">
        <f aca="false">-export!D96</f>
        <v>-0</v>
      </c>
      <c r="J98" s="2" t="n">
        <f aca="false">-charge!D96</f>
        <v>-0</v>
      </c>
      <c r="K98" s="2" t="n">
        <f aca="false">discharge!D96</f>
        <v>0</v>
      </c>
      <c r="L98" s="2" t="n">
        <f aca="false">soc!D96/investment!$E$3 *100</f>
        <v>95.9582817447058</v>
      </c>
    </row>
    <row r="99" customFormat="false" ht="13.8" hidden="false" customHeight="false" outlineLevel="0" collapsed="false">
      <c r="B99" s="11" t="n">
        <f aca="false">_xlfn.NUMBERVALUE(solar!B96)</f>
        <v>0</v>
      </c>
      <c r="C99" s="12" t="n">
        <f aca="false">solar!C96</f>
        <v>0</v>
      </c>
      <c r="D99" s="6" t="n">
        <v>95</v>
      </c>
      <c r="E99" s="17" t="n">
        <f aca="false">IFERROR(INDEX($B$5:$C$173, MATCH($D99, $B$5:$B$175, 0), 2), 0)*investment!$C$3</f>
        <v>0</v>
      </c>
      <c r="F99" s="18" t="n">
        <f aca="false">demand!D97</f>
        <v>0</v>
      </c>
      <c r="G99" s="2" t="n">
        <f aca="false">solgen!D97</f>
        <v>0</v>
      </c>
      <c r="H99" s="2" t="n">
        <f aca="false">import!D97</f>
        <v>0</v>
      </c>
      <c r="I99" s="2" t="n">
        <f aca="false">-export!D97</f>
        <v>-0</v>
      </c>
      <c r="J99" s="2" t="n">
        <f aca="false">-charge!D97</f>
        <v>-0</v>
      </c>
      <c r="K99" s="2" t="n">
        <f aca="false">discharge!D97</f>
        <v>0</v>
      </c>
      <c r="L99" s="2" t="n">
        <f aca="false">soc!D97/investment!$E$3 *100</f>
        <v>93.0169399509584</v>
      </c>
    </row>
    <row r="100" customFormat="false" ht="13.8" hidden="false" customHeight="false" outlineLevel="0" collapsed="false">
      <c r="B100" s="11" t="n">
        <f aca="false">_xlfn.NUMBERVALUE(solar!B97)</f>
        <v>0</v>
      </c>
      <c r="C100" s="12" t="n">
        <f aca="false">solar!C97</f>
        <v>0</v>
      </c>
      <c r="D100" s="6" t="n">
        <v>96</v>
      </c>
      <c r="E100" s="17" t="n">
        <f aca="false">IFERROR(INDEX($B$5:$C$173, MATCH($D100, $B$5:$B$175, 0), 2), 0)*investment!$C$3</f>
        <v>0</v>
      </c>
      <c r="F100" s="18" t="n">
        <f aca="false">demand!D98</f>
        <v>0</v>
      </c>
      <c r="G100" s="2" t="n">
        <f aca="false">solgen!D98</f>
        <v>0</v>
      </c>
      <c r="H100" s="2" t="n">
        <f aca="false">import!D98</f>
        <v>0</v>
      </c>
      <c r="I100" s="2" t="n">
        <f aca="false">-export!D98</f>
        <v>-0</v>
      </c>
      <c r="J100" s="2" t="n">
        <f aca="false">-charge!D98</f>
        <v>-0</v>
      </c>
      <c r="K100" s="2" t="n">
        <f aca="false">discharge!D98</f>
        <v>0</v>
      </c>
      <c r="L100" s="2" t="n">
        <f aca="false">soc!D98/investment!$E$3 *100</f>
        <v>90.0598028330229</v>
      </c>
    </row>
    <row r="101" customFormat="false" ht="13.8" hidden="false" customHeight="false" outlineLevel="0" collapsed="false">
      <c r="B101" s="11" t="n">
        <f aca="false">_xlfn.NUMBERVALUE(solar!B98)</f>
        <v>0</v>
      </c>
      <c r="C101" s="12" t="n">
        <f aca="false">solar!C98</f>
        <v>0</v>
      </c>
      <c r="D101" s="6" t="n">
        <v>97</v>
      </c>
      <c r="E101" s="17" t="n">
        <f aca="false">IFERROR(INDEX($B$5:$C$173, MATCH($D101, $B$5:$B$175, 0), 2), 0)*investment!$C$3</f>
        <v>0</v>
      </c>
      <c r="F101" s="18" t="n">
        <f aca="false">demand!D99</f>
        <v>0</v>
      </c>
      <c r="G101" s="2" t="n">
        <f aca="false">solgen!D99</f>
        <v>0</v>
      </c>
      <c r="H101" s="2" t="n">
        <f aca="false">import!D99</f>
        <v>0</v>
      </c>
      <c r="I101" s="2" t="n">
        <f aca="false">-export!D99</f>
        <v>-0</v>
      </c>
      <c r="J101" s="2" t="n">
        <f aca="false">-charge!D99</f>
        <v>-0</v>
      </c>
      <c r="K101" s="2" t="n">
        <f aca="false">discharge!D99</f>
        <v>0</v>
      </c>
      <c r="L101" s="2" t="n">
        <f aca="false">soc!D99/investment!$E$3 *100</f>
        <v>86.4988435750572</v>
      </c>
    </row>
    <row r="102" customFormat="false" ht="13.8" hidden="false" customHeight="false" outlineLevel="0" collapsed="false">
      <c r="B102" s="11" t="n">
        <f aca="false">_xlfn.NUMBERVALUE(solar!B99)</f>
        <v>0</v>
      </c>
      <c r="C102" s="12" t="n">
        <f aca="false">solar!C99</f>
        <v>0</v>
      </c>
      <c r="D102" s="6" t="n">
        <v>98</v>
      </c>
      <c r="E102" s="17" t="n">
        <f aca="false">IFERROR(INDEX($B$5:$C$173, MATCH($D102, $B$5:$B$175, 0), 2), 0)*investment!$C$3</f>
        <v>0</v>
      </c>
      <c r="F102" s="18" t="n">
        <f aca="false">demand!D100</f>
        <v>0</v>
      </c>
      <c r="G102" s="2" t="n">
        <f aca="false">solgen!D100</f>
        <v>0</v>
      </c>
      <c r="H102" s="2" t="n">
        <f aca="false">import!D100</f>
        <v>0</v>
      </c>
      <c r="I102" s="2" t="n">
        <f aca="false">-export!D100</f>
        <v>-0</v>
      </c>
      <c r="J102" s="2" t="n">
        <f aca="false">-charge!D100</f>
        <v>-0</v>
      </c>
      <c r="K102" s="2" t="n">
        <f aca="false">discharge!D100</f>
        <v>0</v>
      </c>
      <c r="L102" s="2" t="n">
        <f aca="false">soc!D100/investment!$E$3 *100</f>
        <v>81.657861515648</v>
      </c>
    </row>
    <row r="103" customFormat="false" ht="13.8" hidden="false" customHeight="false" outlineLevel="0" collapsed="false">
      <c r="B103" s="11" t="n">
        <f aca="false">_xlfn.NUMBERVALUE(solar!B100)</f>
        <v>0</v>
      </c>
      <c r="C103" s="12" t="n">
        <f aca="false">solar!C100</f>
        <v>0</v>
      </c>
      <c r="D103" s="6" t="n">
        <v>99</v>
      </c>
      <c r="E103" s="17" t="n">
        <f aca="false">IFERROR(INDEX($B$5:$C$173, MATCH($D103, $B$5:$B$175, 0), 2), 0)*investment!$C$3</f>
        <v>0</v>
      </c>
      <c r="F103" s="18" t="n">
        <f aca="false">demand!D101</f>
        <v>0</v>
      </c>
      <c r="G103" s="2" t="n">
        <f aca="false">solgen!D101</f>
        <v>0</v>
      </c>
      <c r="H103" s="2" t="n">
        <f aca="false">import!D101</f>
        <v>0</v>
      </c>
      <c r="I103" s="2" t="n">
        <f aca="false">-export!D101</f>
        <v>-0</v>
      </c>
      <c r="J103" s="2" t="n">
        <f aca="false">-charge!D101</f>
        <v>-0</v>
      </c>
      <c r="K103" s="2" t="n">
        <f aca="false">discharge!D101</f>
        <v>0</v>
      </c>
      <c r="L103" s="2" t="n">
        <f aca="false">soc!D101/investment!$E$3 *100</f>
        <v>77.673999211087</v>
      </c>
    </row>
    <row r="104" customFormat="false" ht="13.8" hidden="false" customHeight="false" outlineLevel="0" collapsed="false">
      <c r="B104" s="11" t="n">
        <f aca="false">_xlfn.NUMBERVALUE(solar!B101)</f>
        <v>0</v>
      </c>
      <c r="C104" s="12" t="n">
        <f aca="false">solar!C101</f>
        <v>0</v>
      </c>
      <c r="D104" s="6" t="n">
        <v>100</v>
      </c>
      <c r="E104" s="17" t="n">
        <f aca="false">IFERROR(INDEX($B$5:$C$173, MATCH($D104, $B$5:$B$175, 0), 2), 0)*investment!$C$3</f>
        <v>0</v>
      </c>
      <c r="F104" s="18" t="n">
        <f aca="false">demand!D102</f>
        <v>0</v>
      </c>
      <c r="G104" s="2" t="n">
        <f aca="false">solgen!D102</f>
        <v>0</v>
      </c>
      <c r="H104" s="2" t="n">
        <f aca="false">import!D102</f>
        <v>0</v>
      </c>
      <c r="I104" s="2" t="n">
        <f aca="false">-export!D102</f>
        <v>-0</v>
      </c>
      <c r="J104" s="2" t="n">
        <f aca="false">-charge!D102</f>
        <v>-0</v>
      </c>
      <c r="K104" s="2" t="n">
        <f aca="false">discharge!D102</f>
        <v>0</v>
      </c>
      <c r="L104" s="2" t="n">
        <f aca="false">soc!D102/investment!$E$3 *100</f>
        <v>73.3104346586674</v>
      </c>
    </row>
    <row r="105" customFormat="false" ht="13.8" hidden="false" customHeight="false" outlineLevel="0" collapsed="false">
      <c r="B105" s="11" t="n">
        <f aca="false">_xlfn.NUMBERVALUE(solar!B102)</f>
        <v>0</v>
      </c>
      <c r="C105" s="12" t="n">
        <f aca="false">solar!C102</f>
        <v>0</v>
      </c>
      <c r="D105" s="6" t="n">
        <v>101</v>
      </c>
      <c r="E105" s="17" t="n">
        <f aca="false">IFERROR(INDEX($B$5:$C$173, MATCH($D105, $B$5:$B$175, 0), 2), 0)*investment!$C$3</f>
        <v>0</v>
      </c>
      <c r="F105" s="18" t="n">
        <f aca="false">demand!D103</f>
        <v>0</v>
      </c>
      <c r="G105" s="2" t="n">
        <f aca="false">solgen!D103</f>
        <v>0</v>
      </c>
      <c r="H105" s="2" t="n">
        <f aca="false">import!D103</f>
        <v>0</v>
      </c>
      <c r="I105" s="2" t="n">
        <f aca="false">-export!D103</f>
        <v>-0</v>
      </c>
      <c r="J105" s="2" t="n">
        <f aca="false">-charge!D103</f>
        <v>-0</v>
      </c>
      <c r="K105" s="2" t="n">
        <f aca="false">discharge!D103</f>
        <v>0</v>
      </c>
      <c r="L105" s="2" t="n">
        <f aca="false">soc!D103/investment!$E$3 *100</f>
        <v>69.1376817408643</v>
      </c>
    </row>
    <row r="106" customFormat="false" ht="13.8" hidden="false" customHeight="false" outlineLevel="0" collapsed="false">
      <c r="B106" s="11" t="n">
        <f aca="false">_xlfn.NUMBERVALUE(solar!B103)</f>
        <v>0</v>
      </c>
      <c r="C106" s="12" t="n">
        <f aca="false">solar!C103</f>
        <v>0</v>
      </c>
      <c r="D106" s="6" t="n">
        <v>102</v>
      </c>
      <c r="E106" s="17" t="n">
        <f aca="false">IFERROR(INDEX($B$5:$C$173, MATCH($D106, $B$5:$B$175, 0), 2), 0)*investment!$C$3</f>
        <v>0</v>
      </c>
      <c r="F106" s="18" t="n">
        <f aca="false">demand!D104</f>
        <v>0</v>
      </c>
      <c r="G106" s="2" t="n">
        <f aca="false">solgen!D104</f>
        <v>0</v>
      </c>
      <c r="H106" s="2" t="n">
        <f aca="false">import!D104</f>
        <v>0</v>
      </c>
      <c r="I106" s="2" t="n">
        <f aca="false">-export!D104</f>
        <v>-0</v>
      </c>
      <c r="J106" s="2" t="n">
        <f aca="false">-charge!D104</f>
        <v>-0</v>
      </c>
      <c r="K106" s="2" t="n">
        <f aca="false">discharge!D104</f>
        <v>0</v>
      </c>
      <c r="L106" s="2" t="n">
        <f aca="false">soc!D104/investment!$E$3 *100</f>
        <v>65.8602695161621</v>
      </c>
    </row>
    <row r="107" customFormat="false" ht="13.8" hidden="false" customHeight="false" outlineLevel="0" collapsed="false">
      <c r="B107" s="11" t="n">
        <f aca="false">_xlfn.NUMBERVALUE(solar!B104)</f>
        <v>0</v>
      </c>
      <c r="C107" s="12" t="n">
        <f aca="false">solar!C104</f>
        <v>0</v>
      </c>
      <c r="D107" s="6" t="n">
        <v>103</v>
      </c>
      <c r="E107" s="17" t="n">
        <f aca="false">IFERROR(INDEX($B$5:$C$173, MATCH($D107, $B$5:$B$175, 0), 2), 0)*investment!$C$3</f>
        <v>0</v>
      </c>
      <c r="F107" s="18" t="n">
        <f aca="false">demand!D105</f>
        <v>0</v>
      </c>
      <c r="G107" s="2" t="n">
        <f aca="false">solgen!D105</f>
        <v>0</v>
      </c>
      <c r="H107" s="2" t="n">
        <f aca="false">import!D105</f>
        <v>0</v>
      </c>
      <c r="I107" s="2" t="n">
        <f aca="false">-export!D105</f>
        <v>-0</v>
      </c>
      <c r="J107" s="2" t="n">
        <f aca="false">-charge!D105</f>
        <v>-0</v>
      </c>
      <c r="K107" s="2" t="n">
        <f aca="false">discharge!D105</f>
        <v>0</v>
      </c>
      <c r="L107" s="2" t="n">
        <f aca="false">soc!D105/investment!$E$3 *100</f>
        <v>61.3714606072639</v>
      </c>
    </row>
    <row r="108" customFormat="false" ht="13.8" hidden="false" customHeight="false" outlineLevel="0" collapsed="false">
      <c r="B108" s="11" t="n">
        <f aca="false">_xlfn.NUMBERVALUE(solar!B105)</f>
        <v>0</v>
      </c>
      <c r="C108" s="12" t="n">
        <f aca="false">solar!C105</f>
        <v>0</v>
      </c>
      <c r="D108" s="6" t="n">
        <v>104</v>
      </c>
      <c r="E108" s="17" t="n">
        <f aca="false">IFERROR(INDEX($B$5:$C$173, MATCH($D108, $B$5:$B$175, 0), 2), 0)*investment!$C$3</f>
        <v>0</v>
      </c>
      <c r="F108" s="18" t="n">
        <f aca="false">demand!D106</f>
        <v>0</v>
      </c>
      <c r="G108" s="2" t="n">
        <f aca="false">solgen!D106</f>
        <v>0</v>
      </c>
      <c r="H108" s="2" t="n">
        <f aca="false">import!D106</f>
        <v>0</v>
      </c>
      <c r="I108" s="2" t="n">
        <f aca="false">-export!D106</f>
        <v>-0</v>
      </c>
      <c r="J108" s="2" t="n">
        <f aca="false">-charge!D106</f>
        <v>-0</v>
      </c>
      <c r="K108" s="2" t="n">
        <f aca="false">discharge!D106</f>
        <v>0</v>
      </c>
      <c r="L108" s="2" t="n">
        <f aca="false">soc!D106/investment!$E$3 *100</f>
        <v>58.0008459294371</v>
      </c>
    </row>
    <row r="109" customFormat="false" ht="13.8" hidden="false" customHeight="false" outlineLevel="0" collapsed="false">
      <c r="B109" s="11" t="n">
        <f aca="false">_xlfn.NUMBERVALUE(solar!B106)</f>
        <v>0</v>
      </c>
      <c r="C109" s="12" t="n">
        <f aca="false">solar!C106</f>
        <v>0</v>
      </c>
      <c r="D109" s="6" t="n">
        <v>105</v>
      </c>
      <c r="E109" s="17" t="n">
        <f aca="false">IFERROR(INDEX($B$5:$C$173, MATCH($D109, $B$5:$B$175, 0), 2), 0)*investment!$C$3</f>
        <v>0</v>
      </c>
      <c r="F109" s="18" t="n">
        <f aca="false">demand!D107</f>
        <v>0</v>
      </c>
      <c r="G109" s="2" t="n">
        <f aca="false">solgen!D107</f>
        <v>0</v>
      </c>
      <c r="H109" s="2" t="n">
        <f aca="false">import!D107</f>
        <v>0</v>
      </c>
      <c r="I109" s="2" t="n">
        <f aca="false">-export!D107</f>
        <v>-0</v>
      </c>
      <c r="J109" s="2" t="n">
        <f aca="false">-charge!D107</f>
        <v>-0</v>
      </c>
      <c r="K109" s="2" t="n">
        <f aca="false">discharge!D107</f>
        <v>0</v>
      </c>
      <c r="L109" s="2" t="n">
        <f aca="false">soc!D107/investment!$E$3 *100</f>
        <v>53.9387885693354</v>
      </c>
    </row>
    <row r="110" customFormat="false" ht="13.8" hidden="false" customHeight="false" outlineLevel="0" collapsed="false">
      <c r="B110" s="11" t="n">
        <f aca="false">_xlfn.NUMBERVALUE(solar!B107)</f>
        <v>0</v>
      </c>
      <c r="C110" s="12" t="n">
        <f aca="false">solar!C107</f>
        <v>0</v>
      </c>
      <c r="D110" s="6" t="n">
        <v>106</v>
      </c>
      <c r="E110" s="17" t="n">
        <f aca="false">IFERROR(INDEX($B$5:$C$173, MATCH($D110, $B$5:$B$175, 0), 2), 0)*investment!$C$3</f>
        <v>0</v>
      </c>
      <c r="F110" s="18" t="n">
        <f aca="false">demand!D108</f>
        <v>0</v>
      </c>
      <c r="G110" s="2" t="n">
        <f aca="false">solgen!D108</f>
        <v>0</v>
      </c>
      <c r="H110" s="2" t="n">
        <f aca="false">import!D108</f>
        <v>0</v>
      </c>
      <c r="I110" s="2" t="n">
        <f aca="false">-export!D108</f>
        <v>-0</v>
      </c>
      <c r="J110" s="2" t="n">
        <f aca="false">-charge!D108</f>
        <v>-0</v>
      </c>
      <c r="K110" s="2" t="n">
        <f aca="false">discharge!D108</f>
        <v>0</v>
      </c>
      <c r="L110" s="2" t="n">
        <f aca="false">soc!D108/investment!$E$3 *100</f>
        <v>50.7997615131215</v>
      </c>
    </row>
    <row r="111" customFormat="false" ht="13.8" hidden="false" customHeight="false" outlineLevel="0" collapsed="false">
      <c r="B111" s="11" t="n">
        <f aca="false">_xlfn.NUMBERVALUE(solar!B108)</f>
        <v>0</v>
      </c>
      <c r="C111" s="12" t="n">
        <f aca="false">solar!C108</f>
        <v>0</v>
      </c>
      <c r="D111" s="6" t="n">
        <v>107</v>
      </c>
      <c r="E111" s="17" t="n">
        <f aca="false">IFERROR(INDEX($B$5:$C$173, MATCH($D111, $B$5:$B$175, 0), 2), 0)*investment!$C$3</f>
        <v>0</v>
      </c>
      <c r="F111" s="18" t="n">
        <f aca="false">demand!D109</f>
        <v>0</v>
      </c>
      <c r="G111" s="2" t="n">
        <f aca="false">solgen!D109</f>
        <v>0</v>
      </c>
      <c r="H111" s="2" t="n">
        <f aca="false">import!D109</f>
        <v>0</v>
      </c>
      <c r="I111" s="2" t="n">
        <f aca="false">-export!D109</f>
        <v>-0</v>
      </c>
      <c r="J111" s="2" t="n">
        <f aca="false">-charge!D109</f>
        <v>-0</v>
      </c>
      <c r="K111" s="2" t="n">
        <f aca="false">discharge!D109</f>
        <v>0</v>
      </c>
      <c r="L111" s="2" t="n">
        <f aca="false">soc!D109/investment!$E$3 *100</f>
        <v>46.4321140034867</v>
      </c>
    </row>
    <row r="112" customFormat="false" ht="13.8" hidden="false" customHeight="false" outlineLevel="0" collapsed="false">
      <c r="B112" s="11" t="n">
        <f aca="false">_xlfn.NUMBERVALUE(solar!B109)</f>
        <v>0</v>
      </c>
      <c r="C112" s="12" t="n">
        <f aca="false">solar!C109</f>
        <v>0</v>
      </c>
      <c r="D112" s="6" t="n">
        <v>108</v>
      </c>
      <c r="E112" s="17" t="n">
        <f aca="false">IFERROR(INDEX($B$5:$C$173, MATCH($D112, $B$5:$B$175, 0), 2), 0)*investment!$C$3</f>
        <v>0</v>
      </c>
      <c r="F112" s="18" t="n">
        <f aca="false">demand!D110</f>
        <v>0</v>
      </c>
      <c r="G112" s="2" t="n">
        <f aca="false">solgen!D110</f>
        <v>0</v>
      </c>
      <c r="H112" s="2" t="n">
        <f aca="false">import!D110</f>
        <v>0</v>
      </c>
      <c r="I112" s="2" t="n">
        <f aca="false">-export!D110</f>
        <v>-0</v>
      </c>
      <c r="J112" s="2" t="n">
        <f aca="false">-charge!D110</f>
        <v>-0</v>
      </c>
      <c r="K112" s="2" t="n">
        <f aca="false">discharge!D110</f>
        <v>0</v>
      </c>
      <c r="L112" s="2" t="n">
        <f aca="false">soc!D110/investment!$E$3 *100</f>
        <v>43.0661965366061</v>
      </c>
    </row>
    <row r="113" customFormat="false" ht="13.8" hidden="false" customHeight="false" outlineLevel="0" collapsed="false">
      <c r="B113" s="11" t="n">
        <f aca="false">_xlfn.NUMBERVALUE(solar!B110)</f>
        <v>0</v>
      </c>
      <c r="C113" s="12" t="n">
        <f aca="false">solar!C110</f>
        <v>0</v>
      </c>
      <c r="D113" s="6" t="n">
        <v>109</v>
      </c>
      <c r="E113" s="17" t="n">
        <f aca="false">IFERROR(INDEX($B$5:$C$173, MATCH($D113, $B$5:$B$175, 0), 2), 0)*investment!$C$3</f>
        <v>0</v>
      </c>
      <c r="F113" s="18" t="n">
        <f aca="false">demand!D111</f>
        <v>0</v>
      </c>
      <c r="G113" s="2" t="n">
        <f aca="false">solgen!D111</f>
        <v>0</v>
      </c>
      <c r="H113" s="2" t="n">
        <f aca="false">import!D111</f>
        <v>0</v>
      </c>
      <c r="I113" s="2" t="n">
        <f aca="false">-export!D111</f>
        <v>-0</v>
      </c>
      <c r="J113" s="2" t="n">
        <f aca="false">-charge!D111</f>
        <v>-0</v>
      </c>
      <c r="K113" s="2" t="n">
        <f aca="false">discharge!D111</f>
        <v>0</v>
      </c>
      <c r="L113" s="2" t="n">
        <f aca="false">soc!D111/investment!$E$3 *100</f>
        <v>38.8736880026898</v>
      </c>
    </row>
    <row r="114" customFormat="false" ht="13.8" hidden="false" customHeight="false" outlineLevel="0" collapsed="false">
      <c r="B114" s="11" t="n">
        <f aca="false">_xlfn.NUMBERVALUE(solar!B111)</f>
        <v>0</v>
      </c>
      <c r="C114" s="12" t="n">
        <f aca="false">solar!C111</f>
        <v>0</v>
      </c>
      <c r="D114" s="6" t="n">
        <v>110</v>
      </c>
      <c r="E114" s="17" t="n">
        <f aca="false">IFERROR(INDEX($B$5:$C$173, MATCH($D114, $B$5:$B$175, 0), 2), 0)*investment!$C$3</f>
        <v>0</v>
      </c>
      <c r="F114" s="18" t="n">
        <f aca="false">demand!D112</f>
        <v>0</v>
      </c>
      <c r="G114" s="2" t="n">
        <f aca="false">solgen!D112</f>
        <v>0</v>
      </c>
      <c r="H114" s="2" t="n">
        <f aca="false">import!D112</f>
        <v>0</v>
      </c>
      <c r="I114" s="2" t="n">
        <f aca="false">-export!D112</f>
        <v>-0</v>
      </c>
      <c r="J114" s="2" t="n">
        <f aca="false">-charge!D112</f>
        <v>-0</v>
      </c>
      <c r="K114" s="2" t="n">
        <f aca="false">discharge!D112</f>
        <v>0</v>
      </c>
      <c r="L114" s="2" t="n">
        <f aca="false">soc!D112/investment!$E$3 *100</f>
        <v>35.1030926602275</v>
      </c>
    </row>
    <row r="115" customFormat="false" ht="13.8" hidden="false" customHeight="false" outlineLevel="0" collapsed="false">
      <c r="B115" s="11" t="n">
        <f aca="false">_xlfn.NUMBERVALUE(solar!B112)</f>
        <v>0</v>
      </c>
      <c r="C115" s="12" t="n">
        <f aca="false">solar!C112</f>
        <v>0</v>
      </c>
      <c r="D115" s="6" t="n">
        <v>111</v>
      </c>
      <c r="E115" s="17" t="n">
        <f aca="false">IFERROR(INDEX($B$5:$C$173, MATCH($D115, $B$5:$B$175, 0), 2), 0)*investment!$C$3</f>
        <v>0</v>
      </c>
      <c r="F115" s="18" t="n">
        <f aca="false">demand!D113</f>
        <v>0</v>
      </c>
      <c r="G115" s="2" t="n">
        <f aca="false">solgen!D113</f>
        <v>0</v>
      </c>
      <c r="H115" s="2" t="n">
        <f aca="false">import!D113</f>
        <v>0</v>
      </c>
      <c r="I115" s="2" t="n">
        <f aca="false">-export!D113</f>
        <v>-0</v>
      </c>
      <c r="J115" s="2" t="n">
        <f aca="false">-charge!D113</f>
        <v>-0</v>
      </c>
      <c r="K115" s="2" t="n">
        <f aca="false">discharge!D113</f>
        <v>0</v>
      </c>
      <c r="L115" s="2" t="n">
        <f aca="false">soc!D113/investment!$E$3 *100</f>
        <v>31.35642409095</v>
      </c>
    </row>
    <row r="116" customFormat="false" ht="13.8" hidden="false" customHeight="false" outlineLevel="0" collapsed="false">
      <c r="B116" s="11" t="n">
        <f aca="false">_xlfn.NUMBERVALUE(solar!B113)</f>
        <v>0</v>
      </c>
      <c r="C116" s="12" t="n">
        <f aca="false">solar!C113</f>
        <v>0</v>
      </c>
      <c r="D116" s="6" t="n">
        <v>112</v>
      </c>
      <c r="E116" s="17" t="n">
        <f aca="false">IFERROR(INDEX($B$5:$C$173, MATCH($D116, $B$5:$B$175, 0), 2), 0)*investment!$C$3</f>
        <v>0</v>
      </c>
      <c r="F116" s="18" t="n">
        <f aca="false">demand!D114</f>
        <v>0</v>
      </c>
      <c r="G116" s="2" t="n">
        <f aca="false">solgen!D114</f>
        <v>0</v>
      </c>
      <c r="H116" s="2" t="n">
        <f aca="false">import!D114</f>
        <v>0</v>
      </c>
      <c r="I116" s="2" t="n">
        <f aca="false">-export!D114</f>
        <v>-0</v>
      </c>
      <c r="J116" s="2" t="n">
        <f aca="false">-charge!D114</f>
        <v>-0</v>
      </c>
      <c r="K116" s="2" t="n">
        <f aca="false">discharge!D114</f>
        <v>0</v>
      </c>
      <c r="L116" s="2" t="n">
        <f aca="false">soc!D114/investment!$E$3 *100</f>
        <v>27.353538233741</v>
      </c>
    </row>
    <row r="117" customFormat="false" ht="13.8" hidden="false" customHeight="false" outlineLevel="0" collapsed="false">
      <c r="B117" s="11" t="n">
        <f aca="false">_xlfn.NUMBERVALUE(solar!B114)</f>
        <v>0</v>
      </c>
      <c r="C117" s="12" t="n">
        <f aca="false">solar!C114</f>
        <v>0</v>
      </c>
      <c r="D117" s="6" t="n">
        <v>113</v>
      </c>
      <c r="E117" s="17" t="n">
        <f aca="false">IFERROR(INDEX($B$5:$C$173, MATCH($D117, $B$5:$B$175, 0), 2), 0)*investment!$C$3</f>
        <v>0</v>
      </c>
      <c r="F117" s="18" t="n">
        <f aca="false">demand!D115</f>
        <v>0</v>
      </c>
      <c r="G117" s="2" t="n">
        <f aca="false">solgen!D115</f>
        <v>0</v>
      </c>
      <c r="H117" s="2" t="n">
        <f aca="false">import!D115</f>
        <v>0</v>
      </c>
      <c r="I117" s="2" t="n">
        <f aca="false">-export!D115</f>
        <v>-0</v>
      </c>
      <c r="J117" s="2" t="n">
        <f aca="false">-charge!D115</f>
        <v>-0</v>
      </c>
      <c r="K117" s="2" t="n">
        <f aca="false">discharge!D115</f>
        <v>0</v>
      </c>
      <c r="L117" s="2" t="n">
        <f aca="false">soc!D115/investment!$E$3 *100</f>
        <v>23.7491083920242</v>
      </c>
    </row>
    <row r="118" customFormat="false" ht="13.8" hidden="false" customHeight="false" outlineLevel="0" collapsed="false">
      <c r="B118" s="11" t="n">
        <f aca="false">_xlfn.NUMBERVALUE(solar!B115)</f>
        <v>0</v>
      </c>
      <c r="C118" s="12" t="n">
        <f aca="false">solar!C115</f>
        <v>0</v>
      </c>
      <c r="D118" s="6" t="n">
        <v>114</v>
      </c>
      <c r="E118" s="17" t="n">
        <f aca="false">IFERROR(INDEX($B$5:$C$173, MATCH($D118, $B$5:$B$175, 0), 2), 0)*investment!$C$3</f>
        <v>0</v>
      </c>
      <c r="F118" s="18" t="n">
        <f aca="false">demand!D116</f>
        <v>0</v>
      </c>
      <c r="G118" s="2" t="n">
        <f aca="false">solgen!D116</f>
        <v>0</v>
      </c>
      <c r="H118" s="2" t="n">
        <f aca="false">import!D116</f>
        <v>0</v>
      </c>
      <c r="I118" s="2" t="n">
        <f aca="false">-export!D116</f>
        <v>-0</v>
      </c>
      <c r="J118" s="2" t="n">
        <f aca="false">-charge!D116</f>
        <v>-0</v>
      </c>
      <c r="K118" s="2" t="n">
        <f aca="false">discharge!D116</f>
        <v>0</v>
      </c>
      <c r="L118" s="2" t="n">
        <f aca="false">soc!D116/investment!$E$3 *100</f>
        <v>19.8172625992889</v>
      </c>
    </row>
    <row r="119" customFormat="false" ht="13.8" hidden="false" customHeight="false" outlineLevel="0" collapsed="false">
      <c r="B119" s="11" t="n">
        <f aca="false">_xlfn.NUMBERVALUE(solar!B116)</f>
        <v>0</v>
      </c>
      <c r="C119" s="12" t="n">
        <f aca="false">solar!C116</f>
        <v>0</v>
      </c>
      <c r="D119" s="6" t="n">
        <v>115</v>
      </c>
      <c r="E119" s="17" t="n">
        <f aca="false">IFERROR(INDEX($B$5:$C$173, MATCH($D119, $B$5:$B$175, 0), 2), 0)*investment!$C$3</f>
        <v>0</v>
      </c>
      <c r="F119" s="18" t="n">
        <f aca="false">demand!D117</f>
        <v>0</v>
      </c>
      <c r="G119" s="2" t="n">
        <f aca="false">solgen!D117</f>
        <v>0</v>
      </c>
      <c r="H119" s="2" t="n">
        <f aca="false">import!D117</f>
        <v>0</v>
      </c>
      <c r="I119" s="2" t="n">
        <f aca="false">-export!D117</f>
        <v>-0</v>
      </c>
      <c r="J119" s="2" t="n">
        <f aca="false">-charge!D117</f>
        <v>-0</v>
      </c>
      <c r="K119" s="2" t="n">
        <f aca="false">discharge!D117</f>
        <v>0</v>
      </c>
      <c r="L119" s="2" t="n">
        <f aca="false">soc!D117/investment!$E$3 *100</f>
        <v>15.8461770023264</v>
      </c>
    </row>
    <row r="120" customFormat="false" ht="13.8" hidden="false" customHeight="false" outlineLevel="0" collapsed="false">
      <c r="B120" s="11" t="n">
        <f aca="false">_xlfn.NUMBERVALUE(solar!B117)</f>
        <v>0</v>
      </c>
      <c r="C120" s="12" t="n">
        <f aca="false">solar!C117</f>
        <v>0</v>
      </c>
      <c r="D120" s="6" t="n">
        <v>116</v>
      </c>
      <c r="E120" s="17" t="n">
        <f aca="false">IFERROR(INDEX($B$5:$C$173, MATCH($D120, $B$5:$B$175, 0), 2), 0)*investment!$C$3</f>
        <v>0</v>
      </c>
      <c r="F120" s="18" t="n">
        <f aca="false">demand!D118</f>
        <v>0</v>
      </c>
      <c r="G120" s="2" t="n">
        <f aca="false">solgen!D118</f>
        <v>0</v>
      </c>
      <c r="H120" s="2" t="n">
        <f aca="false">import!D118</f>
        <v>0</v>
      </c>
      <c r="I120" s="2" t="n">
        <f aca="false">-export!D118</f>
        <v>-0</v>
      </c>
      <c r="J120" s="2" t="n">
        <f aca="false">-charge!D118</f>
        <v>-0</v>
      </c>
      <c r="K120" s="2" t="n">
        <f aca="false">discharge!D118</f>
        <v>0</v>
      </c>
      <c r="L120" s="2" t="n">
        <f aca="false">soc!D118/investment!$E$3 *100</f>
        <v>12.6525177952226</v>
      </c>
    </row>
    <row r="121" customFormat="false" ht="13.8" hidden="false" customHeight="false" outlineLevel="0" collapsed="false">
      <c r="B121" s="11" t="n">
        <f aca="false">_xlfn.NUMBERVALUE(solar!B118)</f>
        <v>0</v>
      </c>
      <c r="C121" s="12" t="n">
        <f aca="false">solar!C118</f>
        <v>0</v>
      </c>
      <c r="D121" s="6" t="n">
        <v>117</v>
      </c>
      <c r="E121" s="17" t="n">
        <f aca="false">IFERROR(INDEX($B$5:$C$173, MATCH($D121, $B$5:$B$175, 0), 2), 0)*investment!$C$3</f>
        <v>0</v>
      </c>
      <c r="F121" s="18" t="n">
        <f aca="false">demand!D119</f>
        <v>0</v>
      </c>
      <c r="G121" s="2" t="n">
        <f aca="false">solgen!D119</f>
        <v>0</v>
      </c>
      <c r="H121" s="2" t="n">
        <f aca="false">import!D119</f>
        <v>0</v>
      </c>
      <c r="I121" s="2" t="n">
        <f aca="false">-export!D119</f>
        <v>-0</v>
      </c>
      <c r="J121" s="2" t="n">
        <f aca="false">-charge!D119</f>
        <v>-0</v>
      </c>
      <c r="K121" s="2" t="n">
        <f aca="false">discharge!D119</f>
        <v>0</v>
      </c>
      <c r="L121" s="2" t="n">
        <f aca="false">soc!D119/investment!$E$3 *100</f>
        <v>8.85995441042355</v>
      </c>
    </row>
    <row r="122" customFormat="false" ht="13.8" hidden="false" customHeight="false" outlineLevel="0" collapsed="false">
      <c r="B122" s="11" t="n">
        <f aca="false">_xlfn.NUMBERVALUE(solar!B119)</f>
        <v>0</v>
      </c>
      <c r="C122" s="12" t="n">
        <f aca="false">solar!C119</f>
        <v>0</v>
      </c>
      <c r="D122" s="6" t="n">
        <v>118</v>
      </c>
      <c r="E122" s="17" t="n">
        <f aca="false">IFERROR(INDEX($B$5:$C$173, MATCH($D122, $B$5:$B$175, 0), 2), 0)*investment!$C$3</f>
        <v>0</v>
      </c>
      <c r="F122" s="18" t="n">
        <f aca="false">demand!D120</f>
        <v>0</v>
      </c>
      <c r="G122" s="2" t="n">
        <f aca="false">solgen!D120</f>
        <v>0</v>
      </c>
      <c r="H122" s="2" t="n">
        <f aca="false">import!D120</f>
        <v>0</v>
      </c>
      <c r="I122" s="2" t="n">
        <f aca="false">-export!D120</f>
        <v>-0</v>
      </c>
      <c r="J122" s="2" t="n">
        <f aca="false">-charge!D120</f>
        <v>-0</v>
      </c>
      <c r="K122" s="2" t="n">
        <f aca="false">discharge!D120</f>
        <v>0</v>
      </c>
      <c r="L122" s="2" t="n">
        <f aca="false">soc!D120/investment!$E$3 *100</f>
        <v>5.92080152871889</v>
      </c>
    </row>
    <row r="123" customFormat="false" ht="13.8" hidden="false" customHeight="false" outlineLevel="0" collapsed="false">
      <c r="B123" s="11" t="n">
        <f aca="false">_xlfn.NUMBERVALUE(solar!B120)</f>
        <v>0</v>
      </c>
      <c r="C123" s="12" t="n">
        <f aca="false">solar!C120</f>
        <v>0</v>
      </c>
      <c r="D123" s="6" t="n">
        <v>119</v>
      </c>
      <c r="E123" s="17" t="n">
        <f aca="false">IFERROR(INDEX($B$5:$C$173, MATCH($D123, $B$5:$B$175, 0), 2), 0)*investment!$C$3</f>
        <v>0</v>
      </c>
      <c r="F123" s="18" t="n">
        <f aca="false">demand!D121</f>
        <v>0</v>
      </c>
      <c r="G123" s="2" t="n">
        <f aca="false">solgen!D121</f>
        <v>0</v>
      </c>
      <c r="H123" s="2" t="n">
        <f aca="false">import!D121</f>
        <v>0</v>
      </c>
      <c r="I123" s="2" t="n">
        <f aca="false">-export!D121</f>
        <v>-0</v>
      </c>
      <c r="J123" s="2" t="n">
        <f aca="false">-charge!D121</f>
        <v>-0</v>
      </c>
      <c r="K123" s="2" t="n">
        <f aca="false">discharge!D121</f>
        <v>0</v>
      </c>
      <c r="L123" s="2" t="n">
        <f aca="false">soc!D121/investment!$E$3 *100</f>
        <v>3.05665181325091</v>
      </c>
    </row>
    <row r="124" customFormat="false" ht="13.8" hidden="false" customHeight="false" outlineLevel="0" collapsed="false">
      <c r="B124" s="11" t="n">
        <f aca="false">_xlfn.NUMBERVALUE(solar!B121)</f>
        <v>0</v>
      </c>
      <c r="C124" s="12" t="n">
        <f aca="false">solar!C121</f>
        <v>0</v>
      </c>
      <c r="D124" s="6" t="n">
        <v>120</v>
      </c>
      <c r="E124" s="17" t="n">
        <f aca="false">IFERROR(INDEX($B$5:$C$173, MATCH($D124, $B$5:$B$175, 0), 2), 0)*investment!$C$3</f>
        <v>0</v>
      </c>
      <c r="F124" s="18" t="n">
        <f aca="false">demand!D122</f>
        <v>0</v>
      </c>
      <c r="G124" s="2" t="n">
        <f aca="false">solgen!D122</f>
        <v>0</v>
      </c>
      <c r="H124" s="2" t="n">
        <f aca="false">import!D122</f>
        <v>0</v>
      </c>
      <c r="I124" s="2" t="n">
        <f aca="false">-export!D122</f>
        <v>-0</v>
      </c>
      <c r="J124" s="2" t="n">
        <f aca="false">-charge!D122</f>
        <v>-0</v>
      </c>
      <c r="K124" s="2" t="n">
        <f aca="false">discharge!D122</f>
        <v>0</v>
      </c>
      <c r="L124" s="2" t="n">
        <f aca="false">soc!D122/investment!$E$3 *100</f>
        <v>5.00152454665444E-012</v>
      </c>
    </row>
    <row r="125" customFormat="false" ht="13.8" hidden="false" customHeight="false" outlineLevel="0" collapsed="false">
      <c r="B125" s="11" t="n">
        <f aca="false">_xlfn.NUMBERVALUE(solar!B122)</f>
        <v>0</v>
      </c>
      <c r="C125" s="12" t="n">
        <f aca="false">solar!C122</f>
        <v>0</v>
      </c>
      <c r="D125" s="6" t="n">
        <v>121</v>
      </c>
      <c r="E125" s="17" t="n">
        <f aca="false">IFERROR(INDEX($B$5:$C$173, MATCH($D125, $B$5:$B$175, 0), 2), 0)*investment!$C$3</f>
        <v>0</v>
      </c>
      <c r="F125" s="18" t="n">
        <f aca="false">demand!D123</f>
        <v>0</v>
      </c>
      <c r="G125" s="2" t="n">
        <f aca="false">solgen!D123</f>
        <v>0</v>
      </c>
      <c r="H125" s="2" t="n">
        <f aca="false">import!D123</f>
        <v>0</v>
      </c>
      <c r="I125" s="2" t="n">
        <f aca="false">-export!D123</f>
        <v>-0</v>
      </c>
      <c r="J125" s="2" t="n">
        <f aca="false">-charge!D123</f>
        <v>-0</v>
      </c>
      <c r="K125" s="2" t="n">
        <f aca="false">discharge!D123</f>
        <v>0</v>
      </c>
      <c r="L125" s="2" t="n">
        <f aca="false">soc!D123/investment!$E$3 *100</f>
        <v>1.48948744627339E-010</v>
      </c>
    </row>
    <row r="126" customFormat="false" ht="13.8" hidden="false" customHeight="false" outlineLevel="0" collapsed="false">
      <c r="B126" s="11" t="n">
        <f aca="false">_xlfn.NUMBERVALUE(solar!B123)</f>
        <v>0</v>
      </c>
      <c r="C126" s="12" t="n">
        <f aca="false">solar!C123</f>
        <v>0</v>
      </c>
      <c r="D126" s="6" t="n">
        <v>122</v>
      </c>
      <c r="E126" s="17" t="n">
        <f aca="false">IFERROR(INDEX($B$5:$C$173, MATCH($D126, $B$5:$B$175, 0), 2), 0)*investment!$C$3</f>
        <v>0</v>
      </c>
      <c r="F126" s="18" t="n">
        <f aca="false">demand!D124</f>
        <v>0</v>
      </c>
      <c r="G126" s="2" t="n">
        <f aca="false">solgen!D124</f>
        <v>0</v>
      </c>
      <c r="H126" s="2" t="n">
        <f aca="false">import!D124</f>
        <v>0</v>
      </c>
      <c r="I126" s="2" t="n">
        <f aca="false">-export!D124</f>
        <v>-0</v>
      </c>
      <c r="J126" s="2" t="n">
        <f aca="false">-charge!D124</f>
        <v>-0</v>
      </c>
      <c r="K126" s="2" t="n">
        <f aca="false">discharge!D124</f>
        <v>0</v>
      </c>
      <c r="L126" s="2" t="n">
        <f aca="false">soc!D124/investment!$E$3 *100</f>
        <v>0</v>
      </c>
    </row>
    <row r="127" customFormat="false" ht="13.8" hidden="false" customHeight="false" outlineLevel="0" collapsed="false">
      <c r="B127" s="11" t="n">
        <f aca="false">_xlfn.NUMBERVALUE(solar!B124)</f>
        <v>0</v>
      </c>
      <c r="C127" s="12" t="n">
        <f aca="false">solar!C124</f>
        <v>0</v>
      </c>
      <c r="D127" s="6" t="n">
        <v>123</v>
      </c>
      <c r="E127" s="17" t="n">
        <f aca="false">IFERROR(INDEX($B$5:$C$173, MATCH($D127, $B$5:$B$175, 0), 2), 0)*investment!$C$3</f>
        <v>0</v>
      </c>
      <c r="F127" s="18" t="n">
        <f aca="false">demand!D125</f>
        <v>0</v>
      </c>
      <c r="G127" s="2" t="n">
        <f aca="false">solgen!D125</f>
        <v>0</v>
      </c>
      <c r="H127" s="2" t="n">
        <f aca="false">import!D125</f>
        <v>0</v>
      </c>
      <c r="I127" s="2" t="n">
        <f aca="false">-export!D125</f>
        <v>-0</v>
      </c>
      <c r="J127" s="2" t="n">
        <f aca="false">-charge!D125</f>
        <v>-0</v>
      </c>
      <c r="K127" s="2" t="n">
        <f aca="false">discharge!D125</f>
        <v>0</v>
      </c>
      <c r="L127" s="2" t="n">
        <f aca="false">soc!D125/investment!$E$3 *100</f>
        <v>5.66094426059249E-014</v>
      </c>
    </row>
    <row r="128" customFormat="false" ht="13.8" hidden="false" customHeight="false" outlineLevel="0" collapsed="false">
      <c r="B128" s="11" t="n">
        <f aca="false">_xlfn.NUMBERVALUE(solar!B125)</f>
        <v>0</v>
      </c>
      <c r="C128" s="12" t="n">
        <f aca="false">solar!C125</f>
        <v>0</v>
      </c>
      <c r="D128" s="6" t="n">
        <v>124</v>
      </c>
      <c r="E128" s="17" t="n">
        <f aca="false">IFERROR(INDEX($B$5:$C$173, MATCH($D128, $B$5:$B$175, 0), 2), 0)*investment!$C$3</f>
        <v>0</v>
      </c>
      <c r="F128" s="18" t="n">
        <f aca="false">demand!D126</f>
        <v>0</v>
      </c>
      <c r="G128" s="2" t="n">
        <f aca="false">solgen!D126</f>
        <v>0</v>
      </c>
      <c r="H128" s="2" t="n">
        <f aca="false">import!D126</f>
        <v>0</v>
      </c>
      <c r="I128" s="2" t="n">
        <f aca="false">-export!D126</f>
        <v>-0</v>
      </c>
      <c r="J128" s="2" t="n">
        <f aca="false">-charge!D126</f>
        <v>-0</v>
      </c>
      <c r="K128" s="2" t="n">
        <f aca="false">discharge!D126</f>
        <v>0</v>
      </c>
      <c r="L128" s="2" t="n">
        <f aca="false">soc!D126/investment!$E$3 *100</f>
        <v>0.317851727478498</v>
      </c>
    </row>
    <row r="129" customFormat="false" ht="13.8" hidden="false" customHeight="false" outlineLevel="0" collapsed="false">
      <c r="B129" s="11" t="n">
        <f aca="false">_xlfn.NUMBERVALUE(solar!B126)</f>
        <v>0</v>
      </c>
      <c r="C129" s="12" t="n">
        <f aca="false">solar!C126</f>
        <v>0</v>
      </c>
      <c r="D129" s="6" t="n">
        <v>125</v>
      </c>
      <c r="E129" s="17" t="n">
        <f aca="false">IFERROR(INDEX($B$5:$C$173, MATCH($D129, $B$5:$B$175, 0), 2), 0)*investment!$C$3</f>
        <v>0</v>
      </c>
      <c r="F129" s="18" t="n">
        <f aca="false">demand!D127</f>
        <v>0</v>
      </c>
      <c r="G129" s="2" t="n">
        <f aca="false">solgen!D127</f>
        <v>0</v>
      </c>
      <c r="H129" s="2" t="n">
        <f aca="false">import!D127</f>
        <v>0</v>
      </c>
      <c r="I129" s="2" t="n">
        <f aca="false">-export!D127</f>
        <v>-0</v>
      </c>
      <c r="J129" s="2" t="n">
        <f aca="false">-charge!D127</f>
        <v>-0</v>
      </c>
      <c r="K129" s="2" t="n">
        <f aca="false">discharge!D127</f>
        <v>0</v>
      </c>
      <c r="L129" s="2" t="n">
        <f aca="false">soc!D127/investment!$E$3 *100</f>
        <v>0.569165192028763</v>
      </c>
    </row>
    <row r="130" customFormat="false" ht="13.8" hidden="false" customHeight="false" outlineLevel="0" collapsed="false">
      <c r="B130" s="11" t="n">
        <f aca="false">_xlfn.NUMBERVALUE(solar!B127)</f>
        <v>0</v>
      </c>
      <c r="C130" s="12" t="n">
        <f aca="false">solar!C127</f>
        <v>0</v>
      </c>
      <c r="D130" s="6" t="n">
        <v>126</v>
      </c>
      <c r="E130" s="17" t="n">
        <f aca="false">IFERROR(INDEX($B$5:$C$173, MATCH($D130, $B$5:$B$175, 0), 2), 0)*investment!$C$3</f>
        <v>0</v>
      </c>
      <c r="F130" s="18" t="n">
        <f aca="false">demand!D128</f>
        <v>0</v>
      </c>
      <c r="G130" s="2" t="n">
        <f aca="false">solgen!D128</f>
        <v>0</v>
      </c>
      <c r="H130" s="2" t="n">
        <f aca="false">import!D128</f>
        <v>0</v>
      </c>
      <c r="I130" s="2" t="n">
        <f aca="false">-export!D128</f>
        <v>-0</v>
      </c>
      <c r="J130" s="2" t="n">
        <f aca="false">-charge!D128</f>
        <v>-0</v>
      </c>
      <c r="K130" s="2" t="n">
        <f aca="false">discharge!D128</f>
        <v>0</v>
      </c>
      <c r="L130" s="2" t="n">
        <f aca="false">soc!D128/investment!$E$3 *100</f>
        <v>1.10179246298178</v>
      </c>
    </row>
    <row r="131" customFormat="false" ht="13.8" hidden="false" customHeight="false" outlineLevel="0" collapsed="false">
      <c r="B131" s="11" t="n">
        <f aca="false">_xlfn.NUMBERVALUE(solar!B128)</f>
        <v>0</v>
      </c>
      <c r="C131" s="12" t="n">
        <f aca="false">solar!C128</f>
        <v>0</v>
      </c>
      <c r="D131" s="6" t="n">
        <v>127</v>
      </c>
      <c r="E131" s="17" t="n">
        <f aca="false">IFERROR(INDEX($B$5:$C$173, MATCH($D131, $B$5:$B$175, 0), 2), 0)*investment!$C$3</f>
        <v>0</v>
      </c>
      <c r="F131" s="18" t="n">
        <f aca="false">demand!D129</f>
        <v>0</v>
      </c>
      <c r="G131" s="2" t="n">
        <f aca="false">solgen!D129</f>
        <v>0</v>
      </c>
      <c r="H131" s="2" t="n">
        <f aca="false">import!D129</f>
        <v>0</v>
      </c>
      <c r="I131" s="2" t="n">
        <f aca="false">-export!D129</f>
        <v>-0</v>
      </c>
      <c r="J131" s="2" t="n">
        <f aca="false">-charge!D129</f>
        <v>-0</v>
      </c>
      <c r="K131" s="2" t="n">
        <f aca="false">discharge!D129</f>
        <v>0</v>
      </c>
      <c r="L131" s="2" t="n">
        <f aca="false">soc!D129/investment!$E$3 *100</f>
        <v>1.84107162138556</v>
      </c>
    </row>
    <row r="132" customFormat="false" ht="13.8" hidden="false" customHeight="false" outlineLevel="0" collapsed="false">
      <c r="B132" s="11" t="n">
        <f aca="false">_xlfn.NUMBERVALUE(solar!B129)</f>
        <v>0</v>
      </c>
      <c r="C132" s="12" t="n">
        <f aca="false">solar!C129</f>
        <v>0</v>
      </c>
      <c r="D132" s="6" t="n">
        <v>128</v>
      </c>
      <c r="E132" s="17" t="n">
        <f aca="false">IFERROR(INDEX($B$5:$C$173, MATCH($D132, $B$5:$B$175, 0), 2), 0)*investment!$C$3</f>
        <v>0</v>
      </c>
      <c r="F132" s="18" t="n">
        <f aca="false">demand!D130</f>
        <v>0</v>
      </c>
      <c r="G132" s="2" t="n">
        <f aca="false">solgen!D130</f>
        <v>0</v>
      </c>
      <c r="H132" s="2" t="n">
        <f aca="false">import!D130</f>
        <v>0</v>
      </c>
      <c r="I132" s="2" t="n">
        <f aca="false">-export!D130</f>
        <v>-0</v>
      </c>
      <c r="J132" s="2" t="n">
        <f aca="false">-charge!D130</f>
        <v>-0</v>
      </c>
      <c r="K132" s="2" t="n">
        <f aca="false">discharge!D130</f>
        <v>0</v>
      </c>
      <c r="L132" s="2" t="n">
        <f aca="false">soc!D130/investment!$E$3 *100</f>
        <v>3.48322733071856</v>
      </c>
    </row>
    <row r="133" customFormat="false" ht="13.8" hidden="false" customHeight="false" outlineLevel="0" collapsed="false">
      <c r="B133" s="11" t="n">
        <f aca="false">_xlfn.NUMBERVALUE(solar!B130)</f>
        <v>0</v>
      </c>
      <c r="C133" s="12" t="n">
        <f aca="false">solar!C130</f>
        <v>0</v>
      </c>
      <c r="D133" s="6" t="n">
        <v>129</v>
      </c>
      <c r="E133" s="17" t="n">
        <f aca="false">IFERROR(INDEX($B$5:$C$173, MATCH($D133, $B$5:$B$175, 0), 2), 0)*investment!$C$3</f>
        <v>0</v>
      </c>
      <c r="F133" s="18" t="n">
        <f aca="false">demand!D131</f>
        <v>0</v>
      </c>
      <c r="G133" s="2" t="n">
        <f aca="false">solgen!D131</f>
        <v>0</v>
      </c>
      <c r="H133" s="2" t="n">
        <f aca="false">import!D131</f>
        <v>0</v>
      </c>
      <c r="I133" s="2" t="n">
        <f aca="false">-export!D131</f>
        <v>-0</v>
      </c>
      <c r="J133" s="2" t="n">
        <f aca="false">-charge!D131</f>
        <v>-0</v>
      </c>
      <c r="K133" s="2" t="n">
        <f aca="false">discharge!D131</f>
        <v>0</v>
      </c>
      <c r="L133" s="2" t="n">
        <f aca="false">soc!D131/investment!$E$3 *100</f>
        <v>5.42057757127752</v>
      </c>
    </row>
    <row r="134" customFormat="false" ht="13.8" hidden="false" customHeight="false" outlineLevel="0" collapsed="false">
      <c r="B134" s="11" t="n">
        <f aca="false">_xlfn.NUMBERVALUE(solar!B131)</f>
        <v>0</v>
      </c>
      <c r="C134" s="12" t="n">
        <f aca="false">solar!C131</f>
        <v>0</v>
      </c>
      <c r="D134" s="6" t="n">
        <v>130</v>
      </c>
      <c r="E134" s="17" t="n">
        <f aca="false">IFERROR(INDEX($B$5:$C$173, MATCH($D134, $B$5:$B$175, 0), 2), 0)*investment!$C$3</f>
        <v>0</v>
      </c>
      <c r="F134" s="18" t="n">
        <f aca="false">demand!D132</f>
        <v>0</v>
      </c>
      <c r="G134" s="2" t="n">
        <f aca="false">solgen!D132</f>
        <v>0</v>
      </c>
      <c r="H134" s="2" t="n">
        <f aca="false">import!D132</f>
        <v>0</v>
      </c>
      <c r="I134" s="2" t="n">
        <f aca="false">-export!D132</f>
        <v>-0</v>
      </c>
      <c r="J134" s="2" t="n">
        <f aca="false">-charge!D132</f>
        <v>-0</v>
      </c>
      <c r="K134" s="2" t="n">
        <f aca="false">discharge!D132</f>
        <v>0</v>
      </c>
      <c r="L134" s="2" t="n">
        <f aca="false">soc!D132/investment!$E$3 *100</f>
        <v>7.51408753842714</v>
      </c>
    </row>
    <row r="135" customFormat="false" ht="13.8" hidden="false" customHeight="false" outlineLevel="0" collapsed="false">
      <c r="B135" s="11" t="n">
        <f aca="false">_xlfn.NUMBERVALUE(solar!B132)</f>
        <v>0</v>
      </c>
      <c r="C135" s="12" t="n">
        <f aca="false">solar!C132</f>
        <v>0</v>
      </c>
      <c r="D135" s="6" t="n">
        <v>131</v>
      </c>
      <c r="E135" s="17" t="n">
        <f aca="false">IFERROR(INDEX($B$5:$C$173, MATCH($D135, $B$5:$B$175, 0), 2), 0)*investment!$C$3</f>
        <v>0</v>
      </c>
      <c r="F135" s="18" t="n">
        <f aca="false">demand!D133</f>
        <v>0</v>
      </c>
      <c r="G135" s="2" t="n">
        <f aca="false">solgen!D133</f>
        <v>0</v>
      </c>
      <c r="H135" s="2" t="n">
        <f aca="false">import!D133</f>
        <v>0</v>
      </c>
      <c r="I135" s="2" t="n">
        <f aca="false">-export!D133</f>
        <v>-0</v>
      </c>
      <c r="J135" s="2" t="n">
        <f aca="false">-charge!D133</f>
        <v>-0</v>
      </c>
      <c r="K135" s="2" t="n">
        <f aca="false">discharge!D133</f>
        <v>0</v>
      </c>
      <c r="L135" s="2" t="n">
        <f aca="false">soc!D133/investment!$E$3 *100</f>
        <v>9.89745939041798</v>
      </c>
    </row>
    <row r="136" customFormat="false" ht="13.8" hidden="false" customHeight="false" outlineLevel="0" collapsed="false">
      <c r="B136" s="11" t="n">
        <f aca="false">_xlfn.NUMBERVALUE(solar!B133)</f>
        <v>0</v>
      </c>
      <c r="C136" s="12" t="n">
        <f aca="false">solar!C133</f>
        <v>0</v>
      </c>
      <c r="D136" s="6" t="n">
        <v>132</v>
      </c>
      <c r="E136" s="17" t="n">
        <f aca="false">IFERROR(INDEX($B$5:$C$173, MATCH($D136, $B$5:$B$175, 0), 2), 0)*investment!$C$3</f>
        <v>0</v>
      </c>
      <c r="F136" s="18" t="n">
        <f aca="false">demand!D134</f>
        <v>0</v>
      </c>
      <c r="G136" s="2" t="n">
        <f aca="false">solgen!D134</f>
        <v>0</v>
      </c>
      <c r="H136" s="2" t="n">
        <f aca="false">import!D134</f>
        <v>0</v>
      </c>
      <c r="I136" s="2" t="n">
        <f aca="false">-export!D134</f>
        <v>-0</v>
      </c>
      <c r="J136" s="2" t="n">
        <f aca="false">-charge!D134</f>
        <v>-0</v>
      </c>
      <c r="K136" s="2" t="n">
        <f aca="false">discharge!D134</f>
        <v>0</v>
      </c>
      <c r="L136" s="2" t="n">
        <f aca="false">soc!D134/investment!$E$3 *100</f>
        <v>12.5049038318275</v>
      </c>
    </row>
    <row r="137" customFormat="false" ht="13.8" hidden="false" customHeight="false" outlineLevel="0" collapsed="false">
      <c r="B137" s="11" t="n">
        <f aca="false">_xlfn.NUMBERVALUE(solar!B134)</f>
        <v>0</v>
      </c>
      <c r="C137" s="12" t="n">
        <f aca="false">solar!C134</f>
        <v>0</v>
      </c>
      <c r="D137" s="6" t="n">
        <v>133</v>
      </c>
      <c r="E137" s="17" t="n">
        <f aca="false">IFERROR(INDEX($B$5:$C$173, MATCH($D137, $B$5:$B$175, 0), 2), 0)*investment!$C$3</f>
        <v>0</v>
      </c>
      <c r="F137" s="18" t="n">
        <f aca="false">demand!D135</f>
        <v>0</v>
      </c>
      <c r="G137" s="2" t="n">
        <f aca="false">solgen!D135</f>
        <v>0</v>
      </c>
      <c r="H137" s="2" t="n">
        <f aca="false">import!D135</f>
        <v>0</v>
      </c>
      <c r="I137" s="2" t="n">
        <f aca="false">-export!D135</f>
        <v>-0</v>
      </c>
      <c r="J137" s="2" t="n">
        <f aca="false">-charge!D135</f>
        <v>-0</v>
      </c>
      <c r="K137" s="2" t="n">
        <f aca="false">discharge!D135</f>
        <v>0</v>
      </c>
      <c r="L137" s="2" t="n">
        <f aca="false">soc!D135/investment!$E$3 *100</f>
        <v>15.33682195112</v>
      </c>
    </row>
    <row r="138" customFormat="false" ht="13.8" hidden="false" customHeight="false" outlineLevel="0" collapsed="false">
      <c r="B138" s="11" t="n">
        <f aca="false">_xlfn.NUMBERVALUE(solar!B135)</f>
        <v>0</v>
      </c>
      <c r="C138" s="12" t="n">
        <f aca="false">solar!C135</f>
        <v>0</v>
      </c>
      <c r="D138" s="6" t="n">
        <v>134</v>
      </c>
      <c r="E138" s="17" t="n">
        <f aca="false">IFERROR(INDEX($B$5:$C$173, MATCH($D138, $B$5:$B$175, 0), 2), 0)*investment!$C$3</f>
        <v>0</v>
      </c>
      <c r="F138" s="18" t="n">
        <f aca="false">demand!D136</f>
        <v>0</v>
      </c>
      <c r="G138" s="2" t="n">
        <f aca="false">solgen!D136</f>
        <v>0</v>
      </c>
      <c r="H138" s="2" t="n">
        <f aca="false">import!D136</f>
        <v>0</v>
      </c>
      <c r="I138" s="2" t="n">
        <f aca="false">-export!D136</f>
        <v>-0</v>
      </c>
      <c r="J138" s="2" t="n">
        <f aca="false">-charge!D136</f>
        <v>-0</v>
      </c>
      <c r="K138" s="2" t="n">
        <f aca="false">discharge!D136</f>
        <v>0</v>
      </c>
      <c r="L138" s="2" t="n">
        <f aca="false">soc!D136/investment!$E$3 *100</f>
        <v>18.3248141207363</v>
      </c>
    </row>
    <row r="139" customFormat="false" ht="13.8" hidden="false" customHeight="false" outlineLevel="0" collapsed="false">
      <c r="B139" s="11" t="n">
        <f aca="false">_xlfn.NUMBERVALUE(solar!B136)</f>
        <v>0</v>
      </c>
      <c r="C139" s="12" t="n">
        <f aca="false">solar!C136</f>
        <v>0</v>
      </c>
      <c r="D139" s="6" t="n">
        <v>135</v>
      </c>
      <c r="E139" s="17" t="n">
        <f aca="false">IFERROR(INDEX($B$5:$C$173, MATCH($D139, $B$5:$B$175, 0), 2), 0)*investment!$C$3</f>
        <v>0</v>
      </c>
      <c r="F139" s="18" t="n">
        <f aca="false">demand!D137</f>
        <v>0</v>
      </c>
      <c r="G139" s="2" t="n">
        <f aca="false">solgen!D137</f>
        <v>0</v>
      </c>
      <c r="H139" s="2" t="n">
        <f aca="false">import!D137</f>
        <v>0</v>
      </c>
      <c r="I139" s="2" t="n">
        <f aca="false">-export!D137</f>
        <v>-0</v>
      </c>
      <c r="J139" s="2" t="n">
        <f aca="false">-charge!D137</f>
        <v>-0</v>
      </c>
      <c r="K139" s="2" t="n">
        <f aca="false">discharge!D137</f>
        <v>0</v>
      </c>
      <c r="L139" s="2" t="n">
        <f aca="false">soc!D137/investment!$E$3 *100</f>
        <v>21.4685424686601</v>
      </c>
    </row>
    <row r="140" customFormat="false" ht="13.8" hidden="false" customHeight="false" outlineLevel="0" collapsed="false">
      <c r="B140" s="11" t="n">
        <f aca="false">_xlfn.NUMBERVALUE(solar!B137)</f>
        <v>0</v>
      </c>
      <c r="C140" s="12" t="n">
        <f aca="false">solar!C137</f>
        <v>0</v>
      </c>
      <c r="D140" s="6" t="n">
        <v>136</v>
      </c>
      <c r="E140" s="17" t="n">
        <f aca="false">IFERROR(INDEX($B$5:$C$173, MATCH($D140, $B$5:$B$175, 0), 2), 0)*investment!$C$3</f>
        <v>0</v>
      </c>
      <c r="F140" s="18" t="n">
        <f aca="false">demand!D138</f>
        <v>0</v>
      </c>
      <c r="G140" s="2" t="n">
        <f aca="false">solgen!D138</f>
        <v>0</v>
      </c>
      <c r="H140" s="2" t="n">
        <f aca="false">import!D138</f>
        <v>0</v>
      </c>
      <c r="I140" s="2" t="n">
        <f aca="false">-export!D138</f>
        <v>-0</v>
      </c>
      <c r="J140" s="2" t="n">
        <f aca="false">-charge!D138</f>
        <v>-0</v>
      </c>
      <c r="K140" s="2" t="n">
        <f aca="false">discharge!D138</f>
        <v>0</v>
      </c>
      <c r="L140" s="2" t="n">
        <f aca="false">soc!D138/investment!$E$3 *100</f>
        <v>24.768041766513</v>
      </c>
    </row>
    <row r="141" customFormat="false" ht="13.8" hidden="false" customHeight="false" outlineLevel="0" collapsed="false">
      <c r="B141" s="11" t="n">
        <f aca="false">_xlfn.NUMBERVALUE(solar!B138)</f>
        <v>0</v>
      </c>
      <c r="C141" s="12" t="n">
        <f aca="false">solar!C138</f>
        <v>0</v>
      </c>
      <c r="D141" s="6" t="n">
        <v>137</v>
      </c>
      <c r="E141" s="17" t="n">
        <f aca="false">IFERROR(INDEX($B$5:$C$173, MATCH($D141, $B$5:$B$175, 0), 2), 0)*investment!$C$3</f>
        <v>0</v>
      </c>
      <c r="F141" s="18" t="n">
        <f aca="false">demand!D139</f>
        <v>0</v>
      </c>
      <c r="G141" s="2" t="n">
        <f aca="false">solgen!D139</f>
        <v>0</v>
      </c>
      <c r="H141" s="2" t="n">
        <f aca="false">import!D139</f>
        <v>0</v>
      </c>
      <c r="I141" s="2" t="n">
        <f aca="false">-export!D139</f>
        <v>-0</v>
      </c>
      <c r="J141" s="2" t="n">
        <f aca="false">-charge!D139</f>
        <v>-0</v>
      </c>
      <c r="K141" s="2" t="n">
        <f aca="false">discharge!D139</f>
        <v>0</v>
      </c>
      <c r="L141" s="2" t="n">
        <f aca="false">soc!D139/investment!$E$3 *100</f>
        <v>28.2232629318643</v>
      </c>
    </row>
    <row r="142" customFormat="false" ht="13.8" hidden="false" customHeight="false" outlineLevel="0" collapsed="false">
      <c r="B142" s="11" t="n">
        <f aca="false">_xlfn.NUMBERVALUE(solar!B139)</f>
        <v>0</v>
      </c>
      <c r="C142" s="12" t="n">
        <f aca="false">solar!C139</f>
        <v>0</v>
      </c>
      <c r="D142" s="6" t="n">
        <v>138</v>
      </c>
      <c r="E142" s="17" t="n">
        <f aca="false">IFERROR(INDEX($B$5:$C$173, MATCH($D142, $B$5:$B$175, 0), 2), 0)*investment!$C$3</f>
        <v>0</v>
      </c>
      <c r="F142" s="18" t="n">
        <f aca="false">demand!D140</f>
        <v>0</v>
      </c>
      <c r="G142" s="2" t="n">
        <f aca="false">solgen!D140</f>
        <v>0</v>
      </c>
      <c r="H142" s="2" t="n">
        <f aca="false">import!D140</f>
        <v>0</v>
      </c>
      <c r="I142" s="2" t="n">
        <f aca="false">-export!D140</f>
        <v>-0</v>
      </c>
      <c r="J142" s="2" t="n">
        <f aca="false">-charge!D140</f>
        <v>-0</v>
      </c>
      <c r="K142" s="2" t="n">
        <f aca="false">discharge!D140</f>
        <v>0</v>
      </c>
      <c r="L142" s="2" t="n">
        <f aca="false">soc!D140/investment!$E$3 *100</f>
        <v>31.7474741156792</v>
      </c>
    </row>
    <row r="143" customFormat="false" ht="13.8" hidden="false" customHeight="false" outlineLevel="0" collapsed="false">
      <c r="B143" s="11" t="n">
        <f aca="false">_xlfn.NUMBERVALUE(solar!B140)</f>
        <v>0</v>
      </c>
      <c r="C143" s="12" t="n">
        <f aca="false">solar!C140</f>
        <v>0</v>
      </c>
      <c r="D143" s="6" t="n">
        <v>139</v>
      </c>
      <c r="E143" s="17" t="n">
        <f aca="false">IFERROR(INDEX($B$5:$C$173, MATCH($D143, $B$5:$B$175, 0), 2), 0)*investment!$C$3</f>
        <v>0</v>
      </c>
      <c r="F143" s="18" t="n">
        <f aca="false">demand!D141</f>
        <v>0</v>
      </c>
      <c r="G143" s="2" t="n">
        <f aca="false">solgen!D141</f>
        <v>0</v>
      </c>
      <c r="H143" s="2" t="n">
        <f aca="false">import!D141</f>
        <v>0</v>
      </c>
      <c r="I143" s="2" t="n">
        <f aca="false">-export!D141</f>
        <v>-0</v>
      </c>
      <c r="J143" s="2" t="n">
        <f aca="false">-charge!D141</f>
        <v>-0</v>
      </c>
      <c r="K143" s="2" t="n">
        <f aca="false">discharge!D141</f>
        <v>0</v>
      </c>
      <c r="L143" s="2" t="n">
        <f aca="false">soc!D141/investment!$E$3 *100</f>
        <v>35.3405174780315</v>
      </c>
    </row>
    <row r="144" customFormat="false" ht="13.8" hidden="false" customHeight="false" outlineLevel="0" collapsed="false">
      <c r="B144" s="11" t="n">
        <f aca="false">_xlfn.NUMBERVALUE(solar!B141)</f>
        <v>0</v>
      </c>
      <c r="C144" s="12" t="n">
        <f aca="false">solar!C141</f>
        <v>0</v>
      </c>
      <c r="D144" s="6" t="n">
        <v>140</v>
      </c>
      <c r="E144" s="17" t="n">
        <f aca="false">IFERROR(INDEX($B$5:$C$173, MATCH($D144, $B$5:$B$175, 0), 2), 0)*investment!$C$3</f>
        <v>0</v>
      </c>
      <c r="F144" s="18" t="n">
        <f aca="false">demand!D142</f>
        <v>0</v>
      </c>
      <c r="G144" s="2" t="n">
        <f aca="false">solgen!D142</f>
        <v>0</v>
      </c>
      <c r="H144" s="2" t="n">
        <f aca="false">import!D142</f>
        <v>0</v>
      </c>
      <c r="I144" s="2" t="n">
        <f aca="false">-export!D142</f>
        <v>-0</v>
      </c>
      <c r="J144" s="2" t="n">
        <f aca="false">-charge!D142</f>
        <v>-0</v>
      </c>
      <c r="K144" s="2" t="n">
        <f aca="false">discharge!D142</f>
        <v>0</v>
      </c>
      <c r="L144" s="2" t="n">
        <f aca="false">soc!D142/investment!$E$3 *100</f>
        <v>39.00228774003</v>
      </c>
    </row>
    <row r="145" customFormat="false" ht="13.8" hidden="false" customHeight="false" outlineLevel="0" collapsed="false">
      <c r="B145" s="11" t="n">
        <f aca="false">_xlfn.NUMBERVALUE(solar!B142)</f>
        <v>0</v>
      </c>
      <c r="C145" s="12" t="n">
        <f aca="false">solar!C142</f>
        <v>0</v>
      </c>
      <c r="D145" s="6" t="n">
        <v>141</v>
      </c>
      <c r="E145" s="17" t="n">
        <f aca="false">IFERROR(INDEX($B$5:$C$173, MATCH($D145, $B$5:$B$175, 0), 2), 0)*investment!$C$3</f>
        <v>0</v>
      </c>
      <c r="F145" s="18" t="n">
        <f aca="false">demand!D143</f>
        <v>0</v>
      </c>
      <c r="G145" s="2" t="n">
        <f aca="false">solgen!D143</f>
        <v>0</v>
      </c>
      <c r="H145" s="2" t="n">
        <f aca="false">import!D143</f>
        <v>0</v>
      </c>
      <c r="I145" s="2" t="n">
        <f aca="false">-export!D143</f>
        <v>-0</v>
      </c>
      <c r="J145" s="2" t="n">
        <f aca="false">-charge!D143</f>
        <v>-0</v>
      </c>
      <c r="K145" s="2" t="n">
        <f aca="false">discharge!D143</f>
        <v>0</v>
      </c>
      <c r="L145" s="2" t="n">
        <f aca="false">soc!D143/investment!$E$3 *100</f>
        <v>42.7329571883136</v>
      </c>
    </row>
    <row r="146" customFormat="false" ht="13.8" hidden="false" customHeight="false" outlineLevel="0" collapsed="false">
      <c r="B146" s="11" t="n">
        <f aca="false">_xlfn.NUMBERVALUE(solar!B143)</f>
        <v>0</v>
      </c>
      <c r="C146" s="12" t="n">
        <f aca="false">solar!C143</f>
        <v>0</v>
      </c>
      <c r="D146" s="6" t="n">
        <v>142</v>
      </c>
      <c r="E146" s="17" t="n">
        <f aca="false">IFERROR(INDEX($B$5:$C$173, MATCH($D146, $B$5:$B$175, 0), 2), 0)*investment!$C$3</f>
        <v>0</v>
      </c>
      <c r="F146" s="18" t="n">
        <f aca="false">demand!D144</f>
        <v>0</v>
      </c>
      <c r="G146" s="2" t="n">
        <f aca="false">solgen!D144</f>
        <v>0</v>
      </c>
      <c r="H146" s="2" t="n">
        <f aca="false">import!D144</f>
        <v>0</v>
      </c>
      <c r="I146" s="2" t="n">
        <f aca="false">-export!D144</f>
        <v>-0</v>
      </c>
      <c r="J146" s="2" t="n">
        <f aca="false">-charge!D144</f>
        <v>-0</v>
      </c>
      <c r="K146" s="2" t="n">
        <f aca="false">discharge!D144</f>
        <v>0</v>
      </c>
      <c r="L146" s="2" t="n">
        <f aca="false">soc!D144/investment!$E$3 *100</f>
        <v>46.5115265963997</v>
      </c>
    </row>
    <row r="147" customFormat="false" ht="13.8" hidden="false" customHeight="false" outlineLevel="0" collapsed="false">
      <c r="B147" s="11" t="n">
        <f aca="false">_xlfn.NUMBERVALUE(solar!B144)</f>
        <v>0</v>
      </c>
      <c r="C147" s="12" t="n">
        <f aca="false">solar!C144</f>
        <v>0</v>
      </c>
      <c r="D147" s="6" t="n">
        <v>143</v>
      </c>
      <c r="E147" s="17" t="n">
        <f aca="false">IFERROR(INDEX($B$5:$C$173, MATCH($D147, $B$5:$B$175, 0), 2), 0)*investment!$C$3</f>
        <v>0</v>
      </c>
      <c r="F147" s="18" t="n">
        <f aca="false">demand!D145</f>
        <v>0</v>
      </c>
      <c r="G147" s="2" t="n">
        <f aca="false">solgen!D145</f>
        <v>0</v>
      </c>
      <c r="H147" s="2" t="n">
        <f aca="false">import!D145</f>
        <v>0</v>
      </c>
      <c r="I147" s="2" t="n">
        <f aca="false">-export!D145</f>
        <v>-0</v>
      </c>
      <c r="J147" s="2" t="n">
        <f aca="false">-charge!D145</f>
        <v>-0</v>
      </c>
      <c r="K147" s="2" t="n">
        <f aca="false">discharge!D145</f>
        <v>0</v>
      </c>
      <c r="L147" s="2" t="n">
        <f aca="false">soc!D145/investment!$E$3 *100</f>
        <v>50.3355411850354</v>
      </c>
    </row>
    <row r="148" customFormat="false" ht="13.8" hidden="false" customHeight="false" outlineLevel="0" collapsed="false">
      <c r="B148" s="11" t="n">
        <f aca="false">_xlfn.NUMBERVALUE(solar!B145)</f>
        <v>0</v>
      </c>
      <c r="C148" s="12" t="n">
        <f aca="false">solar!C145</f>
        <v>0</v>
      </c>
      <c r="D148" s="6" t="n">
        <v>144</v>
      </c>
      <c r="E148" s="17" t="n">
        <f aca="false">IFERROR(INDEX($B$5:$C$173, MATCH($D148, $B$5:$B$175, 0), 2), 0)*investment!$C$3</f>
        <v>0</v>
      </c>
      <c r="F148" s="18" t="n">
        <f aca="false">demand!D146</f>
        <v>0</v>
      </c>
      <c r="G148" s="2" t="n">
        <f aca="false">solgen!D146</f>
        <v>0</v>
      </c>
      <c r="H148" s="2" t="n">
        <f aca="false">import!D146</f>
        <v>0</v>
      </c>
      <c r="I148" s="2" t="n">
        <f aca="false">-export!D146</f>
        <v>-0</v>
      </c>
      <c r="J148" s="2" t="n">
        <f aca="false">-charge!D146</f>
        <v>-0</v>
      </c>
      <c r="K148" s="2" t="n">
        <f aca="false">discharge!D146</f>
        <v>0</v>
      </c>
      <c r="L148" s="2" t="n">
        <f aca="false">soc!D146/investment!$E$3 *100</f>
        <v>54.2027935155652</v>
      </c>
    </row>
    <row r="149" customFormat="false" ht="13.8" hidden="false" customHeight="false" outlineLevel="0" collapsed="false">
      <c r="B149" s="11" t="n">
        <f aca="false">_xlfn.NUMBERVALUE(solar!B146)</f>
        <v>0</v>
      </c>
      <c r="C149" s="12" t="n">
        <f aca="false">solar!C146</f>
        <v>0</v>
      </c>
      <c r="D149" s="6" t="n">
        <v>145</v>
      </c>
      <c r="E149" s="17" t="n">
        <f aca="false">IFERROR(INDEX($B$5:$C$173, MATCH($D149, $B$5:$B$175, 0), 2), 0)*investment!$C$3</f>
        <v>0</v>
      </c>
      <c r="F149" s="18" t="n">
        <f aca="false">demand!D147</f>
        <v>0</v>
      </c>
      <c r="G149" s="2" t="n">
        <f aca="false">solgen!D147</f>
        <v>0</v>
      </c>
      <c r="H149" s="2" t="n">
        <f aca="false">import!D147</f>
        <v>0</v>
      </c>
      <c r="I149" s="2" t="n">
        <f aca="false">-export!D147</f>
        <v>-0</v>
      </c>
      <c r="J149" s="2" t="n">
        <f aca="false">-charge!D147</f>
        <v>-0</v>
      </c>
      <c r="K149" s="2" t="n">
        <f aca="false">discharge!D147</f>
        <v>0</v>
      </c>
      <c r="L149" s="2" t="n">
        <f aca="false">soc!D147/investment!$E$3 *100</f>
        <v>58.1167573066857</v>
      </c>
    </row>
    <row r="150" customFormat="false" ht="13.8" hidden="false" customHeight="false" outlineLevel="0" collapsed="false">
      <c r="B150" s="11" t="n">
        <f aca="false">_xlfn.NUMBERVALUE(solar!B147)</f>
        <v>0</v>
      </c>
      <c r="C150" s="12" t="n">
        <f aca="false">solar!C147</f>
        <v>0</v>
      </c>
      <c r="D150" s="6" t="n">
        <v>146</v>
      </c>
      <c r="E150" s="17" t="n">
        <f aca="false">IFERROR(INDEX($B$5:$C$173, MATCH($D150, $B$5:$B$175, 0), 2), 0)*investment!$C$3</f>
        <v>0</v>
      </c>
      <c r="F150" s="18" t="n">
        <f aca="false">demand!D148</f>
        <v>0</v>
      </c>
      <c r="G150" s="2" t="n">
        <f aca="false">solgen!D148</f>
        <v>0</v>
      </c>
      <c r="H150" s="2" t="n">
        <f aca="false">import!D148</f>
        <v>0</v>
      </c>
      <c r="I150" s="2" t="n">
        <f aca="false">-export!D148</f>
        <v>-0</v>
      </c>
      <c r="J150" s="2" t="n">
        <f aca="false">-charge!D148</f>
        <v>-0</v>
      </c>
      <c r="K150" s="2" t="n">
        <f aca="false">discharge!D148</f>
        <v>0</v>
      </c>
      <c r="L150" s="2" t="n">
        <f aca="false">soc!D148/investment!$E$3 *100</f>
        <v>61.955431529216</v>
      </c>
    </row>
    <row r="151" customFormat="false" ht="13.8" hidden="false" customHeight="false" outlineLevel="0" collapsed="false">
      <c r="B151" s="11" t="n">
        <f aca="false">_xlfn.NUMBERVALUE(solar!B148)</f>
        <v>0</v>
      </c>
      <c r="C151" s="12" t="n">
        <f aca="false">solar!C148</f>
        <v>0</v>
      </c>
      <c r="D151" s="6" t="n">
        <v>147</v>
      </c>
      <c r="E151" s="17" t="n">
        <f aca="false">IFERROR(INDEX($B$5:$C$173, MATCH($D151, $B$5:$B$175, 0), 2), 0)*investment!$C$3</f>
        <v>0</v>
      </c>
      <c r="F151" s="18" t="n">
        <f aca="false">demand!D149</f>
        <v>0</v>
      </c>
      <c r="G151" s="2" t="n">
        <f aca="false">solgen!D149</f>
        <v>0</v>
      </c>
      <c r="H151" s="2" t="n">
        <f aca="false">import!D149</f>
        <v>0</v>
      </c>
      <c r="I151" s="2" t="n">
        <f aca="false">-export!D149</f>
        <v>-0</v>
      </c>
      <c r="J151" s="2" t="n">
        <f aca="false">-charge!D149</f>
        <v>-0</v>
      </c>
      <c r="K151" s="2" t="n">
        <f aca="false">discharge!D149</f>
        <v>0</v>
      </c>
      <c r="L151" s="2" t="n">
        <f aca="false">soc!D149/investment!$E$3 *100</f>
        <v>65.7164459508076</v>
      </c>
    </row>
    <row r="152" customFormat="false" ht="13.8" hidden="false" customHeight="false" outlineLevel="0" collapsed="false">
      <c r="B152" s="11" t="n">
        <f aca="false">_xlfn.NUMBERVALUE(solar!B149)</f>
        <v>0</v>
      </c>
      <c r="C152" s="12" t="n">
        <f aca="false">solar!C149</f>
        <v>0</v>
      </c>
      <c r="D152" s="6" t="n">
        <v>148</v>
      </c>
      <c r="E152" s="17" t="n">
        <f aca="false">IFERROR(INDEX($B$5:$C$173, MATCH($D152, $B$5:$B$175, 0), 2), 0)*investment!$C$3</f>
        <v>0</v>
      </c>
      <c r="F152" s="18" t="n">
        <f aca="false">demand!D150</f>
        <v>0</v>
      </c>
      <c r="G152" s="2" t="n">
        <f aca="false">solgen!D150</f>
        <v>0</v>
      </c>
      <c r="H152" s="2" t="n">
        <f aca="false">import!D150</f>
        <v>0</v>
      </c>
      <c r="I152" s="2" t="n">
        <f aca="false">-export!D150</f>
        <v>-0</v>
      </c>
      <c r="J152" s="2" t="n">
        <f aca="false">-charge!D150</f>
        <v>-0</v>
      </c>
      <c r="K152" s="2" t="n">
        <f aca="false">discharge!D150</f>
        <v>0</v>
      </c>
      <c r="L152" s="2" t="n">
        <f aca="false">soc!D150/investment!$E$3 *100</f>
        <v>69.2978978278603</v>
      </c>
    </row>
    <row r="153" customFormat="false" ht="13.8" hidden="false" customHeight="false" outlineLevel="0" collapsed="false">
      <c r="B153" s="11" t="n">
        <f aca="false">_xlfn.NUMBERVALUE(solar!B150)</f>
        <v>0</v>
      </c>
      <c r="C153" s="12" t="n">
        <f aca="false">solar!C150</f>
        <v>0</v>
      </c>
      <c r="D153" s="6" t="n">
        <v>149</v>
      </c>
      <c r="E153" s="17" t="n">
        <f aca="false">IFERROR(INDEX($B$5:$C$173, MATCH($D153, $B$5:$B$175, 0), 2), 0)*investment!$C$3</f>
        <v>0</v>
      </c>
      <c r="F153" s="18" t="n">
        <f aca="false">demand!D151</f>
        <v>0</v>
      </c>
      <c r="G153" s="2" t="n">
        <f aca="false">solgen!D151</f>
        <v>0</v>
      </c>
      <c r="H153" s="2" t="n">
        <f aca="false">import!D151</f>
        <v>0</v>
      </c>
      <c r="I153" s="2" t="n">
        <f aca="false">-export!D151</f>
        <v>-0</v>
      </c>
      <c r="J153" s="2" t="n">
        <f aca="false">-charge!D151</f>
        <v>-0</v>
      </c>
      <c r="K153" s="2" t="n">
        <f aca="false">discharge!D151</f>
        <v>0</v>
      </c>
      <c r="L153" s="2" t="n">
        <f aca="false">soc!D151/investment!$E$3 *100</f>
        <v>73.4184682699979</v>
      </c>
    </row>
    <row r="154" customFormat="false" ht="13.8" hidden="false" customHeight="false" outlineLevel="0" collapsed="false">
      <c r="B154" s="11" t="n">
        <f aca="false">_xlfn.NUMBERVALUE(solar!B151)</f>
        <v>0</v>
      </c>
      <c r="C154" s="12" t="n">
        <f aca="false">solar!C151</f>
        <v>0</v>
      </c>
      <c r="D154" s="6" t="n">
        <v>150</v>
      </c>
      <c r="E154" s="17" t="n">
        <f aca="false">IFERROR(INDEX($B$5:$C$173, MATCH($D154, $B$5:$B$175, 0), 2), 0)*investment!$C$3</f>
        <v>0</v>
      </c>
      <c r="F154" s="18" t="n">
        <f aca="false">demand!D152</f>
        <v>0</v>
      </c>
      <c r="G154" s="2" t="n">
        <f aca="false">solgen!D152</f>
        <v>0</v>
      </c>
      <c r="H154" s="2" t="n">
        <f aca="false">import!D152</f>
        <v>0</v>
      </c>
      <c r="I154" s="2" t="n">
        <f aca="false">-export!D152</f>
        <v>-0</v>
      </c>
      <c r="J154" s="2" t="n">
        <f aca="false">-charge!D152</f>
        <v>-0</v>
      </c>
      <c r="K154" s="2" t="n">
        <f aca="false">discharge!D152</f>
        <v>0</v>
      </c>
      <c r="L154" s="2" t="n">
        <f aca="false">soc!D152/investment!$E$3 *100</f>
        <v>76.7495321351459</v>
      </c>
    </row>
    <row r="155" customFormat="false" ht="13.8" hidden="false" customHeight="false" outlineLevel="0" collapsed="false">
      <c r="B155" s="11" t="n">
        <f aca="false">_xlfn.NUMBERVALUE(solar!B152)</f>
        <v>0</v>
      </c>
      <c r="C155" s="12" t="n">
        <f aca="false">solar!C152</f>
        <v>0</v>
      </c>
      <c r="D155" s="6" t="n">
        <v>151</v>
      </c>
      <c r="E155" s="17" t="n">
        <f aca="false">IFERROR(INDEX($B$5:$C$173, MATCH($D155, $B$5:$B$175, 0), 2), 0)*investment!$C$3</f>
        <v>0</v>
      </c>
      <c r="F155" s="18" t="n">
        <f aca="false">demand!D153</f>
        <v>0</v>
      </c>
      <c r="G155" s="2" t="n">
        <f aca="false">solgen!D153</f>
        <v>0</v>
      </c>
      <c r="H155" s="2" t="n">
        <f aca="false">import!D153</f>
        <v>0</v>
      </c>
      <c r="I155" s="2" t="n">
        <f aca="false">-export!D153</f>
        <v>-0</v>
      </c>
      <c r="J155" s="2" t="n">
        <f aca="false">-charge!D153</f>
        <v>-0</v>
      </c>
      <c r="K155" s="2" t="n">
        <f aca="false">discharge!D153</f>
        <v>0</v>
      </c>
      <c r="L155" s="2" t="n">
        <f aca="false">soc!D153/investment!$E$3 *100</f>
        <v>79.9275708622723</v>
      </c>
    </row>
    <row r="156" customFormat="false" ht="13.8" hidden="false" customHeight="false" outlineLevel="0" collapsed="false">
      <c r="B156" s="11" t="n">
        <f aca="false">_xlfn.NUMBERVALUE(solar!B153)</f>
        <v>0</v>
      </c>
      <c r="C156" s="12" t="n">
        <f aca="false">solar!C153</f>
        <v>0</v>
      </c>
      <c r="D156" s="6" t="n">
        <v>152</v>
      </c>
      <c r="E156" s="17" t="n">
        <f aca="false">IFERROR(INDEX($B$5:$C$173, MATCH($D156, $B$5:$B$175, 0), 2), 0)*investment!$C$3</f>
        <v>0</v>
      </c>
      <c r="F156" s="18" t="n">
        <f aca="false">demand!D154</f>
        <v>0</v>
      </c>
      <c r="G156" s="2" t="n">
        <f aca="false">solgen!D154</f>
        <v>0</v>
      </c>
      <c r="H156" s="2" t="n">
        <f aca="false">import!D154</f>
        <v>0</v>
      </c>
      <c r="I156" s="2" t="n">
        <f aca="false">-export!D154</f>
        <v>-0</v>
      </c>
      <c r="J156" s="2" t="n">
        <f aca="false">-charge!D154</f>
        <v>-0</v>
      </c>
      <c r="K156" s="2" t="n">
        <f aca="false">discharge!D154</f>
        <v>0</v>
      </c>
      <c r="L156" s="2" t="n">
        <f aca="false">soc!D154/investment!$E$3 *100</f>
        <v>83.4446781125439</v>
      </c>
    </row>
    <row r="157" customFormat="false" ht="13.8" hidden="false" customHeight="false" outlineLevel="0" collapsed="false">
      <c r="B157" s="11" t="n">
        <f aca="false">_xlfn.NUMBERVALUE(solar!B154)</f>
        <v>0</v>
      </c>
      <c r="C157" s="12" t="n">
        <f aca="false">solar!C154</f>
        <v>0</v>
      </c>
      <c r="D157" s="6" t="n">
        <v>153</v>
      </c>
      <c r="E157" s="17" t="n">
        <f aca="false">IFERROR(INDEX($B$5:$C$173, MATCH($D157, $B$5:$B$175, 0), 2), 0)*investment!$C$3</f>
        <v>0</v>
      </c>
      <c r="F157" s="18" t="n">
        <f aca="false">demand!D155</f>
        <v>0</v>
      </c>
      <c r="G157" s="2" t="n">
        <f aca="false">solgen!D155</f>
        <v>0</v>
      </c>
      <c r="H157" s="2" t="n">
        <f aca="false">import!D155</f>
        <v>0</v>
      </c>
      <c r="I157" s="2" t="n">
        <f aca="false">-export!D155</f>
        <v>-0</v>
      </c>
      <c r="J157" s="2" t="n">
        <f aca="false">-charge!D155</f>
        <v>-0</v>
      </c>
      <c r="K157" s="2" t="n">
        <f aca="false">discharge!D155</f>
        <v>0</v>
      </c>
      <c r="L157" s="2" t="n">
        <f aca="false">soc!D155/investment!$E$3 *100</f>
        <v>86.9617807811918</v>
      </c>
    </row>
    <row r="158" customFormat="false" ht="13.8" hidden="false" customHeight="false" outlineLevel="0" collapsed="false">
      <c r="B158" s="11" t="n">
        <f aca="false">_xlfn.NUMBERVALUE(solar!B155)</f>
        <v>0</v>
      </c>
      <c r="C158" s="12" t="n">
        <f aca="false">solar!C155</f>
        <v>0</v>
      </c>
      <c r="D158" s="6" t="n">
        <v>154</v>
      </c>
      <c r="E158" s="17" t="n">
        <f aca="false">IFERROR(INDEX($B$5:$C$173, MATCH($D158, $B$5:$B$175, 0), 2), 0)*investment!$C$3</f>
        <v>0</v>
      </c>
      <c r="F158" s="18" t="n">
        <f aca="false">demand!D156</f>
        <v>0</v>
      </c>
      <c r="G158" s="2" t="n">
        <f aca="false">solgen!D156</f>
        <v>0</v>
      </c>
      <c r="H158" s="2" t="n">
        <f aca="false">import!D156</f>
        <v>0</v>
      </c>
      <c r="I158" s="2" t="n">
        <f aca="false">-export!D156</f>
        <v>-0</v>
      </c>
      <c r="J158" s="2" t="n">
        <f aca="false">-charge!D156</f>
        <v>-0</v>
      </c>
      <c r="K158" s="2" t="n">
        <f aca="false">discharge!D156</f>
        <v>0</v>
      </c>
      <c r="L158" s="2" t="n">
        <f aca="false">soc!D156/investment!$E$3 *100</f>
        <v>90.2005962595853</v>
      </c>
    </row>
    <row r="159" customFormat="false" ht="13.8" hidden="false" customHeight="false" outlineLevel="0" collapsed="false">
      <c r="B159" s="11" t="n">
        <f aca="false">_xlfn.NUMBERVALUE(solar!B156)</f>
        <v>0</v>
      </c>
      <c r="C159" s="12" t="n">
        <f aca="false">solar!C156</f>
        <v>0</v>
      </c>
      <c r="D159" s="6" t="n">
        <v>155</v>
      </c>
      <c r="E159" s="17" t="n">
        <f aca="false">IFERROR(INDEX($B$5:$C$173, MATCH($D159, $B$5:$B$175, 0), 2), 0)*investment!$C$3</f>
        <v>0</v>
      </c>
      <c r="F159" s="18" t="n">
        <f aca="false">demand!D157</f>
        <v>0</v>
      </c>
      <c r="G159" s="2" t="n">
        <f aca="false">solgen!D157</f>
        <v>0</v>
      </c>
      <c r="H159" s="2" t="n">
        <f aca="false">import!D157</f>
        <v>0</v>
      </c>
      <c r="I159" s="2" t="n">
        <f aca="false">-export!D157</f>
        <v>-0</v>
      </c>
      <c r="J159" s="2" t="n">
        <f aca="false">-charge!D157</f>
        <v>-0</v>
      </c>
      <c r="K159" s="2" t="n">
        <f aca="false">discharge!D157</f>
        <v>0</v>
      </c>
      <c r="L159" s="2" t="n">
        <f aca="false">soc!D157/investment!$E$3 *100</f>
        <v>93.1611273305964</v>
      </c>
    </row>
    <row r="160" customFormat="false" ht="13.8" hidden="false" customHeight="false" outlineLevel="0" collapsed="false">
      <c r="B160" s="11" t="n">
        <f aca="false">_xlfn.NUMBERVALUE(solar!B157)</f>
        <v>0</v>
      </c>
      <c r="C160" s="12" t="n">
        <f aca="false">solar!C157</f>
        <v>0</v>
      </c>
      <c r="D160" s="6" t="n">
        <v>156</v>
      </c>
      <c r="E160" s="17" t="n">
        <f aca="false">IFERROR(INDEX($B$5:$C$173, MATCH($D160, $B$5:$B$175, 0), 2), 0)*investment!$C$3</f>
        <v>0</v>
      </c>
      <c r="F160" s="18" t="n">
        <f aca="false">demand!D158</f>
        <v>0</v>
      </c>
      <c r="G160" s="2" t="n">
        <f aca="false">solgen!D158</f>
        <v>0</v>
      </c>
      <c r="H160" s="2" t="n">
        <f aca="false">import!D158</f>
        <v>0</v>
      </c>
      <c r="I160" s="2" t="n">
        <f aca="false">-export!D158</f>
        <v>-0</v>
      </c>
      <c r="J160" s="2" t="n">
        <f aca="false">-charge!D158</f>
        <v>-0</v>
      </c>
      <c r="K160" s="2" t="n">
        <f aca="false">discharge!D158</f>
        <v>0</v>
      </c>
      <c r="L160" s="2" t="n">
        <f aca="false">soc!D158/investment!$E$3 *100</f>
        <v>95.8433767770691</v>
      </c>
    </row>
    <row r="161" customFormat="false" ht="13.8" hidden="false" customHeight="false" outlineLevel="0" collapsed="false">
      <c r="B161" s="11" t="n">
        <f aca="false">_xlfn.NUMBERVALUE(solar!B158)</f>
        <v>0</v>
      </c>
      <c r="C161" s="12" t="n">
        <f aca="false">solar!C158</f>
        <v>0</v>
      </c>
      <c r="D161" s="6" t="n">
        <v>157</v>
      </c>
      <c r="E161" s="17" t="n">
        <f aca="false">IFERROR(INDEX($B$5:$C$173, MATCH($D161, $B$5:$B$175, 0), 2), 0)*investment!$C$3</f>
        <v>0</v>
      </c>
      <c r="F161" s="18" t="n">
        <f aca="false">demand!D159</f>
        <v>0</v>
      </c>
      <c r="G161" s="2" t="n">
        <f aca="false">solgen!D159</f>
        <v>0</v>
      </c>
      <c r="H161" s="2" t="n">
        <f aca="false">import!D159</f>
        <v>0</v>
      </c>
      <c r="I161" s="2" t="n">
        <f aca="false">-export!D159</f>
        <v>-0</v>
      </c>
      <c r="J161" s="2" t="n">
        <f aca="false">-charge!D159</f>
        <v>-0</v>
      </c>
      <c r="K161" s="2" t="n">
        <f aca="false">discharge!D159</f>
        <v>0</v>
      </c>
      <c r="L161" s="2" t="n">
        <f aca="false">soc!D159/investment!$E$3 *100</f>
        <v>97.2247608282134</v>
      </c>
    </row>
    <row r="162" customFormat="false" ht="13.8" hidden="false" customHeight="false" outlineLevel="0" collapsed="false">
      <c r="B162" s="11" t="n">
        <f aca="false">_xlfn.NUMBERVALUE(solar!B159)</f>
        <v>0</v>
      </c>
      <c r="C162" s="12" t="n">
        <f aca="false">solar!C159</f>
        <v>0</v>
      </c>
      <c r="D162" s="6" t="n">
        <v>158</v>
      </c>
      <c r="E162" s="17" t="n">
        <f aca="false">IFERROR(INDEX($B$5:$C$173, MATCH($D162, $B$5:$B$175, 0), 2), 0)*investment!$C$3</f>
        <v>0</v>
      </c>
      <c r="F162" s="18" t="n">
        <f aca="false">demand!D160</f>
        <v>0</v>
      </c>
      <c r="G162" s="2" t="n">
        <f aca="false">solgen!D160</f>
        <v>0</v>
      </c>
      <c r="H162" s="2" t="n">
        <f aca="false">import!D160</f>
        <v>0</v>
      </c>
      <c r="I162" s="2" t="n">
        <f aca="false">-export!D160</f>
        <v>-0</v>
      </c>
      <c r="J162" s="2" t="n">
        <f aca="false">-charge!D160</f>
        <v>-0</v>
      </c>
      <c r="K162" s="2" t="n">
        <f aca="false">discharge!D160</f>
        <v>0</v>
      </c>
      <c r="L162" s="2" t="n">
        <f aca="false">soc!D160/investment!$E$3 *100</f>
        <v>97.3227972161022</v>
      </c>
    </row>
    <row r="163" customFormat="false" ht="13.8" hidden="false" customHeight="false" outlineLevel="0" collapsed="false">
      <c r="B163" s="11" t="n">
        <f aca="false">_xlfn.NUMBERVALUE(solar!B160)</f>
        <v>0</v>
      </c>
      <c r="C163" s="12" t="n">
        <f aca="false">solar!C160</f>
        <v>0</v>
      </c>
      <c r="D163" s="6" t="n">
        <v>159</v>
      </c>
      <c r="E163" s="17" t="n">
        <f aca="false">IFERROR(INDEX($B$5:$C$173, MATCH($D163, $B$5:$B$175, 0), 2), 0)*investment!$C$3</f>
        <v>0</v>
      </c>
      <c r="F163" s="18" t="n">
        <f aca="false">demand!D161</f>
        <v>0</v>
      </c>
      <c r="G163" s="2" t="n">
        <f aca="false">solgen!D161</f>
        <v>0</v>
      </c>
      <c r="H163" s="2" t="n">
        <f aca="false">import!D161</f>
        <v>0</v>
      </c>
      <c r="I163" s="2" t="n">
        <f aca="false">-export!D161</f>
        <v>-0</v>
      </c>
      <c r="J163" s="2" t="n">
        <f aca="false">-charge!D161</f>
        <v>-0</v>
      </c>
      <c r="K163" s="2" t="n">
        <f aca="false">discharge!D161</f>
        <v>0</v>
      </c>
      <c r="L163" s="2" t="n">
        <f aca="false">soc!D161/investment!$E$3 *100</f>
        <v>99.3376220219568</v>
      </c>
    </row>
    <row r="164" customFormat="false" ht="13.8" hidden="false" customHeight="false" outlineLevel="0" collapsed="false">
      <c r="B164" s="11" t="n">
        <f aca="false">_xlfn.NUMBERVALUE(solar!B161)</f>
        <v>0</v>
      </c>
      <c r="C164" s="12" t="n">
        <f aca="false">solar!C161</f>
        <v>0</v>
      </c>
      <c r="D164" s="6" t="n">
        <v>160</v>
      </c>
      <c r="E164" s="17" t="n">
        <f aca="false">IFERROR(INDEX($B$5:$C$173, MATCH($D164, $B$5:$B$175, 0), 2), 0)*investment!$C$3</f>
        <v>0</v>
      </c>
      <c r="F164" s="18" t="n">
        <f aca="false">demand!D162</f>
        <v>0</v>
      </c>
      <c r="G164" s="2" t="n">
        <f aca="false">solgen!D162</f>
        <v>0</v>
      </c>
      <c r="H164" s="2" t="n">
        <f aca="false">import!D162</f>
        <v>0</v>
      </c>
      <c r="I164" s="2" t="n">
        <f aca="false">-export!D162</f>
        <v>-0</v>
      </c>
      <c r="J164" s="2" t="n">
        <f aca="false">-charge!D162</f>
        <v>-0</v>
      </c>
      <c r="K164" s="2" t="n">
        <f aca="false">discharge!D162</f>
        <v>0</v>
      </c>
      <c r="L164" s="2" t="n">
        <f aca="false">soc!D162/investment!$E$3 *100</f>
        <v>99.5016462487232</v>
      </c>
    </row>
    <row r="165" customFormat="false" ht="13.8" hidden="false" customHeight="false" outlineLevel="0" collapsed="false">
      <c r="B165" s="11" t="n">
        <f aca="false">_xlfn.NUMBERVALUE(solar!B162)</f>
        <v>0</v>
      </c>
      <c r="C165" s="12" t="n">
        <f aca="false">solar!C162</f>
        <v>0</v>
      </c>
      <c r="D165" s="6" t="n">
        <v>161</v>
      </c>
      <c r="E165" s="17" t="n">
        <f aca="false">IFERROR(INDEX($B$5:$C$173, MATCH($D165, $B$5:$B$175, 0), 2), 0)*investment!$C$3</f>
        <v>0</v>
      </c>
      <c r="F165" s="18" t="n">
        <f aca="false">demand!D163</f>
        <v>0</v>
      </c>
      <c r="G165" s="2" t="n">
        <f aca="false">solgen!D163</f>
        <v>0</v>
      </c>
      <c r="H165" s="2" t="n">
        <f aca="false">import!D163</f>
        <v>0</v>
      </c>
      <c r="I165" s="2" t="n">
        <f aca="false">-export!D163</f>
        <v>-0</v>
      </c>
      <c r="J165" s="2" t="n">
        <f aca="false">-charge!D163</f>
        <v>-0</v>
      </c>
      <c r="K165" s="2" t="n">
        <f aca="false">discharge!D163</f>
        <v>0</v>
      </c>
      <c r="L165" s="2" t="n">
        <f aca="false">soc!D163/investment!$E$3 *100</f>
        <v>99.9999999996656</v>
      </c>
    </row>
    <row r="166" customFormat="false" ht="13.8" hidden="false" customHeight="false" outlineLevel="0" collapsed="false">
      <c r="B166" s="11" t="n">
        <f aca="false">_xlfn.NUMBERVALUE(solar!B163)</f>
        <v>0</v>
      </c>
      <c r="C166" s="12" t="n">
        <f aca="false">solar!C163</f>
        <v>0</v>
      </c>
      <c r="D166" s="6" t="n">
        <v>162</v>
      </c>
      <c r="E166" s="17" t="n">
        <f aca="false">IFERROR(INDEX($B$5:$C$173, MATCH($D166, $B$5:$B$175, 0), 2), 0)*investment!$C$3</f>
        <v>0</v>
      </c>
      <c r="F166" s="18" t="n">
        <f aca="false">demand!D164</f>
        <v>0</v>
      </c>
      <c r="G166" s="2" t="n">
        <f aca="false">solgen!D164</f>
        <v>0</v>
      </c>
      <c r="H166" s="2" t="n">
        <f aca="false">import!D164</f>
        <v>0</v>
      </c>
      <c r="I166" s="2" t="n">
        <f aca="false">-export!D164</f>
        <v>-0</v>
      </c>
      <c r="J166" s="2" t="n">
        <f aca="false">-charge!D164</f>
        <v>-0</v>
      </c>
      <c r="K166" s="2" t="n">
        <f aca="false">discharge!D164</f>
        <v>0</v>
      </c>
      <c r="L166" s="2" t="n">
        <f aca="false">soc!D164/investment!$E$3 *100</f>
        <v>99.9999999996816</v>
      </c>
    </row>
    <row r="167" customFormat="false" ht="13.8" hidden="false" customHeight="false" outlineLevel="0" collapsed="false">
      <c r="B167" s="11" t="n">
        <f aca="false">_xlfn.NUMBERVALUE(solar!B164)</f>
        <v>0</v>
      </c>
      <c r="C167" s="12" t="n">
        <f aca="false">solar!C164</f>
        <v>0</v>
      </c>
      <c r="D167" s="6" t="n">
        <v>163</v>
      </c>
      <c r="E167" s="17" t="n">
        <f aca="false">IFERROR(INDEX($B$5:$C$173, MATCH($D167, $B$5:$B$175, 0), 2), 0)*investment!$C$3</f>
        <v>0</v>
      </c>
      <c r="F167" s="18" t="n">
        <f aca="false">demand!D165</f>
        <v>0</v>
      </c>
      <c r="G167" s="2" t="n">
        <f aca="false">solgen!D165</f>
        <v>0</v>
      </c>
      <c r="H167" s="2" t="n">
        <f aca="false">import!D165</f>
        <v>0</v>
      </c>
      <c r="I167" s="2" t="n">
        <f aca="false">-export!D165</f>
        <v>-0</v>
      </c>
      <c r="J167" s="2" t="n">
        <f aca="false">-charge!D165</f>
        <v>-0</v>
      </c>
      <c r="K167" s="2" t="n">
        <f aca="false">discharge!D165</f>
        <v>0</v>
      </c>
      <c r="L167" s="2" t="n">
        <f aca="false">soc!D165/investment!$E$3 *100</f>
        <v>99.9999999996635</v>
      </c>
    </row>
    <row r="168" customFormat="false" ht="13.8" hidden="false" customHeight="false" outlineLevel="0" collapsed="false">
      <c r="B168" s="11" t="n">
        <f aca="false">_xlfn.NUMBERVALUE(solar!B165)</f>
        <v>0</v>
      </c>
      <c r="C168" s="12" t="n">
        <f aca="false">solar!C165</f>
        <v>0</v>
      </c>
      <c r="D168" s="6" t="n">
        <v>164</v>
      </c>
      <c r="E168" s="17" t="n">
        <f aca="false">IFERROR(INDEX($B$5:$C$173, MATCH($D168, $B$5:$B$175, 0), 2), 0)*investment!$C$3</f>
        <v>0</v>
      </c>
      <c r="F168" s="18" t="n">
        <f aca="false">demand!D166</f>
        <v>0</v>
      </c>
      <c r="G168" s="2" t="n">
        <f aca="false">solgen!D166</f>
        <v>0</v>
      </c>
      <c r="H168" s="2" t="n">
        <f aca="false">import!D166</f>
        <v>0</v>
      </c>
      <c r="I168" s="2" t="n">
        <f aca="false">-export!D166</f>
        <v>-0</v>
      </c>
      <c r="J168" s="2" t="n">
        <f aca="false">-charge!D166</f>
        <v>-0</v>
      </c>
      <c r="K168" s="2" t="n">
        <f aca="false">discharge!D166</f>
        <v>0</v>
      </c>
      <c r="L168" s="2" t="n">
        <f aca="false">soc!D166/investment!$E$3 *100</f>
        <v>99.9989999997514</v>
      </c>
    </row>
    <row r="169" customFormat="false" ht="13.8" hidden="false" customHeight="false" outlineLevel="0" collapsed="false">
      <c r="B169" s="11" t="n">
        <f aca="false">_xlfn.NUMBERVALUE(solar!B166)</f>
        <v>0</v>
      </c>
      <c r="C169" s="12" t="n">
        <f aca="false">solar!C166</f>
        <v>0</v>
      </c>
      <c r="D169" s="6" t="n">
        <v>165</v>
      </c>
      <c r="E169" s="17" t="n">
        <f aca="false">IFERROR(INDEX($B$5:$C$173, MATCH($D169, $B$5:$B$175, 0), 2), 0)*investment!$C$3</f>
        <v>0</v>
      </c>
      <c r="F169" s="18" t="n">
        <f aca="false">demand!D167</f>
        <v>0</v>
      </c>
      <c r="G169" s="2" t="n">
        <f aca="false">solgen!D167</f>
        <v>0</v>
      </c>
      <c r="H169" s="2" t="n">
        <f aca="false">import!D167</f>
        <v>0</v>
      </c>
      <c r="I169" s="2" t="n">
        <f aca="false">-export!D167</f>
        <v>-0</v>
      </c>
      <c r="J169" s="2" t="n">
        <f aca="false">-charge!D167</f>
        <v>-0</v>
      </c>
      <c r="K169" s="2" t="n">
        <f aca="false">discharge!D167</f>
        <v>0</v>
      </c>
      <c r="L169" s="2" t="n">
        <f aca="false">soc!D167/investment!$E$3 *100</f>
        <v>99.9999999996717</v>
      </c>
    </row>
    <row r="170" customFormat="false" ht="13.8" hidden="false" customHeight="false" outlineLevel="0" collapsed="false">
      <c r="B170" s="11" t="n">
        <f aca="false">_xlfn.NUMBERVALUE(solar!B167)</f>
        <v>0</v>
      </c>
      <c r="C170" s="12" t="n">
        <f aca="false">solar!C167</f>
        <v>0</v>
      </c>
      <c r="D170" s="6" t="n">
        <v>166</v>
      </c>
      <c r="E170" s="17" t="n">
        <f aca="false">IFERROR(INDEX($B$5:$C$173, MATCH($D170, $B$5:$B$175, 0), 2), 0)*investment!$C$3</f>
        <v>0</v>
      </c>
      <c r="F170" s="18" t="n">
        <f aca="false">demand!D168</f>
        <v>0</v>
      </c>
      <c r="G170" s="2" t="n">
        <f aca="false">solgen!D168</f>
        <v>0</v>
      </c>
      <c r="H170" s="2" t="n">
        <f aca="false">import!D168</f>
        <v>0</v>
      </c>
      <c r="I170" s="2" t="n">
        <f aca="false">-export!D168</f>
        <v>-0</v>
      </c>
      <c r="J170" s="2" t="n">
        <f aca="false">-charge!D168</f>
        <v>-0</v>
      </c>
      <c r="K170" s="2" t="n">
        <f aca="false">discharge!D168</f>
        <v>0</v>
      </c>
      <c r="L170" s="2" t="n">
        <f aca="false">soc!D168/investment!$E$3 *100</f>
        <v>99.9989999997549</v>
      </c>
    </row>
    <row r="171" customFormat="false" ht="13.8" hidden="false" customHeight="false" outlineLevel="0" collapsed="false">
      <c r="B171" s="11" t="n">
        <f aca="false">_xlfn.NUMBERVALUE(solar!B168)</f>
        <v>0</v>
      </c>
      <c r="C171" s="12" t="n">
        <f aca="false">solar!C168</f>
        <v>0</v>
      </c>
      <c r="D171" s="6" t="n">
        <v>167</v>
      </c>
      <c r="E171" s="17" t="n">
        <f aca="false">IFERROR(INDEX($B$5:$C$173, MATCH($D171, $B$5:$B$175, 0), 2), 0)*investment!$C$3</f>
        <v>0</v>
      </c>
      <c r="F171" s="18" t="n">
        <f aca="false">demand!D169</f>
        <v>0</v>
      </c>
      <c r="G171" s="2" t="n">
        <f aca="false">solgen!D169</f>
        <v>0</v>
      </c>
      <c r="H171" s="2" t="n">
        <f aca="false">import!D169</f>
        <v>0</v>
      </c>
      <c r="I171" s="2" t="n">
        <f aca="false">-export!D169</f>
        <v>-0</v>
      </c>
      <c r="J171" s="2" t="n">
        <f aca="false">-charge!D169</f>
        <v>-0</v>
      </c>
      <c r="K171" s="2" t="n">
        <f aca="false">discharge!D169</f>
        <v>0</v>
      </c>
      <c r="L171" s="2" t="n">
        <f aca="false">soc!D169/investment!$E$3 *100</f>
        <v>99.9980000098429</v>
      </c>
    </row>
    <row r="172" customFormat="false" ht="13.8" hidden="false" customHeight="false" outlineLevel="0" collapsed="false">
      <c r="B172" s="11" t="n">
        <f aca="false">_xlfn.NUMBERVALUE(solar!B169)</f>
        <v>0</v>
      </c>
      <c r="C172" s="12" t="n">
        <f aca="false">solar!C169</f>
        <v>0</v>
      </c>
      <c r="D172" s="6" t="n">
        <v>168</v>
      </c>
      <c r="E172" s="17" t="n">
        <f aca="false">IFERROR(INDEX($B$5:$C$173, MATCH($D172, $B$5:$B$175, 0), 2), 0)*investment!$C$3</f>
        <v>0</v>
      </c>
      <c r="F172" s="18" t="n">
        <f aca="false">demand!D170</f>
        <v>0</v>
      </c>
      <c r="G172" s="2" t="n">
        <f aca="false">solgen!D170</f>
        <v>0</v>
      </c>
      <c r="H172" s="2" t="n">
        <f aca="false">import!D170</f>
        <v>0</v>
      </c>
      <c r="I172" s="2" t="n">
        <f aca="false">-export!D170</f>
        <v>-0</v>
      </c>
      <c r="J172" s="2" t="n">
        <f aca="false">-charge!D170</f>
        <v>-0</v>
      </c>
      <c r="K172" s="2" t="n">
        <f aca="false">discharge!D170</f>
        <v>0</v>
      </c>
      <c r="L172" s="2" t="n">
        <f aca="false">soc!D170/investment!$E$3 *100</f>
        <v>99.9970000299317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5" activeCellId="0" sqref="L5"/>
    </sheetView>
  </sheetViews>
  <sheetFormatPr defaultColWidth="8.54296875" defaultRowHeight="13.8" zeroHeight="false" outlineLevelRow="0" outlineLevelCol="0"/>
  <cols>
    <col collapsed="false" customWidth="true" hidden="false" outlineLevel="0" max="2" min="2" style="6" width="8.85"/>
    <col collapsed="false" customWidth="true" hidden="false" outlineLevel="0" max="4" min="4" style="6" width="8.85"/>
    <col collapsed="false" customWidth="true" hidden="false" outlineLevel="0" max="5" min="5" style="7" width="8.85"/>
    <col collapsed="false" customWidth="true" hidden="false" outlineLevel="0" max="6" min="6" style="2" width="9.43"/>
  </cols>
  <sheetData>
    <row r="2" customFormat="false" ht="13.8" hidden="false" customHeight="false" outlineLevel="0" collapsed="false">
      <c r="B2" s="8" t="s">
        <v>3</v>
      </c>
      <c r="C2" s="9" t="n">
        <v>3</v>
      </c>
      <c r="D2" s="10" t="s">
        <v>18</v>
      </c>
    </row>
    <row r="4" customFormat="false" ht="13.8" hidden="false" customHeight="false" outlineLevel="0" collapsed="false">
      <c r="B4" s="11" t="s">
        <v>5</v>
      </c>
      <c r="C4" s="12"/>
      <c r="D4" s="13" t="s">
        <v>7</v>
      </c>
      <c r="E4" s="14" t="s">
        <v>8</v>
      </c>
      <c r="F4" s="15" t="s">
        <v>9</v>
      </c>
      <c r="G4" s="15" t="s">
        <v>10</v>
      </c>
      <c r="H4" s="15" t="s">
        <v>11</v>
      </c>
      <c r="I4" s="15" t="s">
        <v>12</v>
      </c>
      <c r="J4" s="15" t="s">
        <v>13</v>
      </c>
      <c r="K4" s="15" t="s">
        <v>14</v>
      </c>
      <c r="L4" s="15" t="s">
        <v>15</v>
      </c>
    </row>
    <row r="5" customFormat="false" ht="13.8" hidden="false" customHeight="false" outlineLevel="0" collapsed="false">
      <c r="B5" s="11" t="n">
        <f aca="false">_xlfn.NUMBERVALUE(solar!B2)</f>
        <v>8</v>
      </c>
      <c r="C5" s="12" t="n">
        <f aca="false">solar!C2</f>
        <v>0</v>
      </c>
      <c r="D5" s="6" t="n">
        <v>1</v>
      </c>
      <c r="E5" s="17" t="n">
        <f aca="false">IFERROR(INDEX($B$5:$C$173, MATCH($D5, $B$5:$B$175, 0), 2), 0)*investment!$C$4</f>
        <v>0</v>
      </c>
      <c r="F5" s="18" t="n">
        <f aca="false">demand!E3</f>
        <v>0</v>
      </c>
      <c r="G5" s="2" t="n">
        <f aca="false">solgen!E3</f>
        <v>0</v>
      </c>
      <c r="H5" s="2" t="n">
        <f aca="false">import!E3</f>
        <v>0</v>
      </c>
      <c r="I5" s="2" t="n">
        <f aca="false">-export!E3</f>
        <v>-0</v>
      </c>
      <c r="J5" s="2" t="n">
        <f aca="false">-charge!E3</f>
        <v>-0</v>
      </c>
      <c r="K5" s="2" t="n">
        <f aca="false">discharge!E3</f>
        <v>0</v>
      </c>
      <c r="L5" s="2" t="n">
        <f aca="false">soc!E3/investment!$E$4 *100</f>
        <v>69.5045344342156</v>
      </c>
    </row>
    <row r="6" customFormat="false" ht="13.8" hidden="false" customHeight="false" outlineLevel="0" collapsed="false">
      <c r="B6" s="11" t="n">
        <f aca="false">_xlfn.NUMBERVALUE(solar!B3)</f>
        <v>9</v>
      </c>
      <c r="C6" s="12" t="n">
        <f aca="false">solar!C3</f>
        <v>0</v>
      </c>
      <c r="D6" s="6" t="n">
        <v>2</v>
      </c>
      <c r="E6" s="17" t="n">
        <f aca="false">IFERROR(INDEX($B$5:$C$173, MATCH($D6, $B$5:$B$175, 0), 2), 0)*investment!$C$4</f>
        <v>0</v>
      </c>
      <c r="F6" s="18" t="n">
        <f aca="false">demand!E4</f>
        <v>0</v>
      </c>
      <c r="G6" s="2" t="n">
        <f aca="false">solgen!E4</f>
        <v>0</v>
      </c>
      <c r="H6" s="2" t="n">
        <f aca="false">import!E4</f>
        <v>0</v>
      </c>
      <c r="I6" s="2" t="n">
        <f aca="false">-export!E4</f>
        <v>-0</v>
      </c>
      <c r="J6" s="2" t="n">
        <f aca="false">-charge!E4</f>
        <v>-0</v>
      </c>
      <c r="K6" s="2" t="n">
        <f aca="false">discharge!E4</f>
        <v>0</v>
      </c>
      <c r="L6" s="2" t="n">
        <f aca="false">soc!E4/investment!$E$4 *100</f>
        <v>68.6711611674179</v>
      </c>
    </row>
    <row r="7" customFormat="false" ht="13.8" hidden="false" customHeight="false" outlineLevel="0" collapsed="false">
      <c r="B7" s="11" t="n">
        <f aca="false">_xlfn.NUMBERVALUE(solar!B4)</f>
        <v>10</v>
      </c>
      <c r="C7" s="12" t="n">
        <f aca="false">solar!C4</f>
        <v>0</v>
      </c>
      <c r="D7" s="6" t="n">
        <v>3</v>
      </c>
      <c r="E7" s="17" t="n">
        <f aca="false">IFERROR(INDEX($B$5:$C$173, MATCH($D7, $B$5:$B$175, 0), 2), 0)*investment!$C$4</f>
        <v>0</v>
      </c>
      <c r="F7" s="18" t="n">
        <f aca="false">demand!E5</f>
        <v>0</v>
      </c>
      <c r="G7" s="2" t="n">
        <f aca="false">solgen!E5</f>
        <v>0</v>
      </c>
      <c r="H7" s="2" t="n">
        <f aca="false">import!E5</f>
        <v>0</v>
      </c>
      <c r="I7" s="2" t="n">
        <f aca="false">-export!E5</f>
        <v>-0</v>
      </c>
      <c r="J7" s="2" t="n">
        <f aca="false">-charge!E5</f>
        <v>-0</v>
      </c>
      <c r="K7" s="2" t="n">
        <f aca="false">discharge!E5</f>
        <v>0</v>
      </c>
      <c r="L7" s="2" t="n">
        <f aca="false">soc!E5/investment!$E$4 *100</f>
        <v>67.7003871009944</v>
      </c>
    </row>
    <row r="8" customFormat="false" ht="13.8" hidden="false" customHeight="false" outlineLevel="0" collapsed="false">
      <c r="B8" s="11" t="n">
        <f aca="false">_xlfn.NUMBERVALUE(solar!B5)</f>
        <v>11</v>
      </c>
      <c r="C8" s="12" t="n">
        <f aca="false">solar!C5</f>
        <v>0</v>
      </c>
      <c r="D8" s="6" t="n">
        <v>4</v>
      </c>
      <c r="E8" s="17" t="n">
        <f aca="false">IFERROR(INDEX($B$5:$C$173, MATCH($D8, $B$5:$B$175, 0), 2), 0)*investment!$C$4</f>
        <v>0</v>
      </c>
      <c r="F8" s="18" t="n">
        <f aca="false">demand!E6</f>
        <v>0</v>
      </c>
      <c r="G8" s="2" t="n">
        <f aca="false">solgen!E6</f>
        <v>0</v>
      </c>
      <c r="H8" s="2" t="n">
        <f aca="false">import!E6</f>
        <v>0</v>
      </c>
      <c r="I8" s="2" t="n">
        <f aca="false">-export!E6</f>
        <v>-0</v>
      </c>
      <c r="J8" s="2" t="n">
        <f aca="false">-charge!E6</f>
        <v>-0</v>
      </c>
      <c r="K8" s="2" t="n">
        <f aca="false">discharge!E6</f>
        <v>0</v>
      </c>
      <c r="L8" s="2" t="n">
        <f aca="false">soc!E6/investment!$E$4 *100</f>
        <v>66.3466118718831</v>
      </c>
    </row>
    <row r="9" customFormat="false" ht="13.8" hidden="false" customHeight="false" outlineLevel="0" collapsed="false">
      <c r="B9" s="11" t="n">
        <f aca="false">_xlfn.NUMBERVALUE(solar!B6)</f>
        <v>12</v>
      </c>
      <c r="C9" s="12" t="n">
        <f aca="false">solar!C6</f>
        <v>0</v>
      </c>
      <c r="D9" s="6" t="n">
        <v>5</v>
      </c>
      <c r="E9" s="17" t="n">
        <f aca="false">IFERROR(INDEX($B$5:$C$173, MATCH($D9, $B$5:$B$175, 0), 2), 0)*investment!$C$4</f>
        <v>0</v>
      </c>
      <c r="F9" s="18" t="n">
        <f aca="false">demand!E7</f>
        <v>0</v>
      </c>
      <c r="G9" s="2" t="n">
        <f aca="false">solgen!E7</f>
        <v>0</v>
      </c>
      <c r="H9" s="2" t="n">
        <f aca="false">import!E7</f>
        <v>0</v>
      </c>
      <c r="I9" s="2" t="n">
        <f aca="false">-export!E7</f>
        <v>-0</v>
      </c>
      <c r="J9" s="2" t="n">
        <f aca="false">-charge!E7</f>
        <v>-0</v>
      </c>
      <c r="K9" s="2" t="n">
        <f aca="false">discharge!E7</f>
        <v>0</v>
      </c>
      <c r="L9" s="2" t="n">
        <f aca="false">soc!E7/investment!$E$4 *100</f>
        <v>63.8849947269731</v>
      </c>
    </row>
    <row r="10" customFormat="false" ht="13.8" hidden="false" customHeight="false" outlineLevel="0" collapsed="false">
      <c r="B10" s="11" t="n">
        <f aca="false">_xlfn.NUMBERVALUE(solar!B7)</f>
        <v>13</v>
      </c>
      <c r="C10" s="12" t="n">
        <f aca="false">solar!C7</f>
        <v>0</v>
      </c>
      <c r="D10" s="6" t="n">
        <v>6</v>
      </c>
      <c r="E10" s="17" t="n">
        <f aca="false">IFERROR(INDEX($B$5:$C$173, MATCH($D10, $B$5:$B$175, 0), 2), 0)*investment!$C$4</f>
        <v>0</v>
      </c>
      <c r="F10" s="18" t="n">
        <f aca="false">demand!E8</f>
        <v>0</v>
      </c>
      <c r="G10" s="2" t="n">
        <f aca="false">solgen!E8</f>
        <v>0</v>
      </c>
      <c r="H10" s="2" t="n">
        <f aca="false">import!E8</f>
        <v>0</v>
      </c>
      <c r="I10" s="2" t="n">
        <f aca="false">-export!E8</f>
        <v>-0</v>
      </c>
      <c r="J10" s="2" t="n">
        <f aca="false">-charge!E8</f>
        <v>-0</v>
      </c>
      <c r="K10" s="2" t="n">
        <f aca="false">discharge!E8</f>
        <v>0</v>
      </c>
      <c r="L10" s="2" t="n">
        <f aca="false">soc!E8/investment!$E$4 *100</f>
        <v>61.9493527618283</v>
      </c>
    </row>
    <row r="11" customFormat="false" ht="13.8" hidden="false" customHeight="false" outlineLevel="0" collapsed="false">
      <c r="B11" s="11" t="n">
        <f aca="false">_xlfn.NUMBERVALUE(solar!B8)</f>
        <v>14</v>
      </c>
      <c r="C11" s="12" t="n">
        <f aca="false">solar!C8</f>
        <v>0</v>
      </c>
      <c r="D11" s="6" t="n">
        <v>7</v>
      </c>
      <c r="E11" s="17" t="n">
        <f aca="false">IFERROR(INDEX($B$5:$C$173, MATCH($D11, $B$5:$B$175, 0), 2), 0)*investment!$C$4</f>
        <v>0</v>
      </c>
      <c r="F11" s="18" t="n">
        <f aca="false">demand!E9</f>
        <v>0</v>
      </c>
      <c r="G11" s="2" t="n">
        <f aca="false">solgen!E9</f>
        <v>0</v>
      </c>
      <c r="H11" s="2" t="n">
        <f aca="false">import!E9</f>
        <v>0</v>
      </c>
      <c r="I11" s="2" t="n">
        <f aca="false">-export!E9</f>
        <v>-0</v>
      </c>
      <c r="J11" s="2" t="n">
        <f aca="false">-charge!E9</f>
        <v>-0</v>
      </c>
      <c r="K11" s="2" t="n">
        <f aca="false">discharge!E9</f>
        <v>0</v>
      </c>
      <c r="L11" s="2" t="n">
        <f aca="false">soc!E9/investment!$E$4 *100</f>
        <v>59.8812606160987</v>
      </c>
    </row>
    <row r="12" customFormat="false" ht="13.8" hidden="false" customHeight="false" outlineLevel="0" collapsed="false">
      <c r="B12" s="11" t="n">
        <f aca="false">_xlfn.NUMBERVALUE(solar!B9)</f>
        <v>15</v>
      </c>
      <c r="C12" s="12" t="n">
        <f aca="false">solar!C9</f>
        <v>0</v>
      </c>
      <c r="D12" s="6" t="n">
        <v>8</v>
      </c>
      <c r="E12" s="17" t="n">
        <f aca="false">IFERROR(INDEX($B$5:$C$173, MATCH($D12, $B$5:$B$175, 0), 2), 0)*investment!$C$4</f>
        <v>0</v>
      </c>
      <c r="F12" s="18" t="n">
        <f aca="false">demand!E10</f>
        <v>0</v>
      </c>
      <c r="G12" s="2" t="n">
        <f aca="false">solgen!E10</f>
        <v>0</v>
      </c>
      <c r="H12" s="2" t="n">
        <f aca="false">import!E10</f>
        <v>0</v>
      </c>
      <c r="I12" s="2" t="n">
        <f aca="false">-export!E10</f>
        <v>-0</v>
      </c>
      <c r="J12" s="2" t="n">
        <f aca="false">-charge!E10</f>
        <v>-0</v>
      </c>
      <c r="K12" s="2" t="n">
        <f aca="false">discharge!E10</f>
        <v>0</v>
      </c>
      <c r="L12" s="2" t="n">
        <f aca="false">soc!E10/investment!$E$4 *100</f>
        <v>59.1499015290227</v>
      </c>
    </row>
    <row r="13" customFormat="false" ht="13.8" hidden="false" customHeight="false" outlineLevel="0" collapsed="false">
      <c r="B13" s="11" t="n">
        <f aca="false">_xlfn.NUMBERVALUE(solar!B10)</f>
        <v>16</v>
      </c>
      <c r="C13" s="12" t="n">
        <f aca="false">solar!C10</f>
        <v>0</v>
      </c>
      <c r="D13" s="6" t="n">
        <v>9</v>
      </c>
      <c r="E13" s="17" t="n">
        <f aca="false">IFERROR(INDEX($B$5:$C$173, MATCH($D13, $B$5:$B$175, 0), 2), 0)*investment!$C$4</f>
        <v>0</v>
      </c>
      <c r="F13" s="18" t="n">
        <f aca="false">demand!E11</f>
        <v>0</v>
      </c>
      <c r="G13" s="2" t="n">
        <f aca="false">solgen!E11</f>
        <v>0</v>
      </c>
      <c r="H13" s="2" t="n">
        <f aca="false">import!E11</f>
        <v>0</v>
      </c>
      <c r="I13" s="2" t="n">
        <f aca="false">-export!E11</f>
        <v>-0</v>
      </c>
      <c r="J13" s="2" t="n">
        <f aca="false">-charge!E11</f>
        <v>-0</v>
      </c>
      <c r="K13" s="2" t="n">
        <f aca="false">discharge!E11</f>
        <v>0</v>
      </c>
      <c r="L13" s="2" t="n">
        <f aca="false">soc!E11/investment!$E$4 *100</f>
        <v>58.0380982905863</v>
      </c>
    </row>
    <row r="14" customFormat="false" ht="13.8" hidden="false" customHeight="false" outlineLevel="0" collapsed="false">
      <c r="B14" s="11" t="n">
        <f aca="false">_xlfn.NUMBERVALUE(solar!B11)</f>
        <v>17</v>
      </c>
      <c r="C14" s="12" t="n">
        <f aca="false">solar!C11</f>
        <v>0</v>
      </c>
      <c r="D14" s="6" t="n">
        <v>10</v>
      </c>
      <c r="E14" s="17" t="n">
        <f aca="false">IFERROR(INDEX($B$5:$C$173, MATCH($D14, $B$5:$B$175, 0), 2), 0)*investment!$C$4</f>
        <v>0</v>
      </c>
      <c r="F14" s="18" t="n">
        <f aca="false">demand!E12</f>
        <v>0</v>
      </c>
      <c r="G14" s="2" t="n">
        <f aca="false">solgen!E12</f>
        <v>0</v>
      </c>
      <c r="H14" s="2" t="n">
        <f aca="false">import!E12</f>
        <v>0</v>
      </c>
      <c r="I14" s="2" t="n">
        <f aca="false">-export!E12</f>
        <v>-0</v>
      </c>
      <c r="J14" s="2" t="n">
        <f aca="false">-charge!E12</f>
        <v>-0</v>
      </c>
      <c r="K14" s="2" t="n">
        <f aca="false">discharge!E12</f>
        <v>0</v>
      </c>
      <c r="L14" s="2" t="n">
        <f aca="false">soc!E12/investment!$E$4 *100</f>
        <v>57.321712583469</v>
      </c>
    </row>
    <row r="15" customFormat="false" ht="13.8" hidden="false" customHeight="false" outlineLevel="0" collapsed="false">
      <c r="B15" s="11" t="n">
        <f aca="false">_xlfn.NUMBERVALUE(solar!B12)</f>
        <v>18</v>
      </c>
      <c r="C15" s="12" t="n">
        <f aca="false">solar!C12</f>
        <v>0</v>
      </c>
      <c r="D15" s="6" t="n">
        <v>11</v>
      </c>
      <c r="E15" s="17" t="n">
        <f aca="false">IFERROR(INDEX($B$5:$C$173, MATCH($D15, $B$5:$B$175, 0), 2), 0)*investment!$C$4</f>
        <v>0</v>
      </c>
      <c r="F15" s="18" t="n">
        <f aca="false">demand!E13</f>
        <v>0</v>
      </c>
      <c r="G15" s="2" t="n">
        <f aca="false">solgen!E13</f>
        <v>0</v>
      </c>
      <c r="H15" s="2" t="n">
        <f aca="false">import!E13</f>
        <v>0</v>
      </c>
      <c r="I15" s="2" t="n">
        <f aca="false">-export!E13</f>
        <v>-0</v>
      </c>
      <c r="J15" s="2" t="n">
        <f aca="false">-charge!E13</f>
        <v>-0</v>
      </c>
      <c r="K15" s="2" t="n">
        <f aca="false">discharge!E13</f>
        <v>0</v>
      </c>
      <c r="L15" s="2" t="n">
        <f aca="false">soc!E13/investment!$E$4 *100</f>
        <v>56.8373906986483</v>
      </c>
    </row>
    <row r="16" customFormat="false" ht="13.8" hidden="false" customHeight="false" outlineLevel="0" collapsed="false">
      <c r="B16" s="11" t="n">
        <f aca="false">_xlfn.NUMBERVALUE(solar!B13)</f>
        <v>19</v>
      </c>
      <c r="C16" s="12" t="n">
        <f aca="false">solar!C13</f>
        <v>0</v>
      </c>
      <c r="D16" s="6" t="n">
        <v>12</v>
      </c>
      <c r="E16" s="17" t="n">
        <f aca="false">IFERROR(INDEX($B$5:$C$173, MATCH($D16, $B$5:$B$175, 0), 2), 0)*investment!$C$4</f>
        <v>0</v>
      </c>
      <c r="F16" s="18" t="n">
        <f aca="false">demand!E14</f>
        <v>0</v>
      </c>
      <c r="G16" s="2" t="n">
        <f aca="false">solgen!E14</f>
        <v>0</v>
      </c>
      <c r="H16" s="2" t="n">
        <f aca="false">import!E14</f>
        <v>0</v>
      </c>
      <c r="I16" s="2" t="n">
        <f aca="false">-export!E14</f>
        <v>-0</v>
      </c>
      <c r="J16" s="2" t="n">
        <f aca="false">-charge!E14</f>
        <v>-0</v>
      </c>
      <c r="K16" s="2" t="n">
        <f aca="false">discharge!E14</f>
        <v>0</v>
      </c>
      <c r="L16" s="2" t="n">
        <f aca="false">soc!E14/investment!$E$4 *100</f>
        <v>55.8796135558338</v>
      </c>
    </row>
    <row r="17" customFormat="false" ht="13.8" hidden="false" customHeight="false" outlineLevel="0" collapsed="false">
      <c r="B17" s="11" t="n">
        <f aca="false">_xlfn.NUMBERVALUE(solar!B14)</f>
        <v>32</v>
      </c>
      <c r="C17" s="12" t="n">
        <f aca="false">solar!C14</f>
        <v>0</v>
      </c>
      <c r="D17" s="6" t="n">
        <v>13</v>
      </c>
      <c r="E17" s="17" t="n">
        <f aca="false">IFERROR(INDEX($B$5:$C$173, MATCH($D17, $B$5:$B$175, 0), 2), 0)*investment!$C$4</f>
        <v>0</v>
      </c>
      <c r="F17" s="18" t="n">
        <f aca="false">demand!E15</f>
        <v>0</v>
      </c>
      <c r="G17" s="2" t="n">
        <f aca="false">solgen!E15</f>
        <v>0</v>
      </c>
      <c r="H17" s="2" t="n">
        <f aca="false">import!E15</f>
        <v>0</v>
      </c>
      <c r="I17" s="2" t="n">
        <f aca="false">-export!E15</f>
        <v>-0</v>
      </c>
      <c r="J17" s="2" t="n">
        <f aca="false">-charge!E15</f>
        <v>-0</v>
      </c>
      <c r="K17" s="2" t="n">
        <f aca="false">discharge!E15</f>
        <v>0</v>
      </c>
      <c r="L17" s="2" t="n">
        <f aca="false">soc!E15/investment!$E$4 *100</f>
        <v>54.6093991820453</v>
      </c>
    </row>
    <row r="18" customFormat="false" ht="13.8" hidden="false" customHeight="false" outlineLevel="0" collapsed="false">
      <c r="B18" s="11" t="n">
        <f aca="false">_xlfn.NUMBERVALUE(solar!B15)</f>
        <v>33</v>
      </c>
      <c r="C18" s="12" t="n">
        <f aca="false">solar!C15</f>
        <v>0</v>
      </c>
      <c r="D18" s="6" t="n">
        <v>14</v>
      </c>
      <c r="E18" s="17" t="n">
        <f aca="false">IFERROR(INDEX($B$5:$C$173, MATCH($D18, $B$5:$B$175, 0), 2), 0)*investment!$C$4</f>
        <v>0</v>
      </c>
      <c r="F18" s="18" t="n">
        <f aca="false">demand!E16</f>
        <v>0</v>
      </c>
      <c r="G18" s="2" t="n">
        <f aca="false">solgen!E16</f>
        <v>0</v>
      </c>
      <c r="H18" s="2" t="n">
        <f aca="false">import!E16</f>
        <v>0</v>
      </c>
      <c r="I18" s="2" t="n">
        <f aca="false">-export!E16</f>
        <v>-0</v>
      </c>
      <c r="J18" s="2" t="n">
        <f aca="false">-charge!E16</f>
        <v>-0</v>
      </c>
      <c r="K18" s="2" t="n">
        <f aca="false">discharge!E16</f>
        <v>0</v>
      </c>
      <c r="L18" s="2" t="n">
        <f aca="false">soc!E16/investment!$E$4 *100</f>
        <v>53.2328683744671</v>
      </c>
    </row>
    <row r="19" customFormat="false" ht="13.8" hidden="false" customHeight="false" outlineLevel="0" collapsed="false">
      <c r="B19" s="11" t="n">
        <f aca="false">_xlfn.NUMBERVALUE(solar!B16)</f>
        <v>34</v>
      </c>
      <c r="C19" s="12" t="n">
        <f aca="false">solar!C16</f>
        <v>0</v>
      </c>
      <c r="D19" s="6" t="n">
        <v>15</v>
      </c>
      <c r="E19" s="17" t="n">
        <f aca="false">IFERROR(INDEX($B$5:$C$173, MATCH($D19, $B$5:$B$175, 0), 2), 0)*investment!$C$4</f>
        <v>0</v>
      </c>
      <c r="F19" s="18" t="n">
        <f aca="false">demand!E17</f>
        <v>0</v>
      </c>
      <c r="G19" s="2" t="n">
        <f aca="false">solgen!E17</f>
        <v>0</v>
      </c>
      <c r="H19" s="2" t="n">
        <f aca="false">import!E17</f>
        <v>0</v>
      </c>
      <c r="I19" s="2" t="n">
        <f aca="false">-export!E17</f>
        <v>-0</v>
      </c>
      <c r="J19" s="2" t="n">
        <f aca="false">-charge!E17</f>
        <v>-0</v>
      </c>
      <c r="K19" s="2" t="n">
        <f aca="false">discharge!E17</f>
        <v>0</v>
      </c>
      <c r="L19" s="2" t="n">
        <f aca="false">soc!E17/investment!$E$4 *100</f>
        <v>52.2779336957982</v>
      </c>
    </row>
    <row r="20" customFormat="false" ht="13.8" hidden="false" customHeight="false" outlineLevel="0" collapsed="false">
      <c r="B20" s="11" t="n">
        <f aca="false">_xlfn.NUMBERVALUE(solar!B17)</f>
        <v>35</v>
      </c>
      <c r="C20" s="12" t="n">
        <f aca="false">solar!C17</f>
        <v>0</v>
      </c>
      <c r="D20" s="6" t="n">
        <v>16</v>
      </c>
      <c r="E20" s="17" t="n">
        <f aca="false">IFERROR(INDEX($B$5:$C$173, MATCH($D20, $B$5:$B$175, 0), 2), 0)*investment!$C$4</f>
        <v>0</v>
      </c>
      <c r="F20" s="18" t="n">
        <f aca="false">demand!E18</f>
        <v>0</v>
      </c>
      <c r="G20" s="2" t="n">
        <f aca="false">solgen!E18</f>
        <v>0</v>
      </c>
      <c r="H20" s="2" t="n">
        <f aca="false">import!E18</f>
        <v>0</v>
      </c>
      <c r="I20" s="2" t="n">
        <f aca="false">-export!E18</f>
        <v>-0</v>
      </c>
      <c r="J20" s="2" t="n">
        <f aca="false">-charge!E18</f>
        <v>-0</v>
      </c>
      <c r="K20" s="2" t="n">
        <f aca="false">discharge!E18</f>
        <v>0</v>
      </c>
      <c r="L20" s="2" t="n">
        <f aca="false">soc!E18/investment!$E$4 *100</f>
        <v>51.092818881204</v>
      </c>
    </row>
    <row r="21" customFormat="false" ht="13.8" hidden="false" customHeight="false" outlineLevel="0" collapsed="false">
      <c r="B21" s="11" t="n">
        <f aca="false">_xlfn.NUMBERVALUE(solar!B18)</f>
        <v>36</v>
      </c>
      <c r="C21" s="12" t="n">
        <f aca="false">solar!C18</f>
        <v>0</v>
      </c>
      <c r="D21" s="6" t="n">
        <v>17</v>
      </c>
      <c r="E21" s="17" t="n">
        <f aca="false">IFERROR(INDEX($B$5:$C$173, MATCH($D21, $B$5:$B$175, 0), 2), 0)*investment!$C$4</f>
        <v>0</v>
      </c>
      <c r="F21" s="18" t="n">
        <f aca="false">demand!E19</f>
        <v>0</v>
      </c>
      <c r="G21" s="2" t="n">
        <f aca="false">solgen!E19</f>
        <v>0</v>
      </c>
      <c r="H21" s="2" t="n">
        <f aca="false">import!E19</f>
        <v>0</v>
      </c>
      <c r="I21" s="2" t="n">
        <f aca="false">-export!E19</f>
        <v>-0</v>
      </c>
      <c r="J21" s="2" t="n">
        <f aca="false">-charge!E19</f>
        <v>-0</v>
      </c>
      <c r="K21" s="2" t="n">
        <f aca="false">discharge!E19</f>
        <v>0</v>
      </c>
      <c r="L21" s="2" t="n">
        <f aca="false">soc!E19/investment!$E$4 *100</f>
        <v>50.4865692144941</v>
      </c>
    </row>
    <row r="22" customFormat="false" ht="13.8" hidden="false" customHeight="false" outlineLevel="0" collapsed="false">
      <c r="B22" s="11" t="n">
        <f aca="false">_xlfn.NUMBERVALUE(solar!B19)</f>
        <v>37</v>
      </c>
      <c r="C22" s="12" t="n">
        <f aca="false">solar!C19</f>
        <v>0</v>
      </c>
      <c r="D22" s="6" t="n">
        <v>18</v>
      </c>
      <c r="E22" s="17" t="n">
        <f aca="false">IFERROR(INDEX($B$5:$C$173, MATCH($D22, $B$5:$B$175, 0), 2), 0)*investment!$C$4</f>
        <v>0</v>
      </c>
      <c r="F22" s="18" t="n">
        <f aca="false">demand!E20</f>
        <v>0</v>
      </c>
      <c r="G22" s="2" t="n">
        <f aca="false">solgen!E20</f>
        <v>0</v>
      </c>
      <c r="H22" s="2" t="n">
        <f aca="false">import!E20</f>
        <v>0</v>
      </c>
      <c r="I22" s="2" t="n">
        <f aca="false">-export!E20</f>
        <v>-0</v>
      </c>
      <c r="J22" s="2" t="n">
        <f aca="false">-charge!E20</f>
        <v>-0</v>
      </c>
      <c r="K22" s="2" t="n">
        <f aca="false">discharge!E20</f>
        <v>0</v>
      </c>
      <c r="L22" s="2" t="n">
        <f aca="false">soc!E20/investment!$E$4 *100</f>
        <v>48.9911271057266</v>
      </c>
    </row>
    <row r="23" customFormat="false" ht="13.8" hidden="false" customHeight="false" outlineLevel="0" collapsed="false">
      <c r="B23" s="11" t="n">
        <f aca="false">_xlfn.NUMBERVALUE(solar!B20)</f>
        <v>38</v>
      </c>
      <c r="C23" s="12" t="n">
        <f aca="false">solar!C20</f>
        <v>0</v>
      </c>
      <c r="D23" s="6" t="n">
        <v>19</v>
      </c>
      <c r="E23" s="17" t="n">
        <f aca="false">IFERROR(INDEX($B$5:$C$173, MATCH($D23, $B$5:$B$175, 0), 2), 0)*investment!$C$4</f>
        <v>0</v>
      </c>
      <c r="F23" s="18" t="n">
        <f aca="false">demand!E21</f>
        <v>0</v>
      </c>
      <c r="G23" s="2" t="n">
        <f aca="false">solgen!E21</f>
        <v>0</v>
      </c>
      <c r="H23" s="2" t="n">
        <f aca="false">import!E21</f>
        <v>0</v>
      </c>
      <c r="I23" s="2" t="n">
        <f aca="false">-export!E21</f>
        <v>-0</v>
      </c>
      <c r="J23" s="2" t="n">
        <f aca="false">-charge!E21</f>
        <v>-0</v>
      </c>
      <c r="K23" s="2" t="n">
        <f aca="false">discharge!E21</f>
        <v>0</v>
      </c>
      <c r="L23" s="2" t="n">
        <f aca="false">soc!E21/investment!$E$4 *100</f>
        <v>48.398456621339</v>
      </c>
    </row>
    <row r="24" customFormat="false" ht="13.8" hidden="false" customHeight="false" outlineLevel="0" collapsed="false">
      <c r="B24" s="11" t="n">
        <f aca="false">_xlfn.NUMBERVALUE(solar!B21)</f>
        <v>39</v>
      </c>
      <c r="C24" s="12" t="n">
        <f aca="false">solar!C21</f>
        <v>0</v>
      </c>
      <c r="D24" s="6" t="n">
        <v>20</v>
      </c>
      <c r="E24" s="17" t="n">
        <f aca="false">IFERROR(INDEX($B$5:$C$173, MATCH($D24, $B$5:$B$175, 0), 2), 0)*investment!$C$4</f>
        <v>0</v>
      </c>
      <c r="F24" s="18" t="n">
        <f aca="false">demand!E22</f>
        <v>0</v>
      </c>
      <c r="G24" s="2" t="n">
        <f aca="false">solgen!E22</f>
        <v>0</v>
      </c>
      <c r="H24" s="2" t="n">
        <f aca="false">import!E22</f>
        <v>0</v>
      </c>
      <c r="I24" s="2" t="n">
        <f aca="false">-export!E22</f>
        <v>-0</v>
      </c>
      <c r="J24" s="2" t="n">
        <f aca="false">-charge!E22</f>
        <v>-0</v>
      </c>
      <c r="K24" s="2" t="n">
        <f aca="false">discharge!E22</f>
        <v>0</v>
      </c>
      <c r="L24" s="2" t="n">
        <f aca="false">soc!E22/investment!$E$4 *100</f>
        <v>47.2713327205968</v>
      </c>
    </row>
    <row r="25" customFormat="false" ht="13.8" hidden="false" customHeight="false" outlineLevel="0" collapsed="false">
      <c r="B25" s="11" t="n">
        <f aca="false">_xlfn.NUMBERVALUE(solar!B22)</f>
        <v>40</v>
      </c>
      <c r="C25" s="12" t="n">
        <f aca="false">solar!C22</f>
        <v>0</v>
      </c>
      <c r="D25" s="6" t="n">
        <v>21</v>
      </c>
      <c r="E25" s="17" t="n">
        <f aca="false">IFERROR(INDEX($B$5:$C$173, MATCH($D25, $B$5:$B$175, 0), 2), 0)*investment!$C$4</f>
        <v>0</v>
      </c>
      <c r="F25" s="18" t="n">
        <f aca="false">demand!E23</f>
        <v>0</v>
      </c>
      <c r="G25" s="2" t="n">
        <f aca="false">solgen!E23</f>
        <v>0</v>
      </c>
      <c r="H25" s="2" t="n">
        <f aca="false">import!E23</f>
        <v>0</v>
      </c>
      <c r="I25" s="2" t="n">
        <f aca="false">-export!E23</f>
        <v>-0</v>
      </c>
      <c r="J25" s="2" t="n">
        <f aca="false">-charge!E23</f>
        <v>-0</v>
      </c>
      <c r="K25" s="2" t="n">
        <f aca="false">discharge!E23</f>
        <v>0</v>
      </c>
      <c r="L25" s="2" t="n">
        <f aca="false">soc!E23/investment!$E$4 *100</f>
        <v>46.2150290630142</v>
      </c>
    </row>
    <row r="26" customFormat="false" ht="13.8" hidden="false" customHeight="false" outlineLevel="0" collapsed="false">
      <c r="B26" s="11" t="n">
        <f aca="false">_xlfn.NUMBERVALUE(solar!B23)</f>
        <v>41</v>
      </c>
      <c r="C26" s="12" t="n">
        <f aca="false">solar!C23</f>
        <v>0</v>
      </c>
      <c r="D26" s="6" t="n">
        <v>22</v>
      </c>
      <c r="E26" s="17" t="n">
        <f aca="false">IFERROR(INDEX($B$5:$C$173, MATCH($D26, $B$5:$B$175, 0), 2), 0)*investment!$C$4</f>
        <v>0</v>
      </c>
      <c r="F26" s="18" t="n">
        <f aca="false">demand!E24</f>
        <v>0</v>
      </c>
      <c r="G26" s="2" t="n">
        <f aca="false">solgen!E24</f>
        <v>0</v>
      </c>
      <c r="H26" s="2" t="n">
        <f aca="false">import!E24</f>
        <v>0</v>
      </c>
      <c r="I26" s="2" t="n">
        <f aca="false">-export!E24</f>
        <v>-0</v>
      </c>
      <c r="J26" s="2" t="n">
        <f aca="false">-charge!E24</f>
        <v>-0</v>
      </c>
      <c r="K26" s="2" t="n">
        <f aca="false">discharge!E24</f>
        <v>0</v>
      </c>
      <c r="L26" s="2" t="n">
        <f aca="false">soc!E24/investment!$E$4 *100</f>
        <v>44.8983884472144</v>
      </c>
    </row>
    <row r="27" customFormat="false" ht="13.8" hidden="false" customHeight="false" outlineLevel="0" collapsed="false">
      <c r="B27" s="11" t="n">
        <f aca="false">_xlfn.NUMBERVALUE(solar!B24)</f>
        <v>42</v>
      </c>
      <c r="C27" s="12" t="n">
        <f aca="false">solar!C24</f>
        <v>0</v>
      </c>
      <c r="D27" s="6" t="n">
        <v>23</v>
      </c>
      <c r="E27" s="17" t="n">
        <f aca="false">IFERROR(INDEX($B$5:$C$173, MATCH($D27, $B$5:$B$175, 0), 2), 0)*investment!$C$4</f>
        <v>0</v>
      </c>
      <c r="F27" s="18" t="n">
        <f aca="false">demand!E25</f>
        <v>0</v>
      </c>
      <c r="G27" s="2" t="n">
        <f aca="false">solgen!E25</f>
        <v>0</v>
      </c>
      <c r="H27" s="2" t="n">
        <f aca="false">import!E25</f>
        <v>0</v>
      </c>
      <c r="I27" s="2" t="n">
        <f aca="false">-export!E25</f>
        <v>-0</v>
      </c>
      <c r="J27" s="2" t="n">
        <f aca="false">-charge!E25</f>
        <v>-0</v>
      </c>
      <c r="K27" s="2" t="n">
        <f aca="false">discharge!E25</f>
        <v>0</v>
      </c>
      <c r="L27" s="2" t="n">
        <f aca="false">soc!E25/investment!$E$4 *100</f>
        <v>44.2215908762667</v>
      </c>
    </row>
    <row r="28" customFormat="false" ht="13.8" hidden="false" customHeight="false" outlineLevel="0" collapsed="false">
      <c r="B28" s="11" t="n">
        <f aca="false">_xlfn.NUMBERVALUE(solar!B25)</f>
        <v>43</v>
      </c>
      <c r="C28" s="12" t="n">
        <f aca="false">solar!C25</f>
        <v>0</v>
      </c>
      <c r="D28" s="6" t="n">
        <v>24</v>
      </c>
      <c r="E28" s="17" t="n">
        <f aca="false">IFERROR(INDEX($B$5:$C$173, MATCH($D28, $B$5:$B$175, 0), 2), 0)*investment!$C$4</f>
        <v>0</v>
      </c>
      <c r="F28" s="18" t="n">
        <f aca="false">demand!E26</f>
        <v>0</v>
      </c>
      <c r="G28" s="2" t="n">
        <f aca="false">solgen!E26</f>
        <v>0</v>
      </c>
      <c r="H28" s="2" t="n">
        <f aca="false">import!E26</f>
        <v>0</v>
      </c>
      <c r="I28" s="2" t="n">
        <f aca="false">-export!E26</f>
        <v>-0</v>
      </c>
      <c r="J28" s="2" t="n">
        <f aca="false">-charge!E26</f>
        <v>-0</v>
      </c>
      <c r="K28" s="2" t="n">
        <f aca="false">discharge!E26</f>
        <v>0</v>
      </c>
      <c r="L28" s="2" t="n">
        <f aca="false">soc!E26/investment!$E$4 *100</f>
        <v>42.7006811857117</v>
      </c>
    </row>
    <row r="29" customFormat="false" ht="13.8" hidden="false" customHeight="false" outlineLevel="0" collapsed="false">
      <c r="B29" s="11" t="n">
        <f aca="false">_xlfn.NUMBERVALUE(solar!B26)</f>
        <v>56</v>
      </c>
      <c r="C29" s="12" t="n">
        <f aca="false">solar!C26</f>
        <v>0</v>
      </c>
      <c r="D29" s="6" t="n">
        <v>25</v>
      </c>
      <c r="E29" s="17" t="n">
        <f aca="false">IFERROR(INDEX($B$5:$C$173, MATCH($D29, $B$5:$B$175, 0), 2), 0)*investment!$C$4</f>
        <v>0</v>
      </c>
      <c r="F29" s="18" t="n">
        <f aca="false">demand!E27</f>
        <v>0</v>
      </c>
      <c r="G29" s="2" t="n">
        <f aca="false">solgen!E27</f>
        <v>0</v>
      </c>
      <c r="H29" s="2" t="n">
        <f aca="false">import!E27</f>
        <v>0</v>
      </c>
      <c r="I29" s="2" t="n">
        <f aca="false">-export!E27</f>
        <v>-0</v>
      </c>
      <c r="J29" s="2" t="n">
        <f aca="false">-charge!E27</f>
        <v>-0</v>
      </c>
      <c r="K29" s="2" t="n">
        <f aca="false">discharge!E27</f>
        <v>0</v>
      </c>
      <c r="L29" s="2" t="n">
        <f aca="false">soc!E27/investment!$E$4 *100</f>
        <v>41.8140112229608</v>
      </c>
    </row>
    <row r="30" customFormat="false" ht="13.8" hidden="false" customHeight="false" outlineLevel="0" collapsed="false">
      <c r="B30" s="11" t="n">
        <f aca="false">_xlfn.NUMBERVALUE(solar!B27)</f>
        <v>57</v>
      </c>
      <c r="C30" s="12" t="n">
        <f aca="false">solar!C27</f>
        <v>0</v>
      </c>
      <c r="D30" s="6" t="n">
        <v>26</v>
      </c>
      <c r="E30" s="17" t="n">
        <f aca="false">IFERROR(INDEX($B$5:$C$173, MATCH($D30, $B$5:$B$175, 0), 2), 0)*investment!$C$4</f>
        <v>0</v>
      </c>
      <c r="F30" s="18" t="n">
        <f aca="false">demand!E28</f>
        <v>0</v>
      </c>
      <c r="G30" s="2" t="n">
        <f aca="false">solgen!E28</f>
        <v>0</v>
      </c>
      <c r="H30" s="2" t="n">
        <f aca="false">import!E28</f>
        <v>0</v>
      </c>
      <c r="I30" s="2" t="n">
        <f aca="false">-export!E28</f>
        <v>-0</v>
      </c>
      <c r="J30" s="2" t="n">
        <f aca="false">-charge!E28</f>
        <v>-0</v>
      </c>
      <c r="K30" s="2" t="n">
        <f aca="false">discharge!E28</f>
        <v>0</v>
      </c>
      <c r="L30" s="2" t="n">
        <f aca="false">soc!E28/investment!$E$4 *100</f>
        <v>40.695517549043</v>
      </c>
    </row>
    <row r="31" customFormat="false" ht="13.8" hidden="false" customHeight="false" outlineLevel="0" collapsed="false">
      <c r="B31" s="11" t="n">
        <f aca="false">_xlfn.NUMBERVALUE(solar!B28)</f>
        <v>58</v>
      </c>
      <c r="C31" s="12" t="n">
        <f aca="false">solar!C28</f>
        <v>0</v>
      </c>
      <c r="D31" s="6" t="n">
        <v>27</v>
      </c>
      <c r="E31" s="17" t="n">
        <f aca="false">IFERROR(INDEX($B$5:$C$173, MATCH($D31, $B$5:$B$175, 0), 2), 0)*investment!$C$4</f>
        <v>0</v>
      </c>
      <c r="F31" s="18" t="n">
        <f aca="false">demand!E29</f>
        <v>0</v>
      </c>
      <c r="G31" s="2" t="n">
        <f aca="false">solgen!E29</f>
        <v>0</v>
      </c>
      <c r="H31" s="2" t="n">
        <f aca="false">import!E29</f>
        <v>0</v>
      </c>
      <c r="I31" s="2" t="n">
        <f aca="false">-export!E29</f>
        <v>-0</v>
      </c>
      <c r="J31" s="2" t="n">
        <f aca="false">-charge!E29</f>
        <v>-0</v>
      </c>
      <c r="K31" s="2" t="n">
        <f aca="false">discharge!E29</f>
        <v>0</v>
      </c>
      <c r="L31" s="2" t="n">
        <f aca="false">soc!E29/investment!$E$4 *100</f>
        <v>40.6257040617026</v>
      </c>
    </row>
    <row r="32" customFormat="false" ht="13.8" hidden="false" customHeight="false" outlineLevel="0" collapsed="false">
      <c r="B32" s="11" t="n">
        <f aca="false">_xlfn.NUMBERVALUE(solar!B29)</f>
        <v>59</v>
      </c>
      <c r="C32" s="12" t="n">
        <f aca="false">solar!C29</f>
        <v>0</v>
      </c>
      <c r="D32" s="6" t="n">
        <v>28</v>
      </c>
      <c r="E32" s="17" t="n">
        <f aca="false">IFERROR(INDEX($B$5:$C$173, MATCH($D32, $B$5:$B$175, 0), 2), 0)*investment!$C$4</f>
        <v>0</v>
      </c>
      <c r="F32" s="18" t="n">
        <f aca="false">demand!E30</f>
        <v>0</v>
      </c>
      <c r="G32" s="2" t="n">
        <f aca="false">solgen!E30</f>
        <v>0</v>
      </c>
      <c r="H32" s="2" t="n">
        <f aca="false">import!E30</f>
        <v>0</v>
      </c>
      <c r="I32" s="2" t="n">
        <f aca="false">-export!E30</f>
        <v>-0</v>
      </c>
      <c r="J32" s="2" t="n">
        <f aca="false">-charge!E30</f>
        <v>-0</v>
      </c>
      <c r="K32" s="2" t="n">
        <f aca="false">discharge!E30</f>
        <v>0</v>
      </c>
      <c r="L32" s="2" t="n">
        <f aca="false">soc!E30/investment!$E$4 *100</f>
        <v>40.6252978038624</v>
      </c>
    </row>
    <row r="33" customFormat="false" ht="13.8" hidden="false" customHeight="false" outlineLevel="0" collapsed="false">
      <c r="B33" s="11" t="n">
        <f aca="false">_xlfn.NUMBERVALUE(solar!B30)</f>
        <v>60</v>
      </c>
      <c r="C33" s="12" t="n">
        <f aca="false">solar!C30</f>
        <v>0</v>
      </c>
      <c r="D33" s="6" t="n">
        <v>29</v>
      </c>
      <c r="E33" s="17" t="n">
        <f aca="false">IFERROR(INDEX($B$5:$C$173, MATCH($D33, $B$5:$B$175, 0), 2), 0)*investment!$C$4</f>
        <v>0</v>
      </c>
      <c r="F33" s="18" t="n">
        <f aca="false">demand!E31</f>
        <v>0</v>
      </c>
      <c r="G33" s="2" t="n">
        <f aca="false">solgen!E31</f>
        <v>0</v>
      </c>
      <c r="H33" s="2" t="n">
        <f aca="false">import!E31</f>
        <v>0</v>
      </c>
      <c r="I33" s="2" t="n">
        <f aca="false">-export!E31</f>
        <v>-0</v>
      </c>
      <c r="J33" s="2" t="n">
        <f aca="false">-charge!E31</f>
        <v>-0</v>
      </c>
      <c r="K33" s="2" t="n">
        <f aca="false">discharge!E31</f>
        <v>0</v>
      </c>
      <c r="L33" s="2" t="n">
        <f aca="false">soc!E31/investment!$E$4 *100</f>
        <v>40.6248915481192</v>
      </c>
    </row>
    <row r="34" customFormat="false" ht="13.8" hidden="false" customHeight="false" outlineLevel="0" collapsed="false">
      <c r="B34" s="11" t="n">
        <f aca="false">_xlfn.NUMBERVALUE(solar!B31)</f>
        <v>61</v>
      </c>
      <c r="C34" s="12" t="n">
        <f aca="false">solar!C31</f>
        <v>0</v>
      </c>
      <c r="D34" s="6" t="n">
        <v>30</v>
      </c>
      <c r="E34" s="17" t="n">
        <f aca="false">IFERROR(INDEX($B$5:$C$173, MATCH($D34, $B$5:$B$175, 0), 2), 0)*investment!$C$4</f>
        <v>0</v>
      </c>
      <c r="F34" s="18" t="n">
        <f aca="false">demand!E32</f>
        <v>0</v>
      </c>
      <c r="G34" s="2" t="n">
        <f aca="false">solgen!E32</f>
        <v>0</v>
      </c>
      <c r="H34" s="2" t="n">
        <f aca="false">import!E32</f>
        <v>0</v>
      </c>
      <c r="I34" s="2" t="n">
        <f aca="false">-export!E32</f>
        <v>-0</v>
      </c>
      <c r="J34" s="2" t="n">
        <f aca="false">-charge!E32</f>
        <v>-0</v>
      </c>
      <c r="K34" s="2" t="n">
        <f aca="false">discharge!E32</f>
        <v>0</v>
      </c>
      <c r="L34" s="2" t="n">
        <f aca="false">soc!E32/investment!$E$4 *100</f>
        <v>40.6244853010449</v>
      </c>
    </row>
    <row r="35" customFormat="false" ht="13.8" hidden="false" customHeight="false" outlineLevel="0" collapsed="false">
      <c r="B35" s="11" t="n">
        <f aca="false">_xlfn.NUMBERVALUE(solar!B32)</f>
        <v>62</v>
      </c>
      <c r="C35" s="12" t="n">
        <f aca="false">solar!C32</f>
        <v>0</v>
      </c>
      <c r="D35" s="6" t="n">
        <v>31</v>
      </c>
      <c r="E35" s="17" t="n">
        <f aca="false">IFERROR(INDEX($B$5:$C$173, MATCH($D35, $B$5:$B$175, 0), 2), 0)*investment!$C$4</f>
        <v>0</v>
      </c>
      <c r="F35" s="18" t="n">
        <f aca="false">demand!E33</f>
        <v>0</v>
      </c>
      <c r="G35" s="2" t="n">
        <f aca="false">solgen!E33</f>
        <v>0</v>
      </c>
      <c r="H35" s="2" t="n">
        <f aca="false">import!E33</f>
        <v>0</v>
      </c>
      <c r="I35" s="2" t="n">
        <f aca="false">-export!E33</f>
        <v>-0</v>
      </c>
      <c r="J35" s="2" t="n">
        <f aca="false">-charge!E33</f>
        <v>-0</v>
      </c>
      <c r="K35" s="2" t="n">
        <f aca="false">discharge!E33</f>
        <v>0</v>
      </c>
      <c r="L35" s="2" t="n">
        <f aca="false">soc!E33/investment!$E$4 *100</f>
        <v>40.6240790560676</v>
      </c>
    </row>
    <row r="36" customFormat="false" ht="13.8" hidden="false" customHeight="false" outlineLevel="0" collapsed="false">
      <c r="B36" s="11" t="n">
        <f aca="false">_xlfn.NUMBERVALUE(solar!B33)</f>
        <v>63</v>
      </c>
      <c r="C36" s="12" t="n">
        <f aca="false">solar!C33</f>
        <v>0</v>
      </c>
      <c r="D36" s="6" t="n">
        <v>32</v>
      </c>
      <c r="E36" s="17" t="n">
        <f aca="false">IFERROR(INDEX($B$5:$C$173, MATCH($D36, $B$5:$B$175, 0), 2), 0)*investment!$C$4</f>
        <v>0</v>
      </c>
      <c r="F36" s="18" t="n">
        <f aca="false">demand!E34</f>
        <v>0</v>
      </c>
      <c r="G36" s="2" t="n">
        <f aca="false">solgen!E34</f>
        <v>0</v>
      </c>
      <c r="H36" s="2" t="n">
        <f aca="false">import!E34</f>
        <v>0</v>
      </c>
      <c r="I36" s="2" t="n">
        <f aca="false">-export!E34</f>
        <v>-0</v>
      </c>
      <c r="J36" s="2" t="n">
        <f aca="false">-charge!E34</f>
        <v>-0</v>
      </c>
      <c r="K36" s="2" t="n">
        <f aca="false">discharge!E34</f>
        <v>0</v>
      </c>
      <c r="L36" s="2" t="n">
        <f aca="false">soc!E34/investment!$E$4 *100</f>
        <v>40.6236728151567</v>
      </c>
    </row>
    <row r="37" customFormat="false" ht="13.8" hidden="false" customHeight="false" outlineLevel="0" collapsed="false">
      <c r="B37" s="11" t="n">
        <f aca="false">_xlfn.NUMBERVALUE(solar!B34)</f>
        <v>64</v>
      </c>
      <c r="C37" s="12" t="n">
        <f aca="false">solar!C34</f>
        <v>0</v>
      </c>
      <c r="D37" s="6" t="n">
        <v>33</v>
      </c>
      <c r="E37" s="17" t="n">
        <f aca="false">IFERROR(INDEX($B$5:$C$173, MATCH($D37, $B$5:$B$175, 0), 2), 0)*investment!$C$4</f>
        <v>0</v>
      </c>
      <c r="F37" s="18" t="n">
        <f aca="false">demand!E35</f>
        <v>0</v>
      </c>
      <c r="G37" s="2" t="n">
        <f aca="false">solgen!E35</f>
        <v>0</v>
      </c>
      <c r="H37" s="2" t="n">
        <f aca="false">import!E35</f>
        <v>0</v>
      </c>
      <c r="I37" s="2" t="n">
        <f aca="false">-export!E35</f>
        <v>-0</v>
      </c>
      <c r="J37" s="2" t="n">
        <f aca="false">-charge!E35</f>
        <v>-0</v>
      </c>
      <c r="K37" s="2" t="n">
        <f aca="false">discharge!E35</f>
        <v>0</v>
      </c>
      <c r="L37" s="2" t="n">
        <f aca="false">soc!E35/investment!$E$4 *100</f>
        <v>40.6232665783134</v>
      </c>
    </row>
    <row r="38" customFormat="false" ht="13.8" hidden="false" customHeight="false" outlineLevel="0" collapsed="false">
      <c r="B38" s="11" t="n">
        <f aca="false">_xlfn.NUMBERVALUE(solar!B35)</f>
        <v>65</v>
      </c>
      <c r="C38" s="12" t="n">
        <f aca="false">solar!C35</f>
        <v>0</v>
      </c>
      <c r="D38" s="6" t="n">
        <v>34</v>
      </c>
      <c r="E38" s="17" t="n">
        <f aca="false">IFERROR(INDEX($B$5:$C$173, MATCH($D38, $B$5:$B$175, 0), 2), 0)*investment!$C$4</f>
        <v>0</v>
      </c>
      <c r="F38" s="18" t="n">
        <f aca="false">demand!E36</f>
        <v>0</v>
      </c>
      <c r="G38" s="2" t="n">
        <f aca="false">solgen!E36</f>
        <v>0</v>
      </c>
      <c r="H38" s="2" t="n">
        <f aca="false">import!E36</f>
        <v>0</v>
      </c>
      <c r="I38" s="2" t="n">
        <f aca="false">-export!E36</f>
        <v>-0</v>
      </c>
      <c r="J38" s="2" t="n">
        <f aca="false">-charge!E36</f>
        <v>-0</v>
      </c>
      <c r="K38" s="2" t="n">
        <f aca="false">discharge!E36</f>
        <v>0</v>
      </c>
      <c r="L38" s="2" t="n">
        <f aca="false">soc!E36/investment!$E$4 *100</f>
        <v>40.6228603455377</v>
      </c>
    </row>
    <row r="39" customFormat="false" ht="13.8" hidden="false" customHeight="false" outlineLevel="0" collapsed="false">
      <c r="B39" s="11" t="n">
        <f aca="false">_xlfn.NUMBERVALUE(solar!B36)</f>
        <v>66</v>
      </c>
      <c r="C39" s="12" t="n">
        <f aca="false">solar!C36</f>
        <v>0</v>
      </c>
      <c r="D39" s="6" t="n">
        <v>35</v>
      </c>
      <c r="E39" s="17" t="n">
        <f aca="false">IFERROR(INDEX($B$5:$C$173, MATCH($D39, $B$5:$B$175, 0), 2), 0)*investment!$C$4</f>
        <v>0</v>
      </c>
      <c r="F39" s="18" t="n">
        <f aca="false">demand!E37</f>
        <v>0</v>
      </c>
      <c r="G39" s="2" t="n">
        <f aca="false">solgen!E37</f>
        <v>0</v>
      </c>
      <c r="H39" s="2" t="n">
        <f aca="false">import!E37</f>
        <v>0</v>
      </c>
      <c r="I39" s="2" t="n">
        <f aca="false">-export!E37</f>
        <v>-0</v>
      </c>
      <c r="J39" s="2" t="n">
        <f aca="false">-charge!E37</f>
        <v>-0</v>
      </c>
      <c r="K39" s="2" t="n">
        <f aca="false">discharge!E37</f>
        <v>0</v>
      </c>
      <c r="L39" s="2" t="n">
        <f aca="false">soc!E37/investment!$E$4 *100</f>
        <v>40.6224541168296</v>
      </c>
    </row>
    <row r="40" customFormat="false" ht="13.8" hidden="false" customHeight="false" outlineLevel="0" collapsed="false">
      <c r="B40" s="11" t="n">
        <f aca="false">_xlfn.NUMBERVALUE(solar!B37)</f>
        <v>67</v>
      </c>
      <c r="C40" s="12" t="n">
        <f aca="false">solar!C37</f>
        <v>0</v>
      </c>
      <c r="D40" s="6" t="n">
        <v>36</v>
      </c>
      <c r="E40" s="17" t="n">
        <f aca="false">IFERROR(INDEX($B$5:$C$173, MATCH($D40, $B$5:$B$175, 0), 2), 0)*investment!$C$4</f>
        <v>0</v>
      </c>
      <c r="F40" s="18" t="n">
        <f aca="false">demand!E38</f>
        <v>0</v>
      </c>
      <c r="G40" s="2" t="n">
        <f aca="false">solgen!E38</f>
        <v>0</v>
      </c>
      <c r="H40" s="2" t="n">
        <f aca="false">import!E38</f>
        <v>0</v>
      </c>
      <c r="I40" s="2" t="n">
        <f aca="false">-export!E38</f>
        <v>-0</v>
      </c>
      <c r="J40" s="2" t="n">
        <f aca="false">-charge!E38</f>
        <v>-0</v>
      </c>
      <c r="K40" s="2" t="n">
        <f aca="false">discharge!E38</f>
        <v>0</v>
      </c>
      <c r="L40" s="2" t="n">
        <f aca="false">soc!E38/investment!$E$4 *100</f>
        <v>40.6220478921891</v>
      </c>
    </row>
    <row r="41" customFormat="false" ht="13.8" hidden="false" customHeight="false" outlineLevel="0" collapsed="false">
      <c r="B41" s="11" t="n">
        <f aca="false">_xlfn.NUMBERVALUE(solar!B38)</f>
        <v>80</v>
      </c>
      <c r="C41" s="12" t="n">
        <f aca="false">solar!C38</f>
        <v>0</v>
      </c>
      <c r="D41" s="6" t="n">
        <v>37</v>
      </c>
      <c r="E41" s="17" t="n">
        <f aca="false">IFERROR(INDEX($B$5:$C$173, MATCH($D41, $B$5:$B$175, 0), 2), 0)*investment!$C$4</f>
        <v>0</v>
      </c>
      <c r="F41" s="18" t="n">
        <f aca="false">demand!E39</f>
        <v>0</v>
      </c>
      <c r="G41" s="2" t="n">
        <f aca="false">solgen!E39</f>
        <v>0</v>
      </c>
      <c r="H41" s="2" t="n">
        <f aca="false">import!E39</f>
        <v>0</v>
      </c>
      <c r="I41" s="2" t="n">
        <f aca="false">-export!E39</f>
        <v>-0</v>
      </c>
      <c r="J41" s="2" t="n">
        <f aca="false">-charge!E39</f>
        <v>-0</v>
      </c>
      <c r="K41" s="2" t="n">
        <f aca="false">discharge!E39</f>
        <v>0</v>
      </c>
      <c r="L41" s="2" t="n">
        <f aca="false">soc!E39/investment!$E$4 *100</f>
        <v>40.6216416716161</v>
      </c>
    </row>
    <row r="42" customFormat="false" ht="13.8" hidden="false" customHeight="false" outlineLevel="0" collapsed="false">
      <c r="B42" s="11" t="n">
        <f aca="false">_xlfn.NUMBERVALUE(solar!B39)</f>
        <v>81</v>
      </c>
      <c r="C42" s="12" t="n">
        <f aca="false">solar!C39</f>
        <v>0</v>
      </c>
      <c r="D42" s="6" t="n">
        <v>38</v>
      </c>
      <c r="E42" s="17" t="n">
        <f aca="false">IFERROR(INDEX($B$5:$C$173, MATCH($D42, $B$5:$B$175, 0), 2), 0)*investment!$C$4</f>
        <v>0</v>
      </c>
      <c r="F42" s="18" t="n">
        <f aca="false">demand!E40</f>
        <v>0</v>
      </c>
      <c r="G42" s="2" t="n">
        <f aca="false">solgen!E40</f>
        <v>0</v>
      </c>
      <c r="H42" s="2" t="n">
        <f aca="false">import!E40</f>
        <v>0</v>
      </c>
      <c r="I42" s="2" t="n">
        <f aca="false">-export!E40</f>
        <v>-0</v>
      </c>
      <c r="J42" s="2" t="n">
        <f aca="false">-charge!E40</f>
        <v>-0</v>
      </c>
      <c r="K42" s="2" t="n">
        <f aca="false">discharge!E40</f>
        <v>0</v>
      </c>
      <c r="L42" s="2" t="n">
        <f aca="false">soc!E40/investment!$E$4 *100</f>
        <v>40.6212354551105</v>
      </c>
    </row>
    <row r="43" customFormat="false" ht="13.8" hidden="false" customHeight="false" outlineLevel="0" collapsed="false">
      <c r="B43" s="11" t="n">
        <f aca="false">_xlfn.NUMBERVALUE(solar!B40)</f>
        <v>82</v>
      </c>
      <c r="C43" s="12" t="n">
        <f aca="false">solar!C40</f>
        <v>0</v>
      </c>
      <c r="D43" s="6" t="n">
        <v>39</v>
      </c>
      <c r="E43" s="17" t="n">
        <f aca="false">IFERROR(INDEX($B$5:$C$173, MATCH($D43, $B$5:$B$175, 0), 2), 0)*investment!$C$4</f>
        <v>0</v>
      </c>
      <c r="F43" s="18" t="n">
        <f aca="false">demand!E41</f>
        <v>0</v>
      </c>
      <c r="G43" s="2" t="n">
        <f aca="false">solgen!E41</f>
        <v>0</v>
      </c>
      <c r="H43" s="2" t="n">
        <f aca="false">import!E41</f>
        <v>0</v>
      </c>
      <c r="I43" s="2" t="n">
        <f aca="false">-export!E41</f>
        <v>-0</v>
      </c>
      <c r="J43" s="2" t="n">
        <f aca="false">-charge!E41</f>
        <v>-0</v>
      </c>
      <c r="K43" s="2" t="n">
        <f aca="false">discharge!E41</f>
        <v>0</v>
      </c>
      <c r="L43" s="2" t="n">
        <f aca="false">soc!E41/investment!$E$4 *100</f>
        <v>40.6208292426724</v>
      </c>
    </row>
    <row r="44" customFormat="false" ht="13.8" hidden="false" customHeight="false" outlineLevel="0" collapsed="false">
      <c r="B44" s="11" t="n">
        <f aca="false">_xlfn.NUMBERVALUE(solar!B41)</f>
        <v>83</v>
      </c>
      <c r="C44" s="12" t="n">
        <f aca="false">solar!C41</f>
        <v>0</v>
      </c>
      <c r="D44" s="6" t="n">
        <v>40</v>
      </c>
      <c r="E44" s="17" t="n">
        <f aca="false">IFERROR(INDEX($B$5:$C$173, MATCH($D44, $B$5:$B$175, 0), 2), 0)*investment!$C$4</f>
        <v>0</v>
      </c>
      <c r="F44" s="18" t="n">
        <f aca="false">demand!E42</f>
        <v>0</v>
      </c>
      <c r="G44" s="2" t="n">
        <f aca="false">solgen!E42</f>
        <v>0</v>
      </c>
      <c r="H44" s="2" t="n">
        <f aca="false">import!E42</f>
        <v>0</v>
      </c>
      <c r="I44" s="2" t="n">
        <f aca="false">-export!E42</f>
        <v>-0</v>
      </c>
      <c r="J44" s="2" t="n">
        <f aca="false">-charge!E42</f>
        <v>-0</v>
      </c>
      <c r="K44" s="2" t="n">
        <f aca="false">discharge!E42</f>
        <v>0</v>
      </c>
      <c r="L44" s="2" t="n">
        <f aca="false">soc!E42/investment!$E$4 *100</f>
        <v>40.6204230343017</v>
      </c>
    </row>
    <row r="45" customFormat="false" ht="13.8" hidden="false" customHeight="false" outlineLevel="0" collapsed="false">
      <c r="B45" s="11" t="n">
        <f aca="false">_xlfn.NUMBERVALUE(solar!B42)</f>
        <v>84</v>
      </c>
      <c r="C45" s="12" t="n">
        <f aca="false">solar!C42</f>
        <v>0</v>
      </c>
      <c r="D45" s="6" t="n">
        <v>41</v>
      </c>
      <c r="E45" s="17" t="n">
        <f aca="false">IFERROR(INDEX($B$5:$C$173, MATCH($D45, $B$5:$B$175, 0), 2), 0)*investment!$C$4</f>
        <v>0</v>
      </c>
      <c r="F45" s="18" t="n">
        <f aca="false">demand!E43</f>
        <v>0</v>
      </c>
      <c r="G45" s="2" t="n">
        <f aca="false">solgen!E43</f>
        <v>0</v>
      </c>
      <c r="H45" s="2" t="n">
        <f aca="false">import!E43</f>
        <v>0</v>
      </c>
      <c r="I45" s="2" t="n">
        <f aca="false">-export!E43</f>
        <v>-0</v>
      </c>
      <c r="J45" s="2" t="n">
        <f aca="false">-charge!E43</f>
        <v>-0</v>
      </c>
      <c r="K45" s="2" t="n">
        <f aca="false">discharge!E43</f>
        <v>0</v>
      </c>
      <c r="L45" s="2" t="n">
        <f aca="false">soc!E43/investment!$E$4 *100</f>
        <v>40.6200168299983</v>
      </c>
    </row>
    <row r="46" customFormat="false" ht="13.8" hidden="false" customHeight="false" outlineLevel="0" collapsed="false">
      <c r="B46" s="11" t="n">
        <f aca="false">_xlfn.NUMBERVALUE(solar!B43)</f>
        <v>85</v>
      </c>
      <c r="C46" s="12" t="n">
        <f aca="false">solar!C43</f>
        <v>0</v>
      </c>
      <c r="D46" s="6" t="n">
        <v>42</v>
      </c>
      <c r="E46" s="17" t="n">
        <f aca="false">IFERROR(INDEX($B$5:$C$173, MATCH($D46, $B$5:$B$175, 0), 2), 0)*investment!$C$4</f>
        <v>0</v>
      </c>
      <c r="F46" s="18" t="n">
        <f aca="false">demand!E44</f>
        <v>0</v>
      </c>
      <c r="G46" s="2" t="n">
        <f aca="false">solgen!E44</f>
        <v>0</v>
      </c>
      <c r="H46" s="2" t="n">
        <f aca="false">import!E44</f>
        <v>0</v>
      </c>
      <c r="I46" s="2" t="n">
        <f aca="false">-export!E44</f>
        <v>-0</v>
      </c>
      <c r="J46" s="2" t="n">
        <f aca="false">-charge!E44</f>
        <v>-0</v>
      </c>
      <c r="K46" s="2" t="n">
        <f aca="false">discharge!E44</f>
        <v>0</v>
      </c>
      <c r="L46" s="2" t="n">
        <f aca="false">soc!E44/investment!$E$4 *100</f>
        <v>40.6196106297622</v>
      </c>
    </row>
    <row r="47" customFormat="false" ht="13.8" hidden="false" customHeight="false" outlineLevel="0" collapsed="false">
      <c r="B47" s="11" t="n">
        <f aca="false">_xlfn.NUMBERVALUE(solar!B44)</f>
        <v>86</v>
      </c>
      <c r="C47" s="12" t="n">
        <f aca="false">solar!C44</f>
        <v>0</v>
      </c>
      <c r="D47" s="6" t="n">
        <v>43</v>
      </c>
      <c r="E47" s="17" t="n">
        <f aca="false">IFERROR(INDEX($B$5:$C$173, MATCH($D47, $B$5:$B$175, 0), 2), 0)*investment!$C$4</f>
        <v>0</v>
      </c>
      <c r="F47" s="18" t="n">
        <f aca="false">demand!E45</f>
        <v>0</v>
      </c>
      <c r="G47" s="2" t="n">
        <f aca="false">solgen!E45</f>
        <v>0</v>
      </c>
      <c r="H47" s="2" t="n">
        <f aca="false">import!E45</f>
        <v>0</v>
      </c>
      <c r="I47" s="2" t="n">
        <f aca="false">-export!E45</f>
        <v>-0</v>
      </c>
      <c r="J47" s="2" t="n">
        <f aca="false">-charge!E45</f>
        <v>-0</v>
      </c>
      <c r="K47" s="2" t="n">
        <f aca="false">discharge!E45</f>
        <v>0</v>
      </c>
      <c r="L47" s="2" t="n">
        <f aca="false">soc!E45/investment!$E$4 *100</f>
        <v>40.6192044335934</v>
      </c>
    </row>
    <row r="48" customFormat="false" ht="13.8" hidden="false" customHeight="false" outlineLevel="0" collapsed="false">
      <c r="B48" s="11" t="n">
        <f aca="false">_xlfn.NUMBERVALUE(solar!B45)</f>
        <v>87</v>
      </c>
      <c r="C48" s="12" t="n">
        <f aca="false">solar!C45</f>
        <v>0</v>
      </c>
      <c r="D48" s="6" t="n">
        <v>44</v>
      </c>
      <c r="E48" s="17" t="n">
        <f aca="false">IFERROR(INDEX($B$5:$C$173, MATCH($D48, $B$5:$B$175, 0), 2), 0)*investment!$C$4</f>
        <v>0</v>
      </c>
      <c r="F48" s="18" t="n">
        <f aca="false">demand!E46</f>
        <v>0</v>
      </c>
      <c r="G48" s="2" t="n">
        <f aca="false">solgen!E46</f>
        <v>0</v>
      </c>
      <c r="H48" s="2" t="n">
        <f aca="false">import!E46</f>
        <v>0</v>
      </c>
      <c r="I48" s="2" t="n">
        <f aca="false">-export!E46</f>
        <v>-0</v>
      </c>
      <c r="J48" s="2" t="n">
        <f aca="false">-charge!E46</f>
        <v>-0</v>
      </c>
      <c r="K48" s="2" t="n">
        <f aca="false">discharge!E46</f>
        <v>0</v>
      </c>
      <c r="L48" s="2" t="n">
        <f aca="false">soc!E46/investment!$E$4 *100</f>
        <v>40.6187982414918</v>
      </c>
    </row>
    <row r="49" customFormat="false" ht="13.8" hidden="false" customHeight="false" outlineLevel="0" collapsed="false">
      <c r="B49" s="11" t="n">
        <f aca="false">_xlfn.NUMBERVALUE(solar!B46)</f>
        <v>88</v>
      </c>
      <c r="C49" s="12" t="n">
        <f aca="false">solar!C46</f>
        <v>0</v>
      </c>
      <c r="D49" s="6" t="n">
        <v>45</v>
      </c>
      <c r="E49" s="17" t="n">
        <f aca="false">IFERROR(INDEX($B$5:$C$173, MATCH($D49, $B$5:$B$175, 0), 2), 0)*investment!$C$4</f>
        <v>0</v>
      </c>
      <c r="F49" s="18" t="n">
        <f aca="false">demand!E47</f>
        <v>0</v>
      </c>
      <c r="G49" s="2" t="n">
        <f aca="false">solgen!E47</f>
        <v>0</v>
      </c>
      <c r="H49" s="2" t="n">
        <f aca="false">import!E47</f>
        <v>0</v>
      </c>
      <c r="I49" s="2" t="n">
        <f aca="false">-export!E47</f>
        <v>-0</v>
      </c>
      <c r="J49" s="2" t="n">
        <f aca="false">-charge!E47</f>
        <v>-0</v>
      </c>
      <c r="K49" s="2" t="n">
        <f aca="false">discharge!E47</f>
        <v>0</v>
      </c>
      <c r="L49" s="2" t="n">
        <f aca="false">soc!E47/investment!$E$4 *100</f>
        <v>40.6183920534573</v>
      </c>
    </row>
    <row r="50" customFormat="false" ht="13.8" hidden="false" customHeight="false" outlineLevel="0" collapsed="false">
      <c r="B50" s="11" t="n">
        <f aca="false">_xlfn.NUMBERVALUE(solar!B47)</f>
        <v>89</v>
      </c>
      <c r="C50" s="12" t="n">
        <f aca="false">solar!C47</f>
        <v>0</v>
      </c>
      <c r="D50" s="6" t="n">
        <v>46</v>
      </c>
      <c r="E50" s="17" t="n">
        <f aca="false">IFERROR(INDEX($B$5:$C$173, MATCH($D50, $B$5:$B$175, 0), 2), 0)*investment!$C$4</f>
        <v>0</v>
      </c>
      <c r="F50" s="18" t="n">
        <f aca="false">demand!E48</f>
        <v>0</v>
      </c>
      <c r="G50" s="2" t="n">
        <f aca="false">solgen!E48</f>
        <v>0</v>
      </c>
      <c r="H50" s="2" t="n">
        <f aca="false">import!E48</f>
        <v>0</v>
      </c>
      <c r="I50" s="2" t="n">
        <f aca="false">-export!E48</f>
        <v>-0</v>
      </c>
      <c r="J50" s="2" t="n">
        <f aca="false">-charge!E48</f>
        <v>-0</v>
      </c>
      <c r="K50" s="2" t="n">
        <f aca="false">discharge!E48</f>
        <v>0</v>
      </c>
      <c r="L50" s="2" t="n">
        <f aca="false">soc!E48/investment!$E$4 *100</f>
        <v>40.6179858694901</v>
      </c>
    </row>
    <row r="51" customFormat="false" ht="13.8" hidden="false" customHeight="false" outlineLevel="0" collapsed="false">
      <c r="B51" s="11" t="n">
        <f aca="false">_xlfn.NUMBERVALUE(solar!B48)</f>
        <v>90</v>
      </c>
      <c r="C51" s="12" t="n">
        <f aca="false">solar!C48</f>
        <v>0</v>
      </c>
      <c r="D51" s="6" t="n">
        <v>47</v>
      </c>
      <c r="E51" s="17" t="n">
        <f aca="false">IFERROR(INDEX($B$5:$C$173, MATCH($D51, $B$5:$B$175, 0), 2), 0)*investment!$C$4</f>
        <v>0</v>
      </c>
      <c r="F51" s="18" t="n">
        <f aca="false">demand!E49</f>
        <v>0</v>
      </c>
      <c r="G51" s="2" t="n">
        <f aca="false">solgen!E49</f>
        <v>0</v>
      </c>
      <c r="H51" s="2" t="n">
        <f aca="false">import!E49</f>
        <v>0</v>
      </c>
      <c r="I51" s="2" t="n">
        <f aca="false">-export!E49</f>
        <v>-0</v>
      </c>
      <c r="J51" s="2" t="n">
        <f aca="false">-charge!E49</f>
        <v>-0</v>
      </c>
      <c r="K51" s="2" t="n">
        <f aca="false">discharge!E49</f>
        <v>0</v>
      </c>
      <c r="L51" s="2" t="n">
        <f aca="false">soc!E49/investment!$E$4 *100</f>
        <v>40.6175796895899</v>
      </c>
    </row>
    <row r="52" customFormat="false" ht="13.8" hidden="false" customHeight="false" outlineLevel="0" collapsed="false">
      <c r="B52" s="11" t="n">
        <f aca="false">_xlfn.NUMBERVALUE(solar!B49)</f>
        <v>91</v>
      </c>
      <c r="C52" s="12" t="n">
        <f aca="false">solar!C49</f>
        <v>0</v>
      </c>
      <c r="D52" s="6" t="n">
        <v>48</v>
      </c>
      <c r="E52" s="17" t="n">
        <f aca="false">IFERROR(INDEX($B$5:$C$173, MATCH($D52, $B$5:$B$175, 0), 2), 0)*investment!$C$4</f>
        <v>0</v>
      </c>
      <c r="F52" s="18" t="n">
        <f aca="false">demand!E50</f>
        <v>0</v>
      </c>
      <c r="G52" s="2" t="n">
        <f aca="false">solgen!E50</f>
        <v>0</v>
      </c>
      <c r="H52" s="2" t="n">
        <f aca="false">import!E50</f>
        <v>0</v>
      </c>
      <c r="I52" s="2" t="n">
        <f aca="false">-export!E50</f>
        <v>-0</v>
      </c>
      <c r="J52" s="2" t="n">
        <f aca="false">-charge!E50</f>
        <v>-0</v>
      </c>
      <c r="K52" s="2" t="n">
        <f aca="false">discharge!E50</f>
        <v>0</v>
      </c>
      <c r="L52" s="2" t="n">
        <f aca="false">soc!E50/investment!$E$4 *100</f>
        <v>40.6171735137818</v>
      </c>
    </row>
    <row r="53" customFormat="false" ht="13.8" hidden="false" customHeight="false" outlineLevel="0" collapsed="false">
      <c r="B53" s="11" t="n">
        <f aca="false">_xlfn.NUMBERVALUE(solar!B50)</f>
        <v>104</v>
      </c>
      <c r="C53" s="12" t="n">
        <f aca="false">solar!C50</f>
        <v>0</v>
      </c>
      <c r="D53" s="6" t="n">
        <v>49</v>
      </c>
      <c r="E53" s="17" t="n">
        <f aca="false">IFERROR(INDEX($B$5:$C$173, MATCH($D53, $B$5:$B$175, 0), 2), 0)*investment!$C$4</f>
        <v>0</v>
      </c>
      <c r="F53" s="18" t="n">
        <f aca="false">demand!E51</f>
        <v>0</v>
      </c>
      <c r="G53" s="2" t="n">
        <f aca="false">solgen!E51</f>
        <v>0</v>
      </c>
      <c r="H53" s="2" t="n">
        <f aca="false">import!E51</f>
        <v>0</v>
      </c>
      <c r="I53" s="2" t="n">
        <f aca="false">-export!E51</f>
        <v>-0</v>
      </c>
      <c r="J53" s="2" t="n">
        <f aca="false">-charge!E51</f>
        <v>-0</v>
      </c>
      <c r="K53" s="2" t="n">
        <f aca="false">discharge!E51</f>
        <v>0</v>
      </c>
      <c r="L53" s="2" t="n">
        <f aca="false">soc!E51/investment!$E$4 *100</f>
        <v>40.6167673419657</v>
      </c>
    </row>
    <row r="54" customFormat="false" ht="13.8" hidden="false" customHeight="false" outlineLevel="0" collapsed="false">
      <c r="B54" s="11" t="n">
        <f aca="false">_xlfn.NUMBERVALUE(solar!B51)</f>
        <v>105</v>
      </c>
      <c r="C54" s="12" t="n">
        <f aca="false">solar!C51</f>
        <v>0</v>
      </c>
      <c r="D54" s="6" t="n">
        <v>50</v>
      </c>
      <c r="E54" s="17" t="n">
        <f aca="false">IFERROR(INDEX($B$5:$C$173, MATCH($D54, $B$5:$B$175, 0), 2), 0)*investment!$C$4</f>
        <v>0</v>
      </c>
      <c r="F54" s="18" t="n">
        <f aca="false">demand!E52</f>
        <v>0</v>
      </c>
      <c r="G54" s="2" t="n">
        <f aca="false">solgen!E52</f>
        <v>0</v>
      </c>
      <c r="H54" s="2" t="n">
        <f aca="false">import!E52</f>
        <v>0</v>
      </c>
      <c r="I54" s="2" t="n">
        <f aca="false">-export!E52</f>
        <v>-0</v>
      </c>
      <c r="J54" s="2" t="n">
        <f aca="false">-charge!E52</f>
        <v>-0</v>
      </c>
      <c r="K54" s="2" t="n">
        <f aca="false">discharge!E52</f>
        <v>0</v>
      </c>
      <c r="L54" s="2" t="n">
        <f aca="false">soc!E52/investment!$E$4 *100</f>
        <v>40.6163611742916</v>
      </c>
    </row>
    <row r="55" customFormat="false" ht="13.8" hidden="false" customHeight="false" outlineLevel="0" collapsed="false">
      <c r="B55" s="11" t="n">
        <f aca="false">_xlfn.NUMBERVALUE(solar!B52)</f>
        <v>106</v>
      </c>
      <c r="C55" s="12" t="n">
        <f aca="false">solar!C52</f>
        <v>0</v>
      </c>
      <c r="D55" s="6" t="n">
        <v>51</v>
      </c>
      <c r="E55" s="17" t="n">
        <f aca="false">IFERROR(INDEX($B$5:$C$173, MATCH($D55, $B$5:$B$175, 0), 2), 0)*investment!$C$4</f>
        <v>0</v>
      </c>
      <c r="F55" s="18" t="n">
        <f aca="false">demand!E53</f>
        <v>0</v>
      </c>
      <c r="G55" s="2" t="n">
        <f aca="false">solgen!E53</f>
        <v>0</v>
      </c>
      <c r="H55" s="2" t="n">
        <f aca="false">import!E53</f>
        <v>0</v>
      </c>
      <c r="I55" s="2" t="n">
        <f aca="false">-export!E53</f>
        <v>-0</v>
      </c>
      <c r="J55" s="2" t="n">
        <f aca="false">-charge!E53</f>
        <v>-0</v>
      </c>
      <c r="K55" s="2" t="n">
        <f aca="false">discharge!E53</f>
        <v>0</v>
      </c>
      <c r="L55" s="2" t="n">
        <f aca="false">soc!E53/investment!$E$4 *100</f>
        <v>40.6159550106594</v>
      </c>
    </row>
    <row r="56" customFormat="false" ht="13.8" hidden="false" customHeight="false" outlineLevel="0" collapsed="false">
      <c r="B56" s="11" t="n">
        <f aca="false">_xlfn.NUMBERVALUE(solar!B53)</f>
        <v>107</v>
      </c>
      <c r="C56" s="12" t="n">
        <f aca="false">solar!C53</f>
        <v>0</v>
      </c>
      <c r="D56" s="6" t="n">
        <v>52</v>
      </c>
      <c r="E56" s="17" t="n">
        <f aca="false">IFERROR(INDEX($B$5:$C$173, MATCH($D56, $B$5:$B$175, 0), 2), 0)*investment!$C$4</f>
        <v>0</v>
      </c>
      <c r="F56" s="18" t="n">
        <f aca="false">demand!E54</f>
        <v>0</v>
      </c>
      <c r="G56" s="2" t="n">
        <f aca="false">solgen!E54</f>
        <v>0</v>
      </c>
      <c r="H56" s="2" t="n">
        <f aca="false">import!E54</f>
        <v>0</v>
      </c>
      <c r="I56" s="2" t="n">
        <f aca="false">-export!E54</f>
        <v>-0</v>
      </c>
      <c r="J56" s="2" t="n">
        <f aca="false">-charge!E54</f>
        <v>-0</v>
      </c>
      <c r="K56" s="2" t="n">
        <f aca="false">discharge!E54</f>
        <v>0</v>
      </c>
      <c r="L56" s="2" t="n">
        <f aca="false">soc!E54/investment!$E$4 *100</f>
        <v>40.6155488510941</v>
      </c>
    </row>
    <row r="57" customFormat="false" ht="13.8" hidden="false" customHeight="false" outlineLevel="0" collapsed="false">
      <c r="B57" s="11" t="n">
        <f aca="false">_xlfn.NUMBERVALUE(solar!B54)</f>
        <v>108</v>
      </c>
      <c r="C57" s="12" t="n">
        <f aca="false">solar!C54</f>
        <v>0</v>
      </c>
      <c r="D57" s="6" t="n">
        <v>53</v>
      </c>
      <c r="E57" s="17" t="n">
        <f aca="false">IFERROR(INDEX($B$5:$C$173, MATCH($D57, $B$5:$B$175, 0), 2), 0)*investment!$C$4</f>
        <v>0</v>
      </c>
      <c r="F57" s="18" t="n">
        <f aca="false">demand!E55</f>
        <v>0</v>
      </c>
      <c r="G57" s="2" t="n">
        <f aca="false">solgen!E55</f>
        <v>0</v>
      </c>
      <c r="H57" s="2" t="n">
        <f aca="false">import!E55</f>
        <v>0</v>
      </c>
      <c r="I57" s="2" t="n">
        <f aca="false">-export!E55</f>
        <v>-0</v>
      </c>
      <c r="J57" s="2" t="n">
        <f aca="false">-charge!E55</f>
        <v>-0</v>
      </c>
      <c r="K57" s="2" t="n">
        <f aca="false">discharge!E55</f>
        <v>0</v>
      </c>
      <c r="L57" s="2" t="n">
        <f aca="false">soc!E55/investment!$E$4 *100</f>
        <v>40.6151426955957</v>
      </c>
    </row>
    <row r="58" customFormat="false" ht="13.8" hidden="false" customHeight="false" outlineLevel="0" collapsed="false">
      <c r="B58" s="11" t="n">
        <f aca="false">_xlfn.NUMBERVALUE(solar!B55)</f>
        <v>109</v>
      </c>
      <c r="C58" s="12" t="n">
        <f aca="false">solar!C55</f>
        <v>0</v>
      </c>
      <c r="D58" s="6" t="n">
        <v>54</v>
      </c>
      <c r="E58" s="17" t="n">
        <f aca="false">IFERROR(INDEX($B$5:$C$173, MATCH($D58, $B$5:$B$175, 0), 2), 0)*investment!$C$4</f>
        <v>0</v>
      </c>
      <c r="F58" s="18" t="n">
        <f aca="false">demand!E56</f>
        <v>0</v>
      </c>
      <c r="G58" s="2" t="n">
        <f aca="false">solgen!E56</f>
        <v>0</v>
      </c>
      <c r="H58" s="2" t="n">
        <f aca="false">import!E56</f>
        <v>0</v>
      </c>
      <c r="I58" s="2" t="n">
        <f aca="false">-export!E56</f>
        <v>-0</v>
      </c>
      <c r="J58" s="2" t="n">
        <f aca="false">-charge!E56</f>
        <v>-0</v>
      </c>
      <c r="K58" s="2" t="n">
        <f aca="false">discharge!E56</f>
        <v>0</v>
      </c>
      <c r="L58" s="2" t="n">
        <f aca="false">soc!E56/investment!$E$4 *100</f>
        <v>42.2069278789564</v>
      </c>
    </row>
    <row r="59" customFormat="false" ht="13.8" hidden="false" customHeight="false" outlineLevel="0" collapsed="false">
      <c r="B59" s="11" t="n">
        <f aca="false">_xlfn.NUMBERVALUE(solar!B56)</f>
        <v>110</v>
      </c>
      <c r="C59" s="12" t="n">
        <f aca="false">solar!C56</f>
        <v>0</v>
      </c>
      <c r="D59" s="6" t="n">
        <v>55</v>
      </c>
      <c r="E59" s="17" t="n">
        <f aca="false">IFERROR(INDEX($B$5:$C$173, MATCH($D59, $B$5:$B$175, 0), 2), 0)*investment!$C$4</f>
        <v>0</v>
      </c>
      <c r="F59" s="18" t="n">
        <f aca="false">demand!E57</f>
        <v>0</v>
      </c>
      <c r="G59" s="2" t="n">
        <f aca="false">solgen!E57</f>
        <v>0</v>
      </c>
      <c r="H59" s="2" t="n">
        <f aca="false">import!E57</f>
        <v>0</v>
      </c>
      <c r="I59" s="2" t="n">
        <f aca="false">-export!E57</f>
        <v>-0</v>
      </c>
      <c r="J59" s="2" t="n">
        <f aca="false">-charge!E57</f>
        <v>-0</v>
      </c>
      <c r="K59" s="2" t="n">
        <f aca="false">discharge!E57</f>
        <v>0</v>
      </c>
      <c r="L59" s="2" t="n">
        <f aca="false">soc!E57/investment!$E$4 *100</f>
        <v>48.9862614455639</v>
      </c>
    </row>
    <row r="60" customFormat="false" ht="13.8" hidden="false" customHeight="false" outlineLevel="0" collapsed="false">
      <c r="B60" s="11" t="n">
        <f aca="false">_xlfn.NUMBERVALUE(solar!B57)</f>
        <v>111</v>
      </c>
      <c r="C60" s="12" t="n">
        <f aca="false">solar!C57</f>
        <v>0</v>
      </c>
      <c r="D60" s="6" t="n">
        <v>56</v>
      </c>
      <c r="E60" s="17" t="n">
        <f aca="false">IFERROR(INDEX($B$5:$C$173, MATCH($D60, $B$5:$B$175, 0), 2), 0)*investment!$C$4</f>
        <v>0</v>
      </c>
      <c r="F60" s="18" t="n">
        <f aca="false">demand!E58</f>
        <v>0</v>
      </c>
      <c r="G60" s="2" t="n">
        <f aca="false">solgen!E58</f>
        <v>0</v>
      </c>
      <c r="H60" s="2" t="n">
        <f aca="false">import!E58</f>
        <v>0</v>
      </c>
      <c r="I60" s="2" t="n">
        <f aca="false">-export!E58</f>
        <v>-0</v>
      </c>
      <c r="J60" s="2" t="n">
        <f aca="false">-charge!E58</f>
        <v>-0</v>
      </c>
      <c r="K60" s="2" t="n">
        <f aca="false">discharge!E58</f>
        <v>0</v>
      </c>
      <c r="L60" s="2" t="n">
        <f aca="false">soc!E58/investment!$E$4 *100</f>
        <v>56.4034880561055</v>
      </c>
    </row>
    <row r="61" customFormat="false" ht="13.8" hidden="false" customHeight="false" outlineLevel="0" collapsed="false">
      <c r="B61" s="11" t="n">
        <f aca="false">_xlfn.NUMBERVALUE(solar!B58)</f>
        <v>112</v>
      </c>
      <c r="C61" s="12" t="n">
        <f aca="false">solar!C58</f>
        <v>0</v>
      </c>
      <c r="D61" s="6" t="n">
        <v>57</v>
      </c>
      <c r="E61" s="17" t="n">
        <f aca="false">IFERROR(INDEX($B$5:$C$173, MATCH($D61, $B$5:$B$175, 0), 2), 0)*investment!$C$4</f>
        <v>0</v>
      </c>
      <c r="F61" s="18" t="n">
        <f aca="false">demand!E59</f>
        <v>0</v>
      </c>
      <c r="G61" s="2" t="n">
        <f aca="false">solgen!E59</f>
        <v>0</v>
      </c>
      <c r="H61" s="2" t="n">
        <f aca="false">import!E59</f>
        <v>0</v>
      </c>
      <c r="I61" s="2" t="n">
        <f aca="false">-export!E59</f>
        <v>-0</v>
      </c>
      <c r="J61" s="2" t="n">
        <f aca="false">-charge!E59</f>
        <v>-0</v>
      </c>
      <c r="K61" s="2" t="n">
        <f aca="false">discharge!E59</f>
        <v>0</v>
      </c>
      <c r="L61" s="2" t="n">
        <f aca="false">soc!E59/investment!$E$4 *100</f>
        <v>63.3834948162474</v>
      </c>
    </row>
    <row r="62" customFormat="false" ht="13.8" hidden="false" customHeight="false" outlineLevel="0" collapsed="false">
      <c r="B62" s="11" t="n">
        <f aca="false">_xlfn.NUMBERVALUE(solar!B59)</f>
        <v>113</v>
      </c>
      <c r="C62" s="12" t="n">
        <f aca="false">solar!C59</f>
        <v>0</v>
      </c>
      <c r="D62" s="6" t="n">
        <v>58</v>
      </c>
      <c r="E62" s="17" t="n">
        <f aca="false">IFERROR(INDEX($B$5:$C$173, MATCH($D62, $B$5:$B$175, 0), 2), 0)*investment!$C$4</f>
        <v>0</v>
      </c>
      <c r="F62" s="18" t="n">
        <f aca="false">demand!E60</f>
        <v>0</v>
      </c>
      <c r="G62" s="2" t="n">
        <f aca="false">solgen!E60</f>
        <v>0</v>
      </c>
      <c r="H62" s="2" t="n">
        <f aca="false">import!E60</f>
        <v>0</v>
      </c>
      <c r="I62" s="2" t="n">
        <f aca="false">-export!E60</f>
        <v>-0</v>
      </c>
      <c r="J62" s="2" t="n">
        <f aca="false">-charge!E60</f>
        <v>-0</v>
      </c>
      <c r="K62" s="2" t="n">
        <f aca="false">discharge!E60</f>
        <v>0</v>
      </c>
      <c r="L62" s="2" t="n">
        <f aca="false">soc!E60/investment!$E$4 *100</f>
        <v>70.0288360746851</v>
      </c>
    </row>
    <row r="63" customFormat="false" ht="13.8" hidden="false" customHeight="false" outlineLevel="0" collapsed="false">
      <c r="B63" s="11" t="n">
        <f aca="false">_xlfn.NUMBERVALUE(solar!B60)</f>
        <v>114</v>
      </c>
      <c r="C63" s="12" t="n">
        <f aca="false">solar!C60</f>
        <v>0</v>
      </c>
      <c r="D63" s="6" t="n">
        <v>59</v>
      </c>
      <c r="E63" s="17" t="n">
        <f aca="false">IFERROR(INDEX($B$5:$C$173, MATCH($D63, $B$5:$B$175, 0), 2), 0)*investment!$C$4</f>
        <v>0</v>
      </c>
      <c r="F63" s="18" t="n">
        <f aca="false">demand!E61</f>
        <v>0</v>
      </c>
      <c r="G63" s="2" t="n">
        <f aca="false">solgen!E61</f>
        <v>0</v>
      </c>
      <c r="H63" s="2" t="n">
        <f aca="false">import!E61</f>
        <v>0</v>
      </c>
      <c r="I63" s="2" t="n">
        <f aca="false">-export!E61</f>
        <v>-0</v>
      </c>
      <c r="J63" s="2" t="n">
        <f aca="false">-charge!E61</f>
        <v>-0</v>
      </c>
      <c r="K63" s="2" t="n">
        <f aca="false">discharge!E61</f>
        <v>0</v>
      </c>
      <c r="L63" s="2" t="n">
        <f aca="false">soc!E61/investment!$E$4 *100</f>
        <v>75.4825953056103</v>
      </c>
    </row>
    <row r="64" customFormat="false" ht="13.8" hidden="false" customHeight="false" outlineLevel="0" collapsed="false">
      <c r="B64" s="11" t="n">
        <f aca="false">_xlfn.NUMBERVALUE(solar!B61)</f>
        <v>115</v>
      </c>
      <c r="C64" s="12" t="n">
        <f aca="false">solar!C61</f>
        <v>0</v>
      </c>
      <c r="D64" s="6" t="n">
        <v>60</v>
      </c>
      <c r="E64" s="17" t="n">
        <f aca="false">IFERROR(INDEX($B$5:$C$173, MATCH($D64, $B$5:$B$175, 0), 2), 0)*investment!$C$4</f>
        <v>0</v>
      </c>
      <c r="F64" s="18" t="n">
        <f aca="false">demand!E62</f>
        <v>0</v>
      </c>
      <c r="G64" s="2" t="n">
        <f aca="false">solgen!E62</f>
        <v>0</v>
      </c>
      <c r="H64" s="2" t="n">
        <f aca="false">import!E62</f>
        <v>0</v>
      </c>
      <c r="I64" s="2" t="n">
        <f aca="false">-export!E62</f>
        <v>-0</v>
      </c>
      <c r="J64" s="2" t="n">
        <f aca="false">-charge!E62</f>
        <v>-0</v>
      </c>
      <c r="K64" s="2" t="n">
        <f aca="false">discharge!E62</f>
        <v>0</v>
      </c>
      <c r="L64" s="2" t="n">
        <f aca="false">soc!E62/investment!$E$4 *100</f>
        <v>80.0807666502668</v>
      </c>
    </row>
    <row r="65" customFormat="false" ht="13.8" hidden="false" customHeight="false" outlineLevel="0" collapsed="false">
      <c r="B65" s="11" t="n">
        <f aca="false">_xlfn.NUMBERVALUE(solar!B62)</f>
        <v>128</v>
      </c>
      <c r="C65" s="12" t="n">
        <f aca="false">solar!C62</f>
        <v>0</v>
      </c>
      <c r="D65" s="6" t="n">
        <v>61</v>
      </c>
      <c r="E65" s="17" t="n">
        <f aca="false">IFERROR(INDEX($B$5:$C$173, MATCH($D65, $B$5:$B$175, 0), 2), 0)*investment!$C$4</f>
        <v>0</v>
      </c>
      <c r="F65" s="18" t="n">
        <f aca="false">demand!E63</f>
        <v>0</v>
      </c>
      <c r="G65" s="2" t="n">
        <f aca="false">solgen!E63</f>
        <v>0</v>
      </c>
      <c r="H65" s="2" t="n">
        <f aca="false">import!E63</f>
        <v>0</v>
      </c>
      <c r="I65" s="2" t="n">
        <f aca="false">-export!E63</f>
        <v>-0</v>
      </c>
      <c r="J65" s="2" t="n">
        <f aca="false">-charge!E63</f>
        <v>-0</v>
      </c>
      <c r="K65" s="2" t="n">
        <f aca="false">discharge!E63</f>
        <v>0</v>
      </c>
      <c r="L65" s="2" t="n">
        <f aca="false">soc!E63/investment!$E$4 *100</f>
        <v>83.8531137017286</v>
      </c>
    </row>
    <row r="66" customFormat="false" ht="13.8" hidden="false" customHeight="false" outlineLevel="0" collapsed="false">
      <c r="B66" s="11" t="n">
        <f aca="false">_xlfn.NUMBERVALUE(solar!B63)</f>
        <v>129</v>
      </c>
      <c r="C66" s="12" t="n">
        <f aca="false">solar!C63</f>
        <v>0</v>
      </c>
      <c r="D66" s="6" t="n">
        <v>62</v>
      </c>
      <c r="E66" s="17" t="n">
        <f aca="false">IFERROR(INDEX($B$5:$C$173, MATCH($D66, $B$5:$B$175, 0), 2), 0)*investment!$C$4</f>
        <v>0</v>
      </c>
      <c r="F66" s="18" t="n">
        <f aca="false">demand!E64</f>
        <v>0</v>
      </c>
      <c r="G66" s="2" t="n">
        <f aca="false">solgen!E64</f>
        <v>0</v>
      </c>
      <c r="H66" s="2" t="n">
        <f aca="false">import!E64</f>
        <v>0</v>
      </c>
      <c r="I66" s="2" t="n">
        <f aca="false">-export!E64</f>
        <v>-0</v>
      </c>
      <c r="J66" s="2" t="n">
        <f aca="false">-charge!E64</f>
        <v>-0</v>
      </c>
      <c r="K66" s="2" t="n">
        <f aca="false">discharge!E64</f>
        <v>0</v>
      </c>
      <c r="L66" s="2" t="n">
        <f aca="false">soc!E64/investment!$E$4 *100</f>
        <v>87.0842970377626</v>
      </c>
    </row>
    <row r="67" customFormat="false" ht="13.8" hidden="false" customHeight="false" outlineLevel="0" collapsed="false">
      <c r="B67" s="11" t="n">
        <f aca="false">_xlfn.NUMBERVALUE(solar!B64)</f>
        <v>130</v>
      </c>
      <c r="C67" s="12" t="n">
        <f aca="false">solar!C64</f>
        <v>0</v>
      </c>
      <c r="D67" s="6" t="n">
        <v>63</v>
      </c>
      <c r="E67" s="17" t="n">
        <f aca="false">IFERROR(INDEX($B$5:$C$173, MATCH($D67, $B$5:$B$175, 0), 2), 0)*investment!$C$4</f>
        <v>0</v>
      </c>
      <c r="F67" s="18" t="n">
        <f aca="false">demand!E65</f>
        <v>0</v>
      </c>
      <c r="G67" s="2" t="n">
        <f aca="false">solgen!E65</f>
        <v>0</v>
      </c>
      <c r="H67" s="2" t="n">
        <f aca="false">import!E65</f>
        <v>0</v>
      </c>
      <c r="I67" s="2" t="n">
        <f aca="false">-export!E65</f>
        <v>-0</v>
      </c>
      <c r="J67" s="2" t="n">
        <f aca="false">-charge!E65</f>
        <v>-0</v>
      </c>
      <c r="K67" s="2" t="n">
        <f aca="false">discharge!E65</f>
        <v>0</v>
      </c>
      <c r="L67" s="2" t="n">
        <f aca="false">soc!E65/investment!$E$4 *100</f>
        <v>89.0010693356369</v>
      </c>
    </row>
    <row r="68" customFormat="false" ht="13.8" hidden="false" customHeight="false" outlineLevel="0" collapsed="false">
      <c r="B68" s="11" t="n">
        <f aca="false">_xlfn.NUMBERVALUE(solar!B65)</f>
        <v>131</v>
      </c>
      <c r="C68" s="12" t="n">
        <f aca="false">solar!C65</f>
        <v>0</v>
      </c>
      <c r="D68" s="6" t="n">
        <v>64</v>
      </c>
      <c r="E68" s="17" t="n">
        <f aca="false">IFERROR(INDEX($B$5:$C$173, MATCH($D68, $B$5:$B$175, 0), 2), 0)*investment!$C$4</f>
        <v>0</v>
      </c>
      <c r="F68" s="18" t="n">
        <f aca="false">demand!E66</f>
        <v>0</v>
      </c>
      <c r="G68" s="2" t="n">
        <f aca="false">solgen!E66</f>
        <v>0</v>
      </c>
      <c r="H68" s="2" t="n">
        <f aca="false">import!E66</f>
        <v>0</v>
      </c>
      <c r="I68" s="2" t="n">
        <f aca="false">-export!E66</f>
        <v>-0</v>
      </c>
      <c r="J68" s="2" t="n">
        <f aca="false">-charge!E66</f>
        <v>-0</v>
      </c>
      <c r="K68" s="2" t="n">
        <f aca="false">discharge!E66</f>
        <v>0</v>
      </c>
      <c r="L68" s="2" t="n">
        <f aca="false">soc!E66/investment!$E$4 *100</f>
        <v>90.3208545905999</v>
      </c>
    </row>
    <row r="69" customFormat="false" ht="13.8" hidden="false" customHeight="false" outlineLevel="0" collapsed="false">
      <c r="B69" s="11" t="n">
        <f aca="false">_xlfn.NUMBERVALUE(solar!B66)</f>
        <v>132</v>
      </c>
      <c r="C69" s="12" t="n">
        <f aca="false">solar!C66</f>
        <v>0</v>
      </c>
      <c r="D69" s="6" t="n">
        <v>65</v>
      </c>
      <c r="E69" s="17" t="n">
        <f aca="false">IFERROR(INDEX($B$5:$C$173, MATCH($D69, $B$5:$B$175, 0), 2), 0)*investment!$C$4</f>
        <v>0</v>
      </c>
      <c r="F69" s="18" t="n">
        <f aca="false">demand!E67</f>
        <v>0</v>
      </c>
      <c r="G69" s="2" t="n">
        <f aca="false">solgen!E67</f>
        <v>0</v>
      </c>
      <c r="H69" s="2" t="n">
        <f aca="false">import!E67</f>
        <v>0</v>
      </c>
      <c r="I69" s="2" t="n">
        <f aca="false">-export!E67</f>
        <v>-0</v>
      </c>
      <c r="J69" s="2" t="n">
        <f aca="false">-charge!E67</f>
        <v>-0</v>
      </c>
      <c r="K69" s="2" t="n">
        <f aca="false">discharge!E67</f>
        <v>0</v>
      </c>
      <c r="L69" s="2" t="n">
        <f aca="false">soc!E67/investment!$E$4 *100</f>
        <v>91.2575577647831</v>
      </c>
    </row>
    <row r="70" customFormat="false" ht="13.8" hidden="false" customHeight="false" outlineLevel="0" collapsed="false">
      <c r="B70" s="11" t="n">
        <f aca="false">_xlfn.NUMBERVALUE(solar!B67)</f>
        <v>133</v>
      </c>
      <c r="C70" s="12" t="n">
        <f aca="false">solar!C67</f>
        <v>0</v>
      </c>
      <c r="D70" s="6" t="n">
        <v>66</v>
      </c>
      <c r="E70" s="17" t="n">
        <f aca="false">IFERROR(INDEX($B$5:$C$173, MATCH($D70, $B$5:$B$175, 0), 2), 0)*investment!$C$4</f>
        <v>0</v>
      </c>
      <c r="F70" s="18" t="n">
        <f aca="false">demand!E68</f>
        <v>0</v>
      </c>
      <c r="G70" s="2" t="n">
        <f aca="false">solgen!E68</f>
        <v>0</v>
      </c>
      <c r="H70" s="2" t="n">
        <f aca="false">import!E68</f>
        <v>0</v>
      </c>
      <c r="I70" s="2" t="n">
        <f aca="false">-export!E68</f>
        <v>-0</v>
      </c>
      <c r="J70" s="2" t="n">
        <f aca="false">-charge!E68</f>
        <v>-0</v>
      </c>
      <c r="K70" s="2" t="n">
        <f aca="false">discharge!E68</f>
        <v>0</v>
      </c>
      <c r="L70" s="2" t="n">
        <f aca="false">soc!E68/investment!$E$4 *100</f>
        <v>92.5305360781466</v>
      </c>
    </row>
    <row r="71" customFormat="false" ht="13.8" hidden="false" customHeight="false" outlineLevel="0" collapsed="false">
      <c r="B71" s="11" t="n">
        <f aca="false">_xlfn.NUMBERVALUE(solar!B68)</f>
        <v>134</v>
      </c>
      <c r="C71" s="12" t="n">
        <f aca="false">solar!C68</f>
        <v>0</v>
      </c>
      <c r="D71" s="6" t="n">
        <v>67</v>
      </c>
      <c r="E71" s="17" t="n">
        <f aca="false">IFERROR(INDEX($B$5:$C$173, MATCH($D71, $B$5:$B$175, 0), 2), 0)*investment!$C$4</f>
        <v>0</v>
      </c>
      <c r="F71" s="18" t="n">
        <f aca="false">demand!E69</f>
        <v>0</v>
      </c>
      <c r="G71" s="2" t="n">
        <f aca="false">solgen!E69</f>
        <v>0</v>
      </c>
      <c r="H71" s="2" t="n">
        <f aca="false">import!E69</f>
        <v>0</v>
      </c>
      <c r="I71" s="2" t="n">
        <f aca="false">-export!E69</f>
        <v>-0</v>
      </c>
      <c r="J71" s="2" t="n">
        <f aca="false">-charge!E69</f>
        <v>-0</v>
      </c>
      <c r="K71" s="2" t="n">
        <f aca="false">discharge!E69</f>
        <v>0</v>
      </c>
      <c r="L71" s="2" t="n">
        <f aca="false">soc!E69/investment!$E$4 *100</f>
        <v>93.9646937873714</v>
      </c>
    </row>
    <row r="72" customFormat="false" ht="13.8" hidden="false" customHeight="false" outlineLevel="0" collapsed="false">
      <c r="B72" s="11" t="n">
        <f aca="false">_xlfn.NUMBERVALUE(solar!B69)</f>
        <v>135</v>
      </c>
      <c r="C72" s="12" t="n">
        <f aca="false">solar!C69</f>
        <v>0</v>
      </c>
      <c r="D72" s="6" t="n">
        <v>68</v>
      </c>
      <c r="E72" s="17" t="n">
        <f aca="false">IFERROR(INDEX($B$5:$C$173, MATCH($D72, $B$5:$B$175, 0), 2), 0)*investment!$C$4</f>
        <v>0</v>
      </c>
      <c r="F72" s="18" t="n">
        <f aca="false">demand!E70</f>
        <v>0</v>
      </c>
      <c r="G72" s="2" t="n">
        <f aca="false">solgen!E70</f>
        <v>0</v>
      </c>
      <c r="H72" s="2" t="n">
        <f aca="false">import!E70</f>
        <v>0</v>
      </c>
      <c r="I72" s="2" t="n">
        <f aca="false">-export!E70</f>
        <v>-0</v>
      </c>
      <c r="J72" s="2" t="n">
        <f aca="false">-charge!E70</f>
        <v>-0</v>
      </c>
      <c r="K72" s="2" t="n">
        <f aca="false">discharge!E70</f>
        <v>0</v>
      </c>
      <c r="L72" s="2" t="n">
        <f aca="false">soc!E70/investment!$E$4 *100</f>
        <v>93.9637541404587</v>
      </c>
    </row>
    <row r="73" customFormat="false" ht="13.8" hidden="false" customHeight="false" outlineLevel="0" collapsed="false">
      <c r="B73" s="11" t="n">
        <f aca="false">_xlfn.NUMBERVALUE(solar!B70)</f>
        <v>136</v>
      </c>
      <c r="C73" s="12" t="n">
        <f aca="false">solar!C70</f>
        <v>0</v>
      </c>
      <c r="D73" s="6" t="n">
        <v>69</v>
      </c>
      <c r="E73" s="17" t="n">
        <f aca="false">IFERROR(INDEX($B$5:$C$173, MATCH($D73, $B$5:$B$175, 0), 2), 0)*investment!$C$4</f>
        <v>0</v>
      </c>
      <c r="F73" s="18" t="n">
        <f aca="false">demand!E71</f>
        <v>0</v>
      </c>
      <c r="G73" s="2" t="n">
        <f aca="false">solgen!E71</f>
        <v>0</v>
      </c>
      <c r="H73" s="2" t="n">
        <f aca="false">import!E71</f>
        <v>0</v>
      </c>
      <c r="I73" s="2" t="n">
        <f aca="false">-export!E71</f>
        <v>-0</v>
      </c>
      <c r="J73" s="2" t="n">
        <f aca="false">-charge!E71</f>
        <v>-0</v>
      </c>
      <c r="K73" s="2" t="n">
        <f aca="false">discharge!E71</f>
        <v>0</v>
      </c>
      <c r="L73" s="2" t="n">
        <f aca="false">soc!E71/investment!$E$4 *100</f>
        <v>93.5776630684621</v>
      </c>
    </row>
    <row r="74" customFormat="false" ht="13.8" hidden="false" customHeight="false" outlineLevel="0" collapsed="false">
      <c r="B74" s="11" t="n">
        <f aca="false">_xlfn.NUMBERVALUE(solar!B71)</f>
        <v>137</v>
      </c>
      <c r="C74" s="12" t="n">
        <f aca="false">solar!C71</f>
        <v>0</v>
      </c>
      <c r="D74" s="6" t="n">
        <v>70</v>
      </c>
      <c r="E74" s="17" t="n">
        <f aca="false">IFERROR(INDEX($B$5:$C$173, MATCH($D74, $B$5:$B$175, 0), 2), 0)*investment!$C$4</f>
        <v>0</v>
      </c>
      <c r="F74" s="18" t="n">
        <f aca="false">demand!E72</f>
        <v>0</v>
      </c>
      <c r="G74" s="2" t="n">
        <f aca="false">solgen!E72</f>
        <v>0</v>
      </c>
      <c r="H74" s="2" t="n">
        <f aca="false">import!E72</f>
        <v>0</v>
      </c>
      <c r="I74" s="2" t="n">
        <f aca="false">-export!E72</f>
        <v>-0</v>
      </c>
      <c r="J74" s="2" t="n">
        <f aca="false">-charge!E72</f>
        <v>-0</v>
      </c>
      <c r="K74" s="2" t="n">
        <f aca="false">discharge!E72</f>
        <v>0</v>
      </c>
      <c r="L74" s="2" t="n">
        <f aca="false">soc!E72/investment!$E$4 *100</f>
        <v>92.164264729235</v>
      </c>
    </row>
    <row r="75" customFormat="false" ht="13.8" hidden="false" customHeight="false" outlineLevel="0" collapsed="false">
      <c r="B75" s="11" t="n">
        <f aca="false">_xlfn.NUMBERVALUE(solar!B72)</f>
        <v>138</v>
      </c>
      <c r="C75" s="12" t="n">
        <f aca="false">solar!C72</f>
        <v>0</v>
      </c>
      <c r="D75" s="6" t="n">
        <v>71</v>
      </c>
      <c r="E75" s="17" t="n">
        <f aca="false">IFERROR(INDEX($B$5:$C$173, MATCH($D75, $B$5:$B$175, 0), 2), 0)*investment!$C$4</f>
        <v>0</v>
      </c>
      <c r="F75" s="18" t="n">
        <f aca="false">demand!E73</f>
        <v>0</v>
      </c>
      <c r="G75" s="2" t="n">
        <f aca="false">solgen!E73</f>
        <v>0</v>
      </c>
      <c r="H75" s="2" t="n">
        <f aca="false">import!E73</f>
        <v>0</v>
      </c>
      <c r="I75" s="2" t="n">
        <f aca="false">-export!E73</f>
        <v>-0</v>
      </c>
      <c r="J75" s="2" t="n">
        <f aca="false">-charge!E73</f>
        <v>-0</v>
      </c>
      <c r="K75" s="2" t="n">
        <f aca="false">discharge!E73</f>
        <v>0</v>
      </c>
      <c r="L75" s="2" t="n">
        <f aca="false">soc!E73/investment!$E$4 *100</f>
        <v>90.2753187474712</v>
      </c>
    </row>
    <row r="76" customFormat="false" ht="13.8" hidden="false" customHeight="false" outlineLevel="0" collapsed="false">
      <c r="B76" s="11" t="n">
        <f aca="false">_xlfn.NUMBERVALUE(solar!B73)</f>
        <v>139</v>
      </c>
      <c r="C76" s="12" t="n">
        <f aca="false">solar!C73</f>
        <v>0</v>
      </c>
      <c r="D76" s="6" t="n">
        <v>72</v>
      </c>
      <c r="E76" s="17" t="n">
        <f aca="false">IFERROR(INDEX($B$5:$C$173, MATCH($D76, $B$5:$B$175, 0), 2), 0)*investment!$C$4</f>
        <v>0</v>
      </c>
      <c r="F76" s="18" t="n">
        <f aca="false">demand!E74</f>
        <v>0</v>
      </c>
      <c r="G76" s="2" t="n">
        <f aca="false">solgen!E74</f>
        <v>0</v>
      </c>
      <c r="H76" s="2" t="n">
        <f aca="false">import!E74</f>
        <v>0</v>
      </c>
      <c r="I76" s="2" t="n">
        <f aca="false">-export!E74</f>
        <v>-0</v>
      </c>
      <c r="J76" s="2" t="n">
        <f aca="false">-charge!E74</f>
        <v>-0</v>
      </c>
      <c r="K76" s="2" t="n">
        <f aca="false">discharge!E74</f>
        <v>0</v>
      </c>
      <c r="L76" s="2" t="n">
        <f aca="false">soc!E74/investment!$E$4 *100</f>
        <v>87.7953841460123</v>
      </c>
    </row>
    <row r="77" customFormat="false" ht="13.8" hidden="false" customHeight="false" outlineLevel="0" collapsed="false">
      <c r="B77" s="11" t="n">
        <f aca="false">_xlfn.NUMBERVALUE(solar!B74)</f>
        <v>152</v>
      </c>
      <c r="C77" s="12" t="n">
        <f aca="false">solar!C74</f>
        <v>0</v>
      </c>
      <c r="D77" s="6" t="n">
        <v>73</v>
      </c>
      <c r="E77" s="17" t="n">
        <f aca="false">IFERROR(INDEX($B$5:$C$173, MATCH($D77, $B$5:$B$175, 0), 2), 0)*investment!$C$4</f>
        <v>0</v>
      </c>
      <c r="F77" s="18" t="n">
        <f aca="false">demand!E75</f>
        <v>0</v>
      </c>
      <c r="G77" s="2" t="n">
        <f aca="false">solgen!E75</f>
        <v>0</v>
      </c>
      <c r="H77" s="2" t="n">
        <f aca="false">import!E75</f>
        <v>0</v>
      </c>
      <c r="I77" s="2" t="n">
        <f aca="false">-export!E75</f>
        <v>-0</v>
      </c>
      <c r="J77" s="2" t="n">
        <f aca="false">-charge!E75</f>
        <v>-0</v>
      </c>
      <c r="K77" s="2" t="n">
        <f aca="false">discharge!E75</f>
        <v>0</v>
      </c>
      <c r="L77" s="2" t="n">
        <f aca="false">soc!E75/investment!$E$4 *100</f>
        <v>85.2040048229865</v>
      </c>
    </row>
    <row r="78" customFormat="false" ht="13.8" hidden="false" customHeight="false" outlineLevel="0" collapsed="false">
      <c r="B78" s="11" t="n">
        <f aca="false">_xlfn.NUMBERVALUE(solar!B75)</f>
        <v>153</v>
      </c>
      <c r="C78" s="12" t="n">
        <f aca="false">solar!C75</f>
        <v>0</v>
      </c>
      <c r="D78" s="6" t="n">
        <v>74</v>
      </c>
      <c r="E78" s="17" t="n">
        <f aca="false">IFERROR(INDEX($B$5:$C$173, MATCH($D78, $B$5:$B$175, 0), 2), 0)*investment!$C$4</f>
        <v>0</v>
      </c>
      <c r="F78" s="18" t="n">
        <f aca="false">demand!E76</f>
        <v>0</v>
      </c>
      <c r="G78" s="2" t="n">
        <f aca="false">solgen!E76</f>
        <v>0</v>
      </c>
      <c r="H78" s="2" t="n">
        <f aca="false">import!E76</f>
        <v>0</v>
      </c>
      <c r="I78" s="2" t="n">
        <f aca="false">-export!E76</f>
        <v>-0</v>
      </c>
      <c r="J78" s="2" t="n">
        <f aca="false">-charge!E76</f>
        <v>-0</v>
      </c>
      <c r="K78" s="2" t="n">
        <f aca="false">discharge!E76</f>
        <v>0</v>
      </c>
      <c r="L78" s="2" t="n">
        <f aca="false">soc!E76/investment!$E$4 *100</f>
        <v>82.4140088781848</v>
      </c>
    </row>
    <row r="79" customFormat="false" ht="13.8" hidden="false" customHeight="false" outlineLevel="0" collapsed="false">
      <c r="B79" s="11" t="n">
        <f aca="false">_xlfn.NUMBERVALUE(solar!B76)</f>
        <v>154</v>
      </c>
      <c r="C79" s="12" t="n">
        <f aca="false">solar!C76</f>
        <v>0</v>
      </c>
      <c r="D79" s="6" t="n">
        <v>75</v>
      </c>
      <c r="E79" s="17" t="n">
        <f aca="false">IFERROR(INDEX($B$5:$C$173, MATCH($D79, $B$5:$B$175, 0), 2), 0)*investment!$C$4</f>
        <v>0</v>
      </c>
      <c r="F79" s="18" t="n">
        <f aca="false">demand!E77</f>
        <v>0</v>
      </c>
      <c r="G79" s="2" t="n">
        <f aca="false">solgen!E77</f>
        <v>0</v>
      </c>
      <c r="H79" s="2" t="n">
        <f aca="false">import!E77</f>
        <v>0</v>
      </c>
      <c r="I79" s="2" t="n">
        <f aca="false">-export!E77</f>
        <v>-0</v>
      </c>
      <c r="J79" s="2" t="n">
        <f aca="false">-charge!E77</f>
        <v>-0</v>
      </c>
      <c r="K79" s="2" t="n">
        <f aca="false">discharge!E77</f>
        <v>0</v>
      </c>
      <c r="L79" s="2" t="n">
        <f aca="false">soc!E77/investment!$E$4 *100</f>
        <v>79.8425360546628</v>
      </c>
    </row>
    <row r="80" customFormat="false" ht="13.8" hidden="false" customHeight="false" outlineLevel="0" collapsed="false">
      <c r="B80" s="11" t="n">
        <f aca="false">_xlfn.NUMBERVALUE(solar!B77)</f>
        <v>155</v>
      </c>
      <c r="C80" s="12" t="n">
        <f aca="false">solar!C77</f>
        <v>0</v>
      </c>
      <c r="D80" s="6" t="n">
        <v>76</v>
      </c>
      <c r="E80" s="17" t="n">
        <f aca="false">IFERROR(INDEX($B$5:$C$173, MATCH($D80, $B$5:$B$175, 0), 2), 0)*investment!$C$4</f>
        <v>0</v>
      </c>
      <c r="F80" s="18" t="n">
        <f aca="false">demand!E78</f>
        <v>0</v>
      </c>
      <c r="G80" s="2" t="n">
        <f aca="false">solgen!E78</f>
        <v>0</v>
      </c>
      <c r="H80" s="2" t="n">
        <f aca="false">import!E78</f>
        <v>0</v>
      </c>
      <c r="I80" s="2" t="n">
        <f aca="false">-export!E78</f>
        <v>-0</v>
      </c>
      <c r="J80" s="2" t="n">
        <f aca="false">-charge!E78</f>
        <v>-0</v>
      </c>
      <c r="K80" s="2" t="n">
        <f aca="false">discharge!E78</f>
        <v>0</v>
      </c>
      <c r="L80" s="2" t="n">
        <f aca="false">soc!E78/investment!$E$4 *100</f>
        <v>77.9144307543002</v>
      </c>
    </row>
    <row r="81" customFormat="false" ht="13.8" hidden="false" customHeight="false" outlineLevel="0" collapsed="false">
      <c r="B81" s="11" t="n">
        <f aca="false">_xlfn.NUMBERVALUE(solar!B78)</f>
        <v>156</v>
      </c>
      <c r="C81" s="12" t="n">
        <f aca="false">solar!C78</f>
        <v>0</v>
      </c>
      <c r="D81" s="6" t="n">
        <v>77</v>
      </c>
      <c r="E81" s="17" t="n">
        <f aca="false">IFERROR(INDEX($B$5:$C$173, MATCH($D81, $B$5:$B$175, 0), 2), 0)*investment!$C$4</f>
        <v>0</v>
      </c>
      <c r="F81" s="18" t="n">
        <f aca="false">demand!E79</f>
        <v>0</v>
      </c>
      <c r="G81" s="2" t="n">
        <f aca="false">solgen!E79</f>
        <v>0</v>
      </c>
      <c r="H81" s="2" t="n">
        <f aca="false">import!E79</f>
        <v>0</v>
      </c>
      <c r="I81" s="2" t="n">
        <f aca="false">-export!E79</f>
        <v>-0</v>
      </c>
      <c r="J81" s="2" t="n">
        <f aca="false">-charge!E79</f>
        <v>-0</v>
      </c>
      <c r="K81" s="2" t="n">
        <f aca="false">discharge!E79</f>
        <v>0</v>
      </c>
      <c r="L81" s="2" t="n">
        <f aca="false">soc!E79/investment!$E$4 *100</f>
        <v>75.6972630174486</v>
      </c>
    </row>
    <row r="82" customFormat="false" ht="13.8" hidden="false" customHeight="false" outlineLevel="0" collapsed="false">
      <c r="B82" s="11" t="n">
        <f aca="false">_xlfn.NUMBERVALUE(solar!B79)</f>
        <v>157</v>
      </c>
      <c r="C82" s="12" t="n">
        <f aca="false">solar!C79</f>
        <v>0</v>
      </c>
      <c r="D82" s="6" t="n">
        <v>78</v>
      </c>
      <c r="E82" s="17" t="n">
        <f aca="false">IFERROR(INDEX($B$5:$C$173, MATCH($D82, $B$5:$B$175, 0), 2), 0)*investment!$C$4</f>
        <v>0</v>
      </c>
      <c r="F82" s="18" t="n">
        <f aca="false">demand!E80</f>
        <v>0</v>
      </c>
      <c r="G82" s="2" t="n">
        <f aca="false">solgen!E80</f>
        <v>0</v>
      </c>
      <c r="H82" s="2" t="n">
        <f aca="false">import!E80</f>
        <v>0</v>
      </c>
      <c r="I82" s="2" t="n">
        <f aca="false">-export!E80</f>
        <v>-0</v>
      </c>
      <c r="J82" s="2" t="n">
        <f aca="false">-charge!E80</f>
        <v>-0</v>
      </c>
      <c r="K82" s="2" t="n">
        <f aca="false">discharge!E80</f>
        <v>0</v>
      </c>
      <c r="L82" s="2" t="n">
        <f aca="false">soc!E80/investment!$E$4 *100</f>
        <v>73.80308301558</v>
      </c>
    </row>
    <row r="83" customFormat="false" ht="13.8" hidden="false" customHeight="false" outlineLevel="0" collapsed="false">
      <c r="B83" s="11" t="n">
        <f aca="false">_xlfn.NUMBERVALUE(solar!B80)</f>
        <v>158</v>
      </c>
      <c r="C83" s="12" t="n">
        <f aca="false">solar!C80</f>
        <v>0</v>
      </c>
      <c r="D83" s="6" t="n">
        <v>79</v>
      </c>
      <c r="E83" s="17" t="n">
        <f aca="false">IFERROR(INDEX($B$5:$C$173, MATCH($D83, $B$5:$B$175, 0), 2), 0)*investment!$C$4</f>
        <v>0</v>
      </c>
      <c r="F83" s="18" t="n">
        <f aca="false">demand!E81</f>
        <v>0</v>
      </c>
      <c r="G83" s="2" t="n">
        <f aca="false">solgen!E81</f>
        <v>0</v>
      </c>
      <c r="H83" s="2" t="n">
        <f aca="false">import!E81</f>
        <v>0</v>
      </c>
      <c r="I83" s="2" t="n">
        <f aca="false">-export!E81</f>
        <v>-0</v>
      </c>
      <c r="J83" s="2" t="n">
        <f aca="false">-charge!E81</f>
        <v>-0</v>
      </c>
      <c r="K83" s="2" t="n">
        <f aca="false">discharge!E81</f>
        <v>0</v>
      </c>
      <c r="L83" s="2" t="n">
        <f aca="false">soc!E81/investment!$E$4 *100</f>
        <v>70.1286446527339</v>
      </c>
    </row>
    <row r="84" customFormat="false" ht="13.8" hidden="false" customHeight="false" outlineLevel="0" collapsed="false">
      <c r="B84" s="11" t="n">
        <f aca="false">_xlfn.NUMBERVALUE(solar!B81)</f>
        <v>159</v>
      </c>
      <c r="C84" s="12" t="n">
        <f aca="false">solar!C81</f>
        <v>0</v>
      </c>
      <c r="D84" s="6" t="n">
        <v>80</v>
      </c>
      <c r="E84" s="17" t="n">
        <f aca="false">IFERROR(INDEX($B$5:$C$173, MATCH($D84, $B$5:$B$175, 0), 2), 0)*investment!$C$4</f>
        <v>0</v>
      </c>
      <c r="F84" s="18" t="n">
        <f aca="false">demand!E82</f>
        <v>0</v>
      </c>
      <c r="G84" s="2" t="n">
        <f aca="false">solgen!E82</f>
        <v>0</v>
      </c>
      <c r="H84" s="2" t="n">
        <f aca="false">import!E82</f>
        <v>0</v>
      </c>
      <c r="I84" s="2" t="n">
        <f aca="false">-export!E82</f>
        <v>-0</v>
      </c>
      <c r="J84" s="2" t="n">
        <f aca="false">-charge!E82</f>
        <v>-0</v>
      </c>
      <c r="K84" s="2" t="n">
        <f aca="false">discharge!E82</f>
        <v>0</v>
      </c>
      <c r="L84" s="2" t="n">
        <f aca="false">soc!E82/investment!$E$4 *100</f>
        <v>67.4943943486301</v>
      </c>
    </row>
    <row r="85" customFormat="false" ht="13.8" hidden="false" customHeight="false" outlineLevel="0" collapsed="false">
      <c r="B85" s="11" t="n">
        <f aca="false">_xlfn.NUMBERVALUE(solar!B82)</f>
        <v>160</v>
      </c>
      <c r="C85" s="12" t="n">
        <f aca="false">solar!C82</f>
        <v>0</v>
      </c>
      <c r="D85" s="6" t="n">
        <v>81</v>
      </c>
      <c r="E85" s="17" t="n">
        <f aca="false">IFERROR(INDEX($B$5:$C$173, MATCH($D85, $B$5:$B$175, 0), 2), 0)*investment!$C$4</f>
        <v>0</v>
      </c>
      <c r="F85" s="18" t="n">
        <f aca="false">demand!E83</f>
        <v>0</v>
      </c>
      <c r="G85" s="2" t="n">
        <f aca="false">solgen!E83</f>
        <v>0</v>
      </c>
      <c r="H85" s="2" t="n">
        <f aca="false">import!E83</f>
        <v>0</v>
      </c>
      <c r="I85" s="2" t="n">
        <f aca="false">-export!E83</f>
        <v>-0</v>
      </c>
      <c r="J85" s="2" t="n">
        <f aca="false">-charge!E83</f>
        <v>-0</v>
      </c>
      <c r="K85" s="2" t="n">
        <f aca="false">discharge!E83</f>
        <v>0</v>
      </c>
      <c r="L85" s="2" t="n">
        <f aca="false">soc!E83/investment!$E$4 *100</f>
        <v>64.1630677430039</v>
      </c>
    </row>
    <row r="86" customFormat="false" ht="13.8" hidden="false" customHeight="false" outlineLevel="0" collapsed="false">
      <c r="B86" s="11" t="n">
        <f aca="false">_xlfn.NUMBERVALUE(solar!B83)</f>
        <v>161</v>
      </c>
      <c r="C86" s="12" t="n">
        <f aca="false">solar!C83</f>
        <v>0</v>
      </c>
      <c r="D86" s="6" t="n">
        <v>82</v>
      </c>
      <c r="E86" s="17" t="n">
        <f aca="false">IFERROR(INDEX($B$5:$C$173, MATCH($D86, $B$5:$B$175, 0), 2), 0)*investment!$C$4</f>
        <v>0</v>
      </c>
      <c r="F86" s="18" t="n">
        <f aca="false">demand!E84</f>
        <v>0</v>
      </c>
      <c r="G86" s="2" t="n">
        <f aca="false">solgen!E84</f>
        <v>0</v>
      </c>
      <c r="H86" s="2" t="n">
        <f aca="false">import!E84</f>
        <v>0</v>
      </c>
      <c r="I86" s="2" t="n">
        <f aca="false">-export!E84</f>
        <v>-0</v>
      </c>
      <c r="J86" s="2" t="n">
        <f aca="false">-charge!E84</f>
        <v>-0</v>
      </c>
      <c r="K86" s="2" t="n">
        <f aca="false">discharge!E84</f>
        <v>0</v>
      </c>
      <c r="L86" s="2" t="n">
        <f aca="false">soc!E84/investment!$E$4 *100</f>
        <v>61.3480052741236</v>
      </c>
    </row>
    <row r="87" customFormat="false" ht="13.8" hidden="false" customHeight="false" outlineLevel="0" collapsed="false">
      <c r="B87" s="11" t="n">
        <f aca="false">_xlfn.NUMBERVALUE(solar!B84)</f>
        <v>162</v>
      </c>
      <c r="C87" s="12" t="n">
        <f aca="false">solar!C84</f>
        <v>0</v>
      </c>
      <c r="D87" s="6" t="n">
        <v>83</v>
      </c>
      <c r="E87" s="17" t="n">
        <f aca="false">IFERROR(INDEX($B$5:$C$173, MATCH($D87, $B$5:$B$175, 0), 2), 0)*investment!$C$4</f>
        <v>0</v>
      </c>
      <c r="F87" s="18" t="n">
        <f aca="false">demand!E85</f>
        <v>0</v>
      </c>
      <c r="G87" s="2" t="n">
        <f aca="false">solgen!E85</f>
        <v>0</v>
      </c>
      <c r="H87" s="2" t="n">
        <f aca="false">import!E85</f>
        <v>0</v>
      </c>
      <c r="I87" s="2" t="n">
        <f aca="false">-export!E85</f>
        <v>-0</v>
      </c>
      <c r="J87" s="2" t="n">
        <f aca="false">-charge!E85</f>
        <v>-0</v>
      </c>
      <c r="K87" s="2" t="n">
        <f aca="false">discharge!E85</f>
        <v>0</v>
      </c>
      <c r="L87" s="2" t="n">
        <f aca="false">soc!E85/investment!$E$4 *100</f>
        <v>58.1216769255516</v>
      </c>
    </row>
    <row r="88" customFormat="false" ht="13.8" hidden="false" customHeight="false" outlineLevel="0" collapsed="false">
      <c r="B88" s="11" t="n">
        <f aca="false">_xlfn.NUMBERVALUE(solar!B85)</f>
        <v>163</v>
      </c>
      <c r="C88" s="12" t="n">
        <f aca="false">solar!C85</f>
        <v>0</v>
      </c>
      <c r="D88" s="6" t="n">
        <v>84</v>
      </c>
      <c r="E88" s="17" t="n">
        <f aca="false">IFERROR(INDEX($B$5:$C$173, MATCH($D88, $B$5:$B$175, 0), 2), 0)*investment!$C$4</f>
        <v>0</v>
      </c>
      <c r="F88" s="18" t="n">
        <f aca="false">demand!E86</f>
        <v>0</v>
      </c>
      <c r="G88" s="2" t="n">
        <f aca="false">solgen!E86</f>
        <v>0</v>
      </c>
      <c r="H88" s="2" t="n">
        <f aca="false">import!E86</f>
        <v>0</v>
      </c>
      <c r="I88" s="2" t="n">
        <f aca="false">-export!E86</f>
        <v>-0</v>
      </c>
      <c r="J88" s="2" t="n">
        <f aca="false">-charge!E86</f>
        <v>-0</v>
      </c>
      <c r="K88" s="2" t="n">
        <f aca="false">discharge!E86</f>
        <v>0</v>
      </c>
      <c r="L88" s="2" t="n">
        <f aca="false">soc!E86/investment!$E$4 *100</f>
        <v>54.7161387945384</v>
      </c>
    </row>
    <row r="89" customFormat="false" ht="13.8" hidden="false" customHeight="false" outlineLevel="0" collapsed="false">
      <c r="B89" s="11" t="n">
        <f aca="false">_xlfn.NUMBERVALUE(solar!B86)</f>
        <v>0</v>
      </c>
      <c r="C89" s="12" t="n">
        <f aca="false">solar!C86</f>
        <v>0</v>
      </c>
      <c r="D89" s="6" t="n">
        <v>85</v>
      </c>
      <c r="E89" s="17" t="n">
        <f aca="false">IFERROR(INDEX($B$5:$C$173, MATCH($D89, $B$5:$B$175, 0), 2), 0)*investment!$C$4</f>
        <v>0</v>
      </c>
      <c r="F89" s="18" t="n">
        <f aca="false">demand!E87</f>
        <v>0</v>
      </c>
      <c r="G89" s="2" t="n">
        <f aca="false">solgen!E87</f>
        <v>0</v>
      </c>
      <c r="H89" s="2" t="n">
        <f aca="false">import!E87</f>
        <v>0</v>
      </c>
      <c r="I89" s="2" t="n">
        <f aca="false">-export!E87</f>
        <v>-0</v>
      </c>
      <c r="J89" s="2" t="n">
        <f aca="false">-charge!E87</f>
        <v>-0</v>
      </c>
      <c r="K89" s="2" t="n">
        <f aca="false">discharge!E87</f>
        <v>0</v>
      </c>
      <c r="L89" s="2" t="n">
        <f aca="false">soc!E87/investment!$E$4 *100</f>
        <v>51.6207385218549</v>
      </c>
    </row>
    <row r="90" customFormat="false" ht="13.8" hidden="false" customHeight="false" outlineLevel="0" collapsed="false">
      <c r="B90" s="11" t="n">
        <f aca="false">_xlfn.NUMBERVALUE(solar!B87)</f>
        <v>0</v>
      </c>
      <c r="C90" s="12" t="n">
        <f aca="false">solar!C87</f>
        <v>0</v>
      </c>
      <c r="D90" s="6" t="n">
        <v>86</v>
      </c>
      <c r="E90" s="17" t="n">
        <f aca="false">IFERROR(INDEX($B$5:$C$173, MATCH($D90, $B$5:$B$175, 0), 2), 0)*investment!$C$4</f>
        <v>0</v>
      </c>
      <c r="F90" s="18" t="n">
        <f aca="false">demand!E88</f>
        <v>0</v>
      </c>
      <c r="G90" s="2" t="n">
        <f aca="false">solgen!E88</f>
        <v>0</v>
      </c>
      <c r="H90" s="2" t="n">
        <f aca="false">import!E88</f>
        <v>0</v>
      </c>
      <c r="I90" s="2" t="n">
        <f aca="false">-export!E88</f>
        <v>-0</v>
      </c>
      <c r="J90" s="2" t="n">
        <f aca="false">-charge!E88</f>
        <v>-0</v>
      </c>
      <c r="K90" s="2" t="n">
        <f aca="false">discharge!E88</f>
        <v>0</v>
      </c>
      <c r="L90" s="2" t="n">
        <f aca="false">soc!E88/investment!$E$4 *100</f>
        <v>48.605059910376</v>
      </c>
    </row>
    <row r="91" customFormat="false" ht="13.8" hidden="false" customHeight="false" outlineLevel="0" collapsed="false">
      <c r="B91" s="11" t="n">
        <f aca="false">_xlfn.NUMBERVALUE(solar!B88)</f>
        <v>0</v>
      </c>
      <c r="C91" s="12" t="n">
        <f aca="false">solar!C88</f>
        <v>0</v>
      </c>
      <c r="D91" s="6" t="n">
        <v>87</v>
      </c>
      <c r="E91" s="17" t="n">
        <f aca="false">IFERROR(INDEX($B$5:$C$173, MATCH($D91, $B$5:$B$175, 0), 2), 0)*investment!$C$4</f>
        <v>0</v>
      </c>
      <c r="F91" s="18" t="n">
        <f aca="false">demand!E89</f>
        <v>0</v>
      </c>
      <c r="G91" s="2" t="n">
        <f aca="false">solgen!E89</f>
        <v>0</v>
      </c>
      <c r="H91" s="2" t="n">
        <f aca="false">import!E89</f>
        <v>0</v>
      </c>
      <c r="I91" s="2" t="n">
        <f aca="false">-export!E89</f>
        <v>-0</v>
      </c>
      <c r="J91" s="2" t="n">
        <f aca="false">-charge!E89</f>
        <v>-0</v>
      </c>
      <c r="K91" s="2" t="n">
        <f aca="false">discharge!E89</f>
        <v>0</v>
      </c>
      <c r="L91" s="2" t="n">
        <f aca="false">soc!E89/investment!$E$4 *100</f>
        <v>45.762818655163</v>
      </c>
    </row>
    <row r="92" customFormat="false" ht="13.8" hidden="false" customHeight="false" outlineLevel="0" collapsed="false">
      <c r="B92" s="11" t="n">
        <f aca="false">_xlfn.NUMBERVALUE(solar!B89)</f>
        <v>0</v>
      </c>
      <c r="C92" s="12" t="n">
        <f aca="false">solar!C89</f>
        <v>0</v>
      </c>
      <c r="D92" s="6" t="n">
        <v>88</v>
      </c>
      <c r="E92" s="17" t="n">
        <f aca="false">IFERROR(INDEX($B$5:$C$173, MATCH($D92, $B$5:$B$175, 0), 2), 0)*investment!$C$4</f>
        <v>0</v>
      </c>
      <c r="F92" s="18" t="n">
        <f aca="false">demand!E90</f>
        <v>0</v>
      </c>
      <c r="G92" s="2" t="n">
        <f aca="false">solgen!E90</f>
        <v>0</v>
      </c>
      <c r="H92" s="2" t="n">
        <f aca="false">import!E90</f>
        <v>0</v>
      </c>
      <c r="I92" s="2" t="n">
        <f aca="false">-export!E90</f>
        <v>-0</v>
      </c>
      <c r="J92" s="2" t="n">
        <f aca="false">-charge!E90</f>
        <v>-0</v>
      </c>
      <c r="K92" s="2" t="n">
        <f aca="false">discharge!E90</f>
        <v>0</v>
      </c>
      <c r="L92" s="2" t="n">
        <f aca="false">soc!E90/investment!$E$4 *100</f>
        <v>42.513751958603</v>
      </c>
    </row>
    <row r="93" customFormat="false" ht="13.8" hidden="false" customHeight="false" outlineLevel="0" collapsed="false">
      <c r="B93" s="11" t="n">
        <f aca="false">_xlfn.NUMBERVALUE(solar!B90)</f>
        <v>0</v>
      </c>
      <c r="C93" s="12" t="n">
        <f aca="false">solar!C90</f>
        <v>0</v>
      </c>
      <c r="D93" s="6" t="n">
        <v>89</v>
      </c>
      <c r="E93" s="17" t="n">
        <f aca="false">IFERROR(INDEX($B$5:$C$173, MATCH($D93, $B$5:$B$175, 0), 2), 0)*investment!$C$4</f>
        <v>0</v>
      </c>
      <c r="F93" s="18" t="n">
        <f aca="false">demand!E91</f>
        <v>0</v>
      </c>
      <c r="G93" s="2" t="n">
        <f aca="false">solgen!E91</f>
        <v>0</v>
      </c>
      <c r="H93" s="2" t="n">
        <f aca="false">import!E91</f>
        <v>0</v>
      </c>
      <c r="I93" s="2" t="n">
        <f aca="false">-export!E91</f>
        <v>-0</v>
      </c>
      <c r="J93" s="2" t="n">
        <f aca="false">-charge!E91</f>
        <v>-0</v>
      </c>
      <c r="K93" s="2" t="n">
        <f aca="false">discharge!E91</f>
        <v>0</v>
      </c>
      <c r="L93" s="2" t="n">
        <f aca="false">soc!E91/investment!$E$4 *100</f>
        <v>39.7671541471626</v>
      </c>
    </row>
    <row r="94" customFormat="false" ht="13.8" hidden="false" customHeight="false" outlineLevel="0" collapsed="false">
      <c r="B94" s="11" t="n">
        <f aca="false">_xlfn.NUMBERVALUE(solar!B91)</f>
        <v>0</v>
      </c>
      <c r="C94" s="12" t="n">
        <f aca="false">solar!C91</f>
        <v>0</v>
      </c>
      <c r="D94" s="6" t="n">
        <v>90</v>
      </c>
      <c r="E94" s="17" t="n">
        <f aca="false">IFERROR(INDEX($B$5:$C$173, MATCH($D94, $B$5:$B$175, 0), 2), 0)*investment!$C$4</f>
        <v>0</v>
      </c>
      <c r="F94" s="18" t="n">
        <f aca="false">demand!E92</f>
        <v>0</v>
      </c>
      <c r="G94" s="2" t="n">
        <f aca="false">solgen!E92</f>
        <v>0</v>
      </c>
      <c r="H94" s="2" t="n">
        <f aca="false">import!E92</f>
        <v>0</v>
      </c>
      <c r="I94" s="2" t="n">
        <f aca="false">-export!E92</f>
        <v>-0</v>
      </c>
      <c r="J94" s="2" t="n">
        <f aca="false">-charge!E92</f>
        <v>-0</v>
      </c>
      <c r="K94" s="2" t="n">
        <f aca="false">discharge!E92</f>
        <v>0</v>
      </c>
      <c r="L94" s="2" t="n">
        <f aca="false">soc!E92/investment!$E$4 *100</f>
        <v>37.5300256105148</v>
      </c>
    </row>
    <row r="95" customFormat="false" ht="13.8" hidden="false" customHeight="false" outlineLevel="0" collapsed="false">
      <c r="B95" s="11" t="n">
        <f aca="false">_xlfn.NUMBERVALUE(solar!B92)</f>
        <v>0</v>
      </c>
      <c r="C95" s="12" t="n">
        <f aca="false">solar!C92</f>
        <v>0</v>
      </c>
      <c r="D95" s="6" t="n">
        <v>91</v>
      </c>
      <c r="E95" s="17" t="n">
        <f aca="false">IFERROR(INDEX($B$5:$C$173, MATCH($D95, $B$5:$B$175, 0), 2), 0)*investment!$C$4</f>
        <v>0</v>
      </c>
      <c r="F95" s="18" t="n">
        <f aca="false">demand!E93</f>
        <v>0</v>
      </c>
      <c r="G95" s="2" t="n">
        <f aca="false">solgen!E93</f>
        <v>0</v>
      </c>
      <c r="H95" s="2" t="n">
        <f aca="false">import!E93</f>
        <v>0</v>
      </c>
      <c r="I95" s="2" t="n">
        <f aca="false">-export!E93</f>
        <v>-0</v>
      </c>
      <c r="J95" s="2" t="n">
        <f aca="false">-charge!E93</f>
        <v>-0</v>
      </c>
      <c r="K95" s="2" t="n">
        <f aca="false">discharge!E93</f>
        <v>0</v>
      </c>
      <c r="L95" s="2" t="n">
        <f aca="false">soc!E93/investment!$E$4 *100</f>
        <v>35.3492445937745</v>
      </c>
    </row>
    <row r="96" customFormat="false" ht="13.8" hidden="false" customHeight="false" outlineLevel="0" collapsed="false">
      <c r="B96" s="11" t="n">
        <f aca="false">_xlfn.NUMBERVALUE(solar!B93)</f>
        <v>0</v>
      </c>
      <c r="C96" s="12" t="n">
        <f aca="false">solar!C93</f>
        <v>0</v>
      </c>
      <c r="D96" s="6" t="n">
        <v>92</v>
      </c>
      <c r="E96" s="17" t="n">
        <f aca="false">IFERROR(INDEX($B$5:$C$173, MATCH($D96, $B$5:$B$175, 0), 2), 0)*investment!$C$4</f>
        <v>0</v>
      </c>
      <c r="F96" s="18" t="n">
        <f aca="false">demand!E94</f>
        <v>0</v>
      </c>
      <c r="G96" s="2" t="n">
        <f aca="false">solgen!E94</f>
        <v>0</v>
      </c>
      <c r="H96" s="2" t="n">
        <f aca="false">import!E94</f>
        <v>0</v>
      </c>
      <c r="I96" s="2" t="n">
        <f aca="false">-export!E94</f>
        <v>-0</v>
      </c>
      <c r="J96" s="2" t="n">
        <f aca="false">-charge!E94</f>
        <v>-0</v>
      </c>
      <c r="K96" s="2" t="n">
        <f aca="false">discharge!E94</f>
        <v>0</v>
      </c>
      <c r="L96" s="2" t="n">
        <f aca="false">soc!E94/investment!$E$4 *100</f>
        <v>32.3108377690808</v>
      </c>
    </row>
    <row r="97" customFormat="false" ht="13.8" hidden="false" customHeight="false" outlineLevel="0" collapsed="false">
      <c r="B97" s="11" t="n">
        <f aca="false">_xlfn.NUMBERVALUE(solar!B94)</f>
        <v>0</v>
      </c>
      <c r="C97" s="12" t="n">
        <f aca="false">solar!C94</f>
        <v>0</v>
      </c>
      <c r="D97" s="6" t="n">
        <v>93</v>
      </c>
      <c r="E97" s="17" t="n">
        <f aca="false">IFERROR(INDEX($B$5:$C$173, MATCH($D97, $B$5:$B$175, 0), 2), 0)*investment!$C$4</f>
        <v>0</v>
      </c>
      <c r="F97" s="18" t="n">
        <f aca="false">demand!E95</f>
        <v>0</v>
      </c>
      <c r="G97" s="2" t="n">
        <f aca="false">solgen!E95</f>
        <v>0</v>
      </c>
      <c r="H97" s="2" t="n">
        <f aca="false">import!E95</f>
        <v>0</v>
      </c>
      <c r="I97" s="2" t="n">
        <f aca="false">-export!E95</f>
        <v>-0</v>
      </c>
      <c r="J97" s="2" t="n">
        <f aca="false">-charge!E95</f>
        <v>-0</v>
      </c>
      <c r="K97" s="2" t="n">
        <f aca="false">discharge!E95</f>
        <v>0</v>
      </c>
      <c r="L97" s="2" t="n">
        <f aca="false">soc!E95/investment!$E$4 *100</f>
        <v>30.3937848587595</v>
      </c>
    </row>
    <row r="98" customFormat="false" ht="13.8" hidden="false" customHeight="false" outlineLevel="0" collapsed="false">
      <c r="B98" s="11" t="n">
        <f aca="false">_xlfn.NUMBERVALUE(solar!B95)</f>
        <v>0</v>
      </c>
      <c r="C98" s="12" t="n">
        <f aca="false">solar!C95</f>
        <v>0</v>
      </c>
      <c r="D98" s="6" t="n">
        <v>94</v>
      </c>
      <c r="E98" s="17" t="n">
        <f aca="false">IFERROR(INDEX($B$5:$C$173, MATCH($D98, $B$5:$B$175, 0), 2), 0)*investment!$C$4</f>
        <v>0</v>
      </c>
      <c r="F98" s="18" t="n">
        <f aca="false">demand!E96</f>
        <v>0</v>
      </c>
      <c r="G98" s="2" t="n">
        <f aca="false">solgen!E96</f>
        <v>0</v>
      </c>
      <c r="H98" s="2" t="n">
        <f aca="false">import!E96</f>
        <v>0</v>
      </c>
      <c r="I98" s="2" t="n">
        <f aca="false">-export!E96</f>
        <v>-0</v>
      </c>
      <c r="J98" s="2" t="n">
        <f aca="false">-charge!E96</f>
        <v>-0</v>
      </c>
      <c r="K98" s="2" t="n">
        <f aca="false">discharge!E96</f>
        <v>0</v>
      </c>
      <c r="L98" s="2" t="n">
        <f aca="false">soc!E96/investment!$E$4 *100</f>
        <v>27.8872940518741</v>
      </c>
    </row>
    <row r="99" customFormat="false" ht="13.8" hidden="false" customHeight="false" outlineLevel="0" collapsed="false">
      <c r="B99" s="11" t="n">
        <f aca="false">_xlfn.NUMBERVALUE(solar!B96)</f>
        <v>0</v>
      </c>
      <c r="C99" s="12" t="n">
        <f aca="false">solar!C96</f>
        <v>0</v>
      </c>
      <c r="D99" s="6" t="n">
        <v>95</v>
      </c>
      <c r="E99" s="17" t="n">
        <f aca="false">IFERROR(INDEX($B$5:$C$173, MATCH($D99, $B$5:$B$175, 0), 2), 0)*investment!$C$4</f>
        <v>0</v>
      </c>
      <c r="F99" s="18" t="n">
        <f aca="false">demand!E97</f>
        <v>0</v>
      </c>
      <c r="G99" s="2" t="n">
        <f aca="false">solgen!E97</f>
        <v>0</v>
      </c>
      <c r="H99" s="2" t="n">
        <f aca="false">import!E97</f>
        <v>0</v>
      </c>
      <c r="I99" s="2" t="n">
        <f aca="false">-export!E97</f>
        <v>-0</v>
      </c>
      <c r="J99" s="2" t="n">
        <f aca="false">-charge!E97</f>
        <v>-0</v>
      </c>
      <c r="K99" s="2" t="n">
        <f aca="false">discharge!E97</f>
        <v>0</v>
      </c>
      <c r="L99" s="2" t="n">
        <f aca="false">soc!E97/investment!$E$4 *100</f>
        <v>26.7575461162162</v>
      </c>
    </row>
    <row r="100" customFormat="false" ht="13.8" hidden="false" customHeight="false" outlineLevel="0" collapsed="false">
      <c r="B100" s="11" t="n">
        <f aca="false">_xlfn.NUMBERVALUE(solar!B97)</f>
        <v>0</v>
      </c>
      <c r="C100" s="12" t="n">
        <f aca="false">solar!C97</f>
        <v>0</v>
      </c>
      <c r="D100" s="6" t="n">
        <v>96</v>
      </c>
      <c r="E100" s="17" t="n">
        <f aca="false">IFERROR(INDEX($B$5:$C$173, MATCH($D100, $B$5:$B$175, 0), 2), 0)*investment!$C$4</f>
        <v>0</v>
      </c>
      <c r="F100" s="18" t="n">
        <f aca="false">demand!E98</f>
        <v>0</v>
      </c>
      <c r="G100" s="2" t="n">
        <f aca="false">solgen!E98</f>
        <v>0</v>
      </c>
      <c r="H100" s="2" t="n">
        <f aca="false">import!E98</f>
        <v>0</v>
      </c>
      <c r="I100" s="2" t="n">
        <f aca="false">-export!E98</f>
        <v>-0</v>
      </c>
      <c r="J100" s="2" t="n">
        <f aca="false">-charge!E98</f>
        <v>-0</v>
      </c>
      <c r="K100" s="2" t="n">
        <f aca="false">discharge!E98</f>
        <v>0</v>
      </c>
      <c r="L100" s="2" t="n">
        <f aca="false">soc!E98/investment!$E$4 *100</f>
        <v>25.8036849354502</v>
      </c>
    </row>
    <row r="101" customFormat="false" ht="13.8" hidden="false" customHeight="false" outlineLevel="0" collapsed="false">
      <c r="B101" s="11" t="n">
        <f aca="false">_xlfn.NUMBERVALUE(solar!B98)</f>
        <v>0</v>
      </c>
      <c r="C101" s="12" t="n">
        <f aca="false">solar!C98</f>
        <v>0</v>
      </c>
      <c r="D101" s="6" t="n">
        <v>97</v>
      </c>
      <c r="E101" s="17" t="n">
        <f aca="false">IFERROR(INDEX($B$5:$C$173, MATCH($D101, $B$5:$B$175, 0), 2), 0)*investment!$C$4</f>
        <v>0</v>
      </c>
      <c r="F101" s="18" t="n">
        <f aca="false">demand!E99</f>
        <v>0</v>
      </c>
      <c r="G101" s="2" t="n">
        <f aca="false">solgen!E99</f>
        <v>0</v>
      </c>
      <c r="H101" s="2" t="n">
        <f aca="false">import!E99</f>
        <v>0</v>
      </c>
      <c r="I101" s="2" t="n">
        <f aca="false">-export!E99</f>
        <v>-0</v>
      </c>
      <c r="J101" s="2" t="n">
        <f aca="false">-charge!E99</f>
        <v>-0</v>
      </c>
      <c r="K101" s="2" t="n">
        <f aca="false">discharge!E99</f>
        <v>0</v>
      </c>
      <c r="L101" s="2" t="n">
        <f aca="false">soc!E99/investment!$E$4 *100</f>
        <v>24.8106977576774</v>
      </c>
    </row>
    <row r="102" customFormat="false" ht="13.8" hidden="false" customHeight="false" outlineLevel="0" collapsed="false">
      <c r="B102" s="11" t="n">
        <f aca="false">_xlfn.NUMBERVALUE(solar!B99)</f>
        <v>0</v>
      </c>
      <c r="C102" s="12" t="n">
        <f aca="false">solar!C99</f>
        <v>0</v>
      </c>
      <c r="D102" s="6" t="n">
        <v>98</v>
      </c>
      <c r="E102" s="17" t="n">
        <f aca="false">IFERROR(INDEX($B$5:$C$173, MATCH($D102, $B$5:$B$175, 0), 2), 0)*investment!$C$4</f>
        <v>0</v>
      </c>
      <c r="F102" s="18" t="n">
        <f aca="false">demand!E100</f>
        <v>0</v>
      </c>
      <c r="G102" s="2" t="n">
        <f aca="false">solgen!E100</f>
        <v>0</v>
      </c>
      <c r="H102" s="2" t="n">
        <f aca="false">import!E100</f>
        <v>0</v>
      </c>
      <c r="I102" s="2" t="n">
        <f aca="false">-export!E100</f>
        <v>-0</v>
      </c>
      <c r="J102" s="2" t="n">
        <f aca="false">-charge!E100</f>
        <v>-0</v>
      </c>
      <c r="K102" s="2" t="n">
        <f aca="false">discharge!E100</f>
        <v>0</v>
      </c>
      <c r="L102" s="2" t="n">
        <f aca="false">soc!E100/investment!$E$4 *100</f>
        <v>22.9689256251274</v>
      </c>
    </row>
    <row r="103" customFormat="false" ht="13.8" hidden="false" customHeight="false" outlineLevel="0" collapsed="false">
      <c r="B103" s="11" t="n">
        <f aca="false">_xlfn.NUMBERVALUE(solar!B100)</f>
        <v>0</v>
      </c>
      <c r="C103" s="12" t="n">
        <f aca="false">solar!C100</f>
        <v>0</v>
      </c>
      <c r="D103" s="6" t="n">
        <v>99</v>
      </c>
      <c r="E103" s="17" t="n">
        <f aca="false">IFERROR(INDEX($B$5:$C$173, MATCH($D103, $B$5:$B$175, 0), 2), 0)*investment!$C$4</f>
        <v>0</v>
      </c>
      <c r="F103" s="18" t="n">
        <f aca="false">demand!E101</f>
        <v>0</v>
      </c>
      <c r="G103" s="2" t="n">
        <f aca="false">solgen!E101</f>
        <v>0</v>
      </c>
      <c r="H103" s="2" t="n">
        <f aca="false">import!E101</f>
        <v>0</v>
      </c>
      <c r="I103" s="2" t="n">
        <f aca="false">-export!E101</f>
        <v>-0</v>
      </c>
      <c r="J103" s="2" t="n">
        <f aca="false">-charge!E101</f>
        <v>-0</v>
      </c>
      <c r="K103" s="2" t="n">
        <f aca="false">discharge!E101</f>
        <v>0</v>
      </c>
      <c r="L103" s="2" t="n">
        <f aca="false">soc!E101/investment!$E$4 *100</f>
        <v>21.9632222195337</v>
      </c>
    </row>
    <row r="104" customFormat="false" ht="13.8" hidden="false" customHeight="false" outlineLevel="0" collapsed="false">
      <c r="B104" s="11" t="n">
        <f aca="false">_xlfn.NUMBERVALUE(solar!B101)</f>
        <v>0</v>
      </c>
      <c r="C104" s="12" t="n">
        <f aca="false">solar!C101</f>
        <v>0</v>
      </c>
      <c r="D104" s="6" t="n">
        <v>100</v>
      </c>
      <c r="E104" s="17" t="n">
        <f aca="false">IFERROR(INDEX($B$5:$C$173, MATCH($D104, $B$5:$B$175, 0), 2), 0)*investment!$C$4</f>
        <v>0</v>
      </c>
      <c r="F104" s="18" t="n">
        <f aca="false">demand!E102</f>
        <v>0</v>
      </c>
      <c r="G104" s="2" t="n">
        <f aca="false">solgen!E102</f>
        <v>0</v>
      </c>
      <c r="H104" s="2" t="n">
        <f aca="false">import!E102</f>
        <v>0</v>
      </c>
      <c r="I104" s="2" t="n">
        <f aca="false">-export!E102</f>
        <v>-0</v>
      </c>
      <c r="J104" s="2" t="n">
        <f aca="false">-charge!E102</f>
        <v>-0</v>
      </c>
      <c r="K104" s="2" t="n">
        <f aca="false">discharge!E102</f>
        <v>0</v>
      </c>
      <c r="L104" s="2" t="n">
        <f aca="false">soc!E102/investment!$E$4 *100</f>
        <v>20.6791426421117</v>
      </c>
    </row>
    <row r="105" customFormat="false" ht="13.8" hidden="false" customHeight="false" outlineLevel="0" collapsed="false">
      <c r="B105" s="11" t="n">
        <f aca="false">_xlfn.NUMBERVALUE(solar!B102)</f>
        <v>0</v>
      </c>
      <c r="C105" s="12" t="n">
        <f aca="false">solar!C102</f>
        <v>0</v>
      </c>
      <c r="D105" s="6" t="n">
        <v>101</v>
      </c>
      <c r="E105" s="17" t="n">
        <f aca="false">IFERROR(INDEX($B$5:$C$173, MATCH($D105, $B$5:$B$175, 0), 2), 0)*investment!$C$4</f>
        <v>0</v>
      </c>
      <c r="F105" s="18" t="n">
        <f aca="false">demand!E103</f>
        <v>0</v>
      </c>
      <c r="G105" s="2" t="n">
        <f aca="false">solgen!E103</f>
        <v>0</v>
      </c>
      <c r="H105" s="2" t="n">
        <f aca="false">import!E103</f>
        <v>0</v>
      </c>
      <c r="I105" s="2" t="n">
        <f aca="false">-export!E103</f>
        <v>-0</v>
      </c>
      <c r="J105" s="2" t="n">
        <f aca="false">-charge!E103</f>
        <v>-0</v>
      </c>
      <c r="K105" s="2" t="n">
        <f aca="false">discharge!E103</f>
        <v>0</v>
      </c>
      <c r="L105" s="2" t="n">
        <f aca="false">soc!E103/investment!$E$4 *100</f>
        <v>19.7249523462103</v>
      </c>
    </row>
    <row r="106" customFormat="false" ht="13.8" hidden="false" customHeight="false" outlineLevel="0" collapsed="false">
      <c r="B106" s="11" t="n">
        <f aca="false">_xlfn.NUMBERVALUE(solar!B103)</f>
        <v>0</v>
      </c>
      <c r="C106" s="12" t="n">
        <f aca="false">solar!C103</f>
        <v>0</v>
      </c>
      <c r="D106" s="6" t="n">
        <v>102</v>
      </c>
      <c r="E106" s="17" t="n">
        <f aca="false">IFERROR(INDEX($B$5:$C$173, MATCH($D106, $B$5:$B$175, 0), 2), 0)*investment!$C$4</f>
        <v>0</v>
      </c>
      <c r="F106" s="18" t="n">
        <f aca="false">demand!E104</f>
        <v>0</v>
      </c>
      <c r="G106" s="2" t="n">
        <f aca="false">solgen!E104</f>
        <v>0</v>
      </c>
      <c r="H106" s="2" t="n">
        <f aca="false">import!E104</f>
        <v>0</v>
      </c>
      <c r="I106" s="2" t="n">
        <f aca="false">-export!E104</f>
        <v>-0</v>
      </c>
      <c r="J106" s="2" t="n">
        <f aca="false">-charge!E104</f>
        <v>-0</v>
      </c>
      <c r="K106" s="2" t="n">
        <f aca="false">discharge!E104</f>
        <v>0</v>
      </c>
      <c r="L106" s="2" t="n">
        <f aca="false">soc!E104/investment!$E$4 *100</f>
        <v>18.5985728412026</v>
      </c>
    </row>
    <row r="107" customFormat="false" ht="13.8" hidden="false" customHeight="false" outlineLevel="0" collapsed="false">
      <c r="B107" s="11" t="n">
        <f aca="false">_xlfn.NUMBERVALUE(solar!B104)</f>
        <v>0</v>
      </c>
      <c r="C107" s="12" t="n">
        <f aca="false">solar!C104</f>
        <v>0</v>
      </c>
      <c r="D107" s="6" t="n">
        <v>103</v>
      </c>
      <c r="E107" s="17" t="n">
        <f aca="false">IFERROR(INDEX($B$5:$C$173, MATCH($D107, $B$5:$B$175, 0), 2), 0)*investment!$C$4</f>
        <v>0</v>
      </c>
      <c r="F107" s="18" t="n">
        <f aca="false">demand!E105</f>
        <v>0</v>
      </c>
      <c r="G107" s="2" t="n">
        <f aca="false">solgen!E105</f>
        <v>0</v>
      </c>
      <c r="H107" s="2" t="n">
        <f aca="false">import!E105</f>
        <v>0</v>
      </c>
      <c r="I107" s="2" t="n">
        <f aca="false">-export!E105</f>
        <v>-0</v>
      </c>
      <c r="J107" s="2" t="n">
        <f aca="false">-charge!E105</f>
        <v>-0</v>
      </c>
      <c r="K107" s="2" t="n">
        <f aca="false">discharge!E105</f>
        <v>0</v>
      </c>
      <c r="L107" s="2" t="n">
        <f aca="false">soc!E105/investment!$E$4 *100</f>
        <v>17.3517946983897</v>
      </c>
    </row>
    <row r="108" customFormat="false" ht="13.8" hidden="false" customHeight="false" outlineLevel="0" collapsed="false">
      <c r="B108" s="11" t="n">
        <f aca="false">_xlfn.NUMBERVALUE(solar!B105)</f>
        <v>0</v>
      </c>
      <c r="C108" s="12" t="n">
        <f aca="false">solar!C105</f>
        <v>0</v>
      </c>
      <c r="D108" s="6" t="n">
        <v>104</v>
      </c>
      <c r="E108" s="17" t="n">
        <f aca="false">IFERROR(INDEX($B$5:$C$173, MATCH($D108, $B$5:$B$175, 0), 2), 0)*investment!$C$4</f>
        <v>0</v>
      </c>
      <c r="F108" s="18" t="n">
        <f aca="false">demand!E106</f>
        <v>0</v>
      </c>
      <c r="G108" s="2" t="n">
        <f aca="false">solgen!E106</f>
        <v>0</v>
      </c>
      <c r="H108" s="2" t="n">
        <f aca="false">import!E106</f>
        <v>0</v>
      </c>
      <c r="I108" s="2" t="n">
        <f aca="false">-export!E106</f>
        <v>-0</v>
      </c>
      <c r="J108" s="2" t="n">
        <f aca="false">-charge!E106</f>
        <v>-0</v>
      </c>
      <c r="K108" s="2" t="n">
        <f aca="false">discharge!E106</f>
        <v>0</v>
      </c>
      <c r="L108" s="2" t="n">
        <f aca="false">soc!E106/investment!$E$4 *100</f>
        <v>16.3291151103535</v>
      </c>
    </row>
    <row r="109" customFormat="false" ht="13.8" hidden="false" customHeight="false" outlineLevel="0" collapsed="false">
      <c r="B109" s="11" t="n">
        <f aca="false">_xlfn.NUMBERVALUE(solar!B106)</f>
        <v>0</v>
      </c>
      <c r="C109" s="12" t="n">
        <f aca="false">solar!C106</f>
        <v>0</v>
      </c>
      <c r="D109" s="6" t="n">
        <v>105</v>
      </c>
      <c r="E109" s="17" t="n">
        <f aca="false">IFERROR(INDEX($B$5:$C$173, MATCH($D109, $B$5:$B$175, 0), 2), 0)*investment!$C$4</f>
        <v>0</v>
      </c>
      <c r="F109" s="18" t="n">
        <f aca="false">demand!E107</f>
        <v>0</v>
      </c>
      <c r="G109" s="2" t="n">
        <f aca="false">solgen!E107</f>
        <v>0</v>
      </c>
      <c r="H109" s="2" t="n">
        <f aca="false">import!E107</f>
        <v>0</v>
      </c>
      <c r="I109" s="2" t="n">
        <f aca="false">-export!E107</f>
        <v>-0</v>
      </c>
      <c r="J109" s="2" t="n">
        <f aca="false">-charge!E107</f>
        <v>-0</v>
      </c>
      <c r="K109" s="2" t="n">
        <f aca="false">discharge!E107</f>
        <v>0</v>
      </c>
      <c r="L109" s="2" t="n">
        <f aca="false">soc!E107/investment!$E$4 *100</f>
        <v>15.3427075145633</v>
      </c>
    </row>
    <row r="110" customFormat="false" ht="13.8" hidden="false" customHeight="false" outlineLevel="0" collapsed="false">
      <c r="B110" s="11" t="n">
        <f aca="false">_xlfn.NUMBERVALUE(solar!B107)</f>
        <v>0</v>
      </c>
      <c r="C110" s="12" t="n">
        <f aca="false">solar!C107</f>
        <v>0</v>
      </c>
      <c r="D110" s="6" t="n">
        <v>106</v>
      </c>
      <c r="E110" s="17" t="n">
        <f aca="false">IFERROR(INDEX($B$5:$C$173, MATCH($D110, $B$5:$B$175, 0), 2), 0)*investment!$C$4</f>
        <v>0</v>
      </c>
      <c r="F110" s="18" t="n">
        <f aca="false">demand!E108</f>
        <v>0</v>
      </c>
      <c r="G110" s="2" t="n">
        <f aca="false">solgen!E108</f>
        <v>0</v>
      </c>
      <c r="H110" s="2" t="n">
        <f aca="false">import!E108</f>
        <v>0</v>
      </c>
      <c r="I110" s="2" t="n">
        <f aca="false">-export!E108</f>
        <v>-0</v>
      </c>
      <c r="J110" s="2" t="n">
        <f aca="false">-charge!E108</f>
        <v>-0</v>
      </c>
      <c r="K110" s="2" t="n">
        <f aca="false">discharge!E108</f>
        <v>0</v>
      </c>
      <c r="L110" s="2" t="n">
        <f aca="false">soc!E108/investment!$E$4 *100</f>
        <v>14.2268084900323</v>
      </c>
    </row>
    <row r="111" customFormat="false" ht="13.8" hidden="false" customHeight="false" outlineLevel="0" collapsed="false">
      <c r="B111" s="11" t="n">
        <f aca="false">_xlfn.NUMBERVALUE(solar!B108)</f>
        <v>0</v>
      </c>
      <c r="C111" s="12" t="n">
        <f aca="false">solar!C108</f>
        <v>0</v>
      </c>
      <c r="D111" s="6" t="n">
        <v>107</v>
      </c>
      <c r="E111" s="17" t="n">
        <f aca="false">IFERROR(INDEX($B$5:$C$173, MATCH($D111, $B$5:$B$175, 0), 2), 0)*investment!$C$4</f>
        <v>0</v>
      </c>
      <c r="F111" s="18" t="n">
        <f aca="false">demand!E109</f>
        <v>0</v>
      </c>
      <c r="G111" s="2" t="n">
        <f aca="false">solgen!E109</f>
        <v>0</v>
      </c>
      <c r="H111" s="2" t="n">
        <f aca="false">import!E109</f>
        <v>0</v>
      </c>
      <c r="I111" s="2" t="n">
        <f aca="false">-export!E109</f>
        <v>-0</v>
      </c>
      <c r="J111" s="2" t="n">
        <f aca="false">-charge!E109</f>
        <v>-0</v>
      </c>
      <c r="K111" s="2" t="n">
        <f aca="false">discharge!E109</f>
        <v>0</v>
      </c>
      <c r="L111" s="2" t="n">
        <f aca="false">soc!E109/investment!$E$4 *100</f>
        <v>12.9812393158229</v>
      </c>
    </row>
    <row r="112" customFormat="false" ht="13.8" hidden="false" customHeight="false" outlineLevel="0" collapsed="false">
      <c r="B112" s="11" t="n">
        <f aca="false">_xlfn.NUMBERVALUE(solar!B109)</f>
        <v>0</v>
      </c>
      <c r="C112" s="12" t="n">
        <f aca="false">solar!C109</f>
        <v>0</v>
      </c>
      <c r="D112" s="6" t="n">
        <v>108</v>
      </c>
      <c r="E112" s="17" t="n">
        <f aca="false">IFERROR(INDEX($B$5:$C$173, MATCH($D112, $B$5:$B$175, 0), 2), 0)*investment!$C$4</f>
        <v>0</v>
      </c>
      <c r="F112" s="18" t="n">
        <f aca="false">demand!E110</f>
        <v>0</v>
      </c>
      <c r="G112" s="2" t="n">
        <f aca="false">solgen!E110</f>
        <v>0</v>
      </c>
      <c r="H112" s="2" t="n">
        <f aca="false">import!E110</f>
        <v>0</v>
      </c>
      <c r="I112" s="2" t="n">
        <f aca="false">-export!E110</f>
        <v>-0</v>
      </c>
      <c r="J112" s="2" t="n">
        <f aca="false">-charge!E110</f>
        <v>-0</v>
      </c>
      <c r="K112" s="2" t="n">
        <f aca="false">discharge!E110</f>
        <v>0</v>
      </c>
      <c r="L112" s="2" t="n">
        <f aca="false">soc!E110/investment!$E$4 *100</f>
        <v>11.899562152128</v>
      </c>
    </row>
    <row r="113" customFormat="false" ht="13.8" hidden="false" customHeight="false" outlineLevel="0" collapsed="false">
      <c r="B113" s="11" t="n">
        <f aca="false">_xlfn.NUMBERVALUE(solar!B110)</f>
        <v>0</v>
      </c>
      <c r="C113" s="12" t="n">
        <f aca="false">solar!C110</f>
        <v>0</v>
      </c>
      <c r="D113" s="6" t="n">
        <v>109</v>
      </c>
      <c r="E113" s="17" t="n">
        <f aca="false">IFERROR(INDEX($B$5:$C$173, MATCH($D113, $B$5:$B$175, 0), 2), 0)*investment!$C$4</f>
        <v>0</v>
      </c>
      <c r="F113" s="18" t="n">
        <f aca="false">demand!E111</f>
        <v>0</v>
      </c>
      <c r="G113" s="2" t="n">
        <f aca="false">solgen!E111</f>
        <v>0</v>
      </c>
      <c r="H113" s="2" t="n">
        <f aca="false">import!E111</f>
        <v>0</v>
      </c>
      <c r="I113" s="2" t="n">
        <f aca="false">-export!E111</f>
        <v>-0</v>
      </c>
      <c r="J113" s="2" t="n">
        <f aca="false">-charge!E111</f>
        <v>-0</v>
      </c>
      <c r="K113" s="2" t="n">
        <f aca="false">discharge!E111</f>
        <v>0</v>
      </c>
      <c r="L113" s="2" t="n">
        <f aca="false">soc!E111/investment!$E$4 *100</f>
        <v>10.7512277816942</v>
      </c>
    </row>
    <row r="114" customFormat="false" ht="13.8" hidden="false" customHeight="false" outlineLevel="0" collapsed="false">
      <c r="B114" s="11" t="n">
        <f aca="false">_xlfn.NUMBERVALUE(solar!B111)</f>
        <v>0</v>
      </c>
      <c r="C114" s="12" t="n">
        <f aca="false">solar!C111</f>
        <v>0</v>
      </c>
      <c r="D114" s="6" t="n">
        <v>110</v>
      </c>
      <c r="E114" s="17" t="n">
        <f aca="false">IFERROR(INDEX($B$5:$C$173, MATCH($D114, $B$5:$B$175, 0), 2), 0)*investment!$C$4</f>
        <v>0</v>
      </c>
      <c r="F114" s="18" t="n">
        <f aca="false">demand!E112</f>
        <v>0</v>
      </c>
      <c r="G114" s="2" t="n">
        <f aca="false">solgen!E112</f>
        <v>0</v>
      </c>
      <c r="H114" s="2" t="n">
        <f aca="false">import!E112</f>
        <v>0</v>
      </c>
      <c r="I114" s="2" t="n">
        <f aca="false">-export!E112</f>
        <v>-0</v>
      </c>
      <c r="J114" s="2" t="n">
        <f aca="false">-charge!E112</f>
        <v>-0</v>
      </c>
      <c r="K114" s="2" t="n">
        <f aca="false">discharge!E112</f>
        <v>0</v>
      </c>
      <c r="L114" s="2" t="n">
        <f aca="false">soc!E112/investment!$E$4 *100</f>
        <v>9.57346723087161</v>
      </c>
    </row>
    <row r="115" customFormat="false" ht="13.8" hidden="false" customHeight="false" outlineLevel="0" collapsed="false">
      <c r="B115" s="11" t="n">
        <f aca="false">_xlfn.NUMBERVALUE(solar!B112)</f>
        <v>0</v>
      </c>
      <c r="C115" s="12" t="n">
        <f aca="false">solar!C112</f>
        <v>0</v>
      </c>
      <c r="D115" s="6" t="n">
        <v>111</v>
      </c>
      <c r="E115" s="17" t="n">
        <f aca="false">IFERROR(INDEX($B$5:$C$173, MATCH($D115, $B$5:$B$175, 0), 2), 0)*investment!$C$4</f>
        <v>0</v>
      </c>
      <c r="F115" s="18" t="n">
        <f aca="false">demand!E113</f>
        <v>0</v>
      </c>
      <c r="G115" s="2" t="n">
        <f aca="false">solgen!E113</f>
        <v>0</v>
      </c>
      <c r="H115" s="2" t="n">
        <f aca="false">import!E113</f>
        <v>0</v>
      </c>
      <c r="I115" s="2" t="n">
        <f aca="false">-export!E113</f>
        <v>-0</v>
      </c>
      <c r="J115" s="2" t="n">
        <f aca="false">-charge!E113</f>
        <v>-0</v>
      </c>
      <c r="K115" s="2" t="n">
        <f aca="false">discharge!E113</f>
        <v>0</v>
      </c>
      <c r="L115" s="2" t="n">
        <f aca="false">soc!E113/investment!$E$4 *100</f>
        <v>8.56406834719031</v>
      </c>
    </row>
    <row r="116" customFormat="false" ht="13.8" hidden="false" customHeight="false" outlineLevel="0" collapsed="false">
      <c r="B116" s="11" t="n">
        <f aca="false">_xlfn.NUMBERVALUE(solar!B113)</f>
        <v>0</v>
      </c>
      <c r="C116" s="12" t="n">
        <f aca="false">solar!C113</f>
        <v>0</v>
      </c>
      <c r="D116" s="6" t="n">
        <v>112</v>
      </c>
      <c r="E116" s="17" t="n">
        <f aca="false">IFERROR(INDEX($B$5:$C$173, MATCH($D116, $B$5:$B$175, 0), 2), 0)*investment!$C$4</f>
        <v>0</v>
      </c>
      <c r="F116" s="18" t="n">
        <f aca="false">demand!E114</f>
        <v>0</v>
      </c>
      <c r="G116" s="2" t="n">
        <f aca="false">solgen!E114</f>
        <v>0</v>
      </c>
      <c r="H116" s="2" t="n">
        <f aca="false">import!E114</f>
        <v>0</v>
      </c>
      <c r="I116" s="2" t="n">
        <f aca="false">-export!E114</f>
        <v>-0</v>
      </c>
      <c r="J116" s="2" t="n">
        <f aca="false">-charge!E114</f>
        <v>-0</v>
      </c>
      <c r="K116" s="2" t="n">
        <f aca="false">discharge!E114</f>
        <v>0</v>
      </c>
      <c r="L116" s="2" t="n">
        <f aca="false">soc!E114/investment!$E$4 *100</f>
        <v>7.32254285913103</v>
      </c>
    </row>
    <row r="117" customFormat="false" ht="13.8" hidden="false" customHeight="false" outlineLevel="0" collapsed="false">
      <c r="B117" s="11" t="n">
        <f aca="false">_xlfn.NUMBERVALUE(solar!B114)</f>
        <v>0</v>
      </c>
      <c r="C117" s="12" t="n">
        <f aca="false">solar!C114</f>
        <v>0</v>
      </c>
      <c r="D117" s="6" t="n">
        <v>113</v>
      </c>
      <c r="E117" s="17" t="n">
        <f aca="false">IFERROR(INDEX($B$5:$C$173, MATCH($D117, $B$5:$B$175, 0), 2), 0)*investment!$C$4</f>
        <v>0</v>
      </c>
      <c r="F117" s="18" t="n">
        <f aca="false">demand!E115</f>
        <v>0</v>
      </c>
      <c r="G117" s="2" t="n">
        <f aca="false">solgen!E115</f>
        <v>0</v>
      </c>
      <c r="H117" s="2" t="n">
        <f aca="false">import!E115</f>
        <v>0</v>
      </c>
      <c r="I117" s="2" t="n">
        <f aca="false">-export!E115</f>
        <v>-0</v>
      </c>
      <c r="J117" s="2" t="n">
        <f aca="false">-charge!E115</f>
        <v>-0</v>
      </c>
      <c r="K117" s="2" t="n">
        <f aca="false">discharge!E115</f>
        <v>0</v>
      </c>
      <c r="L117" s="2" t="n">
        <f aca="false">soc!E115/investment!$E$4 *100</f>
        <v>6.35447927370811</v>
      </c>
    </row>
    <row r="118" customFormat="false" ht="13.8" hidden="false" customHeight="false" outlineLevel="0" collapsed="false">
      <c r="B118" s="11" t="n">
        <f aca="false">_xlfn.NUMBERVALUE(solar!B115)</f>
        <v>0</v>
      </c>
      <c r="C118" s="12" t="n">
        <f aca="false">solar!C115</f>
        <v>0</v>
      </c>
      <c r="D118" s="6" t="n">
        <v>114</v>
      </c>
      <c r="E118" s="17" t="n">
        <f aca="false">IFERROR(INDEX($B$5:$C$173, MATCH($D118, $B$5:$B$175, 0), 2), 0)*investment!$C$4</f>
        <v>0</v>
      </c>
      <c r="F118" s="18" t="n">
        <f aca="false">demand!E116</f>
        <v>0</v>
      </c>
      <c r="G118" s="2" t="n">
        <f aca="false">solgen!E116</f>
        <v>0</v>
      </c>
      <c r="H118" s="2" t="n">
        <f aca="false">import!E116</f>
        <v>0</v>
      </c>
      <c r="I118" s="2" t="n">
        <f aca="false">-export!E116</f>
        <v>-0</v>
      </c>
      <c r="J118" s="2" t="n">
        <f aca="false">-charge!E116</f>
        <v>-0</v>
      </c>
      <c r="K118" s="2" t="n">
        <f aca="false">discharge!E116</f>
        <v>0</v>
      </c>
      <c r="L118" s="2" t="n">
        <f aca="false">soc!E116/investment!$E$4 *100</f>
        <v>5.13004393734797</v>
      </c>
    </row>
    <row r="119" customFormat="false" ht="13.8" hidden="false" customHeight="false" outlineLevel="0" collapsed="false">
      <c r="B119" s="11" t="n">
        <f aca="false">_xlfn.NUMBERVALUE(solar!B116)</f>
        <v>0</v>
      </c>
      <c r="C119" s="12" t="n">
        <f aca="false">solar!C116</f>
        <v>0</v>
      </c>
      <c r="D119" s="6" t="n">
        <v>115</v>
      </c>
      <c r="E119" s="17" t="n">
        <f aca="false">IFERROR(INDEX($B$5:$C$173, MATCH($D119, $B$5:$B$175, 0), 2), 0)*investment!$C$4</f>
        <v>0</v>
      </c>
      <c r="F119" s="18" t="n">
        <f aca="false">demand!E117</f>
        <v>0</v>
      </c>
      <c r="G119" s="2" t="n">
        <f aca="false">solgen!E117</f>
        <v>0</v>
      </c>
      <c r="H119" s="2" t="n">
        <f aca="false">import!E117</f>
        <v>0</v>
      </c>
      <c r="I119" s="2" t="n">
        <f aca="false">-export!E117</f>
        <v>-0</v>
      </c>
      <c r="J119" s="2" t="n">
        <f aca="false">-charge!E117</f>
        <v>-0</v>
      </c>
      <c r="K119" s="2" t="n">
        <f aca="false">discharge!E117</f>
        <v>0</v>
      </c>
      <c r="L119" s="2" t="n">
        <f aca="false">soc!E117/investment!$E$4 *100</f>
        <v>4.04623296283775</v>
      </c>
    </row>
    <row r="120" customFormat="false" ht="13.8" hidden="false" customHeight="false" outlineLevel="0" collapsed="false">
      <c r="B120" s="11" t="n">
        <f aca="false">_xlfn.NUMBERVALUE(solar!B117)</f>
        <v>0</v>
      </c>
      <c r="C120" s="12" t="n">
        <f aca="false">solar!C117</f>
        <v>0</v>
      </c>
      <c r="D120" s="6" t="n">
        <v>116</v>
      </c>
      <c r="E120" s="17" t="n">
        <f aca="false">IFERROR(INDEX($B$5:$C$173, MATCH($D120, $B$5:$B$175, 0), 2), 0)*investment!$C$4</f>
        <v>0</v>
      </c>
      <c r="F120" s="18" t="n">
        <f aca="false">demand!E118</f>
        <v>0</v>
      </c>
      <c r="G120" s="2" t="n">
        <f aca="false">solgen!E118</f>
        <v>0</v>
      </c>
      <c r="H120" s="2" t="n">
        <f aca="false">import!E118</f>
        <v>0</v>
      </c>
      <c r="I120" s="2" t="n">
        <f aca="false">-export!E118</f>
        <v>-0</v>
      </c>
      <c r="J120" s="2" t="n">
        <f aca="false">-charge!E118</f>
        <v>-0</v>
      </c>
      <c r="K120" s="2" t="n">
        <f aca="false">discharge!E118</f>
        <v>0</v>
      </c>
      <c r="L120" s="2" t="n">
        <f aca="false">soc!E118/investment!$E$4 *100</f>
        <v>3.20577938306124</v>
      </c>
    </row>
    <row r="121" customFormat="false" ht="13.8" hidden="false" customHeight="false" outlineLevel="0" collapsed="false">
      <c r="B121" s="11" t="n">
        <f aca="false">_xlfn.NUMBERVALUE(solar!B118)</f>
        <v>0</v>
      </c>
      <c r="C121" s="12" t="n">
        <f aca="false">solar!C118</f>
        <v>0</v>
      </c>
      <c r="D121" s="6" t="n">
        <v>117</v>
      </c>
      <c r="E121" s="17" t="n">
        <f aca="false">IFERROR(INDEX($B$5:$C$173, MATCH($D121, $B$5:$B$175, 0), 2), 0)*investment!$C$4</f>
        <v>0</v>
      </c>
      <c r="F121" s="18" t="n">
        <f aca="false">demand!E119</f>
        <v>0</v>
      </c>
      <c r="G121" s="2" t="n">
        <f aca="false">solgen!E119</f>
        <v>0</v>
      </c>
      <c r="H121" s="2" t="n">
        <f aca="false">import!E119</f>
        <v>0</v>
      </c>
      <c r="I121" s="2" t="n">
        <f aca="false">-export!E119</f>
        <v>-0</v>
      </c>
      <c r="J121" s="2" t="n">
        <f aca="false">-charge!E119</f>
        <v>-0</v>
      </c>
      <c r="K121" s="2" t="n">
        <f aca="false">discharge!E119</f>
        <v>0</v>
      </c>
      <c r="L121" s="2" t="n">
        <f aca="false">soc!E119/investment!$E$4 *100</f>
        <v>2.06553779257774</v>
      </c>
    </row>
    <row r="122" customFormat="false" ht="13.8" hidden="false" customHeight="false" outlineLevel="0" collapsed="false">
      <c r="B122" s="11" t="n">
        <f aca="false">_xlfn.NUMBERVALUE(solar!B119)</f>
        <v>0</v>
      </c>
      <c r="C122" s="12" t="n">
        <f aca="false">solar!C119</f>
        <v>0</v>
      </c>
      <c r="D122" s="6" t="n">
        <v>118</v>
      </c>
      <c r="E122" s="17" t="n">
        <f aca="false">IFERROR(INDEX($B$5:$C$173, MATCH($D122, $B$5:$B$175, 0), 2), 0)*investment!$C$4</f>
        <v>0</v>
      </c>
      <c r="F122" s="18" t="n">
        <f aca="false">demand!E120</f>
        <v>0</v>
      </c>
      <c r="G122" s="2" t="n">
        <f aca="false">solgen!E120</f>
        <v>0</v>
      </c>
      <c r="H122" s="2" t="n">
        <f aca="false">import!E120</f>
        <v>0</v>
      </c>
      <c r="I122" s="2" t="n">
        <f aca="false">-export!E120</f>
        <v>-0</v>
      </c>
      <c r="J122" s="2" t="n">
        <f aca="false">-charge!E120</f>
        <v>-0</v>
      </c>
      <c r="K122" s="2" t="n">
        <f aca="false">discharge!E120</f>
        <v>0</v>
      </c>
      <c r="L122" s="2" t="n">
        <f aca="false">soc!E120/investment!$E$4 *100</f>
        <v>1.33027866803728</v>
      </c>
    </row>
    <row r="123" customFormat="false" ht="13.8" hidden="false" customHeight="false" outlineLevel="0" collapsed="false">
      <c r="B123" s="11" t="n">
        <f aca="false">_xlfn.NUMBERVALUE(solar!B120)</f>
        <v>0</v>
      </c>
      <c r="C123" s="12" t="n">
        <f aca="false">solar!C120</f>
        <v>0</v>
      </c>
      <c r="D123" s="6" t="n">
        <v>119</v>
      </c>
      <c r="E123" s="17" t="n">
        <f aca="false">IFERROR(INDEX($B$5:$C$173, MATCH($D123, $B$5:$B$175, 0), 2), 0)*investment!$C$4</f>
        <v>0</v>
      </c>
      <c r="F123" s="18" t="n">
        <f aca="false">demand!E121</f>
        <v>0</v>
      </c>
      <c r="G123" s="2" t="n">
        <f aca="false">solgen!E121</f>
        <v>0</v>
      </c>
      <c r="H123" s="2" t="n">
        <f aca="false">import!E121</f>
        <v>0</v>
      </c>
      <c r="I123" s="2" t="n">
        <f aca="false">-export!E121</f>
        <v>-0</v>
      </c>
      <c r="J123" s="2" t="n">
        <f aca="false">-charge!E121</f>
        <v>-0</v>
      </c>
      <c r="K123" s="2" t="n">
        <f aca="false">discharge!E121</f>
        <v>0</v>
      </c>
      <c r="L123" s="2" t="n">
        <f aca="false">soc!E121/investment!$E$4 *100</f>
        <v>0.59569445597439</v>
      </c>
    </row>
    <row r="124" customFormat="false" ht="13.8" hidden="false" customHeight="false" outlineLevel="0" collapsed="false">
      <c r="B124" s="11" t="n">
        <f aca="false">_xlfn.NUMBERVALUE(solar!B121)</f>
        <v>0</v>
      </c>
      <c r="C124" s="12" t="n">
        <f aca="false">solar!C121</f>
        <v>0</v>
      </c>
      <c r="D124" s="6" t="n">
        <v>120</v>
      </c>
      <c r="E124" s="17" t="n">
        <f aca="false">IFERROR(INDEX($B$5:$C$173, MATCH($D124, $B$5:$B$175, 0), 2), 0)*investment!$C$4</f>
        <v>0</v>
      </c>
      <c r="F124" s="18" t="n">
        <f aca="false">demand!E122</f>
        <v>0</v>
      </c>
      <c r="G124" s="2" t="n">
        <f aca="false">solgen!E122</f>
        <v>0</v>
      </c>
      <c r="H124" s="2" t="n">
        <f aca="false">import!E122</f>
        <v>0</v>
      </c>
      <c r="I124" s="2" t="n">
        <f aca="false">-export!E122</f>
        <v>-0</v>
      </c>
      <c r="J124" s="2" t="n">
        <f aca="false">-charge!E122</f>
        <v>-0</v>
      </c>
      <c r="K124" s="2" t="n">
        <f aca="false">discharge!E122</f>
        <v>0</v>
      </c>
      <c r="L124" s="2" t="n">
        <f aca="false">soc!E122/investment!$E$4 *100</f>
        <v>2.26607998373834E-008</v>
      </c>
    </row>
    <row r="125" customFormat="false" ht="13.8" hidden="false" customHeight="false" outlineLevel="0" collapsed="false">
      <c r="B125" s="11" t="n">
        <f aca="false">_xlfn.NUMBERVALUE(solar!B122)</f>
        <v>0</v>
      </c>
      <c r="C125" s="12" t="n">
        <f aca="false">solar!C122</f>
        <v>0</v>
      </c>
      <c r="D125" s="6" t="n">
        <v>121</v>
      </c>
      <c r="E125" s="17" t="n">
        <f aca="false">IFERROR(INDEX($B$5:$C$173, MATCH($D125, $B$5:$B$175, 0), 2), 0)*investment!$C$4</f>
        <v>0</v>
      </c>
      <c r="F125" s="18" t="n">
        <f aca="false">demand!E123</f>
        <v>0</v>
      </c>
      <c r="G125" s="2" t="n">
        <f aca="false">solgen!E123</f>
        <v>0</v>
      </c>
      <c r="H125" s="2" t="n">
        <f aca="false">import!E123</f>
        <v>0</v>
      </c>
      <c r="I125" s="2" t="n">
        <f aca="false">-export!E123</f>
        <v>-0</v>
      </c>
      <c r="J125" s="2" t="n">
        <f aca="false">-charge!E123</f>
        <v>-0</v>
      </c>
      <c r="K125" s="2" t="n">
        <f aca="false">discharge!E123</f>
        <v>0</v>
      </c>
      <c r="L125" s="2" t="n">
        <f aca="false">soc!E123/investment!$E$4 *100</f>
        <v>0.046288981769002</v>
      </c>
    </row>
    <row r="126" customFormat="false" ht="13.8" hidden="false" customHeight="false" outlineLevel="0" collapsed="false">
      <c r="B126" s="11" t="n">
        <f aca="false">_xlfn.NUMBERVALUE(solar!B123)</f>
        <v>0</v>
      </c>
      <c r="C126" s="12" t="n">
        <f aca="false">solar!C123</f>
        <v>0</v>
      </c>
      <c r="D126" s="6" t="n">
        <v>122</v>
      </c>
      <c r="E126" s="17" t="n">
        <f aca="false">IFERROR(INDEX($B$5:$C$173, MATCH($D126, $B$5:$B$175, 0), 2), 0)*investment!$C$4</f>
        <v>0</v>
      </c>
      <c r="F126" s="18" t="n">
        <f aca="false">demand!E124</f>
        <v>0</v>
      </c>
      <c r="G126" s="2" t="n">
        <f aca="false">solgen!E124</f>
        <v>0</v>
      </c>
      <c r="H126" s="2" t="n">
        <f aca="false">import!E124</f>
        <v>0</v>
      </c>
      <c r="I126" s="2" t="n">
        <f aca="false">-export!E124</f>
        <v>-0</v>
      </c>
      <c r="J126" s="2" t="n">
        <f aca="false">-charge!E124</f>
        <v>-0</v>
      </c>
      <c r="K126" s="2" t="n">
        <f aca="false">discharge!E124</f>
        <v>0</v>
      </c>
      <c r="L126" s="2" t="n">
        <f aca="false">soc!E124/investment!$E$4 *100</f>
        <v>2.8257843208251E-012</v>
      </c>
    </row>
    <row r="127" customFormat="false" ht="13.8" hidden="false" customHeight="false" outlineLevel="0" collapsed="false">
      <c r="B127" s="11" t="n">
        <f aca="false">_xlfn.NUMBERVALUE(solar!B124)</f>
        <v>0</v>
      </c>
      <c r="C127" s="12" t="n">
        <f aca="false">solar!C124</f>
        <v>0</v>
      </c>
      <c r="D127" s="6" t="n">
        <v>123</v>
      </c>
      <c r="E127" s="17" t="n">
        <f aca="false">IFERROR(INDEX($B$5:$C$173, MATCH($D127, $B$5:$B$175, 0), 2), 0)*investment!$C$4</f>
        <v>0</v>
      </c>
      <c r="F127" s="18" t="n">
        <f aca="false">demand!E125</f>
        <v>0</v>
      </c>
      <c r="G127" s="2" t="n">
        <f aca="false">solgen!E125</f>
        <v>0</v>
      </c>
      <c r="H127" s="2" t="n">
        <f aca="false">import!E125</f>
        <v>0</v>
      </c>
      <c r="I127" s="2" t="n">
        <f aca="false">-export!E125</f>
        <v>-0</v>
      </c>
      <c r="J127" s="2" t="n">
        <f aca="false">-charge!E125</f>
        <v>-0</v>
      </c>
      <c r="K127" s="2" t="n">
        <f aca="false">discharge!E125</f>
        <v>0</v>
      </c>
      <c r="L127" s="2" t="n">
        <f aca="false">soc!E125/investment!$E$4 *100</f>
        <v>2.43142609724823E-013</v>
      </c>
    </row>
    <row r="128" customFormat="false" ht="13.8" hidden="false" customHeight="false" outlineLevel="0" collapsed="false">
      <c r="B128" s="11" t="n">
        <f aca="false">_xlfn.NUMBERVALUE(solar!B125)</f>
        <v>0</v>
      </c>
      <c r="C128" s="12" t="n">
        <f aca="false">solar!C125</f>
        <v>0</v>
      </c>
      <c r="D128" s="6" t="n">
        <v>124</v>
      </c>
      <c r="E128" s="17" t="n">
        <f aca="false">IFERROR(INDEX($B$5:$C$173, MATCH($D128, $B$5:$B$175, 0), 2), 0)*investment!$C$4</f>
        <v>0</v>
      </c>
      <c r="F128" s="18" t="n">
        <f aca="false">demand!E126</f>
        <v>0</v>
      </c>
      <c r="G128" s="2" t="n">
        <f aca="false">solgen!E126</f>
        <v>0</v>
      </c>
      <c r="H128" s="2" t="n">
        <f aca="false">import!E126</f>
        <v>0</v>
      </c>
      <c r="I128" s="2" t="n">
        <f aca="false">-export!E126</f>
        <v>-0</v>
      </c>
      <c r="J128" s="2" t="n">
        <f aca="false">-charge!E126</f>
        <v>-0</v>
      </c>
      <c r="K128" s="2" t="n">
        <f aca="false">discharge!E126</f>
        <v>0</v>
      </c>
      <c r="L128" s="2" t="n">
        <f aca="false">soc!E126/investment!$E$4 *100</f>
        <v>4.86156368524871E-013</v>
      </c>
    </row>
    <row r="129" customFormat="false" ht="13.8" hidden="false" customHeight="false" outlineLevel="0" collapsed="false">
      <c r="B129" s="11" t="n">
        <f aca="false">_xlfn.NUMBERVALUE(solar!B126)</f>
        <v>0</v>
      </c>
      <c r="C129" s="12" t="n">
        <f aca="false">solar!C126</f>
        <v>0</v>
      </c>
      <c r="D129" s="6" t="n">
        <v>125</v>
      </c>
      <c r="E129" s="17" t="n">
        <f aca="false">IFERROR(INDEX($B$5:$C$173, MATCH($D129, $B$5:$B$175, 0), 2), 0)*investment!$C$4</f>
        <v>0</v>
      </c>
      <c r="F129" s="18" t="n">
        <f aca="false">demand!E127</f>
        <v>0</v>
      </c>
      <c r="G129" s="2" t="n">
        <f aca="false">solgen!E127</f>
        <v>0</v>
      </c>
      <c r="H129" s="2" t="n">
        <f aca="false">import!E127</f>
        <v>0</v>
      </c>
      <c r="I129" s="2" t="n">
        <f aca="false">-export!E127</f>
        <v>-0</v>
      </c>
      <c r="J129" s="2" t="n">
        <f aca="false">-charge!E127</f>
        <v>-0</v>
      </c>
      <c r="K129" s="2" t="n">
        <f aca="false">discharge!E127</f>
        <v>0</v>
      </c>
      <c r="L129" s="2" t="n">
        <f aca="false">soc!E127/investment!$E$4 *100</f>
        <v>7.29258849835911E-013</v>
      </c>
    </row>
    <row r="130" customFormat="false" ht="13.8" hidden="false" customHeight="false" outlineLevel="0" collapsed="false">
      <c r="B130" s="11" t="n">
        <f aca="false">_xlfn.NUMBERVALUE(solar!B127)</f>
        <v>0</v>
      </c>
      <c r="C130" s="12" t="n">
        <f aca="false">solar!C127</f>
        <v>0</v>
      </c>
      <c r="D130" s="6" t="n">
        <v>126</v>
      </c>
      <c r="E130" s="17" t="n">
        <f aca="false">IFERROR(INDEX($B$5:$C$173, MATCH($D130, $B$5:$B$175, 0), 2), 0)*investment!$C$4</f>
        <v>0</v>
      </c>
      <c r="F130" s="18" t="n">
        <f aca="false">demand!E128</f>
        <v>0</v>
      </c>
      <c r="G130" s="2" t="n">
        <f aca="false">solgen!E128</f>
        <v>0</v>
      </c>
      <c r="H130" s="2" t="n">
        <f aca="false">import!E128</f>
        <v>0</v>
      </c>
      <c r="I130" s="2" t="n">
        <f aca="false">-export!E128</f>
        <v>-0</v>
      </c>
      <c r="J130" s="2" t="n">
        <f aca="false">-charge!E128</f>
        <v>-0</v>
      </c>
      <c r="K130" s="2" t="n">
        <f aca="false">discharge!E128</f>
        <v>0</v>
      </c>
      <c r="L130" s="2" t="n">
        <f aca="false">soc!E128/investment!$E$4 *100</f>
        <v>9.72143072570004E-013</v>
      </c>
    </row>
    <row r="131" customFormat="false" ht="13.8" hidden="false" customHeight="false" outlineLevel="0" collapsed="false">
      <c r="B131" s="11" t="n">
        <f aca="false">_xlfn.NUMBERVALUE(solar!B128)</f>
        <v>0</v>
      </c>
      <c r="C131" s="12" t="n">
        <f aca="false">solar!C128</f>
        <v>0</v>
      </c>
      <c r="D131" s="6" t="n">
        <v>127</v>
      </c>
      <c r="E131" s="17" t="n">
        <f aca="false">IFERROR(INDEX($B$5:$C$173, MATCH($D131, $B$5:$B$175, 0), 2), 0)*investment!$C$4</f>
        <v>0</v>
      </c>
      <c r="F131" s="18" t="n">
        <f aca="false">demand!E129</f>
        <v>0</v>
      </c>
      <c r="G131" s="2" t="n">
        <f aca="false">solgen!E129</f>
        <v>0</v>
      </c>
      <c r="H131" s="2" t="n">
        <f aca="false">import!E129</f>
        <v>0</v>
      </c>
      <c r="I131" s="2" t="n">
        <f aca="false">-export!E129</f>
        <v>-0</v>
      </c>
      <c r="J131" s="2" t="n">
        <f aca="false">-charge!E129</f>
        <v>-0</v>
      </c>
      <c r="K131" s="2" t="n">
        <f aca="false">discharge!E129</f>
        <v>0</v>
      </c>
      <c r="L131" s="2" t="n">
        <f aca="false">soc!E129/investment!$E$4 *100</f>
        <v>1.21562679810226E-012</v>
      </c>
    </row>
    <row r="132" customFormat="false" ht="13.8" hidden="false" customHeight="false" outlineLevel="0" collapsed="false">
      <c r="B132" s="11" t="n">
        <f aca="false">_xlfn.NUMBERVALUE(solar!B129)</f>
        <v>0</v>
      </c>
      <c r="C132" s="12" t="n">
        <f aca="false">solar!C129</f>
        <v>0</v>
      </c>
      <c r="D132" s="6" t="n">
        <v>128</v>
      </c>
      <c r="E132" s="17" t="n">
        <f aca="false">IFERROR(INDEX($B$5:$C$173, MATCH($D132, $B$5:$B$175, 0), 2), 0)*investment!$C$4</f>
        <v>0</v>
      </c>
      <c r="F132" s="18" t="n">
        <f aca="false">demand!E130</f>
        <v>0</v>
      </c>
      <c r="G132" s="2" t="n">
        <f aca="false">solgen!E130</f>
        <v>0</v>
      </c>
      <c r="H132" s="2" t="n">
        <f aca="false">import!E130</f>
        <v>0</v>
      </c>
      <c r="I132" s="2" t="n">
        <f aca="false">-export!E130</f>
        <v>-0</v>
      </c>
      <c r="J132" s="2" t="n">
        <f aca="false">-charge!E130</f>
        <v>-0</v>
      </c>
      <c r="K132" s="2" t="n">
        <f aca="false">discharge!E130</f>
        <v>0</v>
      </c>
      <c r="L132" s="2" t="n">
        <f aca="false">soc!E130/investment!$E$4 *100</f>
        <v>1.4528518978109E-012</v>
      </c>
    </row>
    <row r="133" customFormat="false" ht="13.8" hidden="false" customHeight="false" outlineLevel="0" collapsed="false">
      <c r="B133" s="11" t="n">
        <f aca="false">_xlfn.NUMBERVALUE(solar!B130)</f>
        <v>0</v>
      </c>
      <c r="C133" s="12" t="n">
        <f aca="false">solar!C130</f>
        <v>0</v>
      </c>
      <c r="D133" s="6" t="n">
        <v>129</v>
      </c>
      <c r="E133" s="17" t="n">
        <f aca="false">IFERROR(INDEX($B$5:$C$173, MATCH($D133, $B$5:$B$175, 0), 2), 0)*investment!$C$4</f>
        <v>0</v>
      </c>
      <c r="F133" s="18" t="n">
        <f aca="false">demand!E131</f>
        <v>0</v>
      </c>
      <c r="G133" s="2" t="n">
        <f aca="false">solgen!E131</f>
        <v>0</v>
      </c>
      <c r="H133" s="2" t="n">
        <f aca="false">import!E131</f>
        <v>0</v>
      </c>
      <c r="I133" s="2" t="n">
        <f aca="false">-export!E131</f>
        <v>-0</v>
      </c>
      <c r="J133" s="2" t="n">
        <f aca="false">-charge!E131</f>
        <v>-0</v>
      </c>
      <c r="K133" s="2" t="n">
        <f aca="false">discharge!E131</f>
        <v>0</v>
      </c>
      <c r="L133" s="2" t="n">
        <f aca="false">soc!E131/investment!$E$4 *100</f>
        <v>1.67085660131649E-012</v>
      </c>
    </row>
    <row r="134" customFormat="false" ht="13.8" hidden="false" customHeight="false" outlineLevel="0" collapsed="false">
      <c r="B134" s="11" t="n">
        <f aca="false">_xlfn.NUMBERVALUE(solar!B131)</f>
        <v>0</v>
      </c>
      <c r="C134" s="12" t="n">
        <f aca="false">solar!C131</f>
        <v>0</v>
      </c>
      <c r="D134" s="6" t="n">
        <v>130</v>
      </c>
      <c r="E134" s="17" t="n">
        <f aca="false">IFERROR(INDEX($B$5:$C$173, MATCH($D134, $B$5:$B$175, 0), 2), 0)*investment!$C$4</f>
        <v>0</v>
      </c>
      <c r="F134" s="18" t="n">
        <f aca="false">demand!E132</f>
        <v>0</v>
      </c>
      <c r="G134" s="2" t="n">
        <f aca="false">solgen!E132</f>
        <v>0</v>
      </c>
      <c r="H134" s="2" t="n">
        <f aca="false">import!E132</f>
        <v>0</v>
      </c>
      <c r="I134" s="2" t="n">
        <f aca="false">-export!E132</f>
        <v>-0</v>
      </c>
      <c r="J134" s="2" t="n">
        <f aca="false">-charge!E132</f>
        <v>-0</v>
      </c>
      <c r="K134" s="2" t="n">
        <f aca="false">discharge!E132</f>
        <v>0</v>
      </c>
      <c r="L134" s="2" t="n">
        <f aca="false">soc!E132/investment!$E$4 *100</f>
        <v>1.8647311731172E-012</v>
      </c>
    </row>
    <row r="135" customFormat="false" ht="13.8" hidden="false" customHeight="false" outlineLevel="0" collapsed="false">
      <c r="B135" s="11" t="n">
        <f aca="false">_xlfn.NUMBERVALUE(solar!B132)</f>
        <v>0</v>
      </c>
      <c r="C135" s="12" t="n">
        <f aca="false">solar!C132</f>
        <v>0</v>
      </c>
      <c r="D135" s="6" t="n">
        <v>131</v>
      </c>
      <c r="E135" s="17" t="n">
        <f aca="false">IFERROR(INDEX($B$5:$C$173, MATCH($D135, $B$5:$B$175, 0), 2), 0)*investment!$C$4</f>
        <v>0</v>
      </c>
      <c r="F135" s="18" t="n">
        <f aca="false">demand!E133</f>
        <v>0</v>
      </c>
      <c r="G135" s="2" t="n">
        <f aca="false">solgen!E133</f>
        <v>0</v>
      </c>
      <c r="H135" s="2" t="n">
        <f aca="false">import!E133</f>
        <v>0</v>
      </c>
      <c r="I135" s="2" t="n">
        <f aca="false">-export!E133</f>
        <v>-0</v>
      </c>
      <c r="J135" s="2" t="n">
        <f aca="false">-charge!E133</f>
        <v>-0</v>
      </c>
      <c r="K135" s="2" t="n">
        <f aca="false">discharge!E133</f>
        <v>0</v>
      </c>
      <c r="L135" s="2" t="n">
        <f aca="false">soc!E133/investment!$E$4 *100</f>
        <v>2.03395851064692E-012</v>
      </c>
    </row>
    <row r="136" customFormat="false" ht="13.8" hidden="false" customHeight="false" outlineLevel="0" collapsed="false">
      <c r="B136" s="11" t="n">
        <f aca="false">_xlfn.NUMBERVALUE(solar!B133)</f>
        <v>0</v>
      </c>
      <c r="C136" s="12" t="n">
        <f aca="false">solar!C133</f>
        <v>0</v>
      </c>
      <c r="D136" s="6" t="n">
        <v>132</v>
      </c>
      <c r="E136" s="17" t="n">
        <f aca="false">IFERROR(INDEX($B$5:$C$173, MATCH($D136, $B$5:$B$175, 0), 2), 0)*investment!$C$4</f>
        <v>0</v>
      </c>
      <c r="F136" s="18" t="n">
        <f aca="false">demand!E134</f>
        <v>0</v>
      </c>
      <c r="G136" s="2" t="n">
        <f aca="false">solgen!E134</f>
        <v>0</v>
      </c>
      <c r="H136" s="2" t="n">
        <f aca="false">import!E134</f>
        <v>0</v>
      </c>
      <c r="I136" s="2" t="n">
        <f aca="false">-export!E134</f>
        <v>-0</v>
      </c>
      <c r="J136" s="2" t="n">
        <f aca="false">-charge!E134</f>
        <v>-0</v>
      </c>
      <c r="K136" s="2" t="n">
        <f aca="false">discharge!E134</f>
        <v>0</v>
      </c>
      <c r="L136" s="2" t="n">
        <f aca="false">soc!E134/investment!$E$4 *100</f>
        <v>2.17722177585091E-012</v>
      </c>
    </row>
    <row r="137" customFormat="false" ht="13.8" hidden="false" customHeight="false" outlineLevel="0" collapsed="false">
      <c r="B137" s="11" t="n">
        <f aca="false">_xlfn.NUMBERVALUE(solar!B134)</f>
        <v>0</v>
      </c>
      <c r="C137" s="12" t="n">
        <f aca="false">solar!C134</f>
        <v>0</v>
      </c>
      <c r="D137" s="6" t="n">
        <v>133</v>
      </c>
      <c r="E137" s="17" t="n">
        <f aca="false">IFERROR(INDEX($B$5:$C$173, MATCH($D137, $B$5:$B$175, 0), 2), 0)*investment!$C$4</f>
        <v>0</v>
      </c>
      <c r="F137" s="18" t="n">
        <f aca="false">demand!E135</f>
        <v>0</v>
      </c>
      <c r="G137" s="2" t="n">
        <f aca="false">solgen!E135</f>
        <v>0</v>
      </c>
      <c r="H137" s="2" t="n">
        <f aca="false">import!E135</f>
        <v>0</v>
      </c>
      <c r="I137" s="2" t="n">
        <f aca="false">-export!E135</f>
        <v>-0</v>
      </c>
      <c r="J137" s="2" t="n">
        <f aca="false">-charge!E135</f>
        <v>-0</v>
      </c>
      <c r="K137" s="2" t="n">
        <f aca="false">discharge!E135</f>
        <v>0</v>
      </c>
      <c r="L137" s="2" t="n">
        <f aca="false">soc!E135/investment!$E$4 *100</f>
        <v>2.26903921543154E-012</v>
      </c>
    </row>
    <row r="138" customFormat="false" ht="13.8" hidden="false" customHeight="false" outlineLevel="0" collapsed="false">
      <c r="B138" s="11" t="n">
        <f aca="false">_xlfn.NUMBERVALUE(solar!B135)</f>
        <v>0</v>
      </c>
      <c r="C138" s="12" t="n">
        <f aca="false">solar!C135</f>
        <v>0</v>
      </c>
      <c r="D138" s="6" t="n">
        <v>134</v>
      </c>
      <c r="E138" s="17" t="n">
        <f aca="false">IFERROR(INDEX($B$5:$C$173, MATCH($D138, $B$5:$B$175, 0), 2), 0)*investment!$C$4</f>
        <v>0</v>
      </c>
      <c r="F138" s="18" t="n">
        <f aca="false">demand!E136</f>
        <v>0</v>
      </c>
      <c r="G138" s="2" t="n">
        <f aca="false">solgen!E136</f>
        <v>0</v>
      </c>
      <c r="H138" s="2" t="n">
        <f aca="false">import!E136</f>
        <v>0</v>
      </c>
      <c r="I138" s="2" t="n">
        <f aca="false">-export!E136</f>
        <v>-0</v>
      </c>
      <c r="J138" s="2" t="n">
        <f aca="false">-charge!E136</f>
        <v>-0</v>
      </c>
      <c r="K138" s="2" t="n">
        <f aca="false">discharge!E136</f>
        <v>0</v>
      </c>
      <c r="L138" s="2" t="n">
        <f aca="false">soc!E136/investment!$E$4 *100</f>
        <v>1.87724299015732E-012</v>
      </c>
    </row>
    <row r="139" customFormat="false" ht="13.8" hidden="false" customHeight="false" outlineLevel="0" collapsed="false">
      <c r="B139" s="11" t="n">
        <f aca="false">_xlfn.NUMBERVALUE(solar!B136)</f>
        <v>0</v>
      </c>
      <c r="C139" s="12" t="n">
        <f aca="false">solar!C136</f>
        <v>0</v>
      </c>
      <c r="D139" s="6" t="n">
        <v>135</v>
      </c>
      <c r="E139" s="17" t="n">
        <f aca="false">IFERROR(INDEX($B$5:$C$173, MATCH($D139, $B$5:$B$175, 0), 2), 0)*investment!$C$4</f>
        <v>0</v>
      </c>
      <c r="F139" s="18" t="n">
        <f aca="false">demand!E137</f>
        <v>0</v>
      </c>
      <c r="G139" s="2" t="n">
        <f aca="false">solgen!E137</f>
        <v>0</v>
      </c>
      <c r="H139" s="2" t="n">
        <f aca="false">import!E137</f>
        <v>0</v>
      </c>
      <c r="I139" s="2" t="n">
        <f aca="false">-export!E137</f>
        <v>-0</v>
      </c>
      <c r="J139" s="2" t="n">
        <f aca="false">-charge!E137</f>
        <v>-0</v>
      </c>
      <c r="K139" s="2" t="n">
        <f aca="false">discharge!E137</f>
        <v>0</v>
      </c>
      <c r="L139" s="2" t="n">
        <f aca="false">soc!E137/investment!$E$4 *100</f>
        <v>1.90821254771083E-012</v>
      </c>
    </row>
    <row r="140" customFormat="false" ht="13.8" hidden="false" customHeight="false" outlineLevel="0" collapsed="false">
      <c r="B140" s="11" t="n">
        <f aca="false">_xlfn.NUMBERVALUE(solar!B137)</f>
        <v>0</v>
      </c>
      <c r="C140" s="12" t="n">
        <f aca="false">solar!C137</f>
        <v>0</v>
      </c>
      <c r="D140" s="6" t="n">
        <v>136</v>
      </c>
      <c r="E140" s="17" t="n">
        <f aca="false">IFERROR(INDEX($B$5:$C$173, MATCH($D140, $B$5:$B$175, 0), 2), 0)*investment!$C$4</f>
        <v>0</v>
      </c>
      <c r="F140" s="18" t="n">
        <f aca="false">demand!E138</f>
        <v>0</v>
      </c>
      <c r="G140" s="2" t="n">
        <f aca="false">solgen!E138</f>
        <v>0</v>
      </c>
      <c r="H140" s="2" t="n">
        <f aca="false">import!E138</f>
        <v>0</v>
      </c>
      <c r="I140" s="2" t="n">
        <f aca="false">-export!E138</f>
        <v>-0</v>
      </c>
      <c r="J140" s="2" t="n">
        <f aca="false">-charge!E138</f>
        <v>-0</v>
      </c>
      <c r="K140" s="2" t="n">
        <f aca="false">discharge!E138</f>
        <v>0</v>
      </c>
      <c r="L140" s="2" t="n">
        <f aca="false">soc!E138/investment!$E$4 *100</f>
        <v>2.72480966705926E-012</v>
      </c>
    </row>
    <row r="141" customFormat="false" ht="13.8" hidden="false" customHeight="false" outlineLevel="0" collapsed="false">
      <c r="B141" s="11" t="n">
        <f aca="false">_xlfn.NUMBERVALUE(solar!B138)</f>
        <v>0</v>
      </c>
      <c r="C141" s="12" t="n">
        <f aca="false">solar!C138</f>
        <v>0</v>
      </c>
      <c r="D141" s="6" t="n">
        <v>137</v>
      </c>
      <c r="E141" s="17" t="n">
        <f aca="false">IFERROR(INDEX($B$5:$C$173, MATCH($D141, $B$5:$B$175, 0), 2), 0)*investment!$C$4</f>
        <v>0</v>
      </c>
      <c r="F141" s="18" t="n">
        <f aca="false">demand!E139</f>
        <v>0</v>
      </c>
      <c r="G141" s="2" t="n">
        <f aca="false">solgen!E139</f>
        <v>0</v>
      </c>
      <c r="H141" s="2" t="n">
        <f aca="false">import!E139</f>
        <v>0</v>
      </c>
      <c r="I141" s="2" t="n">
        <f aca="false">-export!E139</f>
        <v>-0</v>
      </c>
      <c r="J141" s="2" t="n">
        <f aca="false">-charge!E139</f>
        <v>-0</v>
      </c>
      <c r="K141" s="2" t="n">
        <f aca="false">discharge!E139</f>
        <v>0</v>
      </c>
      <c r="L141" s="2" t="n">
        <f aca="false">soc!E139/investment!$E$4 *100</f>
        <v>1.20628209822247E-012</v>
      </c>
    </row>
    <row r="142" customFormat="false" ht="13.8" hidden="false" customHeight="false" outlineLevel="0" collapsed="false">
      <c r="B142" s="11" t="n">
        <f aca="false">_xlfn.NUMBERVALUE(solar!B139)</f>
        <v>0</v>
      </c>
      <c r="C142" s="12" t="n">
        <f aca="false">solar!C139</f>
        <v>0</v>
      </c>
      <c r="D142" s="6" t="n">
        <v>138</v>
      </c>
      <c r="E142" s="17" t="n">
        <f aca="false">IFERROR(INDEX($B$5:$C$173, MATCH($D142, $B$5:$B$175, 0), 2), 0)*investment!$C$4</f>
        <v>0</v>
      </c>
      <c r="F142" s="18" t="n">
        <f aca="false">demand!E140</f>
        <v>0</v>
      </c>
      <c r="G142" s="2" t="n">
        <f aca="false">solgen!E140</f>
        <v>0</v>
      </c>
      <c r="H142" s="2" t="n">
        <f aca="false">import!E140</f>
        <v>0</v>
      </c>
      <c r="I142" s="2" t="n">
        <f aca="false">-export!E140</f>
        <v>-0</v>
      </c>
      <c r="J142" s="2" t="n">
        <f aca="false">-charge!E140</f>
        <v>-0</v>
      </c>
      <c r="K142" s="2" t="n">
        <f aca="false">discharge!E140</f>
        <v>0</v>
      </c>
      <c r="L142" s="2" t="n">
        <f aca="false">soc!E140/investment!$E$4 *100</f>
        <v>2.09531848050928E-012</v>
      </c>
    </row>
    <row r="143" customFormat="false" ht="13.8" hidden="false" customHeight="false" outlineLevel="0" collapsed="false">
      <c r="B143" s="11" t="n">
        <f aca="false">_xlfn.NUMBERVALUE(solar!B140)</f>
        <v>0</v>
      </c>
      <c r="C143" s="12" t="n">
        <f aca="false">solar!C140</f>
        <v>0</v>
      </c>
      <c r="D143" s="6" t="n">
        <v>139</v>
      </c>
      <c r="E143" s="17" t="n">
        <f aca="false">IFERROR(INDEX($B$5:$C$173, MATCH($D143, $B$5:$B$175, 0), 2), 0)*investment!$C$4</f>
        <v>0</v>
      </c>
      <c r="F143" s="18" t="n">
        <f aca="false">demand!E141</f>
        <v>0</v>
      </c>
      <c r="G143" s="2" t="n">
        <f aca="false">solgen!E141</f>
        <v>0</v>
      </c>
      <c r="H143" s="2" t="n">
        <f aca="false">import!E141</f>
        <v>0</v>
      </c>
      <c r="I143" s="2" t="n">
        <f aca="false">-export!E141</f>
        <v>-0</v>
      </c>
      <c r="J143" s="2" t="n">
        <f aca="false">-charge!E141</f>
        <v>-0</v>
      </c>
      <c r="K143" s="2" t="n">
        <f aca="false">discharge!E141</f>
        <v>0</v>
      </c>
      <c r="L143" s="2" t="n">
        <f aca="false">soc!E141/investment!$E$4 *100</f>
        <v>1.95072123049389E-012</v>
      </c>
    </row>
    <row r="144" customFormat="false" ht="13.8" hidden="false" customHeight="false" outlineLevel="0" collapsed="false">
      <c r="B144" s="11" t="n">
        <f aca="false">_xlfn.NUMBERVALUE(solar!B141)</f>
        <v>0</v>
      </c>
      <c r="C144" s="12" t="n">
        <f aca="false">solar!C141</f>
        <v>0</v>
      </c>
      <c r="D144" s="6" t="n">
        <v>140</v>
      </c>
      <c r="E144" s="17" t="n">
        <f aca="false">IFERROR(INDEX($B$5:$C$173, MATCH($D144, $B$5:$B$175, 0), 2), 0)*investment!$C$4</f>
        <v>0</v>
      </c>
      <c r="F144" s="18" t="n">
        <f aca="false">demand!E142</f>
        <v>0</v>
      </c>
      <c r="G144" s="2" t="n">
        <f aca="false">solgen!E142</f>
        <v>0</v>
      </c>
      <c r="H144" s="2" t="n">
        <f aca="false">import!E142</f>
        <v>0</v>
      </c>
      <c r="I144" s="2" t="n">
        <f aca="false">-export!E142</f>
        <v>-0</v>
      </c>
      <c r="J144" s="2" t="n">
        <f aca="false">-charge!E142</f>
        <v>-0</v>
      </c>
      <c r="K144" s="2" t="n">
        <f aca="false">discharge!E142</f>
        <v>0</v>
      </c>
      <c r="L144" s="2" t="n">
        <f aca="false">soc!E142/investment!$E$4 *100</f>
        <v>0.0409772205298781</v>
      </c>
    </row>
    <row r="145" customFormat="false" ht="13.8" hidden="false" customHeight="false" outlineLevel="0" collapsed="false">
      <c r="B145" s="11" t="n">
        <f aca="false">_xlfn.NUMBERVALUE(solar!B142)</f>
        <v>0</v>
      </c>
      <c r="C145" s="12" t="n">
        <f aca="false">solar!C142</f>
        <v>0</v>
      </c>
      <c r="D145" s="6" t="n">
        <v>141</v>
      </c>
      <c r="E145" s="17" t="n">
        <f aca="false">IFERROR(INDEX($B$5:$C$173, MATCH($D145, $B$5:$B$175, 0), 2), 0)*investment!$C$4</f>
        <v>0</v>
      </c>
      <c r="F145" s="18" t="n">
        <f aca="false">demand!E143</f>
        <v>0</v>
      </c>
      <c r="G145" s="2" t="n">
        <f aca="false">solgen!E143</f>
        <v>0</v>
      </c>
      <c r="H145" s="2" t="n">
        <f aca="false">import!E143</f>
        <v>0</v>
      </c>
      <c r="I145" s="2" t="n">
        <f aca="false">-export!E143</f>
        <v>-0</v>
      </c>
      <c r="J145" s="2" t="n">
        <f aca="false">-charge!E143</f>
        <v>-0</v>
      </c>
      <c r="K145" s="2" t="n">
        <f aca="false">discharge!E143</f>
        <v>0</v>
      </c>
      <c r="L145" s="2" t="n">
        <f aca="false">soc!E143/investment!$E$4 *100</f>
        <v>0.0776532418315883</v>
      </c>
    </row>
    <row r="146" customFormat="false" ht="13.8" hidden="false" customHeight="false" outlineLevel="0" collapsed="false">
      <c r="B146" s="11" t="n">
        <f aca="false">_xlfn.NUMBERVALUE(solar!B143)</f>
        <v>0</v>
      </c>
      <c r="C146" s="12" t="n">
        <f aca="false">solar!C143</f>
        <v>0</v>
      </c>
      <c r="D146" s="6" t="n">
        <v>142</v>
      </c>
      <c r="E146" s="17" t="n">
        <f aca="false">IFERROR(INDEX($B$5:$C$173, MATCH($D146, $B$5:$B$175, 0), 2), 0)*investment!$C$4</f>
        <v>0</v>
      </c>
      <c r="F146" s="18" t="n">
        <f aca="false">demand!E144</f>
        <v>0</v>
      </c>
      <c r="G146" s="2" t="n">
        <f aca="false">solgen!E144</f>
        <v>0</v>
      </c>
      <c r="H146" s="2" t="n">
        <f aca="false">import!E144</f>
        <v>0</v>
      </c>
      <c r="I146" s="2" t="n">
        <f aca="false">-export!E144</f>
        <v>-0</v>
      </c>
      <c r="J146" s="2" t="n">
        <f aca="false">-charge!E144</f>
        <v>-0</v>
      </c>
      <c r="K146" s="2" t="n">
        <f aca="false">discharge!E144</f>
        <v>0</v>
      </c>
      <c r="L146" s="2" t="n">
        <f aca="false">soc!E144/investment!$E$4 *100</f>
        <v>0.21473542319966</v>
      </c>
    </row>
    <row r="147" customFormat="false" ht="13.8" hidden="false" customHeight="false" outlineLevel="0" collapsed="false">
      <c r="B147" s="11" t="n">
        <f aca="false">_xlfn.NUMBERVALUE(solar!B144)</f>
        <v>0</v>
      </c>
      <c r="C147" s="12" t="n">
        <f aca="false">solar!C144</f>
        <v>0</v>
      </c>
      <c r="D147" s="6" t="n">
        <v>143</v>
      </c>
      <c r="E147" s="17" t="n">
        <f aca="false">IFERROR(INDEX($B$5:$C$173, MATCH($D147, $B$5:$B$175, 0), 2), 0)*investment!$C$4</f>
        <v>0</v>
      </c>
      <c r="F147" s="18" t="n">
        <f aca="false">demand!E145</f>
        <v>0</v>
      </c>
      <c r="G147" s="2" t="n">
        <f aca="false">solgen!E145</f>
        <v>0</v>
      </c>
      <c r="H147" s="2" t="n">
        <f aca="false">import!E145</f>
        <v>0</v>
      </c>
      <c r="I147" s="2" t="n">
        <f aca="false">-export!E145</f>
        <v>-0</v>
      </c>
      <c r="J147" s="2" t="n">
        <f aca="false">-charge!E145</f>
        <v>-0</v>
      </c>
      <c r="K147" s="2" t="n">
        <f aca="false">discharge!E145</f>
        <v>0</v>
      </c>
      <c r="L147" s="2" t="n">
        <f aca="false">soc!E145/investment!$E$4 *100</f>
        <v>0.443029975567511</v>
      </c>
    </row>
    <row r="148" customFormat="false" ht="13.8" hidden="false" customHeight="false" outlineLevel="0" collapsed="false">
      <c r="B148" s="11" t="n">
        <f aca="false">_xlfn.NUMBERVALUE(solar!B145)</f>
        <v>0</v>
      </c>
      <c r="C148" s="12" t="n">
        <f aca="false">solar!C145</f>
        <v>0</v>
      </c>
      <c r="D148" s="6" t="n">
        <v>144</v>
      </c>
      <c r="E148" s="17" t="n">
        <f aca="false">IFERROR(INDEX($B$5:$C$173, MATCH($D148, $B$5:$B$175, 0), 2), 0)*investment!$C$4</f>
        <v>0</v>
      </c>
      <c r="F148" s="18" t="n">
        <f aca="false">demand!E146</f>
        <v>0</v>
      </c>
      <c r="G148" s="2" t="n">
        <f aca="false">solgen!E146</f>
        <v>0</v>
      </c>
      <c r="H148" s="2" t="n">
        <f aca="false">import!E146</f>
        <v>0</v>
      </c>
      <c r="I148" s="2" t="n">
        <f aca="false">-export!E146</f>
        <v>-0</v>
      </c>
      <c r="J148" s="2" t="n">
        <f aca="false">-charge!E146</f>
        <v>-0</v>
      </c>
      <c r="K148" s="2" t="n">
        <f aca="false">discharge!E146</f>
        <v>0</v>
      </c>
      <c r="L148" s="2" t="n">
        <f aca="false">soc!E146/investment!$E$4 *100</f>
        <v>0.679229280233918</v>
      </c>
    </row>
    <row r="149" customFormat="false" ht="13.8" hidden="false" customHeight="false" outlineLevel="0" collapsed="false">
      <c r="B149" s="11" t="n">
        <f aca="false">_xlfn.NUMBERVALUE(solar!B146)</f>
        <v>0</v>
      </c>
      <c r="C149" s="12" t="n">
        <f aca="false">solar!C146</f>
        <v>0</v>
      </c>
      <c r="D149" s="6" t="n">
        <v>145</v>
      </c>
      <c r="E149" s="17" t="n">
        <f aca="false">IFERROR(INDEX($B$5:$C$173, MATCH($D149, $B$5:$B$175, 0), 2), 0)*investment!$C$4</f>
        <v>0</v>
      </c>
      <c r="F149" s="18" t="n">
        <f aca="false">demand!E147</f>
        <v>0</v>
      </c>
      <c r="G149" s="2" t="n">
        <f aca="false">solgen!E147</f>
        <v>0</v>
      </c>
      <c r="H149" s="2" t="n">
        <f aca="false">import!E147</f>
        <v>0</v>
      </c>
      <c r="I149" s="2" t="n">
        <f aca="false">-export!E147</f>
        <v>-0</v>
      </c>
      <c r="J149" s="2" t="n">
        <f aca="false">-charge!E147</f>
        <v>-0</v>
      </c>
      <c r="K149" s="2" t="n">
        <f aca="false">discharge!E147</f>
        <v>0</v>
      </c>
      <c r="L149" s="2" t="n">
        <f aca="false">soc!E147/investment!$E$4 *100</f>
        <v>1.62691671311728</v>
      </c>
    </row>
    <row r="150" customFormat="false" ht="13.8" hidden="false" customHeight="false" outlineLevel="0" collapsed="false">
      <c r="B150" s="11" t="n">
        <f aca="false">_xlfn.NUMBERVALUE(solar!B147)</f>
        <v>0</v>
      </c>
      <c r="C150" s="12" t="n">
        <f aca="false">solar!C147</f>
        <v>0</v>
      </c>
      <c r="D150" s="6" t="n">
        <v>146</v>
      </c>
      <c r="E150" s="17" t="n">
        <f aca="false">IFERROR(INDEX($B$5:$C$173, MATCH($D150, $B$5:$B$175, 0), 2), 0)*investment!$C$4</f>
        <v>0</v>
      </c>
      <c r="F150" s="18" t="n">
        <f aca="false">demand!E148</f>
        <v>0</v>
      </c>
      <c r="G150" s="2" t="n">
        <f aca="false">solgen!E148</f>
        <v>0</v>
      </c>
      <c r="H150" s="2" t="n">
        <f aca="false">import!E148</f>
        <v>0</v>
      </c>
      <c r="I150" s="2" t="n">
        <f aca="false">-export!E148</f>
        <v>-0</v>
      </c>
      <c r="J150" s="2" t="n">
        <f aca="false">-charge!E148</f>
        <v>-0</v>
      </c>
      <c r="K150" s="2" t="n">
        <f aca="false">discharge!E148</f>
        <v>0</v>
      </c>
      <c r="L150" s="2" t="n">
        <f aca="false">soc!E148/investment!$E$4 *100</f>
        <v>2.37286958765764</v>
      </c>
    </row>
    <row r="151" customFormat="false" ht="13.8" hidden="false" customHeight="false" outlineLevel="0" collapsed="false">
      <c r="B151" s="11" t="n">
        <f aca="false">_xlfn.NUMBERVALUE(solar!B148)</f>
        <v>0</v>
      </c>
      <c r="C151" s="12" t="n">
        <f aca="false">solar!C148</f>
        <v>0</v>
      </c>
      <c r="D151" s="6" t="n">
        <v>147</v>
      </c>
      <c r="E151" s="17" t="n">
        <f aca="false">IFERROR(INDEX($B$5:$C$173, MATCH($D151, $B$5:$B$175, 0), 2), 0)*investment!$C$4</f>
        <v>0</v>
      </c>
      <c r="F151" s="18" t="n">
        <f aca="false">demand!E149</f>
        <v>0</v>
      </c>
      <c r="G151" s="2" t="n">
        <f aca="false">solgen!E149</f>
        <v>0</v>
      </c>
      <c r="H151" s="2" t="n">
        <f aca="false">import!E149</f>
        <v>0</v>
      </c>
      <c r="I151" s="2" t="n">
        <f aca="false">-export!E149</f>
        <v>-0</v>
      </c>
      <c r="J151" s="2" t="n">
        <f aca="false">-charge!E149</f>
        <v>-0</v>
      </c>
      <c r="K151" s="2" t="n">
        <f aca="false">discharge!E149</f>
        <v>0</v>
      </c>
      <c r="L151" s="2" t="n">
        <f aca="false">soc!E149/investment!$E$4 *100</f>
        <v>3.77493544815336</v>
      </c>
    </row>
    <row r="152" customFormat="false" ht="13.8" hidden="false" customHeight="false" outlineLevel="0" collapsed="false">
      <c r="B152" s="11" t="n">
        <f aca="false">_xlfn.NUMBERVALUE(solar!B149)</f>
        <v>0</v>
      </c>
      <c r="C152" s="12" t="n">
        <f aca="false">solar!C149</f>
        <v>0</v>
      </c>
      <c r="D152" s="6" t="n">
        <v>148</v>
      </c>
      <c r="E152" s="17" t="n">
        <f aca="false">IFERROR(INDEX($B$5:$C$173, MATCH($D152, $B$5:$B$175, 0), 2), 0)*investment!$C$4</f>
        <v>0</v>
      </c>
      <c r="F152" s="18" t="n">
        <f aca="false">demand!E150</f>
        <v>0</v>
      </c>
      <c r="G152" s="2" t="n">
        <f aca="false">solgen!E150</f>
        <v>0</v>
      </c>
      <c r="H152" s="2" t="n">
        <f aca="false">import!E150</f>
        <v>0</v>
      </c>
      <c r="I152" s="2" t="n">
        <f aca="false">-export!E150</f>
        <v>-0</v>
      </c>
      <c r="J152" s="2" t="n">
        <f aca="false">-charge!E150</f>
        <v>-0</v>
      </c>
      <c r="K152" s="2" t="n">
        <f aca="false">discharge!E150</f>
        <v>0</v>
      </c>
      <c r="L152" s="2" t="n">
        <f aca="false">soc!E150/investment!$E$4 *100</f>
        <v>6.61060147926724</v>
      </c>
    </row>
    <row r="153" customFormat="false" ht="13.8" hidden="false" customHeight="false" outlineLevel="0" collapsed="false">
      <c r="B153" s="11" t="n">
        <f aca="false">_xlfn.NUMBERVALUE(solar!B150)</f>
        <v>0</v>
      </c>
      <c r="C153" s="12" t="n">
        <f aca="false">solar!C150</f>
        <v>0</v>
      </c>
      <c r="D153" s="6" t="n">
        <v>149</v>
      </c>
      <c r="E153" s="17" t="n">
        <f aca="false">IFERROR(INDEX($B$5:$C$173, MATCH($D153, $B$5:$B$175, 0), 2), 0)*investment!$C$4</f>
        <v>0</v>
      </c>
      <c r="F153" s="18" t="n">
        <f aca="false">demand!E151</f>
        <v>0</v>
      </c>
      <c r="G153" s="2" t="n">
        <f aca="false">solgen!E151</f>
        <v>0</v>
      </c>
      <c r="H153" s="2" t="n">
        <f aca="false">import!E151</f>
        <v>0</v>
      </c>
      <c r="I153" s="2" t="n">
        <f aca="false">-export!E151</f>
        <v>-0</v>
      </c>
      <c r="J153" s="2" t="n">
        <f aca="false">-charge!E151</f>
        <v>-0</v>
      </c>
      <c r="K153" s="2" t="n">
        <f aca="false">discharge!E151</f>
        <v>0</v>
      </c>
      <c r="L153" s="2" t="n">
        <f aca="false">soc!E151/investment!$E$4 *100</f>
        <v>13.2566941598044</v>
      </c>
    </row>
    <row r="154" customFormat="false" ht="13.8" hidden="false" customHeight="false" outlineLevel="0" collapsed="false">
      <c r="B154" s="11" t="n">
        <f aca="false">_xlfn.NUMBERVALUE(solar!B151)</f>
        <v>0</v>
      </c>
      <c r="C154" s="12" t="n">
        <f aca="false">solar!C151</f>
        <v>0</v>
      </c>
      <c r="D154" s="6" t="n">
        <v>150</v>
      </c>
      <c r="E154" s="17" t="n">
        <f aca="false">IFERROR(INDEX($B$5:$C$173, MATCH($D154, $B$5:$B$175, 0), 2), 0)*investment!$C$4</f>
        <v>0</v>
      </c>
      <c r="F154" s="18" t="n">
        <f aca="false">demand!E152</f>
        <v>0</v>
      </c>
      <c r="G154" s="2" t="n">
        <f aca="false">solgen!E152</f>
        <v>0</v>
      </c>
      <c r="H154" s="2" t="n">
        <f aca="false">import!E152</f>
        <v>0</v>
      </c>
      <c r="I154" s="2" t="n">
        <f aca="false">-export!E152</f>
        <v>-0</v>
      </c>
      <c r="J154" s="2" t="n">
        <f aca="false">-charge!E152</f>
        <v>-0</v>
      </c>
      <c r="K154" s="2" t="n">
        <f aca="false">discharge!E152</f>
        <v>0</v>
      </c>
      <c r="L154" s="2" t="n">
        <f aca="false">soc!E152/investment!$E$4 *100</f>
        <v>19.7327919018643</v>
      </c>
    </row>
    <row r="155" customFormat="false" ht="13.8" hidden="false" customHeight="false" outlineLevel="0" collapsed="false">
      <c r="B155" s="11" t="n">
        <f aca="false">_xlfn.NUMBERVALUE(solar!B152)</f>
        <v>0</v>
      </c>
      <c r="C155" s="12" t="n">
        <f aca="false">solar!C152</f>
        <v>0</v>
      </c>
      <c r="D155" s="6" t="n">
        <v>151</v>
      </c>
      <c r="E155" s="17" t="n">
        <f aca="false">IFERROR(INDEX($B$5:$C$173, MATCH($D155, $B$5:$B$175, 0), 2), 0)*investment!$C$4</f>
        <v>0</v>
      </c>
      <c r="F155" s="18" t="n">
        <f aca="false">demand!E153</f>
        <v>0</v>
      </c>
      <c r="G155" s="2" t="n">
        <f aca="false">solgen!E153</f>
        <v>0</v>
      </c>
      <c r="H155" s="2" t="n">
        <f aca="false">import!E153</f>
        <v>0</v>
      </c>
      <c r="I155" s="2" t="n">
        <f aca="false">-export!E153</f>
        <v>-0</v>
      </c>
      <c r="J155" s="2" t="n">
        <f aca="false">-charge!E153</f>
        <v>-0</v>
      </c>
      <c r="K155" s="2" t="n">
        <f aca="false">discharge!E153</f>
        <v>0</v>
      </c>
      <c r="L155" s="2" t="n">
        <f aca="false">soc!E153/investment!$E$4 *100</f>
        <v>27.5721520330085</v>
      </c>
    </row>
    <row r="156" customFormat="false" ht="13.8" hidden="false" customHeight="false" outlineLevel="0" collapsed="false">
      <c r="B156" s="11" t="n">
        <f aca="false">_xlfn.NUMBERVALUE(solar!B153)</f>
        <v>0</v>
      </c>
      <c r="C156" s="12" t="n">
        <f aca="false">solar!C153</f>
        <v>0</v>
      </c>
      <c r="D156" s="6" t="n">
        <v>152</v>
      </c>
      <c r="E156" s="17" t="n">
        <f aca="false">IFERROR(INDEX($B$5:$C$173, MATCH($D156, $B$5:$B$175, 0), 2), 0)*investment!$C$4</f>
        <v>0</v>
      </c>
      <c r="F156" s="18" t="n">
        <f aca="false">demand!E154</f>
        <v>0</v>
      </c>
      <c r="G156" s="2" t="n">
        <f aca="false">solgen!E154</f>
        <v>0</v>
      </c>
      <c r="H156" s="2" t="n">
        <f aca="false">import!E154</f>
        <v>0</v>
      </c>
      <c r="I156" s="2" t="n">
        <f aca="false">-export!E154</f>
        <v>-0</v>
      </c>
      <c r="J156" s="2" t="n">
        <f aca="false">-charge!E154</f>
        <v>-0</v>
      </c>
      <c r="K156" s="2" t="n">
        <f aca="false">discharge!E154</f>
        <v>0</v>
      </c>
      <c r="L156" s="2" t="n">
        <f aca="false">soc!E154/investment!$E$4 *100</f>
        <v>34.9419915781498</v>
      </c>
    </row>
    <row r="157" customFormat="false" ht="13.8" hidden="false" customHeight="false" outlineLevel="0" collapsed="false">
      <c r="B157" s="11" t="n">
        <f aca="false">_xlfn.NUMBERVALUE(solar!B154)</f>
        <v>0</v>
      </c>
      <c r="C157" s="12" t="n">
        <f aca="false">solar!C154</f>
        <v>0</v>
      </c>
      <c r="D157" s="6" t="n">
        <v>153</v>
      </c>
      <c r="E157" s="17" t="n">
        <f aca="false">IFERROR(INDEX($B$5:$C$173, MATCH($D157, $B$5:$B$175, 0), 2), 0)*investment!$C$4</f>
        <v>0</v>
      </c>
      <c r="F157" s="18" t="n">
        <f aca="false">demand!E155</f>
        <v>0</v>
      </c>
      <c r="G157" s="2" t="n">
        <f aca="false">solgen!E155</f>
        <v>0</v>
      </c>
      <c r="H157" s="2" t="n">
        <f aca="false">import!E155</f>
        <v>0</v>
      </c>
      <c r="I157" s="2" t="n">
        <f aca="false">-export!E155</f>
        <v>-0</v>
      </c>
      <c r="J157" s="2" t="n">
        <f aca="false">-charge!E155</f>
        <v>-0</v>
      </c>
      <c r="K157" s="2" t="n">
        <f aca="false">discharge!E155</f>
        <v>0</v>
      </c>
      <c r="L157" s="2" t="n">
        <f aca="false">soc!E155/investment!$E$4 *100</f>
        <v>42.1345795025095</v>
      </c>
    </row>
    <row r="158" customFormat="false" ht="13.8" hidden="false" customHeight="false" outlineLevel="0" collapsed="false">
      <c r="B158" s="11" t="n">
        <f aca="false">_xlfn.NUMBERVALUE(solar!B155)</f>
        <v>0</v>
      </c>
      <c r="C158" s="12" t="n">
        <f aca="false">solar!C155</f>
        <v>0</v>
      </c>
      <c r="D158" s="6" t="n">
        <v>154</v>
      </c>
      <c r="E158" s="17" t="n">
        <f aca="false">IFERROR(INDEX($B$5:$C$173, MATCH($D158, $B$5:$B$175, 0), 2), 0)*investment!$C$4</f>
        <v>0</v>
      </c>
      <c r="F158" s="18" t="n">
        <f aca="false">demand!E156</f>
        <v>0</v>
      </c>
      <c r="G158" s="2" t="n">
        <f aca="false">solgen!E156</f>
        <v>0</v>
      </c>
      <c r="H158" s="2" t="n">
        <f aca="false">import!E156</f>
        <v>0</v>
      </c>
      <c r="I158" s="2" t="n">
        <f aca="false">-export!E156</f>
        <v>-0</v>
      </c>
      <c r="J158" s="2" t="n">
        <f aca="false">-charge!E156</f>
        <v>-0</v>
      </c>
      <c r="K158" s="2" t="n">
        <f aca="false">discharge!E156</f>
        <v>0</v>
      </c>
      <c r="L158" s="2" t="n">
        <f aca="false">soc!E156/investment!$E$4 *100</f>
        <v>48.9475394371568</v>
      </c>
    </row>
    <row r="159" customFormat="false" ht="13.8" hidden="false" customHeight="false" outlineLevel="0" collapsed="false">
      <c r="B159" s="11" t="n">
        <f aca="false">_xlfn.NUMBERVALUE(solar!B156)</f>
        <v>0</v>
      </c>
      <c r="C159" s="12" t="n">
        <f aca="false">solar!C156</f>
        <v>0</v>
      </c>
      <c r="D159" s="6" t="n">
        <v>155</v>
      </c>
      <c r="E159" s="17" t="n">
        <f aca="false">IFERROR(INDEX($B$5:$C$173, MATCH($D159, $B$5:$B$175, 0), 2), 0)*investment!$C$4</f>
        <v>0</v>
      </c>
      <c r="F159" s="18" t="n">
        <f aca="false">demand!E157</f>
        <v>0</v>
      </c>
      <c r="G159" s="2" t="n">
        <f aca="false">solgen!E157</f>
        <v>0</v>
      </c>
      <c r="H159" s="2" t="n">
        <f aca="false">import!E157</f>
        <v>0</v>
      </c>
      <c r="I159" s="2" t="n">
        <f aca="false">-export!E157</f>
        <v>-0</v>
      </c>
      <c r="J159" s="2" t="n">
        <f aca="false">-charge!E157</f>
        <v>-0</v>
      </c>
      <c r="K159" s="2" t="n">
        <f aca="false">discharge!E157</f>
        <v>0</v>
      </c>
      <c r="L159" s="2" t="n">
        <f aca="false">soc!E157/investment!$E$4 *100</f>
        <v>54.6859850716817</v>
      </c>
    </row>
    <row r="160" customFormat="false" ht="13.8" hidden="false" customHeight="false" outlineLevel="0" collapsed="false">
      <c r="B160" s="11" t="n">
        <f aca="false">_xlfn.NUMBERVALUE(solar!B157)</f>
        <v>0</v>
      </c>
      <c r="C160" s="12" t="n">
        <f aca="false">solar!C157</f>
        <v>0</v>
      </c>
      <c r="D160" s="6" t="n">
        <v>156</v>
      </c>
      <c r="E160" s="17" t="n">
        <f aca="false">IFERROR(INDEX($B$5:$C$173, MATCH($D160, $B$5:$B$175, 0), 2), 0)*investment!$C$4</f>
        <v>0</v>
      </c>
      <c r="F160" s="18" t="n">
        <f aca="false">demand!E158</f>
        <v>0</v>
      </c>
      <c r="G160" s="2" t="n">
        <f aca="false">solgen!E158</f>
        <v>0</v>
      </c>
      <c r="H160" s="2" t="n">
        <f aca="false">import!E158</f>
        <v>0</v>
      </c>
      <c r="I160" s="2" t="n">
        <f aca="false">-export!E158</f>
        <v>-0</v>
      </c>
      <c r="J160" s="2" t="n">
        <f aca="false">-charge!E158</f>
        <v>-0</v>
      </c>
      <c r="K160" s="2" t="n">
        <f aca="false">discharge!E158</f>
        <v>0</v>
      </c>
      <c r="L160" s="2" t="n">
        <f aca="false">soc!E158/investment!$E$4 *100</f>
        <v>60.200600410424</v>
      </c>
    </row>
    <row r="161" customFormat="false" ht="13.8" hidden="false" customHeight="false" outlineLevel="0" collapsed="false">
      <c r="B161" s="11" t="n">
        <f aca="false">_xlfn.NUMBERVALUE(solar!B158)</f>
        <v>0</v>
      </c>
      <c r="C161" s="12" t="n">
        <f aca="false">solar!C158</f>
        <v>0</v>
      </c>
      <c r="D161" s="6" t="n">
        <v>157</v>
      </c>
      <c r="E161" s="17" t="n">
        <f aca="false">IFERROR(INDEX($B$5:$C$173, MATCH($D161, $B$5:$B$175, 0), 2), 0)*investment!$C$4</f>
        <v>0</v>
      </c>
      <c r="F161" s="18" t="n">
        <f aca="false">demand!E159</f>
        <v>0</v>
      </c>
      <c r="G161" s="2" t="n">
        <f aca="false">solgen!E159</f>
        <v>0</v>
      </c>
      <c r="H161" s="2" t="n">
        <f aca="false">import!E159</f>
        <v>0</v>
      </c>
      <c r="I161" s="2" t="n">
        <f aca="false">-export!E159</f>
        <v>-0</v>
      </c>
      <c r="J161" s="2" t="n">
        <f aca="false">-charge!E159</f>
        <v>-0</v>
      </c>
      <c r="K161" s="2" t="n">
        <f aca="false">discharge!E159</f>
        <v>0</v>
      </c>
      <c r="L161" s="2" t="n">
        <f aca="false">soc!E159/investment!$E$4 *100</f>
        <v>64.7629924550581</v>
      </c>
    </row>
    <row r="162" customFormat="false" ht="13.8" hidden="false" customHeight="false" outlineLevel="0" collapsed="false">
      <c r="B162" s="11" t="n">
        <f aca="false">_xlfn.NUMBERVALUE(solar!B159)</f>
        <v>0</v>
      </c>
      <c r="C162" s="12" t="n">
        <f aca="false">solar!C159</f>
        <v>0</v>
      </c>
      <c r="D162" s="6" t="n">
        <v>158</v>
      </c>
      <c r="E162" s="17" t="n">
        <f aca="false">IFERROR(INDEX($B$5:$C$173, MATCH($D162, $B$5:$B$175, 0), 2), 0)*investment!$C$4</f>
        <v>0</v>
      </c>
      <c r="F162" s="18" t="n">
        <f aca="false">demand!E160</f>
        <v>0</v>
      </c>
      <c r="G162" s="2" t="n">
        <f aca="false">solgen!E160</f>
        <v>0</v>
      </c>
      <c r="H162" s="2" t="n">
        <f aca="false">import!E160</f>
        <v>0</v>
      </c>
      <c r="I162" s="2" t="n">
        <f aca="false">-export!E160</f>
        <v>-0</v>
      </c>
      <c r="J162" s="2" t="n">
        <f aca="false">-charge!E160</f>
        <v>-0</v>
      </c>
      <c r="K162" s="2" t="n">
        <f aca="false">discharge!E160</f>
        <v>0</v>
      </c>
      <c r="L162" s="2" t="n">
        <f aca="false">soc!E160/investment!$E$4 *100</f>
        <v>69.3616944240508</v>
      </c>
    </row>
    <row r="163" customFormat="false" ht="13.8" hidden="false" customHeight="false" outlineLevel="0" collapsed="false">
      <c r="B163" s="11" t="n">
        <f aca="false">_xlfn.NUMBERVALUE(solar!B160)</f>
        <v>0</v>
      </c>
      <c r="C163" s="12" t="n">
        <f aca="false">solar!C160</f>
        <v>0</v>
      </c>
      <c r="D163" s="6" t="n">
        <v>159</v>
      </c>
      <c r="E163" s="17" t="n">
        <f aca="false">IFERROR(INDEX($B$5:$C$173, MATCH($D163, $B$5:$B$175, 0), 2), 0)*investment!$C$4</f>
        <v>0</v>
      </c>
      <c r="F163" s="18" t="n">
        <f aca="false">demand!E161</f>
        <v>0</v>
      </c>
      <c r="G163" s="2" t="n">
        <f aca="false">solgen!E161</f>
        <v>0</v>
      </c>
      <c r="H163" s="2" t="n">
        <f aca="false">import!E161</f>
        <v>0</v>
      </c>
      <c r="I163" s="2" t="n">
        <f aca="false">-export!E161</f>
        <v>-0</v>
      </c>
      <c r="J163" s="2" t="n">
        <f aca="false">-charge!E161</f>
        <v>-0</v>
      </c>
      <c r="K163" s="2" t="n">
        <f aca="false">discharge!E161</f>
        <v>0</v>
      </c>
      <c r="L163" s="2" t="n">
        <f aca="false">soc!E161/investment!$E$4 *100</f>
        <v>73.6404634926247</v>
      </c>
    </row>
    <row r="164" customFormat="false" ht="13.8" hidden="false" customHeight="false" outlineLevel="0" collapsed="false">
      <c r="B164" s="11" t="n">
        <f aca="false">_xlfn.NUMBERVALUE(solar!B161)</f>
        <v>0</v>
      </c>
      <c r="C164" s="12" t="n">
        <f aca="false">solar!C161</f>
        <v>0</v>
      </c>
      <c r="D164" s="6" t="n">
        <v>160</v>
      </c>
      <c r="E164" s="17" t="n">
        <f aca="false">IFERROR(INDEX($B$5:$C$173, MATCH($D164, $B$5:$B$175, 0), 2), 0)*investment!$C$4</f>
        <v>0</v>
      </c>
      <c r="F164" s="18" t="n">
        <f aca="false">demand!E162</f>
        <v>0</v>
      </c>
      <c r="G164" s="2" t="n">
        <f aca="false">solgen!E162</f>
        <v>0</v>
      </c>
      <c r="H164" s="2" t="n">
        <f aca="false">import!E162</f>
        <v>0</v>
      </c>
      <c r="I164" s="2" t="n">
        <f aca="false">-export!E162</f>
        <v>-0</v>
      </c>
      <c r="J164" s="2" t="n">
        <f aca="false">-charge!E162</f>
        <v>-0</v>
      </c>
      <c r="K164" s="2" t="n">
        <f aca="false">discharge!E162</f>
        <v>0</v>
      </c>
      <c r="L164" s="2" t="n">
        <f aca="false">soc!E162/investment!$E$4 *100</f>
        <v>76.9948983538322</v>
      </c>
    </row>
    <row r="165" customFormat="false" ht="13.8" hidden="false" customHeight="false" outlineLevel="0" collapsed="false">
      <c r="B165" s="11" t="n">
        <f aca="false">_xlfn.NUMBERVALUE(solar!B162)</f>
        <v>0</v>
      </c>
      <c r="C165" s="12" t="n">
        <f aca="false">solar!C162</f>
        <v>0</v>
      </c>
      <c r="D165" s="6" t="n">
        <v>161</v>
      </c>
      <c r="E165" s="17" t="n">
        <f aca="false">IFERROR(INDEX($B$5:$C$173, MATCH($D165, $B$5:$B$175, 0), 2), 0)*investment!$C$4</f>
        <v>0</v>
      </c>
      <c r="F165" s="18" t="n">
        <f aca="false">demand!E163</f>
        <v>0</v>
      </c>
      <c r="G165" s="2" t="n">
        <f aca="false">solgen!E163</f>
        <v>0</v>
      </c>
      <c r="H165" s="2" t="n">
        <f aca="false">import!E163</f>
        <v>0</v>
      </c>
      <c r="I165" s="2" t="n">
        <f aca="false">-export!E163</f>
        <v>-0</v>
      </c>
      <c r="J165" s="2" t="n">
        <f aca="false">-charge!E163</f>
        <v>-0</v>
      </c>
      <c r="K165" s="2" t="n">
        <f aca="false">discharge!E163</f>
        <v>0</v>
      </c>
      <c r="L165" s="2" t="n">
        <f aca="false">soc!E163/investment!$E$4 *100</f>
        <v>79.9629703713456</v>
      </c>
    </row>
    <row r="166" customFormat="false" ht="13.8" hidden="false" customHeight="false" outlineLevel="0" collapsed="false">
      <c r="B166" s="11" t="n">
        <f aca="false">_xlfn.NUMBERVALUE(solar!B163)</f>
        <v>0</v>
      </c>
      <c r="C166" s="12" t="n">
        <f aca="false">solar!C163</f>
        <v>0</v>
      </c>
      <c r="D166" s="6" t="n">
        <v>162</v>
      </c>
      <c r="E166" s="17" t="n">
        <f aca="false">IFERROR(INDEX($B$5:$C$173, MATCH($D166, $B$5:$B$175, 0), 2), 0)*investment!$C$4</f>
        <v>0</v>
      </c>
      <c r="F166" s="18" t="n">
        <f aca="false">demand!E164</f>
        <v>0</v>
      </c>
      <c r="G166" s="2" t="n">
        <f aca="false">solgen!E164</f>
        <v>0</v>
      </c>
      <c r="H166" s="2" t="n">
        <f aca="false">import!E164</f>
        <v>0</v>
      </c>
      <c r="I166" s="2" t="n">
        <f aca="false">-export!E164</f>
        <v>-0</v>
      </c>
      <c r="J166" s="2" t="n">
        <f aca="false">-charge!E164</f>
        <v>-0</v>
      </c>
      <c r="K166" s="2" t="n">
        <f aca="false">discharge!E164</f>
        <v>0</v>
      </c>
      <c r="L166" s="2" t="n">
        <f aca="false">soc!E164/investment!$E$4 *100</f>
        <v>80.9654821015344</v>
      </c>
    </row>
    <row r="167" customFormat="false" ht="13.8" hidden="false" customHeight="false" outlineLevel="0" collapsed="false">
      <c r="B167" s="11" t="n">
        <f aca="false">_xlfn.NUMBERVALUE(solar!B164)</f>
        <v>0</v>
      </c>
      <c r="C167" s="12" t="n">
        <f aca="false">solar!C164</f>
        <v>0</v>
      </c>
      <c r="D167" s="6" t="n">
        <v>163</v>
      </c>
      <c r="E167" s="17" t="n">
        <f aca="false">IFERROR(INDEX($B$5:$C$173, MATCH($D167, $B$5:$B$175, 0), 2), 0)*investment!$C$4</f>
        <v>0</v>
      </c>
      <c r="F167" s="18" t="n">
        <f aca="false">demand!E165</f>
        <v>0</v>
      </c>
      <c r="G167" s="2" t="n">
        <f aca="false">solgen!E165</f>
        <v>0</v>
      </c>
      <c r="H167" s="2" t="n">
        <f aca="false">import!E165</f>
        <v>0</v>
      </c>
      <c r="I167" s="2" t="n">
        <f aca="false">-export!E165</f>
        <v>-0</v>
      </c>
      <c r="J167" s="2" t="n">
        <f aca="false">-charge!E165</f>
        <v>-0</v>
      </c>
      <c r="K167" s="2" t="n">
        <f aca="false">discharge!E165</f>
        <v>0</v>
      </c>
      <c r="L167" s="2" t="n">
        <f aca="false">soc!E165/investment!$E$4 *100</f>
        <v>81.5861991038586</v>
      </c>
    </row>
    <row r="168" customFormat="false" ht="13.8" hidden="false" customHeight="false" outlineLevel="0" collapsed="false">
      <c r="B168" s="11" t="n">
        <f aca="false">_xlfn.NUMBERVALUE(solar!B165)</f>
        <v>0</v>
      </c>
      <c r="C168" s="12" t="n">
        <f aca="false">solar!C165</f>
        <v>0</v>
      </c>
      <c r="D168" s="6" t="n">
        <v>164</v>
      </c>
      <c r="E168" s="17" t="n">
        <f aca="false">IFERROR(INDEX($B$5:$C$173, MATCH($D168, $B$5:$B$175, 0), 2), 0)*investment!$C$4</f>
        <v>0</v>
      </c>
      <c r="F168" s="18" t="n">
        <f aca="false">demand!E166</f>
        <v>0</v>
      </c>
      <c r="G168" s="2" t="n">
        <f aca="false">solgen!E166</f>
        <v>0</v>
      </c>
      <c r="H168" s="2" t="n">
        <f aca="false">import!E166</f>
        <v>0</v>
      </c>
      <c r="I168" s="2" t="n">
        <f aca="false">-export!E166</f>
        <v>-0</v>
      </c>
      <c r="J168" s="2" t="n">
        <f aca="false">-charge!E166</f>
        <v>-0</v>
      </c>
      <c r="K168" s="2" t="n">
        <f aca="false">discharge!E166</f>
        <v>0</v>
      </c>
      <c r="L168" s="2" t="n">
        <f aca="false">soc!E166/investment!$E$4 *100</f>
        <v>81.2104045989642</v>
      </c>
    </row>
    <row r="169" customFormat="false" ht="13.8" hidden="false" customHeight="false" outlineLevel="0" collapsed="false">
      <c r="B169" s="11" t="n">
        <f aca="false">_xlfn.NUMBERVALUE(solar!B166)</f>
        <v>0</v>
      </c>
      <c r="C169" s="12" t="n">
        <f aca="false">solar!C166</f>
        <v>0</v>
      </c>
      <c r="D169" s="6" t="n">
        <v>165</v>
      </c>
      <c r="E169" s="17" t="n">
        <f aca="false">IFERROR(INDEX($B$5:$C$173, MATCH($D169, $B$5:$B$175, 0), 2), 0)*investment!$C$4</f>
        <v>0</v>
      </c>
      <c r="F169" s="18" t="n">
        <f aca="false">demand!E167</f>
        <v>0</v>
      </c>
      <c r="G169" s="2" t="n">
        <f aca="false">solgen!E167</f>
        <v>0</v>
      </c>
      <c r="H169" s="2" t="n">
        <f aca="false">import!E167</f>
        <v>0</v>
      </c>
      <c r="I169" s="2" t="n">
        <f aca="false">-export!E167</f>
        <v>-0</v>
      </c>
      <c r="J169" s="2" t="n">
        <f aca="false">-charge!E167</f>
        <v>-0</v>
      </c>
      <c r="K169" s="2" t="n">
        <f aca="false">discharge!E167</f>
        <v>0</v>
      </c>
      <c r="L169" s="2" t="n">
        <f aca="false">soc!E167/investment!$E$4 *100</f>
        <v>81.4895173371918</v>
      </c>
    </row>
    <row r="170" customFormat="false" ht="13.8" hidden="false" customHeight="false" outlineLevel="0" collapsed="false">
      <c r="B170" s="11" t="n">
        <f aca="false">_xlfn.NUMBERVALUE(solar!B167)</f>
        <v>0</v>
      </c>
      <c r="C170" s="12" t="n">
        <f aca="false">solar!C167</f>
        <v>0</v>
      </c>
      <c r="D170" s="6" t="n">
        <v>166</v>
      </c>
      <c r="E170" s="17" t="n">
        <f aca="false">IFERROR(INDEX($B$5:$C$173, MATCH($D170, $B$5:$B$175, 0), 2), 0)*investment!$C$4</f>
        <v>0</v>
      </c>
      <c r="F170" s="18" t="n">
        <f aca="false">demand!E168</f>
        <v>0</v>
      </c>
      <c r="G170" s="2" t="n">
        <f aca="false">solgen!E168</f>
        <v>0</v>
      </c>
      <c r="H170" s="2" t="n">
        <f aca="false">import!E168</f>
        <v>0</v>
      </c>
      <c r="I170" s="2" t="n">
        <f aca="false">-export!E168</f>
        <v>-0</v>
      </c>
      <c r="J170" s="2" t="n">
        <f aca="false">-charge!E168</f>
        <v>-0</v>
      </c>
      <c r="K170" s="2" t="n">
        <f aca="false">discharge!E168</f>
        <v>0</v>
      </c>
      <c r="L170" s="2" t="n">
        <f aca="false">soc!E168/investment!$E$4 *100</f>
        <v>81.4368290922317</v>
      </c>
    </row>
    <row r="171" customFormat="false" ht="13.8" hidden="false" customHeight="false" outlineLevel="0" collapsed="false">
      <c r="B171" s="11" t="n">
        <f aca="false">_xlfn.NUMBERVALUE(solar!B168)</f>
        <v>0</v>
      </c>
      <c r="C171" s="12" t="n">
        <f aca="false">solar!C168</f>
        <v>0</v>
      </c>
      <c r="D171" s="6" t="n">
        <v>167</v>
      </c>
      <c r="E171" s="17" t="n">
        <f aca="false">IFERROR(INDEX($B$5:$C$173, MATCH($D171, $B$5:$B$175, 0), 2), 0)*investment!$C$4</f>
        <v>0</v>
      </c>
      <c r="F171" s="18" t="n">
        <f aca="false">demand!E169</f>
        <v>0</v>
      </c>
      <c r="G171" s="2" t="n">
        <f aca="false">solgen!E169</f>
        <v>0</v>
      </c>
      <c r="H171" s="2" t="n">
        <f aca="false">import!E169</f>
        <v>0</v>
      </c>
      <c r="I171" s="2" t="n">
        <f aca="false">-export!E169</f>
        <v>-0</v>
      </c>
      <c r="J171" s="2" t="n">
        <f aca="false">-charge!E169</f>
        <v>-0</v>
      </c>
      <c r="K171" s="2" t="n">
        <f aca="false">discharge!E169</f>
        <v>0</v>
      </c>
      <c r="L171" s="2" t="n">
        <f aca="false">soc!E169/investment!$E$4 *100</f>
        <v>81.1516482836653</v>
      </c>
    </row>
    <row r="172" customFormat="false" ht="13.8" hidden="false" customHeight="false" outlineLevel="0" collapsed="false">
      <c r="B172" s="11" t="n">
        <f aca="false">_xlfn.NUMBERVALUE(solar!B169)</f>
        <v>0</v>
      </c>
      <c r="C172" s="12" t="n">
        <f aca="false">solar!C169</f>
        <v>0</v>
      </c>
      <c r="D172" s="6" t="n">
        <v>168</v>
      </c>
      <c r="E172" s="17" t="n">
        <f aca="false">IFERROR(INDEX($B$5:$C$173, MATCH($D172, $B$5:$B$175, 0), 2), 0)*investment!$C$4</f>
        <v>0</v>
      </c>
      <c r="F172" s="18" t="n">
        <f aca="false">demand!E170</f>
        <v>0</v>
      </c>
      <c r="G172" s="2" t="n">
        <f aca="false">solgen!E170</f>
        <v>0</v>
      </c>
      <c r="H172" s="2" t="n">
        <f aca="false">import!E170</f>
        <v>0</v>
      </c>
      <c r="I172" s="2" t="n">
        <f aca="false">-export!E170</f>
        <v>-0</v>
      </c>
      <c r="J172" s="2" t="n">
        <f aca="false">-charge!E170</f>
        <v>-0</v>
      </c>
      <c r="K172" s="2" t="n">
        <f aca="false">discharge!E170</f>
        <v>0</v>
      </c>
      <c r="L172" s="2" t="n">
        <f aca="false">soc!E170/investment!$E$4 *100</f>
        <v>79.7884879651538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8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AH2" activeCellId="0" sqref="AH2"/>
    </sheetView>
  </sheetViews>
  <sheetFormatPr defaultColWidth="8.5429687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19" t="s">
        <v>19</v>
      </c>
    </row>
    <row r="3" customFormat="false" ht="13.8" hidden="false" customHeight="false" outlineLevel="0" collapsed="false">
      <c r="B3" s="19" t="s">
        <v>20</v>
      </c>
    </row>
    <row r="4" customFormat="false" ht="13.8" hidden="false" customHeight="false" outlineLevel="0" collapsed="false">
      <c r="B4" s="20" t="s">
        <v>21</v>
      </c>
    </row>
    <row r="5" customFormat="false" ht="13.8" hidden="false" customHeight="false" outlineLevel="0" collapsed="false">
      <c r="B5" s="21" t="s">
        <v>22</v>
      </c>
    </row>
    <row r="6" customFormat="false" ht="13.8" hidden="false" customHeight="false" outlineLevel="0" collapsed="false">
      <c r="B6" s="21" t="s">
        <v>23</v>
      </c>
    </row>
    <row r="7" customFormat="false" ht="13.8" hidden="false" customHeight="false" outlineLevel="0" collapsed="false">
      <c r="B7" s="21" t="s">
        <v>24</v>
      </c>
    </row>
    <row r="8" customFormat="false" ht="13.8" hidden="false" customHeight="false" outlineLevel="0" collapsed="false">
      <c r="B8" s="19" t="s">
        <v>25</v>
      </c>
    </row>
    <row r="9" customFormat="false" ht="13.8" hidden="false" customHeight="false" outlineLevel="0" collapsed="false">
      <c r="B9" s="19" t="s">
        <v>26</v>
      </c>
    </row>
    <row r="10" customFormat="false" ht="13.8" hidden="false" customHeight="false" outlineLevel="0" collapsed="false">
      <c r="B10" s="20" t="s">
        <v>27</v>
      </c>
    </row>
    <row r="11" customFormat="false" ht="13.8" hidden="false" customHeight="false" outlineLevel="0" collapsed="false">
      <c r="B11" s="21" t="s">
        <v>28</v>
      </c>
    </row>
    <row r="12" customFormat="false" ht="13.8" hidden="false" customHeight="false" outlineLevel="0" collapsed="false">
      <c r="B12" s="21" t="s">
        <v>29</v>
      </c>
    </row>
    <row r="13" customFormat="false" ht="13.8" hidden="false" customHeight="false" outlineLevel="0" collapsed="false">
      <c r="B13" s="21" t="s">
        <v>24</v>
      </c>
    </row>
    <row r="14" customFormat="false" ht="13.8" hidden="false" customHeight="false" outlineLevel="0" collapsed="false">
      <c r="B14" s="20" t="s">
        <v>30</v>
      </c>
    </row>
    <row r="15" customFormat="false" ht="13.8" hidden="false" customHeight="false" outlineLevel="0" collapsed="false">
      <c r="B15" s="20" t="s">
        <v>31</v>
      </c>
    </row>
    <row r="16" customFormat="false" ht="13.8" hidden="false" customHeight="false" outlineLevel="0" collapsed="false">
      <c r="B16" s="20" t="s">
        <v>32</v>
      </c>
    </row>
    <row r="17" customFormat="false" ht="13.8" hidden="false" customHeight="false" outlineLevel="0" collapsed="false">
      <c r="B17" s="20" t="s">
        <v>33</v>
      </c>
    </row>
    <row r="18" customFormat="false" ht="13.8" hidden="false" customHeight="false" outlineLevel="0" collapsed="false">
      <c r="B18" s="20" t="s">
        <v>34</v>
      </c>
    </row>
    <row r="19" customFormat="false" ht="13.8" hidden="false" customHeight="false" outlineLevel="0" collapsed="false">
      <c r="B19" s="20" t="s">
        <v>35</v>
      </c>
    </row>
    <row r="20" customFormat="false" ht="13.8" hidden="false" customHeight="false" outlineLevel="0" collapsed="false">
      <c r="B20" s="20" t="s">
        <v>36</v>
      </c>
    </row>
    <row r="21" customFormat="false" ht="13.8" hidden="false" customHeight="false" outlineLevel="0" collapsed="false">
      <c r="B21" s="19" t="s">
        <v>37</v>
      </c>
    </row>
    <row r="22" customFormat="false" ht="13.8" hidden="false" customHeight="false" outlineLevel="0" collapsed="false">
      <c r="B22" s="20" t="s">
        <v>38</v>
      </c>
    </row>
    <row r="23" customFormat="false" ht="13.8" hidden="false" customHeight="false" outlineLevel="0" collapsed="false">
      <c r="B23" s="20" t="s">
        <v>39</v>
      </c>
    </row>
    <row r="24" customFormat="false" ht="13.8" hidden="false" customHeight="false" outlineLevel="0" collapsed="false">
      <c r="B24" s="20" t="s">
        <v>40</v>
      </c>
    </row>
    <row r="25" customFormat="false" ht="13.8" hidden="false" customHeight="false" outlineLevel="0" collapsed="false">
      <c r="B25" s="20" t="s">
        <v>41</v>
      </c>
    </row>
    <row r="26" customFormat="false" ht="13.8" hidden="false" customHeight="false" outlineLevel="0" collapsed="false">
      <c r="B26" s="20" t="s">
        <v>42</v>
      </c>
    </row>
    <row r="27" customFormat="false" ht="13.8" hidden="false" customHeight="false" outlineLevel="0" collapsed="false">
      <c r="B27" s="22"/>
    </row>
    <row r="28" customFormat="false" ht="13.8" hidden="false" customHeight="false" outlineLevel="0" collapsed="false">
      <c r="B28" s="20" t="s">
        <v>43</v>
      </c>
    </row>
    <row r="29" customFormat="false" ht="13.8" hidden="false" customHeight="false" outlineLevel="0" collapsed="false">
      <c r="B29" s="21" t="s">
        <v>24</v>
      </c>
    </row>
    <row r="30" customFormat="false" ht="13.8" hidden="false" customHeight="false" outlineLevel="0" collapsed="false">
      <c r="B30" s="23" t="s">
        <v>44</v>
      </c>
    </row>
    <row r="31" customFormat="false" ht="13.8" hidden="false" customHeight="false" outlineLevel="0" collapsed="false">
      <c r="B31" s="23" t="s">
        <v>45</v>
      </c>
    </row>
    <row r="32" customFormat="false" ht="13.8" hidden="false" customHeight="false" outlineLevel="0" collapsed="false">
      <c r="B32" s="19" t="s">
        <v>46</v>
      </c>
    </row>
    <row r="33" customFormat="false" ht="13.8" hidden="false" customHeight="false" outlineLevel="0" collapsed="false">
      <c r="B33" s="19" t="s">
        <v>47</v>
      </c>
    </row>
    <row r="34" customFormat="false" ht="13.8" hidden="false" customHeight="false" outlineLevel="0" collapsed="false">
      <c r="B34" s="23" t="s">
        <v>48</v>
      </c>
    </row>
    <row r="35" customFormat="false" ht="13.8" hidden="false" customHeight="false" outlineLevel="0" collapsed="false">
      <c r="B35" s="21" t="s">
        <v>24</v>
      </c>
    </row>
    <row r="36" customFormat="false" ht="13.8" hidden="false" customHeight="false" outlineLevel="0" collapsed="false">
      <c r="B36" s="22"/>
    </row>
    <row r="37" customFormat="false" ht="13.8" hidden="false" customHeight="false" outlineLevel="0" collapsed="false">
      <c r="B37" s="22"/>
    </row>
    <row r="38" customFormat="false" ht="13.8" hidden="false" customHeight="false" outlineLevel="0" collapsed="false">
      <c r="B38" s="19" t="s">
        <v>49</v>
      </c>
    </row>
    <row r="39" customFormat="false" ht="13.8" hidden="false" customHeight="false" outlineLevel="0" collapsed="false">
      <c r="B39" s="20" t="s">
        <v>50</v>
      </c>
    </row>
    <row r="40" customFormat="false" ht="13.8" hidden="false" customHeight="false" outlineLevel="0" collapsed="false">
      <c r="B40" s="20" t="s">
        <v>51</v>
      </c>
    </row>
    <row r="41" customFormat="false" ht="13.8" hidden="false" customHeight="false" outlineLevel="0" collapsed="false">
      <c r="B41" s="20" t="s">
        <v>52</v>
      </c>
    </row>
    <row r="42" customFormat="false" ht="13.8" hidden="false" customHeight="false" outlineLevel="0" collapsed="false">
      <c r="B42" s="22"/>
    </row>
    <row r="43" customFormat="false" ht="13.8" hidden="false" customHeight="false" outlineLevel="0" collapsed="false">
      <c r="B43" s="24" t="s">
        <v>53</v>
      </c>
    </row>
    <row r="44" customFormat="false" ht="13.8" hidden="false" customHeight="false" outlineLevel="0" collapsed="false">
      <c r="B44" s="23" t="s">
        <v>44</v>
      </c>
    </row>
    <row r="45" customFormat="false" ht="13.8" hidden="false" customHeight="false" outlineLevel="0" collapsed="false">
      <c r="B45" s="23" t="s">
        <v>54</v>
      </c>
    </row>
    <row r="46" customFormat="false" ht="13.8" hidden="false" customHeight="false" outlineLevel="0" collapsed="false">
      <c r="B46" s="19" t="s">
        <v>55</v>
      </c>
    </row>
    <row r="47" customFormat="false" ht="13.8" hidden="false" customHeight="false" outlineLevel="0" collapsed="false">
      <c r="B47" s="19" t="s">
        <v>56</v>
      </c>
    </row>
    <row r="48" customFormat="false" ht="13.8" hidden="false" customHeight="false" outlineLevel="0" collapsed="false">
      <c r="B48" s="23" t="s">
        <v>48</v>
      </c>
    </row>
    <row r="49" customFormat="false" ht="13.8" hidden="false" customHeight="false" outlineLevel="0" collapsed="false">
      <c r="B49" s="20" t="s">
        <v>52</v>
      </c>
    </row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429687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2" t="n">
        <v>1</v>
      </c>
      <c r="C2" s="2" t="n">
        <v>0.997599504253614</v>
      </c>
      <c r="D2" s="2" t="n">
        <v>1.00000000000043</v>
      </c>
      <c r="E2" s="2" t="n">
        <v>0.995333306667235</v>
      </c>
    </row>
    <row r="3" customFormat="false" ht="13.8" hidden="false" customHeight="false" outlineLevel="0" collapsed="false">
      <c r="B3" s="2" t="n">
        <v>2</v>
      </c>
      <c r="C3" s="2" t="n">
        <v>0.990322901758343</v>
      </c>
      <c r="D3" s="2" t="n">
        <v>1.00000000000045</v>
      </c>
      <c r="E3" s="2" t="n">
        <v>0.997800000000586</v>
      </c>
    </row>
    <row r="4" customFormat="false" ht="13.8" hidden="false" customHeight="false" outlineLevel="0" collapsed="false">
      <c r="B4" s="2" t="n">
        <v>3</v>
      </c>
      <c r="C4" s="2" t="n">
        <v>0.988962945164955</v>
      </c>
      <c r="D4" s="2" t="n">
        <v>1.00000000000052</v>
      </c>
      <c r="E4" s="2" t="n">
        <v>0.997199990000654</v>
      </c>
    </row>
    <row r="5" customFormat="false" ht="13.8" hidden="false" customHeight="false" outlineLevel="0" collapsed="false">
      <c r="B5" s="2" t="n">
        <v>4</v>
      </c>
      <c r="C5" s="2" t="n">
        <v>0.989366478716656</v>
      </c>
      <c r="D5" s="2" t="n">
        <v>0.993333333335064</v>
      </c>
      <c r="E5" s="2" t="n">
        <v>0.997999960000813</v>
      </c>
    </row>
    <row r="6" customFormat="false" ht="13.8" hidden="false" customHeight="false" outlineLevel="0" collapsed="false">
      <c r="B6" s="2" t="n">
        <v>5</v>
      </c>
      <c r="C6" s="2" t="n">
        <v>0.989149911830156</v>
      </c>
      <c r="D6" s="2" t="n">
        <v>0.98000000000152</v>
      </c>
      <c r="E6" s="2" t="n">
        <v>0.995200000000597</v>
      </c>
    </row>
    <row r="7" customFormat="false" ht="13.8" hidden="false" customHeight="false" outlineLevel="0" collapsed="false">
      <c r="B7" s="2" t="n">
        <v>6</v>
      </c>
      <c r="C7" s="2" t="n">
        <v>0.992053288533456</v>
      </c>
      <c r="D7" s="2" t="n">
        <v>0.980000000001537</v>
      </c>
      <c r="E7" s="2" t="n">
        <v>0.997800000000632</v>
      </c>
    </row>
    <row r="8" customFormat="false" ht="13.8" hidden="false" customHeight="false" outlineLevel="0" collapsed="false">
      <c r="B8" s="2" t="n">
        <v>7</v>
      </c>
      <c r="C8" s="2" t="n">
        <v>0.989193305236519</v>
      </c>
      <c r="D8" s="2" t="n">
        <v>0.980000000001554</v>
      </c>
      <c r="E8" s="2" t="n">
        <v>0.995200000000666</v>
      </c>
    </row>
    <row r="9" customFormat="false" ht="13.8" hidden="false" customHeight="false" outlineLevel="0" collapsed="false">
      <c r="B9" s="2" t="n">
        <v>8</v>
      </c>
      <c r="C9" s="2" t="n">
        <v>0.991776632066013</v>
      </c>
      <c r="D9" s="2" t="n">
        <v>0.979999999838119</v>
      </c>
      <c r="E9" s="2" t="n">
        <v>0.997800000022983</v>
      </c>
    </row>
    <row r="10" customFormat="false" ht="13.8" hidden="false" customHeight="false" outlineLevel="0" collapsed="false">
      <c r="B10" s="2" t="n">
        <v>9</v>
      </c>
      <c r="C10" s="2" t="n">
        <v>0.988949975490708</v>
      </c>
      <c r="D10" s="2" t="n">
        <v>0.979999999767495</v>
      </c>
      <c r="E10" s="2" t="n">
        <v>0.995200000032306</v>
      </c>
    </row>
    <row r="11" customFormat="false" ht="13.8" hidden="false" customHeight="false" outlineLevel="0" collapsed="false">
      <c r="B11" s="2" t="n">
        <v>10</v>
      </c>
      <c r="C11" s="2" t="n">
        <v>0.991989945582085</v>
      </c>
      <c r="D11" s="2" t="n">
        <v>0.979999999696876</v>
      </c>
      <c r="E11" s="2" t="n">
        <v>0.997800000041616</v>
      </c>
    </row>
    <row r="12" customFormat="false" ht="13.8" hidden="false" customHeight="false" outlineLevel="0" collapsed="false">
      <c r="B12" s="2" t="n">
        <v>11</v>
      </c>
      <c r="C12" s="2" t="n">
        <v>0.995766642340115</v>
      </c>
      <c r="D12" s="2" t="n">
        <v>0.979999999626259</v>
      </c>
      <c r="E12" s="2" t="n">
        <v>0.99733329671758</v>
      </c>
    </row>
    <row r="13" customFormat="false" ht="13.8" hidden="false" customHeight="false" outlineLevel="0" collapsed="false">
      <c r="B13" s="2" t="n">
        <v>12</v>
      </c>
      <c r="C13" s="2" t="n">
        <v>0.989679999098131</v>
      </c>
      <c r="D13" s="2" t="n">
        <v>0.979999999555646</v>
      </c>
      <c r="E13" s="2" t="n">
        <v>0.996666633393534</v>
      </c>
    </row>
    <row r="14" customFormat="false" ht="13.8" hidden="false" customHeight="false" outlineLevel="0" collapsed="false">
      <c r="B14" s="2" t="n">
        <v>13</v>
      </c>
      <c r="C14" s="2" t="n">
        <v>0.985389975856163</v>
      </c>
      <c r="D14" s="2" t="n">
        <v>0.979999999485028</v>
      </c>
      <c r="E14" s="2" t="n">
        <v>0.996500000069499</v>
      </c>
    </row>
    <row r="15" customFormat="false" ht="13.8" hidden="false" customHeight="false" outlineLevel="0" collapsed="false">
      <c r="B15" s="2" t="n">
        <v>14</v>
      </c>
      <c r="C15" s="2" t="n">
        <v>0.983206662614196</v>
      </c>
      <c r="D15" s="2" t="n">
        <v>0.97999999941441</v>
      </c>
      <c r="E15" s="2" t="n">
        <v>0.997166663412129</v>
      </c>
    </row>
    <row r="16" customFormat="false" ht="13.8" hidden="false" customHeight="false" outlineLevel="0" collapsed="false">
      <c r="B16" s="2" t="n">
        <v>15</v>
      </c>
      <c r="C16" s="2" t="n">
        <v>0.990536662705562</v>
      </c>
      <c r="D16" s="2" t="n">
        <v>0.979999999343791</v>
      </c>
      <c r="E16" s="2" t="n">
        <v>0.995850000088093</v>
      </c>
    </row>
    <row r="17" customFormat="false" ht="13.8" hidden="false" customHeight="false" outlineLevel="0" collapsed="false">
      <c r="B17" s="2" t="n">
        <v>16</v>
      </c>
      <c r="C17" s="2" t="n">
        <v>0.984619972796929</v>
      </c>
      <c r="D17" s="2" t="n">
        <v>0.979999999273172</v>
      </c>
      <c r="E17" s="2" t="n">
        <v>0.998483326764057</v>
      </c>
    </row>
    <row r="18" customFormat="false" ht="13.8" hidden="false" customHeight="false" outlineLevel="0" collapsed="false">
      <c r="B18" s="2" t="n">
        <v>17</v>
      </c>
      <c r="C18" s="2" t="n">
        <v>0.991359956221631</v>
      </c>
      <c r="D18" s="2" t="n">
        <v>0.979999999202551</v>
      </c>
      <c r="E18" s="2" t="n">
        <v>0.999999950106687</v>
      </c>
    </row>
    <row r="19" customFormat="false" ht="13.8" hidden="false" customHeight="false" outlineLevel="0" collapsed="false">
      <c r="B19" s="2" t="n">
        <v>18</v>
      </c>
      <c r="C19" s="2" t="n">
        <v>0.985426619646333</v>
      </c>
      <c r="D19" s="2" t="n">
        <v>0.97999999913193</v>
      </c>
      <c r="E19" s="2" t="n">
        <v>0.993250000115985</v>
      </c>
    </row>
    <row r="20" customFormat="false" ht="13.8" hidden="false" customHeight="false" outlineLevel="0" collapsed="false">
      <c r="B20" s="2" t="n">
        <v>19</v>
      </c>
      <c r="C20" s="2" t="n">
        <v>0.99180329640437</v>
      </c>
      <c r="D20" s="2" t="n">
        <v>0.979999999061309</v>
      </c>
      <c r="E20" s="2" t="n">
        <v>0.999750000125282</v>
      </c>
    </row>
    <row r="21" customFormat="false" ht="13.8" hidden="false" customHeight="false" outlineLevel="0" collapsed="false">
      <c r="B21" s="2" t="n">
        <v>20</v>
      </c>
      <c r="C21" s="2" t="n">
        <v>0.989263269829074</v>
      </c>
      <c r="D21" s="2" t="n">
        <v>0.979999998990686</v>
      </c>
      <c r="E21" s="2" t="n">
        <v>0.994666643467913</v>
      </c>
    </row>
    <row r="22" customFormat="false" ht="13.8" hidden="false" customHeight="false" outlineLevel="0" collapsed="false">
      <c r="B22" s="2" t="n">
        <v>21</v>
      </c>
      <c r="C22" s="2" t="n">
        <v>0.98713991325378</v>
      </c>
      <c r="D22" s="2" t="n">
        <v>0.979999998920262</v>
      </c>
      <c r="E22" s="2" t="n">
        <v>0.997800000143878</v>
      </c>
    </row>
    <row r="23" customFormat="false" ht="13.8" hidden="false" customHeight="false" outlineLevel="0" collapsed="false">
      <c r="B23" s="2" t="n">
        <v>22</v>
      </c>
      <c r="C23" s="2" t="n">
        <v>0.985943326414177</v>
      </c>
      <c r="D23" s="2" t="n">
        <v>1.00000000000233</v>
      </c>
      <c r="E23" s="2" t="n">
        <v>0.995200000001312</v>
      </c>
    </row>
    <row r="24" customFormat="false" ht="13.8" hidden="false" customHeight="false" outlineLevel="0" collapsed="false">
      <c r="B24" s="2" t="n">
        <v>23</v>
      </c>
      <c r="C24" s="2" t="n">
        <v>0.992386626477795</v>
      </c>
      <c r="D24" s="2" t="n">
        <v>1.00000000000239</v>
      </c>
      <c r="E24" s="2" t="n">
        <v>0.997800000001332</v>
      </c>
    </row>
    <row r="25" customFormat="false" ht="13.8" hidden="false" customHeight="false" outlineLevel="0" collapsed="false">
      <c r="B25" s="2" t="n">
        <v>24</v>
      </c>
      <c r="C25" s="2" t="n">
        <v>0.980863293208076</v>
      </c>
      <c r="D25" s="2" t="n">
        <v>1.00000000000238</v>
      </c>
      <c r="E25" s="2" t="n">
        <v>0.997199990001353</v>
      </c>
    </row>
    <row r="26" customFormat="false" ht="13.8" hidden="false" customHeight="false" outlineLevel="0" collapsed="false">
      <c r="B26" s="2" t="n">
        <v>25</v>
      </c>
      <c r="C26" s="2" t="n">
        <v>0.992476629938345</v>
      </c>
      <c r="D26" s="2" t="n">
        <v>1.00000000000237</v>
      </c>
      <c r="E26" s="2" t="n">
        <v>0.994550000001373</v>
      </c>
    </row>
    <row r="27" customFormat="false" ht="13.8" hidden="false" customHeight="false" outlineLevel="0" collapsed="false">
      <c r="B27" s="2" t="n">
        <v>26</v>
      </c>
      <c r="C27" s="2" t="n">
        <v>0.979616606668223</v>
      </c>
      <c r="D27" s="2" t="n">
        <v>1.00000000000235</v>
      </c>
      <c r="E27" s="2" t="n">
        <v>0.99845000000139</v>
      </c>
    </row>
    <row r="28" customFormat="false" ht="13.8" hidden="false" customHeight="false" outlineLevel="0" collapsed="false">
      <c r="B28" s="2" t="n">
        <v>27</v>
      </c>
      <c r="C28" s="2" t="n">
        <v>0.991956566658843</v>
      </c>
      <c r="D28" s="2" t="n">
        <v>0.999999999983802</v>
      </c>
      <c r="E28" s="2" t="n">
        <v>0.994550000072068</v>
      </c>
    </row>
    <row r="29" customFormat="false" ht="13.8" hidden="false" customHeight="false" outlineLevel="0" collapsed="false">
      <c r="B29" s="2" t="n">
        <v>28</v>
      </c>
      <c r="C29" s="2" t="n">
        <v>0.980773130001429</v>
      </c>
      <c r="D29" s="2" t="n">
        <v>1.00000000000222</v>
      </c>
      <c r="E29" s="2" t="n">
        <v>0.998449999861292</v>
      </c>
    </row>
    <row r="30" customFormat="false" ht="13.8" hidden="false" customHeight="false" outlineLevel="0" collapsed="false">
      <c r="B30" s="2" t="n">
        <v>29</v>
      </c>
      <c r="C30" s="2" t="n">
        <v>0.99333646000143</v>
      </c>
      <c r="D30" s="2" t="n">
        <v>1.00000000000218</v>
      </c>
      <c r="E30" s="2" t="n">
        <v>0.994549999791222</v>
      </c>
    </row>
    <row r="31" customFormat="false" ht="13.8" hidden="false" customHeight="false" outlineLevel="0" collapsed="false">
      <c r="B31" s="2" t="n">
        <v>30</v>
      </c>
      <c r="C31" s="2" t="n">
        <v>0.981079723331584</v>
      </c>
      <c r="D31" s="2" t="n">
        <v>0.999999999998621</v>
      </c>
      <c r="E31" s="2" t="n">
        <v>0.998449993331204</v>
      </c>
    </row>
    <row r="32" customFormat="false" ht="13.8" hidden="false" customHeight="false" outlineLevel="0" collapsed="false">
      <c r="B32" s="2" t="n">
        <v>31</v>
      </c>
      <c r="C32" s="2" t="n">
        <v>0.992949793333305</v>
      </c>
      <c r="D32" s="2" t="n">
        <v>0.99999999999895</v>
      </c>
      <c r="E32" s="2" t="n">
        <v>0.994549949999579</v>
      </c>
    </row>
    <row r="33" customFormat="false" ht="13.8" hidden="false" customHeight="false" outlineLevel="0" collapsed="false">
      <c r="B33" s="2" t="n">
        <v>32</v>
      </c>
      <c r="C33" s="2" t="n">
        <v>0.985866346666639</v>
      </c>
      <c r="D33" s="2" t="n">
        <v>0.999999999998983</v>
      </c>
      <c r="E33" s="2" t="n">
        <v>0.998449949999597</v>
      </c>
    </row>
    <row r="34" customFormat="false" ht="13.8" hidden="false" customHeight="false" outlineLevel="0" collapsed="false">
      <c r="B34" s="2" t="n">
        <v>33</v>
      </c>
      <c r="C34" s="2" t="n">
        <v>0.993599629999974</v>
      </c>
      <c r="D34" s="2" t="n">
        <v>0.999999999999016</v>
      </c>
      <c r="E34" s="2" t="n">
        <v>0.994549949999614</v>
      </c>
    </row>
    <row r="35" customFormat="false" ht="13.8" hidden="false" customHeight="false" outlineLevel="0" collapsed="false">
      <c r="B35" s="2" t="n">
        <v>34</v>
      </c>
      <c r="C35" s="2" t="n">
        <v>0.981549649999975</v>
      </c>
      <c r="D35" s="2" t="n">
        <v>0.999999999999048</v>
      </c>
      <c r="E35" s="2" t="n">
        <v>0.998449949999631</v>
      </c>
    </row>
    <row r="36" customFormat="false" ht="13.8" hidden="false" customHeight="false" outlineLevel="0" collapsed="false">
      <c r="B36" s="2" t="n">
        <v>35</v>
      </c>
      <c r="C36" s="2" t="n">
        <v>0.990889619999976</v>
      </c>
      <c r="D36" s="2" t="n">
        <v>0.999999999999081</v>
      </c>
      <c r="E36" s="2" t="n">
        <v>0.994549949999648</v>
      </c>
    </row>
    <row r="37" customFormat="false" ht="13.8" hidden="false" customHeight="false" outlineLevel="0" collapsed="false">
      <c r="B37" s="2" t="n">
        <v>36</v>
      </c>
      <c r="C37" s="2" t="n">
        <v>0.98544958333331</v>
      </c>
      <c r="D37" s="2" t="n">
        <v>0.999999999999113</v>
      </c>
      <c r="E37" s="2" t="n">
        <v>0.998449949999665</v>
      </c>
    </row>
    <row r="38" customFormat="false" ht="13.8" hidden="false" customHeight="false" outlineLevel="0" collapsed="false">
      <c r="B38" s="2" t="n">
        <v>37</v>
      </c>
      <c r="C38" s="2" t="n">
        <v>0.985099599999978</v>
      </c>
      <c r="D38" s="2" t="n">
        <v>0.999999999999146</v>
      </c>
      <c r="E38" s="2" t="n">
        <v>0.994549949999682</v>
      </c>
    </row>
    <row r="39" customFormat="false" ht="13.8" hidden="false" customHeight="false" outlineLevel="0" collapsed="false">
      <c r="B39" s="2" t="n">
        <v>38</v>
      </c>
      <c r="C39" s="2" t="n">
        <v>0.986316303333312</v>
      </c>
      <c r="D39" s="2" t="n">
        <v>0.999999999999178</v>
      </c>
      <c r="E39" s="2" t="n">
        <v>0.999999889999699</v>
      </c>
    </row>
    <row r="40" customFormat="false" ht="13.8" hidden="false" customHeight="false" outlineLevel="0" collapsed="false">
      <c r="B40" s="2" t="n">
        <v>39</v>
      </c>
      <c r="C40" s="2" t="n">
        <v>0.98494965999998</v>
      </c>
      <c r="D40" s="2" t="n">
        <v>0.999999999999211</v>
      </c>
      <c r="E40" s="2" t="n">
        <v>0.997166563333049</v>
      </c>
    </row>
    <row r="41" customFormat="false" ht="13.8" hidden="false" customHeight="false" outlineLevel="0" collapsed="false">
      <c r="B41" s="2" t="n">
        <v>40</v>
      </c>
      <c r="C41" s="2" t="n">
        <v>0.986749599999979</v>
      </c>
      <c r="D41" s="2" t="n">
        <v>0.999999999999243</v>
      </c>
      <c r="E41" s="2" t="n">
        <v>0.989973239999737</v>
      </c>
    </row>
    <row r="42" customFormat="false" ht="13.8" hidden="false" customHeight="false" outlineLevel="0" collapsed="false">
      <c r="B42" s="2" t="n">
        <v>41</v>
      </c>
      <c r="C42" s="2" t="n">
        <v>0.990782906666552</v>
      </c>
      <c r="D42" s="2" t="n">
        <v>0.999999999999275</v>
      </c>
      <c r="E42" s="2" t="n">
        <v>0.996299949999754</v>
      </c>
    </row>
    <row r="43" customFormat="false" ht="13.8" hidden="false" customHeight="false" outlineLevel="0" collapsed="false">
      <c r="B43" s="2" t="n">
        <v>42</v>
      </c>
      <c r="C43" s="2" t="n">
        <v>0.991709580197016</v>
      </c>
      <c r="D43" s="2" t="n">
        <v>0.999999999999352</v>
      </c>
      <c r="E43" s="2" t="n">
        <v>0.989826609999816</v>
      </c>
    </row>
    <row r="44" customFormat="false" ht="13.8" hidden="false" customHeight="false" outlineLevel="0" collapsed="false">
      <c r="B44" s="2" t="n">
        <v>43</v>
      </c>
      <c r="C44" s="2" t="n">
        <v>0.984442953728379</v>
      </c>
      <c r="D44" s="2" t="n">
        <v>0.999999999999429</v>
      </c>
      <c r="E44" s="2" t="n">
        <v>0.992499919999877</v>
      </c>
    </row>
    <row r="45" customFormat="false" ht="13.8" hidden="false" customHeight="false" outlineLevel="0" collapsed="false">
      <c r="B45" s="2" t="n">
        <v>44</v>
      </c>
      <c r="C45" s="2" t="n">
        <v>0.987763016666489</v>
      </c>
      <c r="D45" s="2" t="n">
        <v>0.999999999999372</v>
      </c>
      <c r="E45" s="2" t="n">
        <v>0.979999949999806</v>
      </c>
    </row>
    <row r="46" customFormat="false" ht="13.8" hidden="false" customHeight="false" outlineLevel="0" collapsed="false">
      <c r="B46" s="2" t="n">
        <v>45</v>
      </c>
      <c r="C46" s="2" t="n">
        <v>0.981649763333309</v>
      </c>
      <c r="D46" s="2" t="n">
        <v>0.999999999999105</v>
      </c>
      <c r="E46" s="2" t="n">
        <v>0.991799926666481</v>
      </c>
    </row>
    <row r="47" customFormat="false" ht="13.8" hidden="false" customHeight="false" outlineLevel="0" collapsed="false">
      <c r="B47" s="2" t="n">
        <v>46</v>
      </c>
      <c r="C47" s="2" t="n">
        <v>0.986949729999985</v>
      </c>
      <c r="D47" s="2" t="n">
        <v>0.999999999999437</v>
      </c>
      <c r="E47" s="2" t="n">
        <v>0.98949994999984</v>
      </c>
    </row>
    <row r="48" customFormat="false" ht="13.8" hidden="false" customHeight="false" outlineLevel="0" collapsed="false">
      <c r="B48" s="2" t="n">
        <v>47</v>
      </c>
      <c r="C48" s="2" t="n">
        <v>0.990199673332754</v>
      </c>
      <c r="D48" s="2" t="n">
        <v>0.999999999999469</v>
      </c>
      <c r="E48" s="2" t="n">
        <v>0.995999949999857</v>
      </c>
    </row>
    <row r="49" customFormat="false" ht="13.8" hidden="false" customHeight="false" outlineLevel="0" collapsed="false">
      <c r="B49" s="2" t="n">
        <v>48</v>
      </c>
      <c r="C49" s="2" t="n">
        <v>0.991689661384699</v>
      </c>
      <c r="D49" s="2" t="n">
        <v>0.999999999999812</v>
      </c>
      <c r="E49" s="2" t="n">
        <v>0.989799920000187</v>
      </c>
    </row>
    <row r="50" customFormat="false" ht="13.8" hidden="false" customHeight="false" outlineLevel="0" collapsed="false">
      <c r="B50" s="2" t="n">
        <v>49</v>
      </c>
      <c r="C50" s="2" t="n">
        <v>0.985882979813958</v>
      </c>
      <c r="D50" s="2" t="n">
        <v>0.999999999813599</v>
      </c>
      <c r="E50" s="2" t="n">
        <v>0.996499948078361</v>
      </c>
    </row>
    <row r="51" customFormat="false" ht="13.8" hidden="false" customHeight="false" outlineLevel="0" collapsed="false">
      <c r="B51" s="2" t="n">
        <v>50</v>
      </c>
      <c r="C51" s="2" t="n">
        <v>0.987149639999981</v>
      </c>
      <c r="D51" s="2" t="n">
        <v>0.999999999999344</v>
      </c>
      <c r="E51" s="2" t="n">
        <v>0.989999949999903</v>
      </c>
    </row>
    <row r="52" customFormat="false" ht="13.8" hidden="false" customHeight="false" outlineLevel="0" collapsed="false">
      <c r="B52" s="2" t="n">
        <v>51</v>
      </c>
      <c r="C52" s="2" t="n">
        <v>0.985216283333317</v>
      </c>
      <c r="D52" s="2" t="n">
        <v>0.999999999999392</v>
      </c>
      <c r="E52" s="2" t="n">
        <v>0.99649994999992</v>
      </c>
    </row>
    <row r="53" customFormat="false" ht="13.8" hidden="false" customHeight="false" outlineLevel="0" collapsed="false">
      <c r="B53" s="2" t="n">
        <v>52</v>
      </c>
      <c r="C53" s="2" t="n">
        <v>0.985356366666652</v>
      </c>
      <c r="D53" s="2" t="n">
        <v>0.999999999999439</v>
      </c>
      <c r="E53" s="2" t="n">
        <v>0.989999949999938</v>
      </c>
    </row>
    <row r="54" customFormat="false" ht="13.8" hidden="false" customHeight="false" outlineLevel="0" collapsed="false">
      <c r="B54" s="2" t="n">
        <v>53</v>
      </c>
      <c r="C54" s="2" t="n">
        <v>0.984466316666653</v>
      </c>
      <c r="D54" s="2" t="n">
        <v>0.999999999999487</v>
      </c>
      <c r="E54" s="2" t="n">
        <v>0.996499949999955</v>
      </c>
    </row>
    <row r="55" customFormat="false" ht="13.8" hidden="false" customHeight="false" outlineLevel="0" collapsed="false">
      <c r="B55" s="2" t="n">
        <v>54</v>
      </c>
      <c r="C55" s="2" t="n">
        <v>0.987149586666655</v>
      </c>
      <c r="D55" s="2" t="n">
        <v>0.999999999999534</v>
      </c>
      <c r="E55" s="2" t="n">
        <v>0.975999983333307</v>
      </c>
    </row>
    <row r="56" customFormat="false" ht="13.8" hidden="false" customHeight="false" outlineLevel="0" collapsed="false">
      <c r="B56" s="2" t="n">
        <v>55</v>
      </c>
      <c r="C56" s="2" t="n">
        <v>0.985849663333322</v>
      </c>
      <c r="D56" s="2" t="n">
        <v>0.999999999999581</v>
      </c>
      <c r="E56" s="2" t="n">
        <v>0.999949909999985</v>
      </c>
    </row>
    <row r="57" customFormat="false" ht="13.8" hidden="false" customHeight="false" outlineLevel="0" collapsed="false">
      <c r="B57" s="2" t="n">
        <v>56</v>
      </c>
      <c r="C57" s="2" t="n">
        <v>0.987149753333323</v>
      </c>
      <c r="D57" s="2" t="n">
        <v>0.999999999999628</v>
      </c>
      <c r="E57" s="2" t="n">
        <v>0.994516626666644</v>
      </c>
    </row>
    <row r="58" customFormat="false" ht="13.8" hidden="false" customHeight="false" outlineLevel="0" collapsed="false">
      <c r="B58" s="2" t="n">
        <v>57</v>
      </c>
      <c r="C58" s="2" t="n">
        <v>0.989883116666657</v>
      </c>
      <c r="D58" s="2" t="n">
        <v>0.999999999999674</v>
      </c>
      <c r="E58" s="2" t="n">
        <v>0.991829969999956</v>
      </c>
    </row>
    <row r="59" customFormat="false" ht="13.8" hidden="false" customHeight="false" outlineLevel="0" collapsed="false">
      <c r="B59" s="2" t="n">
        <v>58</v>
      </c>
      <c r="C59" s="2" t="n">
        <v>0.985199853333326</v>
      </c>
      <c r="D59" s="2" t="n">
        <v>0.999999999999728</v>
      </c>
      <c r="E59" s="2" t="n">
        <v>0.999759943333275</v>
      </c>
    </row>
    <row r="60" customFormat="false" ht="13.8" hidden="false" customHeight="false" outlineLevel="0" collapsed="false">
      <c r="B60" s="2" t="n">
        <v>59</v>
      </c>
      <c r="C60" s="2" t="n">
        <v>0.987799936666682</v>
      </c>
      <c r="D60" s="2" t="n">
        <v>0.999999999999775</v>
      </c>
      <c r="E60" s="2" t="n">
        <v>0.992599949999927</v>
      </c>
    </row>
    <row r="61" customFormat="false" ht="13.8" hidden="false" customHeight="false" outlineLevel="0" collapsed="false">
      <c r="B61" s="2" t="n">
        <v>60</v>
      </c>
      <c r="C61" s="2" t="n">
        <v>0.985200000000007</v>
      </c>
      <c r="D61" s="2" t="n">
        <v>0.999999999999854</v>
      </c>
      <c r="E61" s="2" t="n">
        <v>0.993579963333226</v>
      </c>
    </row>
    <row r="62" customFormat="false" ht="13.8" hidden="false" customHeight="false" outlineLevel="0" collapsed="false">
      <c r="B62" s="2" t="n">
        <v>61</v>
      </c>
      <c r="C62" s="2" t="n">
        <v>0.987799966666673</v>
      </c>
      <c r="D62" s="2" t="n">
        <v>0.999999999999866</v>
      </c>
      <c r="E62" s="2" t="n">
        <v>0.992199949999875</v>
      </c>
    </row>
    <row r="63" customFormat="false" ht="13.8" hidden="false" customHeight="false" outlineLevel="0" collapsed="false">
      <c r="B63" s="2" t="n">
        <v>62</v>
      </c>
      <c r="C63" s="2" t="n">
        <v>0.985016653333311</v>
      </c>
      <c r="D63" s="2" t="n">
        <v>0.999999999999873</v>
      </c>
      <c r="E63" s="2" t="n">
        <v>0.993499949999854</v>
      </c>
    </row>
    <row r="64" customFormat="false" ht="13.8" hidden="false" customHeight="false" outlineLevel="0" collapsed="false">
      <c r="B64" s="2" t="n">
        <v>63</v>
      </c>
      <c r="C64" s="2" t="n">
        <v>0.987549999999958</v>
      </c>
      <c r="D64" s="2" t="n">
        <v>0.999999999999882</v>
      </c>
      <c r="E64" s="2" t="n">
        <v>0.975866663333173</v>
      </c>
    </row>
    <row r="65" customFormat="false" ht="13.8" hidden="false" customHeight="false" outlineLevel="0" collapsed="false">
      <c r="B65" s="2" t="n">
        <v>64</v>
      </c>
      <c r="C65" s="2" t="n">
        <v>0.984949999999935</v>
      </c>
      <c r="D65" s="2" t="n">
        <v>0.999999999999893</v>
      </c>
      <c r="E65" s="2" t="n">
        <v>0.975999999999822</v>
      </c>
    </row>
    <row r="66" customFormat="false" ht="13.8" hidden="false" customHeight="false" outlineLevel="0" collapsed="false">
      <c r="B66" s="2" t="n">
        <v>65</v>
      </c>
      <c r="C66" s="2" t="n">
        <v>0.987549999999921</v>
      </c>
      <c r="D66" s="2" t="n">
        <v>0.999999999999898</v>
      </c>
      <c r="E66" s="2" t="n">
        <v>0.974699999999812</v>
      </c>
    </row>
    <row r="67" customFormat="false" ht="13.8" hidden="false" customHeight="false" outlineLevel="0" collapsed="false">
      <c r="B67" s="2" t="n">
        <v>66</v>
      </c>
      <c r="C67" s="2" t="n">
        <v>0.98519994999991</v>
      </c>
      <c r="D67" s="2" t="n">
        <v>0.9999999999999</v>
      </c>
      <c r="E67" s="2" t="n">
        <v>0.991166623333137</v>
      </c>
    </row>
    <row r="68" customFormat="false" ht="13.8" hidden="false" customHeight="false" outlineLevel="0" collapsed="false">
      <c r="B68" s="2" t="n">
        <v>67</v>
      </c>
      <c r="C68" s="2" t="n">
        <v>0.987799949999902</v>
      </c>
      <c r="D68" s="2" t="n">
        <v>0.999999999999901</v>
      </c>
      <c r="E68" s="2" t="n">
        <v>0.999599899999798</v>
      </c>
    </row>
    <row r="69" customFormat="false" ht="13.8" hidden="false" customHeight="false" outlineLevel="0" collapsed="false">
      <c r="B69" s="2" t="n">
        <v>68</v>
      </c>
      <c r="C69" s="2" t="n">
        <v>0.985199950000718</v>
      </c>
      <c r="D69" s="2" t="n">
        <v>0.999999999999936</v>
      </c>
      <c r="E69" s="2" t="n">
        <v>0.983566569999965</v>
      </c>
    </row>
    <row r="70" customFormat="false" ht="13.8" hidden="false" customHeight="false" outlineLevel="0" collapsed="false">
      <c r="B70" s="2" t="n">
        <v>69</v>
      </c>
      <c r="C70" s="2" t="n">
        <v>0.987799947685229</v>
      </c>
      <c r="D70" s="2" t="n">
        <v>0.999999999997125</v>
      </c>
      <c r="E70" s="2" t="n">
        <v>0.982666589997221</v>
      </c>
    </row>
    <row r="71" customFormat="false" ht="13.8" hidden="false" customHeight="false" outlineLevel="0" collapsed="false">
      <c r="B71" s="2" t="n">
        <v>70</v>
      </c>
      <c r="C71" s="2" t="n">
        <v>0.985199931079794</v>
      </c>
      <c r="D71" s="2" t="n">
        <v>0.9999999999972</v>
      </c>
      <c r="E71" s="2" t="n">
        <v>0.976623259997289</v>
      </c>
    </row>
    <row r="72" customFormat="false" ht="13.8" hidden="false" customHeight="false" outlineLevel="0" collapsed="false">
      <c r="B72" s="2" t="n">
        <v>71</v>
      </c>
      <c r="C72" s="2" t="n">
        <v>0.987799897805711</v>
      </c>
      <c r="D72" s="2" t="n">
        <v>0.999999999997264</v>
      </c>
      <c r="E72" s="2" t="n">
        <v>0.973249949997357</v>
      </c>
    </row>
    <row r="73" customFormat="false" ht="13.8" hidden="false" customHeight="false" outlineLevel="0" collapsed="false">
      <c r="B73" s="2" t="n">
        <v>72</v>
      </c>
      <c r="C73" s="2" t="n">
        <v>0.985199897864849</v>
      </c>
      <c r="D73" s="2" t="n">
        <v>0.999999999997701</v>
      </c>
      <c r="E73" s="2" t="n">
        <v>0.973429919997425</v>
      </c>
    </row>
    <row r="74" customFormat="false" ht="13.8" hidden="false" customHeight="false" outlineLevel="0" collapsed="false">
      <c r="B74" s="2" t="n">
        <v>73</v>
      </c>
      <c r="C74" s="2" t="n">
        <v>0.985883214288025</v>
      </c>
      <c r="D74" s="2" t="n">
        <v>0.999999998340074</v>
      </c>
      <c r="E74" s="2" t="n">
        <v>0.977166573330038</v>
      </c>
    </row>
    <row r="75" customFormat="false" ht="13.8" hidden="false" customHeight="false" outlineLevel="0" collapsed="false">
      <c r="B75" s="2" t="n">
        <v>74</v>
      </c>
      <c r="C75" s="2" t="n">
        <v>0.982616434360169</v>
      </c>
      <c r="D75" s="2" t="n">
        <v>0.999999998420307</v>
      </c>
      <c r="E75" s="2" t="n">
        <v>0.977599969996808</v>
      </c>
    </row>
    <row r="76" customFormat="false" ht="13.8" hidden="false" customHeight="false" outlineLevel="0" collapsed="false">
      <c r="B76" s="2" t="n">
        <v>75</v>
      </c>
      <c r="C76" s="2" t="n">
        <v>0.984432961099784</v>
      </c>
      <c r="D76" s="2" t="n">
        <v>0.999999998499571</v>
      </c>
      <c r="E76" s="2" t="n">
        <v>0.978899999996911</v>
      </c>
    </row>
    <row r="77" customFormat="false" ht="13.8" hidden="false" customHeight="false" outlineLevel="0" collapsed="false">
      <c r="B77" s="2" t="n">
        <v>76</v>
      </c>
      <c r="C77" s="2" t="n">
        <v>0.990909427839399</v>
      </c>
      <c r="D77" s="2" t="n">
        <v>0.999999998578835</v>
      </c>
      <c r="E77" s="2" t="n">
        <v>0.981599986663681</v>
      </c>
    </row>
    <row r="78" customFormat="false" ht="13.8" hidden="false" customHeight="false" outlineLevel="0" collapsed="false">
      <c r="B78" s="2" t="n">
        <v>77</v>
      </c>
      <c r="C78" s="2" t="n">
        <v>0.979486037912351</v>
      </c>
      <c r="D78" s="2" t="n">
        <v>0.999999998658097</v>
      </c>
      <c r="E78" s="2" t="n">
        <v>0.98889999333045</v>
      </c>
    </row>
    <row r="79" customFormat="false" ht="13.8" hidden="false" customHeight="false" outlineLevel="0" collapsed="false">
      <c r="B79" s="2" t="n">
        <v>78</v>
      </c>
      <c r="C79" s="2" t="n">
        <v>0.987059391318138</v>
      </c>
      <c r="D79" s="2" t="n">
        <v>0.993333332216082</v>
      </c>
      <c r="E79" s="2" t="n">
        <v>0.992599999996724</v>
      </c>
    </row>
    <row r="80" customFormat="false" ht="13.8" hidden="false" customHeight="false" outlineLevel="0" collapsed="false">
      <c r="B80" s="2" t="n">
        <v>79</v>
      </c>
      <c r="C80" s="2" t="n">
        <v>0.973699331391127</v>
      </c>
      <c r="D80" s="2" t="n">
        <v>0.979999998952788</v>
      </c>
      <c r="E80" s="2" t="n">
        <v>0.993899999996864</v>
      </c>
    </row>
    <row r="81" customFormat="false" ht="13.8" hidden="false" customHeight="false" outlineLevel="0" collapsed="false">
      <c r="B81" s="2" t="n">
        <v>80</v>
      </c>
      <c r="C81" s="2" t="n">
        <v>0.989835768130781</v>
      </c>
      <c r="D81" s="2" t="n">
        <v>0.979999999022824</v>
      </c>
      <c r="E81" s="2" t="n">
        <v>0.992599999997004</v>
      </c>
    </row>
    <row r="82" customFormat="false" ht="13.8" hidden="false" customHeight="false" outlineLevel="0" collapsed="false">
      <c r="B82" s="2" t="n">
        <v>81</v>
      </c>
      <c r="C82" s="2" t="n">
        <v>0.978592484870438</v>
      </c>
      <c r="D82" s="2" t="n">
        <v>0.979999999092856</v>
      </c>
      <c r="E82" s="2" t="n">
        <v>0.993899999997144</v>
      </c>
    </row>
    <row r="83" customFormat="false" ht="13.8" hidden="false" customHeight="false" outlineLevel="0" collapsed="false">
      <c r="B83" s="2" t="n">
        <v>82</v>
      </c>
      <c r="C83" s="2" t="n">
        <v>0.987255861610095</v>
      </c>
      <c r="D83" s="2" t="n">
        <v>0.979999999162884</v>
      </c>
      <c r="E83" s="2" t="n">
        <v>0.992599999997283</v>
      </c>
    </row>
    <row r="84" customFormat="false" ht="13.8" hidden="false" customHeight="false" outlineLevel="0" collapsed="false">
      <c r="B84" s="2" t="n">
        <v>83</v>
      </c>
      <c r="C84" s="2" t="n">
        <v>0.98008927501642</v>
      </c>
      <c r="D84" s="2" t="n">
        <v>0.979999999232904</v>
      </c>
      <c r="E84" s="2" t="n">
        <v>0.993899999997423</v>
      </c>
    </row>
    <row r="85" customFormat="false" ht="13.8" hidden="false" customHeight="false" outlineLevel="0" collapsed="false">
      <c r="B85" s="2" t="n">
        <v>84</v>
      </c>
      <c r="C85" s="2" t="n">
        <v>0.978832615089412</v>
      </c>
      <c r="D85" s="2" t="n">
        <v>0.979999999302916</v>
      </c>
      <c r="E85" s="2" t="n">
        <v>0.992599999997563</v>
      </c>
    </row>
    <row r="86" customFormat="false" ht="13.8" hidden="false" customHeight="false" outlineLevel="0" collapsed="false">
      <c r="B86" s="2" t="n">
        <v>85</v>
      </c>
      <c r="C86" s="2" t="n">
        <v>0.981955851829071</v>
      </c>
      <c r="D86" s="2" t="n">
        <v>0.979999999372915</v>
      </c>
      <c r="E86" s="2" t="n">
        <v>0.993899999997703</v>
      </c>
    </row>
    <row r="87" customFormat="false" ht="13.8" hidden="false" customHeight="false" outlineLevel="0" collapsed="false">
      <c r="B87" s="2" t="n">
        <v>86</v>
      </c>
      <c r="C87" s="2" t="n">
        <v>0.98439253856873</v>
      </c>
      <c r="D87" s="2" t="n">
        <v>0.979999999442896</v>
      </c>
      <c r="E87" s="2" t="n">
        <v>0.992599999997843</v>
      </c>
    </row>
    <row r="88" customFormat="false" ht="13.8" hidden="false" customHeight="false" outlineLevel="0" collapsed="false">
      <c r="B88" s="2" t="n">
        <v>87</v>
      </c>
      <c r="C88" s="2" t="n">
        <v>0.985565971975058</v>
      </c>
      <c r="D88" s="2" t="n">
        <v>0.979999999512848</v>
      </c>
      <c r="E88" s="2" t="n">
        <v>0.993899999997983</v>
      </c>
    </row>
    <row r="89" customFormat="false" ht="13.8" hidden="false" customHeight="false" outlineLevel="0" collapsed="false">
      <c r="B89" s="2" t="n">
        <v>88</v>
      </c>
      <c r="C89" s="2" t="n">
        <v>0.981062718714719</v>
      </c>
      <c r="D89" s="2" t="n">
        <v>0.979999999582755</v>
      </c>
      <c r="E89" s="2" t="n">
        <v>0.992599999998123</v>
      </c>
    </row>
    <row r="90" customFormat="false" ht="13.8" hidden="false" customHeight="false" outlineLevel="0" collapsed="false">
      <c r="B90" s="2" t="n">
        <v>89</v>
      </c>
      <c r="C90" s="2" t="n">
        <v>0.984196028787714</v>
      </c>
      <c r="D90" s="2" t="n">
        <v>0.979999999652579</v>
      </c>
      <c r="E90" s="2" t="n">
        <v>0.99663330666493</v>
      </c>
    </row>
    <row r="91" customFormat="false" ht="13.8" hidden="false" customHeight="false" outlineLevel="0" collapsed="false">
      <c r="B91" s="2" t="n">
        <v>90</v>
      </c>
      <c r="C91" s="2" t="n">
        <v>0.991595875527377</v>
      </c>
      <c r="D91" s="2" t="n">
        <v>0.97999999972224</v>
      </c>
      <c r="E91" s="2" t="n">
        <v>0.996499999998403</v>
      </c>
    </row>
    <row r="92" customFormat="false" ht="13.8" hidden="false" customHeight="false" outlineLevel="0" collapsed="false">
      <c r="B92" s="2" t="n">
        <v>91</v>
      </c>
      <c r="C92" s="2" t="n">
        <v>0.99239928226704</v>
      </c>
      <c r="D92" s="2" t="n">
        <v>0.979999999791497</v>
      </c>
      <c r="E92" s="2" t="n">
        <v>0.996499999998543</v>
      </c>
    </row>
    <row r="93" customFormat="false" ht="13.8" hidden="false" customHeight="false" outlineLevel="0" collapsed="false">
      <c r="B93" s="2" t="n">
        <v>92</v>
      </c>
      <c r="C93" s="2" t="n">
        <v>0.980166029006683</v>
      </c>
      <c r="D93" s="2" t="n">
        <v>0.979999999862572</v>
      </c>
      <c r="E93" s="2" t="n">
        <v>0.996499999998683</v>
      </c>
    </row>
    <row r="94" customFormat="false" ht="13.8" hidden="false" customHeight="false" outlineLevel="0" collapsed="false">
      <c r="B94" s="2" t="n">
        <v>93</v>
      </c>
      <c r="C94" s="2" t="n">
        <v>0.989239605778127</v>
      </c>
      <c r="D94" s="2" t="n">
        <v>0.979999999999443</v>
      </c>
      <c r="E94" s="2" t="n">
        <v>0.999899969998914</v>
      </c>
    </row>
    <row r="95" customFormat="false" ht="13.8" hidden="false" customHeight="false" outlineLevel="0" collapsed="false">
      <c r="B95" s="2" t="n">
        <v>94</v>
      </c>
      <c r="C95" s="2" t="n">
        <v>0.977862959147872</v>
      </c>
      <c r="D95" s="2" t="n">
        <v>0.979999999999385</v>
      </c>
      <c r="E95" s="2" t="n">
        <v>0.993316653332282</v>
      </c>
    </row>
    <row r="96" customFormat="false" ht="13.8" hidden="false" customHeight="false" outlineLevel="0" collapsed="false">
      <c r="B96" s="2" t="n">
        <v>95</v>
      </c>
      <c r="C96" s="2" t="n">
        <v>0.991989512517664</v>
      </c>
      <c r="D96" s="2" t="n">
        <v>0.979999999999401</v>
      </c>
      <c r="E96" s="2" t="n">
        <v>0.999749999998983</v>
      </c>
    </row>
    <row r="97" customFormat="false" ht="13.8" hidden="false" customHeight="false" outlineLevel="0" collapsed="false">
      <c r="B97" s="2" t="n">
        <v>96</v>
      </c>
      <c r="C97" s="2" t="n">
        <v>0.992916132554124</v>
      </c>
      <c r="D97" s="2" t="n">
        <v>0.981333333332752</v>
      </c>
      <c r="E97" s="2" t="n">
        <v>0.999933296665684</v>
      </c>
    </row>
    <row r="98" customFormat="false" ht="13.8" hidden="false" customHeight="false" outlineLevel="0" collapsed="false">
      <c r="B98" s="2" t="n">
        <v>97</v>
      </c>
      <c r="C98" s="2" t="n">
        <v>0.993796052590585</v>
      </c>
      <c r="D98" s="2" t="n">
        <v>0.979999999999435</v>
      </c>
      <c r="E98" s="2" t="n">
        <v>0.997333296665719</v>
      </c>
    </row>
    <row r="99" customFormat="false" ht="13.8" hidden="false" customHeight="false" outlineLevel="0" collapsed="false">
      <c r="B99" s="2" t="n">
        <v>98</v>
      </c>
      <c r="C99" s="2" t="n">
        <v>0.977882999292638</v>
      </c>
      <c r="D99" s="2" t="n">
        <v>0.979999999998266</v>
      </c>
      <c r="E99" s="2" t="n">
        <v>0.995849999999094</v>
      </c>
    </row>
    <row r="100" customFormat="false" ht="13.8" hidden="false" customHeight="false" outlineLevel="0" collapsed="false">
      <c r="B100" s="2" t="n">
        <v>99</v>
      </c>
      <c r="C100" s="2" t="n">
        <v>0.992049725996839</v>
      </c>
      <c r="D100" s="2" t="n">
        <v>0.979999999999469</v>
      </c>
      <c r="E100" s="2" t="n">
        <v>0.997149999999121</v>
      </c>
    </row>
    <row r="101" customFormat="false" ht="13.8" hidden="false" customHeight="false" outlineLevel="0" collapsed="false">
      <c r="B101" s="2" t="n">
        <v>100</v>
      </c>
      <c r="C101" s="2" t="n">
        <v>0.991676429366632</v>
      </c>
      <c r="D101" s="2" t="n">
        <v>0.979999999999485</v>
      </c>
      <c r="E101" s="2" t="n">
        <v>0.991983326665823</v>
      </c>
    </row>
    <row r="102" customFormat="false" ht="13.8" hidden="false" customHeight="false" outlineLevel="0" collapsed="false">
      <c r="B102" s="2" t="n">
        <v>101</v>
      </c>
      <c r="C102" s="2" t="n">
        <v>0.989403302736427</v>
      </c>
      <c r="D102" s="2" t="n">
        <v>0.979999999999502</v>
      </c>
      <c r="E102" s="2" t="n">
        <v>0.999749999999191</v>
      </c>
    </row>
    <row r="103" customFormat="false" ht="13.8" hidden="false" customHeight="false" outlineLevel="0" collapsed="false">
      <c r="B103" s="2" t="n">
        <v>102</v>
      </c>
      <c r="C103" s="2" t="n">
        <v>0.996463272772889</v>
      </c>
      <c r="D103" s="2" t="n">
        <v>0.979999999999519</v>
      </c>
      <c r="E103" s="2" t="n">
        <v>0.993933326665892</v>
      </c>
    </row>
    <row r="104" customFormat="false" ht="13.8" hidden="false" customHeight="false" outlineLevel="0" collapsed="false">
      <c r="B104" s="2" t="n">
        <v>103</v>
      </c>
      <c r="C104" s="2" t="n">
        <v>0.984573319476017</v>
      </c>
      <c r="D104" s="2" t="n">
        <v>0.979999999999536</v>
      </c>
      <c r="E104" s="2" t="n">
        <v>0.99909999999926</v>
      </c>
    </row>
    <row r="105" customFormat="false" ht="13.8" hidden="false" customHeight="false" outlineLevel="0" collapsed="false">
      <c r="B105" s="2" t="n">
        <v>104</v>
      </c>
      <c r="C105" s="2" t="n">
        <v>0.997589962845813</v>
      </c>
      <c r="D105" s="2" t="n">
        <v>0.979999999999553</v>
      </c>
      <c r="E105" s="2" t="n">
        <v>0.993899999999294</v>
      </c>
    </row>
    <row r="106" customFormat="false" ht="13.8" hidden="false" customHeight="false" outlineLevel="0" collapsed="false">
      <c r="B106" s="2" t="n">
        <v>105</v>
      </c>
      <c r="C106" s="2" t="n">
        <v>0.990049919548942</v>
      </c>
      <c r="D106" s="2" t="n">
        <v>0.97999999999957</v>
      </c>
      <c r="E106" s="2" t="n">
        <v>0.999099999999329</v>
      </c>
    </row>
    <row r="107" customFormat="false" ht="13.8" hidden="false" customHeight="false" outlineLevel="0" collapsed="false">
      <c r="B107" s="2" t="n">
        <v>106</v>
      </c>
      <c r="C107" s="2" t="n">
        <v>0.997216662918738</v>
      </c>
      <c r="D107" s="2" t="n">
        <v>0.979999999999586</v>
      </c>
      <c r="E107" s="2" t="n">
        <v>0.993899999999363</v>
      </c>
    </row>
    <row r="108" customFormat="false" ht="13.8" hidden="false" customHeight="false" outlineLevel="0" collapsed="false">
      <c r="B108" s="2" t="n">
        <v>107</v>
      </c>
      <c r="C108" s="2" t="n">
        <v>0.985089972955201</v>
      </c>
      <c r="D108" s="2" t="n">
        <v>0.979999999999603</v>
      </c>
      <c r="E108" s="2" t="n">
        <v>0.999099999999398</v>
      </c>
    </row>
    <row r="109" customFormat="false" ht="13.8" hidden="false" customHeight="false" outlineLevel="0" collapsed="false">
      <c r="B109" s="2" t="n">
        <v>108</v>
      </c>
      <c r="C109" s="2" t="n">
        <v>0.996766606324998</v>
      </c>
      <c r="D109" s="2" t="n">
        <v>0.97999999999962</v>
      </c>
      <c r="E109" s="2" t="n">
        <v>0.993899999999433</v>
      </c>
    </row>
    <row r="110" customFormat="false" ht="13.8" hidden="false" customHeight="false" outlineLevel="0" collapsed="false">
      <c r="B110" s="2" t="n">
        <v>109</v>
      </c>
      <c r="C110" s="2" t="n">
        <v>0.987199949694794</v>
      </c>
      <c r="D110" s="2" t="n">
        <v>0.979999999999637</v>
      </c>
      <c r="E110" s="2" t="n">
        <v>0.999099999999467</v>
      </c>
    </row>
    <row r="111" customFormat="false" ht="13.8" hidden="false" customHeight="false" outlineLevel="0" collapsed="false">
      <c r="B111" s="2" t="n">
        <v>110</v>
      </c>
      <c r="C111" s="2" t="n">
        <v>0.993723286397924</v>
      </c>
      <c r="D111" s="2" t="n">
        <v>0.979999999999654</v>
      </c>
      <c r="E111" s="2" t="n">
        <v>0.993899999999502</v>
      </c>
    </row>
    <row r="112" customFormat="false" ht="13.8" hidden="false" customHeight="false" outlineLevel="0" collapsed="false">
      <c r="B112" s="2" t="n">
        <v>111</v>
      </c>
      <c r="C112" s="2" t="n">
        <v>0.991023296434388</v>
      </c>
      <c r="D112" s="2" t="n">
        <v>0.979999999999671</v>
      </c>
      <c r="E112" s="2" t="n">
        <v>0.999099999999536</v>
      </c>
    </row>
    <row r="113" customFormat="false" ht="13.8" hidden="false" customHeight="false" outlineLevel="0" collapsed="false">
      <c r="B113" s="2" t="n">
        <v>112</v>
      </c>
      <c r="C113" s="2" t="n">
        <v>0.991853283137517</v>
      </c>
      <c r="D113" s="2" t="n">
        <v>0.979999999999688</v>
      </c>
      <c r="E113" s="2" t="n">
        <v>0.993899999999571</v>
      </c>
    </row>
    <row r="114" customFormat="false" ht="13.8" hidden="false" customHeight="false" outlineLevel="0" collapsed="false">
      <c r="B114" s="2" t="n">
        <v>113</v>
      </c>
      <c r="C114" s="2" t="n">
        <v>0.992199999840646</v>
      </c>
      <c r="D114" s="2" t="n">
        <v>0.979999999999704</v>
      </c>
      <c r="E114" s="2" t="n">
        <v>0.999099999999605</v>
      </c>
    </row>
    <row r="115" customFormat="false" ht="13.8" hidden="false" customHeight="false" outlineLevel="0" collapsed="false">
      <c r="B115" s="2" t="n">
        <v>114</v>
      </c>
      <c r="C115" s="2" t="n">
        <v>0.992389969877106</v>
      </c>
      <c r="D115" s="2" t="n">
        <v>0.979999999999721</v>
      </c>
      <c r="E115" s="2" t="n">
        <v>0.99389999999964</v>
      </c>
    </row>
    <row r="116" customFormat="false" ht="13.8" hidden="false" customHeight="false" outlineLevel="0" collapsed="false">
      <c r="B116" s="2" t="n">
        <v>115</v>
      </c>
      <c r="C116" s="2" t="n">
        <v>0.989033316580228</v>
      </c>
      <c r="D116" s="2" t="n">
        <v>0.979999999999738</v>
      </c>
      <c r="E116" s="2" t="n">
        <v>0.999099999999675</v>
      </c>
    </row>
    <row r="117" customFormat="false" ht="13.8" hidden="false" customHeight="false" outlineLevel="0" collapsed="false">
      <c r="B117" s="2" t="n">
        <v>116</v>
      </c>
      <c r="C117" s="2" t="n">
        <v>0.995516649949992</v>
      </c>
      <c r="D117" s="2" t="n">
        <v>0.979999999999755</v>
      </c>
      <c r="E117" s="2" t="n">
        <v>0.999299959999709</v>
      </c>
    </row>
    <row r="118" customFormat="false" ht="13.8" hidden="false" customHeight="false" outlineLevel="0" collapsed="false">
      <c r="B118" s="2" t="n">
        <v>117</v>
      </c>
      <c r="C118" s="2" t="n">
        <v>0.988909996666494</v>
      </c>
      <c r="D118" s="2" t="n">
        <v>0.979999999999798</v>
      </c>
      <c r="E118" s="2" t="n">
        <v>0.993899999999756</v>
      </c>
    </row>
    <row r="119" customFormat="false" ht="13.8" hidden="false" customHeight="false" outlineLevel="0" collapsed="false">
      <c r="B119" s="2" t="n">
        <v>118</v>
      </c>
      <c r="C119" s="2" t="n">
        <v>0.995746599999755</v>
      </c>
      <c r="D119" s="2" t="n">
        <v>0.979999999999755</v>
      </c>
      <c r="E119" s="2" t="n">
        <v>0.999099999999716</v>
      </c>
    </row>
    <row r="120" customFormat="false" ht="13.8" hidden="false" customHeight="false" outlineLevel="0" collapsed="false">
      <c r="B120" s="2" t="n">
        <v>119</v>
      </c>
      <c r="C120" s="2" t="n">
        <v>0.993943299957288</v>
      </c>
      <c r="D120" s="2" t="n">
        <v>0.980000000012534</v>
      </c>
      <c r="E120" s="2" t="n">
        <v>0.993949990006276</v>
      </c>
    </row>
    <row r="121" customFormat="false" ht="13.8" hidden="false" customHeight="false" outlineLevel="0" collapsed="false">
      <c r="B121" s="2" t="n">
        <v>120</v>
      </c>
      <c r="C121" s="2" t="n">
        <v>0.985673289926562</v>
      </c>
      <c r="D121" s="2" t="n">
        <v>0.98000000002178</v>
      </c>
      <c r="E121" s="2" t="n">
        <v>0.993266663405167</v>
      </c>
    </row>
    <row r="122" customFormat="false" ht="13.8" hidden="false" customHeight="false" outlineLevel="0" collapsed="false">
      <c r="B122" s="2" t="n">
        <v>121</v>
      </c>
      <c r="C122" s="2" t="n">
        <v>0.997999999999661</v>
      </c>
      <c r="D122" s="2" t="n">
        <v>0.994666666666327</v>
      </c>
      <c r="E122" s="2" t="n">
        <v>0.999749999938696</v>
      </c>
    </row>
    <row r="123" customFormat="false" ht="13.8" hidden="false" customHeight="false" outlineLevel="0" collapsed="false">
      <c r="B123" s="2" t="n">
        <v>122</v>
      </c>
      <c r="C123" s="2" t="n">
        <v>0.981126586666429</v>
      </c>
      <c r="D123" s="2" t="n">
        <v>0.999999999999724</v>
      </c>
      <c r="E123" s="2" t="n">
        <v>0.993266663332941</v>
      </c>
    </row>
    <row r="124" customFormat="false" ht="13.8" hidden="false" customHeight="false" outlineLevel="0" collapsed="false">
      <c r="B124" s="2" t="n">
        <v>123</v>
      </c>
      <c r="C124" s="2" t="n">
        <v>0.998916463333334</v>
      </c>
      <c r="D124" s="2" t="n">
        <v>0.99735164736072</v>
      </c>
      <c r="E124" s="2" t="n">
        <v>0.999750000000001</v>
      </c>
    </row>
    <row r="125" customFormat="false" ht="13.8" hidden="false" customHeight="false" outlineLevel="0" collapsed="false">
      <c r="B125" s="2" t="n">
        <v>124</v>
      </c>
      <c r="C125" s="2" t="n">
        <v>0.983949793333334</v>
      </c>
      <c r="D125" s="2" t="n">
        <v>0.998095781893694</v>
      </c>
      <c r="E125" s="2" t="n">
        <v>0.991300000000001</v>
      </c>
    </row>
    <row r="126" customFormat="false" ht="13.8" hidden="false" customHeight="false" outlineLevel="0" collapsed="false">
      <c r="B126" s="2" t="n">
        <v>125</v>
      </c>
      <c r="C126" s="2" t="n">
        <v>0.994949750000001</v>
      </c>
      <c r="D126" s="2" t="n">
        <v>0.996879006751713</v>
      </c>
      <c r="E126" s="2" t="n">
        <v>0.999100000000001</v>
      </c>
    </row>
    <row r="127" customFormat="false" ht="13.8" hidden="false" customHeight="false" outlineLevel="0" collapsed="false">
      <c r="B127" s="2" t="n">
        <v>126</v>
      </c>
      <c r="C127" s="2" t="n">
        <v>0.982856430000001</v>
      </c>
      <c r="D127" s="2" t="n">
        <v>0.9966390260537</v>
      </c>
      <c r="E127" s="2" t="n">
        <v>0.995233256666668</v>
      </c>
    </row>
    <row r="128" customFormat="false" ht="13.8" hidden="false" customHeight="false" outlineLevel="0" collapsed="false">
      <c r="B128" s="2" t="n">
        <v>127</v>
      </c>
      <c r="C128" s="2" t="n">
        <v>0.993716356666667</v>
      </c>
      <c r="D128" s="2" t="n">
        <v>0.996018179627763</v>
      </c>
      <c r="E128" s="2" t="n">
        <v>0.993299860000001</v>
      </c>
    </row>
    <row r="129" customFormat="false" ht="13.8" hidden="false" customHeight="false" outlineLevel="0" collapsed="false">
      <c r="B129" s="2" t="n">
        <v>128</v>
      </c>
      <c r="C129" s="2" t="n">
        <v>0.989839606666668</v>
      </c>
      <c r="D129" s="2" t="n">
        <v>1</v>
      </c>
      <c r="E129" s="2" t="n">
        <v>0.999749850000001</v>
      </c>
    </row>
    <row r="130" customFormat="false" ht="13.8" hidden="false" customHeight="false" outlineLevel="0" collapsed="false">
      <c r="B130" s="2" t="n">
        <v>129</v>
      </c>
      <c r="C130" s="2" t="n">
        <v>0.984959630000001</v>
      </c>
      <c r="D130" s="2" t="n">
        <v>1</v>
      </c>
      <c r="E130" s="2" t="n">
        <v>0.993249850000001</v>
      </c>
    </row>
    <row r="131" customFormat="false" ht="13.8" hidden="false" customHeight="false" outlineLevel="0" collapsed="false">
      <c r="B131" s="2" t="n">
        <v>130</v>
      </c>
      <c r="C131" s="2" t="n">
        <v>0.987772936666667</v>
      </c>
      <c r="D131" s="2" t="n">
        <v>1</v>
      </c>
      <c r="E131" s="2" t="n">
        <v>0.984683170000001</v>
      </c>
    </row>
    <row r="132" customFormat="false" ht="13.8" hidden="false" customHeight="false" outlineLevel="0" collapsed="false">
      <c r="B132" s="2" t="n">
        <v>131</v>
      </c>
      <c r="C132" s="2" t="n">
        <v>0.992132936776536</v>
      </c>
      <c r="D132" s="2" t="n">
        <v>0.99999999998327</v>
      </c>
      <c r="E132" s="2" t="n">
        <v>0.982299839983367</v>
      </c>
    </row>
    <row r="133" customFormat="false" ht="13.8" hidden="false" customHeight="false" outlineLevel="0" collapsed="false">
      <c r="B133" s="2" t="n">
        <v>132</v>
      </c>
      <c r="C133" s="2" t="n">
        <v>0.981006253333335</v>
      </c>
      <c r="D133" s="2" t="n">
        <v>0.99999455765714</v>
      </c>
      <c r="E133" s="2" t="n">
        <v>0.974316533333334</v>
      </c>
    </row>
    <row r="134" customFormat="false" ht="13.8" hidden="false" customHeight="false" outlineLevel="0" collapsed="false">
      <c r="B134" s="2" t="n">
        <v>133</v>
      </c>
      <c r="C134" s="2" t="n">
        <v>0.991699550045453</v>
      </c>
      <c r="D134" s="2" t="n">
        <v>0.999997612975503</v>
      </c>
      <c r="E134" s="2" t="n">
        <v>0.979966523326452</v>
      </c>
    </row>
    <row r="135" customFormat="false" ht="13.8" hidden="false" customHeight="false" outlineLevel="0" collapsed="false">
      <c r="B135" s="2" t="n">
        <v>134</v>
      </c>
      <c r="C135" s="2" t="n">
        <v>0.981299550000002</v>
      </c>
      <c r="D135" s="2" t="n">
        <v>1</v>
      </c>
      <c r="E135" s="2" t="n">
        <v>0.98154985</v>
      </c>
    </row>
    <row r="136" customFormat="false" ht="13.8" hidden="false" customHeight="false" outlineLevel="0" collapsed="false">
      <c r="B136" s="2" t="n">
        <v>135</v>
      </c>
      <c r="C136" s="2" t="n">
        <v>0.99169955001785</v>
      </c>
      <c r="D136" s="2" t="n">
        <v>0.999971860938976</v>
      </c>
      <c r="E136" s="2" t="n">
        <v>0.988316513330631</v>
      </c>
    </row>
    <row r="137" customFormat="false" ht="13.8" hidden="false" customHeight="false" outlineLevel="0" collapsed="false">
      <c r="B137" s="2" t="n">
        <v>136</v>
      </c>
      <c r="C137" s="2" t="n">
        <v>0.981299549990285</v>
      </c>
      <c r="D137" s="2" t="n">
        <v>0.999970732250028</v>
      </c>
      <c r="E137" s="2" t="n">
        <v>0.990529830009479</v>
      </c>
    </row>
    <row r="138" customFormat="false" ht="13.8" hidden="false" customHeight="false" outlineLevel="0" collapsed="false">
      <c r="B138" s="2" t="n">
        <v>137</v>
      </c>
      <c r="C138" s="2" t="n">
        <v>0.991406253327587</v>
      </c>
      <c r="D138" s="2" t="n">
        <v>0.999969361302347</v>
      </c>
      <c r="E138" s="2" t="n">
        <v>0.995649850043579</v>
      </c>
    </row>
    <row r="139" customFormat="false" ht="13.8" hidden="false" customHeight="false" outlineLevel="0" collapsed="false">
      <c r="B139" s="2" t="n">
        <v>138</v>
      </c>
      <c r="C139" s="2" t="n">
        <v>0.980899649974058</v>
      </c>
      <c r="D139" s="2" t="n">
        <v>0.999999999954913</v>
      </c>
      <c r="E139" s="2" t="n">
        <v>0.976449890009457</v>
      </c>
    </row>
    <row r="140" customFormat="false" ht="13.8" hidden="false" customHeight="false" outlineLevel="0" collapsed="false">
      <c r="B140" s="2" t="n">
        <v>139</v>
      </c>
      <c r="C140" s="2" t="n">
        <v>0.992106309998597</v>
      </c>
      <c r="D140" s="2" t="n">
        <v>0.999967434298964</v>
      </c>
      <c r="E140" s="2" t="n">
        <v>0.979483226670526</v>
      </c>
    </row>
    <row r="141" customFormat="false" ht="13.8" hidden="false" customHeight="false" outlineLevel="0" collapsed="false">
      <c r="B141" s="2" t="n">
        <v>140</v>
      </c>
      <c r="C141" s="2" t="n">
        <v>0.979249749958655</v>
      </c>
      <c r="D141" s="2" t="n">
        <v>0.999965536453298</v>
      </c>
      <c r="E141" s="2" t="n">
        <v>0.982266516675748</v>
      </c>
    </row>
    <row r="142" customFormat="false" ht="13.8" hidden="false" customHeight="false" outlineLevel="0" collapsed="false">
      <c r="B142" s="2" t="n">
        <v>141</v>
      </c>
      <c r="C142" s="2" t="n">
        <v>0.992116409999967</v>
      </c>
      <c r="D142" s="2" t="n">
        <v>1</v>
      </c>
      <c r="E142" s="2" t="n">
        <v>0.99275982</v>
      </c>
    </row>
    <row r="143" customFormat="false" ht="13.8" hidden="false" customHeight="false" outlineLevel="0" collapsed="false">
      <c r="B143" s="2" t="n">
        <v>142</v>
      </c>
      <c r="C143" s="2" t="n">
        <v>0.981666383413753</v>
      </c>
      <c r="D143" s="2" t="n">
        <v>1.00000000000002</v>
      </c>
      <c r="E143" s="2" t="n">
        <v>0.991299840000018</v>
      </c>
    </row>
    <row r="144" customFormat="false" ht="13.8" hidden="false" customHeight="false" outlineLevel="0" collapsed="false">
      <c r="B144" s="2" t="n">
        <v>143</v>
      </c>
      <c r="C144" s="2" t="n">
        <v>0.98139975011589</v>
      </c>
      <c r="D144" s="2" t="n">
        <v>0.999945775418326</v>
      </c>
      <c r="E144" s="2" t="n">
        <v>0.995199850000026</v>
      </c>
    </row>
    <row r="145" customFormat="false" ht="13.8" hidden="false" customHeight="false" outlineLevel="0" collapsed="false">
      <c r="B145" s="2" t="n">
        <v>144</v>
      </c>
      <c r="C145" s="2" t="n">
        <v>0.988266346666543</v>
      </c>
      <c r="D145" s="2" t="n">
        <v>0.999918883779399</v>
      </c>
      <c r="E145" s="2" t="n">
        <v>0.991219869999924</v>
      </c>
    </row>
    <row r="146" customFormat="false" ht="13.8" hidden="false" customHeight="false" outlineLevel="0" collapsed="false">
      <c r="B146" s="2" t="n">
        <v>145</v>
      </c>
      <c r="C146" s="2" t="n">
        <v>0.989899559971332</v>
      </c>
      <c r="D146" s="2" t="n">
        <v>1.00000000001164</v>
      </c>
      <c r="E146" s="2" t="n">
        <v>0.999683206729782</v>
      </c>
    </row>
    <row r="147" customFormat="false" ht="13.8" hidden="false" customHeight="false" outlineLevel="0" collapsed="false">
      <c r="B147" s="2" t="n">
        <v>146</v>
      </c>
      <c r="C147" s="2" t="n">
        <v>0.99177955</v>
      </c>
      <c r="D147" s="2" t="n">
        <v>1</v>
      </c>
      <c r="E147" s="2" t="n">
        <v>0.98192321</v>
      </c>
    </row>
    <row r="148" customFormat="false" ht="13.8" hidden="false" customHeight="false" outlineLevel="0" collapsed="false">
      <c r="B148" s="2" t="n">
        <v>147</v>
      </c>
      <c r="C148" s="2" t="n">
        <v>0.99116952</v>
      </c>
      <c r="D148" s="2" t="n">
        <v>1</v>
      </c>
      <c r="E148" s="2" t="n">
        <v>0.969416583333333</v>
      </c>
    </row>
    <row r="149" customFormat="false" ht="13.8" hidden="false" customHeight="false" outlineLevel="0" collapsed="false">
      <c r="B149" s="2" t="n">
        <v>148</v>
      </c>
      <c r="C149" s="2" t="n">
        <v>0.980656343333333</v>
      </c>
      <c r="D149" s="2" t="n">
        <v>0.999202616714856</v>
      </c>
      <c r="E149" s="2" t="n">
        <v>0.968616563333333</v>
      </c>
    </row>
    <row r="150" customFormat="false" ht="13.8" hidden="false" customHeight="false" outlineLevel="0" collapsed="false">
      <c r="B150" s="2" t="n">
        <v>149</v>
      </c>
      <c r="C150" s="2" t="n">
        <v>0.989819660000045</v>
      </c>
      <c r="D150" s="2" t="n">
        <v>1</v>
      </c>
      <c r="E150" s="2" t="n">
        <v>0.99454985</v>
      </c>
    </row>
    <row r="151" customFormat="false" ht="13.8" hidden="false" customHeight="false" outlineLevel="0" collapsed="false">
      <c r="B151" s="2" t="n">
        <v>150</v>
      </c>
      <c r="C151" s="2" t="n">
        <v>0.980746323346668</v>
      </c>
      <c r="D151" s="2" t="n">
        <v>0.996742075578005</v>
      </c>
      <c r="E151" s="2" t="n">
        <v>0.991949843232056</v>
      </c>
    </row>
    <row r="152" customFormat="false" ht="13.8" hidden="false" customHeight="false" outlineLevel="0" collapsed="false">
      <c r="B152" s="2" t="n">
        <v>151</v>
      </c>
      <c r="C152" s="2" t="n">
        <v>0.990572990000088</v>
      </c>
      <c r="D152" s="2" t="n">
        <v>0.996731055267124</v>
      </c>
      <c r="E152" s="2" t="n">
        <v>0.99454982333332</v>
      </c>
    </row>
    <row r="153" customFormat="false" ht="13.8" hidden="false" customHeight="false" outlineLevel="0" collapsed="false">
      <c r="B153" s="2" t="n">
        <v>152</v>
      </c>
      <c r="C153" s="2" t="n">
        <v>0.97988974666667</v>
      </c>
      <c r="D153" s="2" t="n">
        <v>0.999999999999999</v>
      </c>
      <c r="E153" s="2" t="n">
        <v>0.991949856666648</v>
      </c>
    </row>
    <row r="154" customFormat="false" ht="13.8" hidden="false" customHeight="false" outlineLevel="0" collapsed="false">
      <c r="B154" s="2" t="n">
        <v>153</v>
      </c>
      <c r="C154" s="2" t="n">
        <v>0.993633156672704</v>
      </c>
      <c r="D154" s="2" t="n">
        <v>0.999999999999086</v>
      </c>
      <c r="E154" s="2" t="n">
        <v>0.994496529999056</v>
      </c>
    </row>
    <row r="155" customFormat="false" ht="13.8" hidden="false" customHeight="false" outlineLevel="0" collapsed="false">
      <c r="B155" s="2" t="n">
        <v>154</v>
      </c>
      <c r="C155" s="2" t="n">
        <v>0.987066549999999</v>
      </c>
      <c r="D155" s="2" t="n">
        <v>0.999999999999998</v>
      </c>
      <c r="E155" s="2" t="n">
        <v>0.99826656333329</v>
      </c>
    </row>
    <row r="156" customFormat="false" ht="13.8" hidden="false" customHeight="false" outlineLevel="0" collapsed="false">
      <c r="B156" s="2" t="n">
        <v>155</v>
      </c>
      <c r="C156" s="2" t="n">
        <v>0.98509995</v>
      </c>
      <c r="D156" s="2" t="n">
        <v>0.999999999999998</v>
      </c>
      <c r="E156" s="2" t="n">
        <v>0.98979989999995</v>
      </c>
    </row>
    <row r="157" customFormat="false" ht="13.8" hidden="false" customHeight="false" outlineLevel="0" collapsed="false">
      <c r="B157" s="2" t="n">
        <v>156</v>
      </c>
      <c r="C157" s="2" t="n">
        <v>0.986999959999999</v>
      </c>
      <c r="D157" s="2" t="n">
        <v>0.999999999999998</v>
      </c>
      <c r="E157" s="2" t="n">
        <v>0.996313203333277</v>
      </c>
    </row>
    <row r="158" customFormat="false" ht="13.8" hidden="false" customHeight="false" outlineLevel="0" collapsed="false">
      <c r="B158" s="2" t="n">
        <v>157</v>
      </c>
      <c r="C158" s="2" t="n">
        <v>0.985850000000002</v>
      </c>
      <c r="D158" s="2" t="n">
        <v>0.99625531730078</v>
      </c>
      <c r="E158" s="2" t="n">
        <v>0.989999799999958</v>
      </c>
    </row>
    <row r="159" customFormat="false" ht="13.8" hidden="false" customHeight="false" outlineLevel="0" collapsed="false">
      <c r="B159" s="2" t="n">
        <v>158</v>
      </c>
      <c r="C159" s="2" t="n">
        <v>0.980650000000001</v>
      </c>
      <c r="D159" s="2" t="n">
        <v>0.996926768708085</v>
      </c>
      <c r="E159" s="2" t="n">
        <v>0.997949769999954</v>
      </c>
    </row>
    <row r="160" customFormat="false" ht="13.8" hidden="false" customHeight="false" outlineLevel="0" collapsed="false">
      <c r="B160" s="2" t="n">
        <v>159</v>
      </c>
      <c r="C160" s="2" t="n">
        <v>0.989833316666665</v>
      </c>
      <c r="D160" s="2" t="n">
        <v>0.999999999999998</v>
      </c>
      <c r="E160" s="2" t="n">
        <v>0.999626473333259</v>
      </c>
    </row>
    <row r="161" customFormat="false" ht="13.8" hidden="false" customHeight="false" outlineLevel="0" collapsed="false">
      <c r="B161" s="2" t="n">
        <v>160</v>
      </c>
      <c r="C161" s="2" t="n">
        <v>0.981950000000002</v>
      </c>
      <c r="D161" s="2" t="n">
        <v>0.999999999999997</v>
      </c>
      <c r="E161" s="2" t="n">
        <v>0.990659889999948</v>
      </c>
    </row>
    <row r="162" customFormat="false" ht="13.8" hidden="false" customHeight="false" outlineLevel="0" collapsed="false">
      <c r="B162" s="2" t="n">
        <v>161</v>
      </c>
      <c r="C162" s="2" t="n">
        <v>0.992383326666681</v>
      </c>
      <c r="D162" s="2" t="n">
        <v>0.994249102160346</v>
      </c>
      <c r="E162" s="2" t="n">
        <v>0.991166573333249</v>
      </c>
    </row>
    <row r="163" customFormat="false" ht="13.8" hidden="false" customHeight="false" outlineLevel="0" collapsed="false">
      <c r="B163" s="2" t="n">
        <v>162</v>
      </c>
      <c r="C163" s="2" t="n">
        <v>0.988666623333445</v>
      </c>
      <c r="D163" s="2" t="n">
        <v>0.996967905388159</v>
      </c>
      <c r="E163" s="2" t="n">
        <v>0.965619946666607</v>
      </c>
    </row>
    <row r="164" customFormat="false" ht="13.8" hidden="false" customHeight="false" outlineLevel="0" collapsed="false">
      <c r="B164" s="2" t="n">
        <v>163</v>
      </c>
      <c r="C164" s="2" t="n">
        <v>0.986299990000715</v>
      </c>
      <c r="D164" s="2" t="n">
        <v>0.999999999999917</v>
      </c>
      <c r="E164" s="2" t="n">
        <v>0.969799899999921</v>
      </c>
    </row>
    <row r="165" customFormat="false" ht="13.8" hidden="false" customHeight="false" outlineLevel="0" collapsed="false">
      <c r="B165" s="2" t="n">
        <v>164</v>
      </c>
      <c r="C165" s="2" t="n">
        <v>0.986216634217883</v>
      </c>
      <c r="D165" s="2" t="n">
        <v>0.999999999997117</v>
      </c>
      <c r="E165" s="2" t="n">
        <v>0.96515322666383</v>
      </c>
    </row>
    <row r="166" customFormat="false" ht="13.8" hidden="false" customHeight="false" outlineLevel="0" collapsed="false">
      <c r="B166" s="2" t="n">
        <v>165</v>
      </c>
      <c r="C166" s="2" t="n">
        <v>0.986133326668026</v>
      </c>
      <c r="D166" s="2" t="n">
        <v>0.999999999999918</v>
      </c>
      <c r="E166" s="2" t="n">
        <v>0.987093149999913</v>
      </c>
    </row>
    <row r="167" customFormat="false" ht="13.8" hidden="false" customHeight="false" outlineLevel="0" collapsed="false">
      <c r="B167" s="2" t="n">
        <v>166</v>
      </c>
      <c r="C167" s="2" t="n">
        <v>0.987583297672187</v>
      </c>
      <c r="D167" s="2" t="n">
        <v>0.999999999997277</v>
      </c>
      <c r="E167" s="2" t="n">
        <v>0.9878898199973</v>
      </c>
    </row>
    <row r="168" customFormat="false" ht="13.8" hidden="false" customHeight="false" outlineLevel="0" collapsed="false">
      <c r="B168" s="2" t="n">
        <v>167</v>
      </c>
      <c r="C168" s="2" t="n">
        <v>0.987666551066781</v>
      </c>
      <c r="D168" s="2" t="n">
        <v>0.999999999997347</v>
      </c>
      <c r="E168" s="2" t="n">
        <v>0.992416449997368</v>
      </c>
    </row>
    <row r="169" customFormat="false" ht="13.8" hidden="false" customHeight="false" outlineLevel="0" collapsed="false">
      <c r="B169" s="2" t="n">
        <v>168</v>
      </c>
      <c r="C169" s="2" t="n">
        <v>0.982383257792724</v>
      </c>
      <c r="D169" s="2" t="n">
        <v>0.999999999997411</v>
      </c>
      <c r="E169" s="2" t="n">
        <v>0.990249796664103</v>
      </c>
    </row>
    <row r="170" customFormat="false" ht="13.8" hidden="false" customHeight="false" outlineLevel="0" collapsed="false">
      <c r="B170" s="2" t="n">
        <v>169</v>
      </c>
      <c r="C170" s="2" t="n">
        <v>0.988899884518585</v>
      </c>
      <c r="D170" s="2" t="n">
        <v>0.999999999997476</v>
      </c>
      <c r="E170" s="2" t="n">
        <v>0.995059849997504</v>
      </c>
    </row>
    <row r="171" customFormat="false" ht="13.8" hidden="false" customHeight="false" outlineLevel="0" collapsed="false">
      <c r="B171" s="2" t="n">
        <v>170</v>
      </c>
      <c r="C171" s="2" t="n">
        <v>0.981099734577648</v>
      </c>
      <c r="D171" s="2" t="n">
        <v>0.99999999999754</v>
      </c>
      <c r="E171" s="2" t="n">
        <v>0.999983229997573</v>
      </c>
    </row>
    <row r="172" customFormat="false" ht="13.8" hidden="false" customHeight="false" outlineLevel="0" collapsed="false">
      <c r="B172" s="2" t="n">
        <v>171</v>
      </c>
      <c r="C172" s="2" t="n">
        <v>0.991152971306187</v>
      </c>
      <c r="D172" s="2" t="n">
        <v>0.999999999997605</v>
      </c>
      <c r="E172" s="2" t="n">
        <v>0.999999909997641</v>
      </c>
    </row>
    <row r="173" customFormat="false" ht="13.8" hidden="false" customHeight="false" outlineLevel="0" collapsed="false">
      <c r="B173" s="2" t="n">
        <v>172</v>
      </c>
      <c r="C173" s="2" t="n">
        <v>0.985639454703438</v>
      </c>
      <c r="D173" s="2" t="n">
        <v>0.99999999999797</v>
      </c>
      <c r="E173" s="2" t="n">
        <v>0.996499999997709</v>
      </c>
    </row>
    <row r="174" customFormat="false" ht="13.8" hidden="false" customHeight="false" outlineLevel="0" collapsed="false">
      <c r="B174" s="2" t="n">
        <v>173</v>
      </c>
      <c r="C174" s="2" t="n">
        <v>0.985375957823444</v>
      </c>
      <c r="D174" s="2" t="n">
        <v>0.999999998656009</v>
      </c>
      <c r="E174" s="2" t="n">
        <v>0.989999999997152</v>
      </c>
    </row>
    <row r="175" customFormat="false" ht="13.8" hidden="false" customHeight="false" outlineLevel="0" collapsed="false">
      <c r="B175" s="2" t="n">
        <v>174</v>
      </c>
      <c r="C175" s="2" t="n">
        <v>0.979542614562529</v>
      </c>
      <c r="D175" s="2" t="n">
        <v>0.985333332215076</v>
      </c>
      <c r="E175" s="2" t="n">
        <v>0.996499999996723</v>
      </c>
    </row>
    <row r="176" customFormat="false" ht="13.8" hidden="false" customHeight="false" outlineLevel="0" collapsed="false">
      <c r="B176" s="2" t="n">
        <v>175</v>
      </c>
      <c r="C176" s="2" t="n">
        <v>0.984859161302182</v>
      </c>
      <c r="D176" s="2" t="n">
        <v>0.979999998951782</v>
      </c>
      <c r="E176" s="2" t="n">
        <v>0.989999999996863</v>
      </c>
    </row>
    <row r="177" customFormat="false" ht="13.8" hidden="false" customHeight="false" outlineLevel="0" collapsed="false">
      <c r="B177" s="2" t="n">
        <v>176</v>
      </c>
      <c r="C177" s="2" t="n">
        <v>0.978572628041837</v>
      </c>
      <c r="D177" s="2" t="n">
        <v>0.979999999021817</v>
      </c>
      <c r="E177" s="2" t="n">
        <v>0.999999949997003</v>
      </c>
    </row>
    <row r="178" customFormat="false" ht="13.8" hidden="false" customHeight="false" outlineLevel="0" collapsed="false">
      <c r="B178" s="2" t="n">
        <v>177</v>
      </c>
      <c r="C178" s="2" t="n">
        <v>0.982062514781493</v>
      </c>
      <c r="D178" s="2" t="n">
        <v>0.97999999909185</v>
      </c>
      <c r="E178" s="2" t="n">
        <v>0.993299989997143</v>
      </c>
    </row>
    <row r="179" customFormat="false" ht="13.8" hidden="false" customHeight="false" outlineLevel="0" collapsed="false">
      <c r="B179" s="2" t="n">
        <v>178</v>
      </c>
      <c r="C179" s="2" t="n">
        <v>0.978309108187816</v>
      </c>
      <c r="D179" s="2" t="n">
        <v>0.979999999161877</v>
      </c>
      <c r="E179" s="2" t="n">
        <v>0.999749999997282</v>
      </c>
    </row>
    <row r="180" customFormat="false" ht="13.8" hidden="false" customHeight="false" outlineLevel="0" collapsed="false">
      <c r="B180" s="2" t="n">
        <v>179</v>
      </c>
      <c r="C180" s="2" t="n">
        <v>0.982569124927473</v>
      </c>
      <c r="D180" s="2" t="n">
        <v>0.979999999231898</v>
      </c>
      <c r="E180" s="2" t="n">
        <v>0.993249999997422</v>
      </c>
    </row>
    <row r="181" customFormat="false" ht="13.8" hidden="false" customHeight="false" outlineLevel="0" collapsed="false">
      <c r="B181" s="2" t="n">
        <v>180</v>
      </c>
      <c r="C181" s="2" t="n">
        <v>0.98061578166713</v>
      </c>
      <c r="D181" s="2" t="n">
        <v>0.97999999930191</v>
      </c>
      <c r="E181" s="2" t="n">
        <v>0.999749999997562</v>
      </c>
    </row>
    <row r="182" customFormat="false" ht="13.8" hidden="false" customHeight="false" outlineLevel="0" collapsed="false">
      <c r="B182" s="2" t="n">
        <v>181</v>
      </c>
      <c r="C182" s="2" t="n">
        <v>0.984602525073455</v>
      </c>
      <c r="D182" s="2" t="n">
        <v>0.979999999371909</v>
      </c>
      <c r="E182" s="2" t="n">
        <v>0.993249999997702</v>
      </c>
    </row>
    <row r="183" customFormat="false" ht="13.8" hidden="false" customHeight="false" outlineLevel="0" collapsed="false">
      <c r="B183" s="2" t="n">
        <v>182</v>
      </c>
      <c r="C183" s="2" t="n">
        <v>0.984865895146447</v>
      </c>
      <c r="D183" s="2" t="n">
        <v>0.97999999944189</v>
      </c>
      <c r="E183" s="2" t="n">
        <v>0.995316643331176</v>
      </c>
    </row>
    <row r="184" customFormat="false" ht="13.8" hidden="false" customHeight="false" outlineLevel="0" collapsed="false">
      <c r="B184" s="2" t="n">
        <v>183</v>
      </c>
      <c r="C184" s="2" t="n">
        <v>0.98744265521944</v>
      </c>
      <c r="D184" s="2" t="n">
        <v>0.979999999511843</v>
      </c>
      <c r="E184" s="2" t="n">
        <v>0.997799999997982</v>
      </c>
    </row>
    <row r="185" customFormat="false" ht="13.8" hidden="false" customHeight="false" outlineLevel="0" collapsed="false">
      <c r="B185" s="2" t="n">
        <v>184</v>
      </c>
      <c r="C185" s="2" t="n">
        <v>0.991152538625767</v>
      </c>
      <c r="D185" s="2" t="n">
        <v>0.97999999958175</v>
      </c>
      <c r="E185" s="2" t="n">
        <v>0.997199989998122</v>
      </c>
    </row>
    <row r="186" customFormat="false" ht="13.8" hidden="false" customHeight="false" outlineLevel="0" collapsed="false">
      <c r="B186" s="2" t="n">
        <v>185</v>
      </c>
      <c r="C186" s="2" t="n">
        <v>0.978405882032096</v>
      </c>
      <c r="D186" s="2" t="n">
        <v>0.979999999651576</v>
      </c>
      <c r="E186" s="2" t="n">
        <v>0.993299989998262</v>
      </c>
    </row>
    <row r="187" customFormat="false" ht="13.8" hidden="false" customHeight="false" outlineLevel="0" collapsed="false">
      <c r="B187" s="2" t="n">
        <v>186</v>
      </c>
      <c r="C187" s="2" t="n">
        <v>0.99029249210509</v>
      </c>
      <c r="D187" s="2" t="n">
        <v>0.97999999972124</v>
      </c>
      <c r="E187" s="2" t="n">
        <v>0.999749999998402</v>
      </c>
    </row>
    <row r="188" customFormat="false" ht="13.8" hidden="false" customHeight="false" outlineLevel="0" collapsed="false">
      <c r="B188" s="2" t="n">
        <v>187</v>
      </c>
      <c r="C188" s="2" t="n">
        <v>0.985249338844753</v>
      </c>
      <c r="D188" s="2" t="n">
        <v>0.979999999790505</v>
      </c>
      <c r="E188" s="2" t="n">
        <v>0.993249999998542</v>
      </c>
    </row>
    <row r="189" customFormat="false" ht="13.8" hidden="false" customHeight="false" outlineLevel="0" collapsed="false">
      <c r="B189" s="2" t="n">
        <v>188</v>
      </c>
      <c r="C189" s="2" t="n">
        <v>0.981032725584394</v>
      </c>
      <c r="D189" s="2" t="n">
        <v>0.97999999986152</v>
      </c>
      <c r="E189" s="2" t="n">
        <v>0.999749999998682</v>
      </c>
    </row>
    <row r="190" customFormat="false" ht="13.8" hidden="false" customHeight="false" outlineLevel="0" collapsed="false">
      <c r="B190" s="2" t="n">
        <v>189</v>
      </c>
      <c r="C190" s="2" t="n">
        <v>0.986269392356358</v>
      </c>
      <c r="D190" s="2" t="n">
        <v>0.97999999999948</v>
      </c>
      <c r="E190" s="2" t="n">
        <v>0.993266663332248</v>
      </c>
    </row>
    <row r="191" customFormat="false" ht="13.8" hidden="false" customHeight="false" outlineLevel="0" collapsed="false">
      <c r="B191" s="2" t="n">
        <v>190</v>
      </c>
      <c r="C191" s="2" t="n">
        <v>0.988175989059434</v>
      </c>
      <c r="D191" s="2" t="n">
        <v>0.979999999999421</v>
      </c>
      <c r="E191" s="2" t="n">
        <v>0.993333316665616</v>
      </c>
    </row>
    <row r="192" customFormat="false" ht="13.8" hidden="false" customHeight="false" outlineLevel="0" collapsed="false">
      <c r="B192" s="2" t="n">
        <v>191</v>
      </c>
      <c r="C192" s="2" t="n">
        <v>0.99628623242923</v>
      </c>
      <c r="D192" s="2" t="n">
        <v>0.983999999999445</v>
      </c>
      <c r="E192" s="2" t="n">
        <v>0.999749999998984</v>
      </c>
    </row>
    <row r="193" customFormat="false" ht="13.8" hidden="false" customHeight="false" outlineLevel="0" collapsed="false">
      <c r="B193" s="2" t="n">
        <v>192</v>
      </c>
      <c r="C193" s="2" t="n">
        <v>0.991099502458867</v>
      </c>
      <c r="D193" s="2" t="n">
        <v>0.999999999984524</v>
      </c>
      <c r="E193" s="2" t="n">
        <v>0.998583306665665</v>
      </c>
    </row>
    <row r="194" customFormat="false" ht="13.8" hidden="false" customHeight="false" outlineLevel="0" collapsed="false">
      <c r="B194" s="2" t="n">
        <v>193</v>
      </c>
      <c r="C194" s="2" t="n">
        <v>0.998146159163742</v>
      </c>
      <c r="D194" s="2" t="n">
        <v>0.999999999988486</v>
      </c>
      <c r="E194" s="2" t="n">
        <v>0.999783326665705</v>
      </c>
    </row>
    <row r="195" customFormat="false" ht="13.8" hidden="false" customHeight="false" outlineLevel="0" collapsed="false">
      <c r="B195" s="2" t="n">
        <v>194</v>
      </c>
      <c r="C195" s="2" t="n">
        <v>0.994209522535281</v>
      </c>
      <c r="D195" s="2" t="n">
        <v>0.999999999992435</v>
      </c>
      <c r="E195" s="2" t="n">
        <v>0.994549999999078</v>
      </c>
    </row>
    <row r="196" customFormat="false" ht="13.8" hidden="false" customHeight="false" outlineLevel="0" collapsed="false">
      <c r="B196" s="2" t="n">
        <v>195</v>
      </c>
      <c r="C196" s="2" t="n">
        <v>0.983646389241732</v>
      </c>
      <c r="D196" s="2" t="n">
        <v>0.981333333332842</v>
      </c>
      <c r="E196" s="2" t="n">
        <v>0.998449999999122</v>
      </c>
    </row>
    <row r="197" customFormat="false" ht="13.8" hidden="false" customHeight="false" outlineLevel="0" collapsed="false">
      <c r="B197" s="2" t="n">
        <v>196</v>
      </c>
      <c r="C197" s="2" t="n">
        <v>0.997349902611523</v>
      </c>
      <c r="D197" s="2" t="n">
        <v>0.979999999999522</v>
      </c>
      <c r="E197" s="2" t="n">
        <v>0.994549999999157</v>
      </c>
    </row>
    <row r="198" customFormat="false" ht="13.8" hidden="false" customHeight="false" outlineLevel="0" collapsed="false">
      <c r="B198" s="2" t="n">
        <v>197</v>
      </c>
      <c r="C198" s="2" t="n">
        <v>0.984476622647467</v>
      </c>
      <c r="D198" s="2" t="n">
        <v>0.979999999997612</v>
      </c>
      <c r="E198" s="2" t="n">
        <v>0.998449999999196</v>
      </c>
    </row>
    <row r="199" customFormat="false" ht="13.8" hidden="false" customHeight="false" outlineLevel="0" collapsed="false">
      <c r="B199" s="2" t="n">
        <v>198</v>
      </c>
      <c r="C199" s="2" t="n">
        <v>0.997249976017778</v>
      </c>
      <c r="D199" s="2" t="n">
        <v>0.979999999999556</v>
      </c>
      <c r="E199" s="2" t="n">
        <v>0.994549999999226</v>
      </c>
    </row>
    <row r="200" customFormat="false" ht="13.8" hidden="false" customHeight="false" outlineLevel="0" collapsed="false">
      <c r="B200" s="2" t="n">
        <v>199</v>
      </c>
      <c r="C200" s="2" t="n">
        <v>0.990683282720906</v>
      </c>
      <c r="D200" s="2" t="n">
        <v>0.979999999999573</v>
      </c>
      <c r="E200" s="2" t="n">
        <v>0.99844999999926</v>
      </c>
    </row>
    <row r="201" customFormat="false" ht="13.8" hidden="false" customHeight="false" outlineLevel="0" collapsed="false">
      <c r="B201" s="2" t="n">
        <v>200</v>
      </c>
      <c r="C201" s="2" t="n">
        <v>0.996949999424034</v>
      </c>
      <c r="D201" s="2" t="n">
        <v>0.979999999999589</v>
      </c>
      <c r="E201" s="2" t="n">
        <v>0.994549999999295</v>
      </c>
    </row>
    <row r="202" customFormat="false" ht="13.8" hidden="false" customHeight="false" outlineLevel="0" collapsed="false">
      <c r="B202" s="2" t="n">
        <v>201</v>
      </c>
      <c r="C202" s="2" t="n">
        <v>0.984016649460496</v>
      </c>
      <c r="D202" s="2" t="n">
        <v>0.979999999999606</v>
      </c>
      <c r="E202" s="2" t="n">
        <v>0.99844999999933</v>
      </c>
    </row>
    <row r="203" customFormat="false" ht="13.8" hidden="false" customHeight="false" outlineLevel="0" collapsed="false">
      <c r="B203" s="2" t="n">
        <v>202</v>
      </c>
      <c r="C203" s="2" t="n">
        <v>0.997069952830291</v>
      </c>
      <c r="D203" s="2" t="n">
        <v>0.979999999999623</v>
      </c>
      <c r="E203" s="2" t="n">
        <v>0.999749999999364</v>
      </c>
    </row>
    <row r="204" customFormat="false" ht="13.8" hidden="false" customHeight="false" outlineLevel="0" collapsed="false">
      <c r="B204" s="2" t="n">
        <v>203</v>
      </c>
      <c r="C204" s="2" t="n">
        <v>0.997156616200087</v>
      </c>
      <c r="D204" s="2" t="n">
        <v>0.97999999999964</v>
      </c>
      <c r="E204" s="2" t="n">
        <v>0.995849999999399</v>
      </c>
    </row>
    <row r="205" customFormat="false" ht="13.8" hidden="false" customHeight="false" outlineLevel="0" collapsed="false">
      <c r="B205" s="2" t="n">
        <v>204</v>
      </c>
      <c r="C205" s="2" t="n">
        <v>0.985999972903216</v>
      </c>
      <c r="D205" s="2" t="n">
        <v>0.979999999999657</v>
      </c>
      <c r="E205" s="2" t="n">
        <v>0.997149999999433</v>
      </c>
    </row>
    <row r="206" customFormat="false" ht="13.8" hidden="false" customHeight="false" outlineLevel="0" collapsed="false">
      <c r="B206" s="2" t="n">
        <v>205</v>
      </c>
      <c r="C206" s="2" t="n">
        <v>0.995609992939679</v>
      </c>
      <c r="D206" s="2" t="n">
        <v>0.979999999999673</v>
      </c>
      <c r="E206" s="2" t="n">
        <v>0.995849999999468</v>
      </c>
    </row>
    <row r="207" customFormat="false" ht="13.8" hidden="false" customHeight="false" outlineLevel="0" collapsed="false">
      <c r="B207" s="2" t="n">
        <v>206</v>
      </c>
      <c r="C207" s="2" t="n">
        <v>0.985949972976143</v>
      </c>
      <c r="D207" s="2" t="n">
        <v>0.97999999999969</v>
      </c>
      <c r="E207" s="2" t="n">
        <v>0.997149999999503</v>
      </c>
    </row>
    <row r="208" customFormat="false" ht="13.8" hidden="false" customHeight="false" outlineLevel="0" collapsed="false">
      <c r="B208" s="2" t="n">
        <v>207</v>
      </c>
      <c r="C208" s="2" t="n">
        <v>0.996183319679273</v>
      </c>
      <c r="D208" s="2" t="n">
        <v>0.979999999999707</v>
      </c>
      <c r="E208" s="2" t="n">
        <v>0.999183316666204</v>
      </c>
    </row>
    <row r="209" customFormat="false" ht="13.8" hidden="false" customHeight="false" outlineLevel="0" collapsed="false">
      <c r="B209" s="2" t="n">
        <v>208</v>
      </c>
      <c r="C209" s="2" t="n">
        <v>0.985723319715736</v>
      </c>
      <c r="D209" s="2" t="n">
        <v>0.979999999999724</v>
      </c>
      <c r="E209" s="2" t="n">
        <v>0.999983286666238</v>
      </c>
    </row>
    <row r="210" customFormat="false" ht="13.8" hidden="false" customHeight="false" outlineLevel="0" collapsed="false">
      <c r="B210" s="2" t="n">
        <v>209</v>
      </c>
      <c r="C210" s="2" t="n">
        <v>0.996293256418866</v>
      </c>
      <c r="D210" s="2" t="n">
        <v>0.979999999999741</v>
      </c>
      <c r="E210" s="2" t="n">
        <v>0.999749999999606</v>
      </c>
    </row>
    <row r="211" customFormat="false" ht="13.8" hidden="false" customHeight="false" outlineLevel="0" collapsed="false">
      <c r="B211" s="2" t="n">
        <v>210</v>
      </c>
      <c r="C211" s="2" t="n">
        <v>0.991163283121996</v>
      </c>
      <c r="D211" s="2" t="n">
        <v>0.979999999999758</v>
      </c>
      <c r="E211" s="2" t="n">
        <v>0.993249999999641</v>
      </c>
    </row>
    <row r="212" customFormat="false" ht="13.8" hidden="false" customHeight="false" outlineLevel="0" collapsed="false">
      <c r="B212" s="2" t="n">
        <v>211</v>
      </c>
      <c r="C212" s="2" t="n">
        <v>0.991799989825125</v>
      </c>
      <c r="D212" s="2" t="n">
        <v>0.979999999999774</v>
      </c>
      <c r="E212" s="2" t="n">
        <v>0.999783326666342</v>
      </c>
    </row>
    <row r="213" customFormat="false" ht="13.8" hidden="false" customHeight="false" outlineLevel="0" collapsed="false">
      <c r="B213" s="2" t="n">
        <v>212</v>
      </c>
      <c r="C213" s="2" t="n">
        <v>0.98656666319492</v>
      </c>
      <c r="D213" s="2" t="n">
        <v>0.979999999999791</v>
      </c>
      <c r="E213" s="2" t="n">
        <v>0.99999994999971</v>
      </c>
    </row>
    <row r="214" customFormat="false" ht="13.8" hidden="false" customHeight="false" outlineLevel="0" collapsed="false">
      <c r="B214" s="2" t="n">
        <v>213</v>
      </c>
      <c r="C214" s="2" t="n">
        <v>0.983299999898044</v>
      </c>
      <c r="D214" s="2" t="n">
        <v>0.979999999999808</v>
      </c>
      <c r="E214" s="2" t="n">
        <v>0.999916633333078</v>
      </c>
    </row>
    <row r="215" customFormat="false" ht="13.8" hidden="false" customHeight="false" outlineLevel="0" collapsed="false">
      <c r="B215" s="2" t="n">
        <v>214</v>
      </c>
      <c r="C215" s="2" t="n">
        <v>0.988543319942814</v>
      </c>
      <c r="D215" s="2" t="n">
        <v>0.979999999999796</v>
      </c>
      <c r="E215" s="2" t="n">
        <v>0.993249999999753</v>
      </c>
    </row>
    <row r="216" customFormat="false" ht="13.8" hidden="false" customHeight="false" outlineLevel="0" collapsed="false">
      <c r="B216" s="2" t="n">
        <v>215</v>
      </c>
      <c r="C216" s="2" t="n">
        <v>0.984683293333211</v>
      </c>
      <c r="D216" s="2" t="n">
        <v>0.979999999999841</v>
      </c>
      <c r="E216" s="2" t="n">
        <v>0.993249999999816</v>
      </c>
    </row>
    <row r="217" customFormat="false" ht="13.8" hidden="false" customHeight="false" outlineLevel="0" collapsed="false">
      <c r="B217" s="2" t="n">
        <v>216</v>
      </c>
      <c r="C217" s="2" t="n">
        <v>0.989303326666508</v>
      </c>
      <c r="D217" s="2" t="n">
        <v>0.979999999999841</v>
      </c>
      <c r="E217" s="2" t="n">
        <v>0.993249999999816</v>
      </c>
    </row>
    <row r="218" customFormat="false" ht="13.8" hidden="false" customHeight="false" outlineLevel="0" collapsed="false">
      <c r="B218" s="2" t="n">
        <v>217</v>
      </c>
      <c r="C218" s="2" t="n">
        <v>0.985036606666508</v>
      </c>
      <c r="D218" s="2" t="n">
        <v>0.979999999999841</v>
      </c>
      <c r="E218" s="2" t="n">
        <v>0.993249999999816</v>
      </c>
    </row>
    <row r="219" customFormat="false" ht="13.8" hidden="false" customHeight="false" outlineLevel="0" collapsed="false">
      <c r="B219" s="2" t="n">
        <v>218</v>
      </c>
      <c r="C219" s="2" t="n">
        <v>0.990253216666508</v>
      </c>
      <c r="D219" s="2" t="n">
        <v>0.979999999999841</v>
      </c>
      <c r="E219" s="2" t="n">
        <v>0.993249999999816</v>
      </c>
    </row>
    <row r="220" customFormat="false" ht="13.8" hidden="false" customHeight="false" outlineLevel="0" collapsed="false">
      <c r="B220" s="2" t="n">
        <v>219</v>
      </c>
      <c r="C220" s="2" t="n">
        <v>0.985279853333175</v>
      </c>
      <c r="D220" s="2" t="n">
        <v>0.983999999999841</v>
      </c>
      <c r="E220" s="2" t="n">
        <v>0.993249999999816</v>
      </c>
    </row>
    <row r="221" customFormat="false" ht="13.8" hidden="false" customHeight="false" outlineLevel="0" collapsed="false">
      <c r="B221" s="2" t="n">
        <v>220</v>
      </c>
      <c r="C221" s="2" t="n">
        <v>0.988523143333334</v>
      </c>
      <c r="D221" s="2" t="n">
        <v>1</v>
      </c>
      <c r="E221" s="2" t="n">
        <v>0.993250000000001</v>
      </c>
    </row>
    <row r="222" customFormat="false" ht="13.8" hidden="false" customHeight="false" outlineLevel="0" collapsed="false">
      <c r="B222" s="2" t="n">
        <v>221</v>
      </c>
      <c r="C222" s="2" t="n">
        <v>0.98488969</v>
      </c>
      <c r="D222" s="2" t="n">
        <v>1</v>
      </c>
      <c r="E222" s="2" t="n">
        <v>0.993250000000001</v>
      </c>
    </row>
    <row r="223" customFormat="false" ht="13.8" hidden="false" customHeight="false" outlineLevel="0" collapsed="false">
      <c r="B223" s="2" t="n">
        <v>222</v>
      </c>
      <c r="C223" s="2" t="n">
        <v>0.988899730000001</v>
      </c>
      <c r="D223" s="2" t="n">
        <v>1</v>
      </c>
      <c r="E223" s="2" t="n">
        <v>0.993250000000001</v>
      </c>
    </row>
    <row r="224" customFormat="false" ht="13.8" hidden="false" customHeight="false" outlineLevel="0" collapsed="false">
      <c r="B224" s="2" t="n">
        <v>223</v>
      </c>
      <c r="C224" s="2" t="n">
        <v>0.985349743333334</v>
      </c>
      <c r="D224" s="2" t="n">
        <v>0.998836700065519</v>
      </c>
      <c r="E224" s="2" t="n">
        <v>0.993249993333334</v>
      </c>
    </row>
    <row r="225" customFormat="false" ht="13.8" hidden="false" customHeight="false" outlineLevel="0" collapsed="false">
      <c r="B225" s="2" t="n">
        <v>224</v>
      </c>
      <c r="C225" s="2" t="n">
        <v>0.989999753333334</v>
      </c>
      <c r="D225" s="2" t="n">
        <v>0.998862790194679</v>
      </c>
      <c r="E225" s="2" t="n">
        <v>0.993249950000001</v>
      </c>
    </row>
    <row r="226" customFormat="false" ht="13.8" hidden="false" customHeight="false" outlineLevel="0" collapsed="false">
      <c r="B226" s="2" t="n">
        <v>225</v>
      </c>
      <c r="C226" s="2" t="n">
        <v>0.984993023333334</v>
      </c>
      <c r="D226" s="2" t="n">
        <v>0.999941476745792</v>
      </c>
      <c r="E226" s="2" t="n">
        <v>0.993249950000001</v>
      </c>
    </row>
    <row r="227" customFormat="false" ht="13.8" hidden="false" customHeight="false" outlineLevel="0" collapsed="false">
      <c r="B227" s="2" t="n">
        <v>226</v>
      </c>
      <c r="C227" s="2" t="n">
        <v>0.989379663333331</v>
      </c>
      <c r="D227" s="2" t="n">
        <v>0.998657563710683</v>
      </c>
      <c r="E227" s="2" t="n">
        <v>0.983249983333334</v>
      </c>
    </row>
    <row r="228" customFormat="false" ht="13.8" hidden="false" customHeight="false" outlineLevel="0" collapsed="false">
      <c r="B228" s="2" t="n">
        <v>227</v>
      </c>
      <c r="C228" s="2" t="n">
        <v>0.985749556666668</v>
      </c>
      <c r="D228" s="2" t="n">
        <v>0.999989718930556</v>
      </c>
      <c r="E228" s="2" t="n">
        <v>0.983249983333334</v>
      </c>
    </row>
    <row r="229" customFormat="false" ht="13.8" hidden="false" customHeight="false" outlineLevel="0" collapsed="false">
      <c r="B229" s="2" t="n">
        <v>228</v>
      </c>
      <c r="C229" s="2" t="n">
        <v>0.994399530088101</v>
      </c>
      <c r="D229" s="2" t="n">
        <v>0.999973113749886</v>
      </c>
      <c r="E229" s="2" t="n">
        <v>0.992583289986663</v>
      </c>
    </row>
    <row r="230" customFormat="false" ht="13.8" hidden="false" customHeight="false" outlineLevel="0" collapsed="false">
      <c r="B230" s="2" t="n">
        <v>229</v>
      </c>
      <c r="C230" s="2" t="n">
        <v>0.989982836713744</v>
      </c>
      <c r="D230" s="2" t="n">
        <v>0.999973399684425</v>
      </c>
      <c r="E230" s="2" t="n">
        <v>0.988249999992873</v>
      </c>
    </row>
    <row r="231" customFormat="false" ht="13.8" hidden="false" customHeight="false" outlineLevel="0" collapsed="false">
      <c r="B231" s="2" t="n">
        <v>230</v>
      </c>
      <c r="C231" s="2" t="n">
        <v>0.985716233358452</v>
      </c>
      <c r="D231" s="2" t="n">
        <v>0.999972821159031</v>
      </c>
      <c r="E231" s="2" t="n">
        <v>0.988249936662864</v>
      </c>
    </row>
    <row r="232" customFormat="false" ht="13.8" hidden="false" customHeight="false" outlineLevel="0" collapsed="false">
      <c r="B232" s="2" t="n">
        <v>231</v>
      </c>
      <c r="C232" s="2" t="n">
        <v>0.986749600013332</v>
      </c>
      <c r="D232" s="2" t="n">
        <v>0.999971341432332</v>
      </c>
      <c r="E232" s="2" t="n">
        <v>0.988249899997982</v>
      </c>
    </row>
    <row r="233" customFormat="false" ht="13.8" hidden="false" customHeight="false" outlineLevel="0" collapsed="false">
      <c r="B233" s="2" t="n">
        <v>232</v>
      </c>
      <c r="C233" s="2" t="n">
        <v>0.98532292</v>
      </c>
      <c r="D233" s="2" t="n">
        <v>0.99996890033386</v>
      </c>
      <c r="E233" s="2" t="n">
        <v>0.9882499</v>
      </c>
    </row>
    <row r="234" customFormat="false" ht="13.8" hidden="false" customHeight="false" outlineLevel="0" collapsed="false">
      <c r="B234" s="2" t="n">
        <v>233</v>
      </c>
      <c r="C234" s="2" t="n">
        <v>0.98639964</v>
      </c>
      <c r="D234" s="2" t="n">
        <v>1</v>
      </c>
      <c r="E234" s="2" t="n">
        <v>0.987903276666667</v>
      </c>
    </row>
    <row r="235" customFormat="false" ht="13.8" hidden="false" customHeight="false" outlineLevel="0" collapsed="false">
      <c r="B235" s="2" t="n">
        <v>234</v>
      </c>
      <c r="C235" s="2" t="n">
        <v>0.985459639990538</v>
      </c>
      <c r="D235" s="2" t="n">
        <v>0.999958981846263</v>
      </c>
      <c r="E235" s="2" t="n">
        <v>0.988063256723679</v>
      </c>
    </row>
    <row r="236" customFormat="false" ht="13.8" hidden="false" customHeight="false" outlineLevel="0" collapsed="false">
      <c r="B236" s="2" t="n">
        <v>235</v>
      </c>
      <c r="C236" s="2" t="n">
        <v>0.987149613328724</v>
      </c>
      <c r="D236" s="2" t="n">
        <v>0.99994526088465</v>
      </c>
      <c r="E236" s="2" t="n">
        <v>0.987989943363779</v>
      </c>
    </row>
    <row r="237" customFormat="false" ht="13.8" hidden="false" customHeight="false" outlineLevel="0" collapsed="false">
      <c r="B237" s="2" t="n">
        <v>236</v>
      </c>
      <c r="C237" s="2" t="n">
        <v>0.985503043333333</v>
      </c>
      <c r="D237" s="2" t="n">
        <v>1</v>
      </c>
      <c r="E237" s="2" t="n">
        <v>0.98794995</v>
      </c>
    </row>
    <row r="238" customFormat="false" ht="13.8" hidden="false" customHeight="false" outlineLevel="0" collapsed="false">
      <c r="B238" s="2" t="n">
        <v>237</v>
      </c>
      <c r="C238" s="2" t="n">
        <v>0.98693642</v>
      </c>
      <c r="D238" s="2" t="n">
        <v>0.999858841108363</v>
      </c>
      <c r="E238" s="2" t="n">
        <v>0.98794995</v>
      </c>
    </row>
    <row r="239" customFormat="false" ht="13.8" hidden="false" customHeight="false" outlineLevel="0" collapsed="false">
      <c r="B239" s="2" t="n">
        <v>238</v>
      </c>
      <c r="C239" s="2" t="n">
        <v>0.9856296999996</v>
      </c>
      <c r="D239" s="2" t="n">
        <v>0.999718104673145</v>
      </c>
      <c r="E239" s="2" t="n">
        <v>0.987949950002646</v>
      </c>
    </row>
    <row r="240" customFormat="false" ht="13.8" hidden="false" customHeight="false" outlineLevel="0" collapsed="false">
      <c r="B240" s="2" t="n">
        <v>239</v>
      </c>
      <c r="C240" s="2" t="n">
        <v>0.986742966666666</v>
      </c>
      <c r="D240" s="2" t="n">
        <v>0.999376286025776</v>
      </c>
      <c r="E240" s="2" t="n">
        <v>0.98794995</v>
      </c>
    </row>
    <row r="241" customFormat="false" ht="13.8" hidden="false" customHeight="false" outlineLevel="0" collapsed="false">
      <c r="B241" s="2" t="n">
        <v>240</v>
      </c>
      <c r="C241" s="2" t="n">
        <v>0.991349529989161</v>
      </c>
      <c r="D241" s="2" t="n">
        <v>1.00000000000608</v>
      </c>
      <c r="E241" s="2" t="n">
        <v>0.990389920020677</v>
      </c>
    </row>
    <row r="242" customFormat="false" ht="13.8" hidden="false" customHeight="false" outlineLevel="0" collapsed="false">
      <c r="B242" s="2" t="n">
        <v>241</v>
      </c>
      <c r="C242" s="2" t="n">
        <v>0.98100628351945</v>
      </c>
      <c r="D242" s="2" t="n">
        <v>1.00000000000004</v>
      </c>
      <c r="E242" s="2" t="n">
        <v>0.993049920000042</v>
      </c>
    </row>
    <row r="243" customFormat="false" ht="13.8" hidden="false" customHeight="false" outlineLevel="0" collapsed="false">
      <c r="B243" s="2" t="n">
        <v>242</v>
      </c>
      <c r="C243" s="2" t="n">
        <v>0.992926183239776</v>
      </c>
      <c r="D243" s="2" t="n">
        <v>1.00000000001204</v>
      </c>
      <c r="E243" s="2" t="n">
        <v>0.99314326001229</v>
      </c>
    </row>
    <row r="244" customFormat="false" ht="13.8" hidden="false" customHeight="false" outlineLevel="0" collapsed="false">
      <c r="B244" s="2" t="n">
        <v>243</v>
      </c>
      <c r="C244" s="2" t="n">
        <v>0.98064955</v>
      </c>
      <c r="D244" s="2" t="n">
        <v>1</v>
      </c>
      <c r="E244" s="2" t="n">
        <v>0.9932499</v>
      </c>
    </row>
    <row r="245" customFormat="false" ht="13.8" hidden="false" customHeight="false" outlineLevel="0" collapsed="false">
      <c r="B245" s="2" t="n">
        <v>244</v>
      </c>
      <c r="C245" s="2" t="n">
        <v>0.993682876666666</v>
      </c>
      <c r="D245" s="2" t="n">
        <v>0.998777252145788</v>
      </c>
      <c r="E245" s="2" t="n">
        <v>0.9932499</v>
      </c>
    </row>
    <row r="246" customFormat="false" ht="13.8" hidden="false" customHeight="false" outlineLevel="0" collapsed="false">
      <c r="B246" s="2" t="n">
        <v>245</v>
      </c>
      <c r="C246" s="2" t="n">
        <v>0.9803562833334</v>
      </c>
      <c r="D246" s="2" t="n">
        <v>0.999999999999991</v>
      </c>
      <c r="E246" s="2" t="n">
        <v>0.993249899999972</v>
      </c>
    </row>
    <row r="247" customFormat="false" ht="13.8" hidden="false" customHeight="false" outlineLevel="0" collapsed="false">
      <c r="B247" s="2" t="n">
        <v>246</v>
      </c>
      <c r="C247" s="2" t="n">
        <v>0.992189643333377</v>
      </c>
      <c r="D247" s="2" t="n">
        <v>0.997270674735793</v>
      </c>
      <c r="E247" s="2" t="n">
        <v>0.99324989999998</v>
      </c>
    </row>
    <row r="248" customFormat="false" ht="13.8" hidden="false" customHeight="false" outlineLevel="0" collapsed="false">
      <c r="B248" s="2" t="n">
        <v>247</v>
      </c>
      <c r="C248" s="2" t="n">
        <v>0.981983113333332</v>
      </c>
      <c r="D248" s="2" t="n">
        <v>0.99705350948273</v>
      </c>
      <c r="E248" s="2" t="n">
        <v>0.993249899999962</v>
      </c>
    </row>
    <row r="249" customFormat="false" ht="13.8" hidden="false" customHeight="false" outlineLevel="0" collapsed="false">
      <c r="B249" s="2" t="n">
        <v>248</v>
      </c>
      <c r="C249" s="2" t="n">
        <v>0.989099876667924</v>
      </c>
      <c r="D249" s="2" t="n">
        <v>0.999999999999809</v>
      </c>
      <c r="E249" s="2" t="n">
        <v>0.993249899999769</v>
      </c>
    </row>
    <row r="250" customFormat="false" ht="13.8" hidden="false" customHeight="false" outlineLevel="0" collapsed="false">
      <c r="B250" s="2" t="n">
        <v>249</v>
      </c>
      <c r="C250" s="2" t="n">
        <v>0.984833323333332</v>
      </c>
      <c r="D250" s="2" t="n">
        <v>0.997293721307952</v>
      </c>
      <c r="E250" s="2" t="n">
        <v>0.993089926666631</v>
      </c>
    </row>
    <row r="251" customFormat="false" ht="13.8" hidden="false" customHeight="false" outlineLevel="0" collapsed="false">
      <c r="B251" s="2" t="n">
        <v>250</v>
      </c>
      <c r="C251" s="2" t="n">
        <v>0.985769959999999</v>
      </c>
      <c r="D251" s="2" t="n">
        <v>0.997703869544352</v>
      </c>
      <c r="E251" s="2" t="n">
        <v>0.993029936666627</v>
      </c>
    </row>
    <row r="252" customFormat="false" ht="13.8" hidden="false" customHeight="false" outlineLevel="0" collapsed="false">
      <c r="B252" s="2" t="n">
        <v>251</v>
      </c>
      <c r="C252" s="2" t="n">
        <v>0.987816649999999</v>
      </c>
      <c r="D252" s="2" t="n">
        <v>0.999999999999999</v>
      </c>
      <c r="E252" s="2" t="n">
        <v>0.993249876666623</v>
      </c>
    </row>
    <row r="253" customFormat="false" ht="13.8" hidden="false" customHeight="false" outlineLevel="0" collapsed="false">
      <c r="B253" s="2" t="n">
        <v>252</v>
      </c>
      <c r="C253" s="2" t="n">
        <v>0.985849999999998</v>
      </c>
      <c r="D253" s="2" t="n">
        <v>0.997480768957972</v>
      </c>
      <c r="E253" s="2" t="n">
        <v>0.992816583333261</v>
      </c>
    </row>
    <row r="254" customFormat="false" ht="13.8" hidden="false" customHeight="false" outlineLevel="0" collapsed="false">
      <c r="B254" s="2" t="n">
        <v>253</v>
      </c>
      <c r="C254" s="2" t="n">
        <v>0.988499989999999</v>
      </c>
      <c r="D254" s="2" t="n">
        <v>0.997018229741725</v>
      </c>
      <c r="E254" s="2" t="n">
        <v>0.988816629999948</v>
      </c>
    </row>
    <row r="255" customFormat="false" ht="13.8" hidden="false" customHeight="false" outlineLevel="0" collapsed="false">
      <c r="B255" s="2" t="n">
        <v>254</v>
      </c>
      <c r="C255" s="2" t="n">
        <v>0.989899970000015</v>
      </c>
      <c r="D255" s="2" t="n">
        <v>0.995183252655923</v>
      </c>
      <c r="E255" s="2" t="n">
        <v>0.984983296666584</v>
      </c>
    </row>
    <row r="256" customFormat="false" ht="13.8" hidden="false" customHeight="false" outlineLevel="0" collapsed="false">
      <c r="B256" s="2" t="n">
        <v>255</v>
      </c>
      <c r="C256" s="2" t="n">
        <v>0.98910000000011</v>
      </c>
      <c r="D256" s="2" t="n">
        <v>0.994598793407631</v>
      </c>
      <c r="E256" s="2" t="n">
        <v>0.993149869999942</v>
      </c>
    </row>
    <row r="257" customFormat="false" ht="13.8" hidden="false" customHeight="false" outlineLevel="0" collapsed="false">
      <c r="B257" s="2" t="n">
        <v>256</v>
      </c>
      <c r="C257" s="2" t="n">
        <v>0.98390000000069</v>
      </c>
      <c r="D257" s="2" t="n">
        <v>0.999999999999925</v>
      </c>
      <c r="E257" s="2" t="n">
        <v>0.993249849999922</v>
      </c>
    </row>
    <row r="258" customFormat="false" ht="13.8" hidden="false" customHeight="false" outlineLevel="0" collapsed="false">
      <c r="B258" s="2" t="n">
        <v>257</v>
      </c>
      <c r="C258" s="2" t="n">
        <v>0.989099997637215</v>
      </c>
      <c r="D258" s="2" t="n">
        <v>0.99999999999725</v>
      </c>
      <c r="E258" s="2" t="n">
        <v>0.993249849997265</v>
      </c>
    </row>
    <row r="259" customFormat="false" ht="13.8" hidden="false" customHeight="false" outlineLevel="0" collapsed="false">
      <c r="B259" s="2" t="n">
        <v>258</v>
      </c>
      <c r="C259" s="2" t="n">
        <v>0.98389995103189</v>
      </c>
      <c r="D259" s="2" t="n">
        <v>0.999999999997319</v>
      </c>
      <c r="E259" s="2" t="n">
        <v>0.993249849997333</v>
      </c>
    </row>
    <row r="260" customFormat="false" ht="13.8" hidden="false" customHeight="false" outlineLevel="0" collapsed="false">
      <c r="B260" s="2" t="n">
        <v>259</v>
      </c>
      <c r="C260" s="2" t="n">
        <v>0.989099947757891</v>
      </c>
      <c r="D260" s="2" t="n">
        <v>0.999999999997384</v>
      </c>
      <c r="E260" s="2" t="n">
        <v>0.994599839997402</v>
      </c>
    </row>
    <row r="261" customFormat="false" ht="13.8" hidden="false" customHeight="false" outlineLevel="0" collapsed="false">
      <c r="B261" s="2" t="n">
        <v>260</v>
      </c>
      <c r="C261" s="2" t="n">
        <v>0.985266601150456</v>
      </c>
      <c r="D261" s="2" t="n">
        <v>0.999999999997448</v>
      </c>
      <c r="E261" s="2" t="n">
        <v>0.993899896664137</v>
      </c>
    </row>
    <row r="262" customFormat="false" ht="13.8" hidden="false" customHeight="false" outlineLevel="0" collapsed="false">
      <c r="B262" s="2" t="n">
        <v>261</v>
      </c>
      <c r="C262" s="2" t="n">
        <v>0.990399947876236</v>
      </c>
      <c r="D262" s="2" t="n">
        <v>0.999999999997513</v>
      </c>
      <c r="E262" s="2" t="n">
        <v>0.992276609997538</v>
      </c>
    </row>
    <row r="263" customFormat="false" ht="13.8" hidden="false" customHeight="false" outlineLevel="0" collapsed="false">
      <c r="B263" s="2" t="n">
        <v>262</v>
      </c>
      <c r="C263" s="2" t="n">
        <v>0.982599917935328</v>
      </c>
      <c r="D263" s="2" t="n">
        <v>0.999999999997577</v>
      </c>
      <c r="E263" s="2" t="n">
        <v>0.991119949997606</v>
      </c>
    </row>
    <row r="264" customFormat="false" ht="13.8" hidden="false" customHeight="false" outlineLevel="0" collapsed="false">
      <c r="B264" s="2" t="n">
        <v>263</v>
      </c>
      <c r="C264" s="2" t="n">
        <v>0.988399921332327</v>
      </c>
      <c r="D264" s="2" t="n">
        <v>0.99999999999796</v>
      </c>
      <c r="E264" s="2" t="n">
        <v>0.992083243331008</v>
      </c>
    </row>
    <row r="265" customFormat="false" ht="13.8" hidden="false" customHeight="false" outlineLevel="0" collapsed="false">
      <c r="B265" s="2" t="n">
        <v>264</v>
      </c>
      <c r="C265" s="2" t="n">
        <v>0.98197321472805</v>
      </c>
      <c r="D265" s="2" t="n">
        <v>0.986666665573787</v>
      </c>
      <c r="E265" s="2" t="n">
        <v>0.996639893329798</v>
      </c>
    </row>
    <row r="266" customFormat="false" ht="13.8" hidden="false" customHeight="false" outlineLevel="0" collapsed="false">
      <c r="B266" s="2" t="n">
        <v>265</v>
      </c>
      <c r="C266" s="2" t="n">
        <v>0.989983034519592</v>
      </c>
      <c r="D266" s="2" t="n">
        <v>0.979999998812752</v>
      </c>
      <c r="E266" s="2" t="n">
        <v>0.991739916663284</v>
      </c>
    </row>
    <row r="267" customFormat="false" ht="13.8" hidden="false" customHeight="false" outlineLevel="0" collapsed="false">
      <c r="B267" s="2" t="n">
        <v>266</v>
      </c>
      <c r="C267" s="2" t="n">
        <v>0.981422917925914</v>
      </c>
      <c r="D267" s="2" t="n">
        <v>0.979999998882793</v>
      </c>
      <c r="E267" s="2" t="n">
        <v>0.992599929996757</v>
      </c>
    </row>
    <row r="268" customFormat="false" ht="13.8" hidden="false" customHeight="false" outlineLevel="0" collapsed="false">
      <c r="B268" s="2" t="n">
        <v>267</v>
      </c>
      <c r="C268" s="2" t="n">
        <v>0.988919407998901</v>
      </c>
      <c r="D268" s="2" t="n">
        <v>0.979999998952831</v>
      </c>
      <c r="E268" s="2" t="n">
        <v>0.997233266663564</v>
      </c>
    </row>
    <row r="269" customFormat="false" ht="13.8" hidden="false" customHeight="false" outlineLevel="0" collapsed="false">
      <c r="B269" s="2" t="n">
        <v>268</v>
      </c>
      <c r="C269" s="2" t="n">
        <v>0.978752684738557</v>
      </c>
      <c r="D269" s="2" t="n">
        <v>0.979999999022867</v>
      </c>
      <c r="E269" s="2" t="n">
        <v>0.997833276663704</v>
      </c>
    </row>
    <row r="270" customFormat="false" ht="13.8" hidden="false" customHeight="false" outlineLevel="0" collapsed="false">
      <c r="B270" s="2" t="n">
        <v>269</v>
      </c>
      <c r="C270" s="2" t="n">
        <v>0.983549451478212</v>
      </c>
      <c r="D270" s="2" t="n">
        <v>0.979999999092899</v>
      </c>
      <c r="E270" s="2" t="n">
        <v>0.989999949997177</v>
      </c>
    </row>
    <row r="271" customFormat="false" ht="13.8" hidden="false" customHeight="false" outlineLevel="0" collapsed="false">
      <c r="B271" s="2" t="n">
        <v>270</v>
      </c>
      <c r="C271" s="2" t="n">
        <v>0.972882931551202</v>
      </c>
      <c r="D271" s="2" t="n">
        <v>0.979999999162927</v>
      </c>
      <c r="E271" s="2" t="n">
        <v>0.996499999997317</v>
      </c>
    </row>
    <row r="272" customFormat="false" ht="13.8" hidden="false" customHeight="false" outlineLevel="0" collapsed="false">
      <c r="B272" s="2" t="n">
        <v>271</v>
      </c>
      <c r="C272" s="2" t="n">
        <v>0.985009401624192</v>
      </c>
      <c r="D272" s="2" t="n">
        <v>0.979999999232947</v>
      </c>
      <c r="E272" s="2" t="n">
        <v>0.989999999997457</v>
      </c>
    </row>
    <row r="273" customFormat="false" ht="13.8" hidden="false" customHeight="false" outlineLevel="0" collapsed="false">
      <c r="B273" s="2" t="n">
        <v>272</v>
      </c>
      <c r="C273" s="2" t="n">
        <v>0.974145948363851</v>
      </c>
      <c r="D273" s="2" t="n">
        <v>0.979999999302959</v>
      </c>
      <c r="E273" s="2" t="n">
        <v>0.996499999997597</v>
      </c>
    </row>
    <row r="274" customFormat="false" ht="13.8" hidden="false" customHeight="false" outlineLevel="0" collapsed="false">
      <c r="B274" s="2" t="n">
        <v>273</v>
      </c>
      <c r="C274" s="2" t="n">
        <v>0.980389201770176</v>
      </c>
      <c r="D274" s="2" t="n">
        <v>0.979999999372958</v>
      </c>
      <c r="E274" s="2" t="n">
        <v>0.989999999997737</v>
      </c>
    </row>
    <row r="275" customFormat="false" ht="13.8" hidden="false" customHeight="false" outlineLevel="0" collapsed="false">
      <c r="B275" s="2" t="n">
        <v>274</v>
      </c>
      <c r="C275" s="2" t="n">
        <v>0.973682608509835</v>
      </c>
      <c r="D275" s="2" t="n">
        <v>0.979999999442939</v>
      </c>
      <c r="E275" s="2" t="n">
        <v>0.996499999997876</v>
      </c>
    </row>
    <row r="276" customFormat="false" ht="13.8" hidden="false" customHeight="false" outlineLevel="0" collapsed="false">
      <c r="B276" s="2" t="n">
        <v>275</v>
      </c>
      <c r="C276" s="2" t="n">
        <v>0.983272575249495</v>
      </c>
      <c r="D276" s="2" t="n">
        <v>0.979999999512891</v>
      </c>
      <c r="E276" s="2" t="n">
        <v>0.989999999998017</v>
      </c>
    </row>
    <row r="277" customFormat="false" ht="13.8" hidden="false" customHeight="false" outlineLevel="0" collapsed="false">
      <c r="B277" s="2" t="n">
        <v>276</v>
      </c>
      <c r="C277" s="2" t="n">
        <v>0.978035955322489</v>
      </c>
      <c r="D277" s="2" t="n">
        <v>0.979999999582797</v>
      </c>
      <c r="E277" s="2" t="n">
        <v>0.996499999998156</v>
      </c>
    </row>
    <row r="278" customFormat="false" ht="13.8" hidden="false" customHeight="false" outlineLevel="0" collapsed="false">
      <c r="B278" s="2" t="n">
        <v>277</v>
      </c>
      <c r="C278" s="2" t="n">
        <v>0.977615855395484</v>
      </c>
      <c r="D278" s="2" t="n">
        <v>0.979999999652621</v>
      </c>
      <c r="E278" s="2" t="n">
        <v>0.99721665333163</v>
      </c>
    </row>
    <row r="279" customFormat="false" ht="13.8" hidden="false" customHeight="false" outlineLevel="0" collapsed="false">
      <c r="B279" s="2" t="n">
        <v>278</v>
      </c>
      <c r="C279" s="2" t="n">
        <v>0.975342648801813</v>
      </c>
      <c r="D279" s="2" t="n">
        <v>0.979999999722282</v>
      </c>
      <c r="E279" s="2" t="n">
        <v>0.998449999998436</v>
      </c>
    </row>
    <row r="280" customFormat="false" ht="13.8" hidden="false" customHeight="false" outlineLevel="0" collapsed="false">
      <c r="B280" s="2" t="n">
        <v>279</v>
      </c>
      <c r="C280" s="2" t="n">
        <v>0.974879392208142</v>
      </c>
      <c r="D280" s="2" t="n">
        <v>0.979999999791537</v>
      </c>
      <c r="E280" s="2" t="n">
        <v>0.994649979998576</v>
      </c>
    </row>
    <row r="281" customFormat="false" ht="13.8" hidden="false" customHeight="false" outlineLevel="0" collapsed="false">
      <c r="B281" s="2" t="n">
        <v>280</v>
      </c>
      <c r="C281" s="2" t="n">
        <v>0.974499392281117</v>
      </c>
      <c r="D281" s="2" t="n">
        <v>0.979999999862614</v>
      </c>
      <c r="E281" s="2" t="n">
        <v>0.999999949998716</v>
      </c>
    </row>
    <row r="282" customFormat="false" ht="13.8" hidden="false" customHeight="false" outlineLevel="0" collapsed="false">
      <c r="B282" s="2" t="n">
        <v>281</v>
      </c>
      <c r="C282" s="2" t="n">
        <v>0.979952592385882</v>
      </c>
      <c r="D282" s="2" t="n">
        <v>0.979999999999497</v>
      </c>
      <c r="E282" s="2" t="n">
        <v>0.999783326665614</v>
      </c>
    </row>
    <row r="283" customFormat="false" ht="13.8" hidden="false" customHeight="false" outlineLevel="0" collapsed="false">
      <c r="B283" s="2" t="n">
        <v>282</v>
      </c>
      <c r="C283" s="2" t="n">
        <v>0.983505832422293</v>
      </c>
      <c r="D283" s="2" t="n">
        <v>0.979999999999439</v>
      </c>
      <c r="E283" s="2" t="n">
        <v>0.994549999998982</v>
      </c>
    </row>
    <row r="284" customFormat="false" ht="13.8" hidden="false" customHeight="false" outlineLevel="0" collapsed="false">
      <c r="B284" s="2" t="n">
        <v>283</v>
      </c>
      <c r="C284" s="2" t="n">
        <v>0.994149105792084</v>
      </c>
      <c r="D284" s="2" t="n">
        <v>0.979999999999456</v>
      </c>
      <c r="E284" s="2" t="n">
        <v>0.99846666333235</v>
      </c>
    </row>
    <row r="285" customFormat="false" ht="13.8" hidden="false" customHeight="false" outlineLevel="0" collapsed="false">
      <c r="B285" s="2" t="n">
        <v>284</v>
      </c>
      <c r="C285" s="2" t="n">
        <v>0.99174588249521</v>
      </c>
      <c r="D285" s="2" t="n">
        <v>0.979999999999472</v>
      </c>
      <c r="E285" s="2" t="n">
        <v>0.995199999999051</v>
      </c>
    </row>
    <row r="286" customFormat="false" ht="13.8" hidden="false" customHeight="false" outlineLevel="0" collapsed="false">
      <c r="B286" s="2" t="n">
        <v>285</v>
      </c>
      <c r="C286" s="2" t="n">
        <v>0.988732589198337</v>
      </c>
      <c r="D286" s="2" t="n">
        <v>0.979999999999489</v>
      </c>
      <c r="E286" s="2" t="n">
        <v>0.997799999999086</v>
      </c>
    </row>
    <row r="287" customFormat="false" ht="13.8" hidden="false" customHeight="false" outlineLevel="0" collapsed="false">
      <c r="B287" s="2" t="n">
        <v>286</v>
      </c>
      <c r="C287" s="2" t="n">
        <v>0.989709365901463</v>
      </c>
      <c r="D287" s="2" t="n">
        <v>0.979999999999506</v>
      </c>
      <c r="E287" s="2" t="n">
        <v>0.99519999999912</v>
      </c>
    </row>
    <row r="288" customFormat="false" ht="13.8" hidden="false" customHeight="false" outlineLevel="0" collapsed="false">
      <c r="B288" s="2" t="n">
        <v>287</v>
      </c>
      <c r="C288" s="2" t="n">
        <v>0.990502885937923</v>
      </c>
      <c r="D288" s="2" t="n">
        <v>0.979999999999523</v>
      </c>
      <c r="E288" s="2" t="n">
        <v>0.997799999999155</v>
      </c>
    </row>
    <row r="289" customFormat="false" ht="13.8" hidden="false" customHeight="false" outlineLevel="0" collapsed="false">
      <c r="B289" s="2" t="n">
        <v>288</v>
      </c>
      <c r="C289" s="2" t="n">
        <v>0.98314606264105</v>
      </c>
      <c r="D289" s="2" t="n">
        <v>0.97999999999954</v>
      </c>
      <c r="E289" s="2" t="n">
        <v>0.999866643332523</v>
      </c>
    </row>
    <row r="290" customFormat="false" ht="13.8" hidden="false" customHeight="false" outlineLevel="0" collapsed="false">
      <c r="B290" s="2" t="n">
        <v>289</v>
      </c>
      <c r="C290" s="2" t="n">
        <v>0.997122759344073</v>
      </c>
      <c r="D290" s="2" t="n">
        <v>0.999999999997126</v>
      </c>
      <c r="E290" s="2" t="n">
        <v>0.999833316665895</v>
      </c>
    </row>
    <row r="291" customFormat="false" ht="13.8" hidden="false" customHeight="false" outlineLevel="0" collapsed="false">
      <c r="B291" s="2" t="n">
        <v>290</v>
      </c>
      <c r="C291" s="2" t="n">
        <v>0.994672899380639</v>
      </c>
      <c r="D291" s="2" t="n">
        <v>0.993333333332907</v>
      </c>
      <c r="E291" s="2" t="n">
        <v>0.996499999999258</v>
      </c>
    </row>
    <row r="292" customFormat="false" ht="13.8" hidden="false" customHeight="false" outlineLevel="0" collapsed="false">
      <c r="B292" s="2" t="n">
        <v>291</v>
      </c>
      <c r="C292" s="2" t="n">
        <v>0.9900763894171</v>
      </c>
      <c r="D292" s="2" t="n">
        <v>0.97999999999959</v>
      </c>
      <c r="E292" s="2" t="n">
        <v>0.996566653332626</v>
      </c>
    </row>
    <row r="293" customFormat="false" ht="13.8" hidden="false" customHeight="false" outlineLevel="0" collapsed="false">
      <c r="B293" s="2" t="n">
        <v>292</v>
      </c>
      <c r="C293" s="2" t="n">
        <v>0.991956569453562</v>
      </c>
      <c r="D293" s="2" t="n">
        <v>0.979999999999607</v>
      </c>
      <c r="E293" s="2" t="n">
        <v>0.999099999999328</v>
      </c>
    </row>
    <row r="294" customFormat="false" ht="13.8" hidden="false" customHeight="false" outlineLevel="0" collapsed="false">
      <c r="B294" s="2" t="n">
        <v>293</v>
      </c>
      <c r="C294" s="2" t="n">
        <v>0.99162996615669</v>
      </c>
      <c r="D294" s="2" t="n">
        <v>0.979999999999624</v>
      </c>
      <c r="E294" s="2" t="n">
        <v>0.993899999999362</v>
      </c>
    </row>
    <row r="295" customFormat="false" ht="13.8" hidden="false" customHeight="false" outlineLevel="0" collapsed="false">
      <c r="B295" s="2" t="n">
        <v>294</v>
      </c>
      <c r="C295" s="2" t="n">
        <v>0.991169949526486</v>
      </c>
      <c r="D295" s="2" t="n">
        <v>0.979999999999641</v>
      </c>
      <c r="E295" s="2" t="n">
        <v>0.999099999999397</v>
      </c>
    </row>
    <row r="296" customFormat="false" ht="13.8" hidden="false" customHeight="false" outlineLevel="0" collapsed="false">
      <c r="B296" s="2" t="n">
        <v>295</v>
      </c>
      <c r="C296" s="2" t="n">
        <v>0.995079916229615</v>
      </c>
      <c r="D296" s="2" t="n">
        <v>0.979999999999658</v>
      </c>
      <c r="E296" s="2" t="n">
        <v>0.993899999999431</v>
      </c>
    </row>
    <row r="297" customFormat="false" ht="13.8" hidden="false" customHeight="false" outlineLevel="0" collapsed="false">
      <c r="B297" s="2" t="n">
        <v>296</v>
      </c>
      <c r="C297" s="2" t="n">
        <v>0.992619929599412</v>
      </c>
      <c r="D297" s="2" t="n">
        <v>0.979999999999674</v>
      </c>
      <c r="E297" s="2" t="n">
        <v>0.999099999999466</v>
      </c>
    </row>
    <row r="298" customFormat="false" ht="13.8" hidden="false" customHeight="false" outlineLevel="0" collapsed="false">
      <c r="B298" s="2" t="n">
        <v>297</v>
      </c>
      <c r="C298" s="2" t="n">
        <v>0.995053319635875</v>
      </c>
      <c r="D298" s="2" t="n">
        <v>0.979999999999691</v>
      </c>
      <c r="E298" s="2" t="n">
        <v>0.9938999999995</v>
      </c>
    </row>
    <row r="299" customFormat="false" ht="13.8" hidden="false" customHeight="false" outlineLevel="0" collapsed="false">
      <c r="B299" s="2" t="n">
        <v>298</v>
      </c>
      <c r="C299" s="2" t="n">
        <v>0.990339966339005</v>
      </c>
      <c r="D299" s="2" t="n">
        <v>0.979999999999708</v>
      </c>
      <c r="E299" s="2" t="n">
        <v>0.999099999999535</v>
      </c>
    </row>
    <row r="300" customFormat="false" ht="13.8" hidden="false" customHeight="false" outlineLevel="0" collapsed="false">
      <c r="B300" s="2" t="n">
        <v>299</v>
      </c>
      <c r="C300" s="2" t="n">
        <v>0.997273279708801</v>
      </c>
      <c r="D300" s="2" t="n">
        <v>0.979999999999725</v>
      </c>
      <c r="E300" s="2" t="n">
        <v>0.99389999999957</v>
      </c>
    </row>
    <row r="301" customFormat="false" ht="13.8" hidden="false" customHeight="false" outlineLevel="0" collapsed="false">
      <c r="B301" s="2" t="n">
        <v>300</v>
      </c>
      <c r="C301" s="2" t="n">
        <v>0.991663249745265</v>
      </c>
      <c r="D301" s="2" t="n">
        <v>0.979999999999742</v>
      </c>
      <c r="E301" s="2" t="n">
        <v>0.999099999999604</v>
      </c>
    </row>
    <row r="302" customFormat="false" ht="13.8" hidden="false" customHeight="false" outlineLevel="0" collapsed="false">
      <c r="B302" s="2" t="n">
        <v>301</v>
      </c>
      <c r="C302" s="2" t="n">
        <v>0.997569946448395</v>
      </c>
      <c r="D302" s="2" t="n">
        <v>0.979999999999759</v>
      </c>
      <c r="E302" s="2" t="n">
        <v>0.993899999999639</v>
      </c>
    </row>
    <row r="303" customFormat="false" ht="13.8" hidden="false" customHeight="false" outlineLevel="0" collapsed="false">
      <c r="B303" s="2" t="n">
        <v>302</v>
      </c>
      <c r="C303" s="2" t="n">
        <v>0.994416649818191</v>
      </c>
      <c r="D303" s="2" t="n">
        <v>0.979999999999775</v>
      </c>
      <c r="E303" s="2" t="n">
        <v>0.999099999999673</v>
      </c>
    </row>
    <row r="304" customFormat="false" ht="13.8" hidden="false" customHeight="false" outlineLevel="0" collapsed="false">
      <c r="B304" s="2" t="n">
        <v>303</v>
      </c>
      <c r="C304" s="2" t="n">
        <v>0.990476659854652</v>
      </c>
      <c r="D304" s="2" t="n">
        <v>0.979999999999792</v>
      </c>
      <c r="E304" s="2" t="n">
        <v>0.993899999999708</v>
      </c>
    </row>
    <row r="305" customFormat="false" ht="13.8" hidden="false" customHeight="false" outlineLevel="0" collapsed="false">
      <c r="B305" s="2" t="n">
        <v>304</v>
      </c>
      <c r="C305" s="2" t="n">
        <v>0.992353279891111</v>
      </c>
      <c r="D305" s="2" t="n">
        <v>0.979999999999809</v>
      </c>
      <c r="E305" s="2" t="n">
        <v>0.999099999999742</v>
      </c>
    </row>
    <row r="306" customFormat="false" ht="13.8" hidden="false" customHeight="false" outlineLevel="0" collapsed="false">
      <c r="B306" s="2" t="n">
        <v>305</v>
      </c>
      <c r="C306" s="2" t="n">
        <v>0.990126649927563</v>
      </c>
      <c r="D306" s="2" t="n">
        <v>0.979999999999826</v>
      </c>
      <c r="E306" s="2" t="n">
        <v>0.993899999999777</v>
      </c>
    </row>
    <row r="307" customFormat="false" ht="13.8" hidden="false" customHeight="false" outlineLevel="0" collapsed="false">
      <c r="B307" s="2" t="n">
        <v>306</v>
      </c>
      <c r="C307" s="2" t="n">
        <v>0.992283289963985</v>
      </c>
      <c r="D307" s="2" t="n">
        <v>0.979999999999842</v>
      </c>
      <c r="E307" s="2" t="n">
        <v>0.999099999999811</v>
      </c>
    </row>
    <row r="308" customFormat="false" ht="13.8" hidden="false" customHeight="false" outlineLevel="0" collapsed="false">
      <c r="B308" s="2" t="n">
        <v>307</v>
      </c>
      <c r="C308" s="2" t="n">
        <v>0.991123293333227</v>
      </c>
      <c r="D308" s="2" t="n">
        <v>0.979999999999871</v>
      </c>
      <c r="E308" s="2" t="n">
        <v>0.993899999999844</v>
      </c>
    </row>
    <row r="309" customFormat="false" ht="13.8" hidden="false" customHeight="false" outlineLevel="0" collapsed="false">
      <c r="B309" s="2" t="n">
        <v>308</v>
      </c>
      <c r="C309" s="2" t="n">
        <v>0.992399999964519</v>
      </c>
      <c r="D309" s="2" t="n">
        <v>0.980000000009136</v>
      </c>
      <c r="E309" s="2" t="n">
        <v>0.999100000004513</v>
      </c>
    </row>
    <row r="310" customFormat="false" ht="13.8" hidden="false" customHeight="false" outlineLevel="0" collapsed="false">
      <c r="B310" s="2" t="n">
        <v>309</v>
      </c>
      <c r="C310" s="2" t="n">
        <v>0.990796646595833</v>
      </c>
      <c r="D310" s="2" t="n">
        <v>0.986666666685274</v>
      </c>
      <c r="E310" s="2" t="n">
        <v>0.993900000009158</v>
      </c>
    </row>
    <row r="311" customFormat="false" ht="13.8" hidden="false" customHeight="false" outlineLevel="0" collapsed="false">
      <c r="B311" s="2" t="n">
        <v>310</v>
      </c>
      <c r="C311" s="2" t="n">
        <v>0.997623243333062</v>
      </c>
      <c r="D311" s="2" t="n">
        <v>1.00000000004853</v>
      </c>
      <c r="E311" s="2" t="n">
        <v>0.999100000000002</v>
      </c>
    </row>
    <row r="312" customFormat="false" ht="13.8" hidden="false" customHeight="false" outlineLevel="0" collapsed="false">
      <c r="B312" s="2" t="n">
        <v>311</v>
      </c>
      <c r="C312" s="2" t="n">
        <v>0.992196616634671</v>
      </c>
      <c r="D312" s="2" t="n">
        <v>0.999999999807542</v>
      </c>
      <c r="E312" s="2" t="n">
        <v>0.993900000302154</v>
      </c>
    </row>
    <row r="313" customFormat="false" ht="13.8" hidden="false" customHeight="false" outlineLevel="0" collapsed="false">
      <c r="B313" s="2" t="n">
        <v>312</v>
      </c>
      <c r="C313" s="2" t="n">
        <v>0.991353319999847</v>
      </c>
      <c r="D313" s="2" t="n">
        <v>0.999999999998979</v>
      </c>
      <c r="E313" s="2" t="n">
        <v>0.999816653139737</v>
      </c>
    </row>
    <row r="314" customFormat="false" ht="13.8" hidden="false" customHeight="false" outlineLevel="0" collapsed="false">
      <c r="B314" s="2" t="n">
        <v>313</v>
      </c>
      <c r="C314" s="2" t="n">
        <v>0.98599996333318</v>
      </c>
      <c r="D314" s="2" t="n">
        <v>0.999999999999692</v>
      </c>
      <c r="E314" s="2" t="n">
        <v>0.999750000007457</v>
      </c>
    </row>
    <row r="315" customFormat="false" ht="13.8" hidden="false" customHeight="false" outlineLevel="0" collapsed="false">
      <c r="B315" s="2" t="n">
        <v>314</v>
      </c>
      <c r="C315" s="2" t="n">
        <v>0.98876993333318</v>
      </c>
      <c r="D315" s="2" t="n">
        <v>0.999999999999822</v>
      </c>
      <c r="E315" s="2" t="n">
        <v>0.993249999953706</v>
      </c>
    </row>
    <row r="316" customFormat="false" ht="13.8" hidden="false" customHeight="false" outlineLevel="0" collapsed="false">
      <c r="B316" s="2" t="n">
        <v>315</v>
      </c>
      <c r="C316" s="2" t="n">
        <v>0.985369863333333</v>
      </c>
      <c r="D316" s="2" t="n">
        <v>0.999999999999993</v>
      </c>
      <c r="E316" s="2" t="n">
        <v>0.999883306666649</v>
      </c>
    </row>
    <row r="317" customFormat="false" ht="13.8" hidden="false" customHeight="false" outlineLevel="0" collapsed="false">
      <c r="B317" s="2" t="n">
        <v>316</v>
      </c>
      <c r="C317" s="2" t="n">
        <v>0.991583203333334</v>
      </c>
      <c r="D317" s="2" t="n">
        <v>0.999999999999994</v>
      </c>
      <c r="E317" s="2" t="n">
        <v>0.99975</v>
      </c>
    </row>
    <row r="318" customFormat="false" ht="13.8" hidden="false" customHeight="false" outlineLevel="0" collapsed="false">
      <c r="B318" s="2" t="n">
        <v>317</v>
      </c>
      <c r="C318" s="2" t="n">
        <v>0.98656645</v>
      </c>
      <c r="D318" s="2" t="n">
        <v>0.999999999999994</v>
      </c>
      <c r="E318" s="2" t="n">
        <v>0.99325</v>
      </c>
    </row>
    <row r="319" customFormat="false" ht="13.8" hidden="false" customHeight="false" outlineLevel="0" collapsed="false">
      <c r="B319" s="2" t="n">
        <v>318</v>
      </c>
      <c r="C319" s="2" t="n">
        <v>0.987149826666667</v>
      </c>
      <c r="D319" s="2" t="n">
        <v>0.999999999999995</v>
      </c>
      <c r="E319" s="2" t="n">
        <v>0.99975</v>
      </c>
    </row>
    <row r="320" customFormat="false" ht="13.8" hidden="false" customHeight="false" outlineLevel="0" collapsed="false">
      <c r="B320" s="2" t="n">
        <v>319</v>
      </c>
      <c r="C320" s="2" t="n">
        <v>0.992433146227096</v>
      </c>
      <c r="D320" s="2" t="n">
        <v>0.999999999055895</v>
      </c>
      <c r="E320" s="2" t="n">
        <v>0.999283296227088</v>
      </c>
    </row>
    <row r="321" customFormat="false" ht="13.8" hidden="false" customHeight="false" outlineLevel="0" collapsed="false">
      <c r="B321" s="2" t="n">
        <v>320</v>
      </c>
      <c r="C321" s="2" t="n">
        <v>0.992439766307992</v>
      </c>
      <c r="D321" s="2" t="n">
        <v>0.999999999229641</v>
      </c>
      <c r="E321" s="2" t="n">
        <v>0.999966622974526</v>
      </c>
    </row>
    <row r="322" customFormat="false" ht="13.8" hidden="false" customHeight="false" outlineLevel="0" collapsed="false">
      <c r="B322" s="2" t="n">
        <v>321</v>
      </c>
      <c r="C322" s="2" t="n">
        <v>0.986806383333334</v>
      </c>
      <c r="D322" s="2" t="n">
        <v>0.999999999999997</v>
      </c>
      <c r="E322" s="2" t="n">
        <v>0.999750000000001</v>
      </c>
    </row>
    <row r="323" customFormat="false" ht="13.8" hidden="false" customHeight="false" outlineLevel="0" collapsed="false">
      <c r="B323" s="2" t="n">
        <v>322</v>
      </c>
      <c r="C323" s="2" t="n">
        <v>0.985849610000002</v>
      </c>
      <c r="D323" s="2" t="n">
        <v>0.999999999999997</v>
      </c>
      <c r="E323" s="2" t="n">
        <v>0.993250000000001</v>
      </c>
    </row>
    <row r="324" customFormat="false" ht="13.8" hidden="false" customHeight="false" outlineLevel="0" collapsed="false">
      <c r="B324" s="2" t="n">
        <v>323</v>
      </c>
      <c r="C324" s="2" t="n">
        <v>0.987149599999999</v>
      </c>
      <c r="D324" s="2" t="n">
        <v>0.999999999999998</v>
      </c>
      <c r="E324" s="2" t="n">
        <v>0.999966623333334</v>
      </c>
    </row>
    <row r="325" customFormat="false" ht="13.8" hidden="false" customHeight="false" outlineLevel="0" collapsed="false">
      <c r="B325" s="2" t="n">
        <v>324</v>
      </c>
      <c r="C325" s="2" t="n">
        <v>0.987932906666666</v>
      </c>
      <c r="D325" s="2" t="n">
        <v>0.999999999999998</v>
      </c>
      <c r="E325" s="2" t="n">
        <v>0.99</v>
      </c>
    </row>
    <row r="326" customFormat="false" ht="13.8" hidden="false" customHeight="false" outlineLevel="0" collapsed="false">
      <c r="B326" s="2" t="n">
        <v>325</v>
      </c>
      <c r="C326" s="2" t="n">
        <v>0.992966213442679</v>
      </c>
      <c r="D326" s="2" t="n">
        <v>0.999999999983349</v>
      </c>
      <c r="E326" s="2" t="n">
        <v>0.996499999983446</v>
      </c>
    </row>
    <row r="327" customFormat="false" ht="13.8" hidden="false" customHeight="false" outlineLevel="0" collapsed="false">
      <c r="B327" s="2" t="n">
        <v>326</v>
      </c>
      <c r="C327" s="2" t="n">
        <v>0.982129613333335</v>
      </c>
      <c r="D327" s="2" t="n">
        <v>0.999999999999999</v>
      </c>
      <c r="E327" s="2" t="n">
        <v>0.99</v>
      </c>
    </row>
    <row r="328" customFormat="false" ht="13.8" hidden="false" customHeight="false" outlineLevel="0" collapsed="false">
      <c r="B328" s="2" t="n">
        <v>327</v>
      </c>
      <c r="C328" s="2" t="n">
        <v>0.99011640333592</v>
      </c>
      <c r="D328" s="2" t="n">
        <v>0.99982440482444</v>
      </c>
      <c r="E328" s="2" t="n">
        <v>0.996499999999609</v>
      </c>
    </row>
    <row r="329" customFormat="false" ht="13.8" hidden="false" customHeight="false" outlineLevel="0" collapsed="false">
      <c r="B329" s="2" t="n">
        <v>328</v>
      </c>
      <c r="C329" s="2" t="n">
        <v>0.982963083333334</v>
      </c>
      <c r="D329" s="2" t="n">
        <v>1</v>
      </c>
      <c r="E329" s="2" t="n">
        <v>0.99</v>
      </c>
    </row>
    <row r="330" customFormat="false" ht="13.8" hidden="false" customHeight="false" outlineLevel="0" collapsed="false">
      <c r="B330" s="2" t="n">
        <v>329</v>
      </c>
      <c r="C330" s="2" t="n">
        <v>0.988566446670609</v>
      </c>
      <c r="D330" s="2" t="n">
        <v>0.999999999999403</v>
      </c>
      <c r="E330" s="2" t="n">
        <v>0.996499999999403</v>
      </c>
    </row>
    <row r="331" customFormat="false" ht="13.8" hidden="false" customHeight="false" outlineLevel="0" collapsed="false">
      <c r="B331" s="2" t="n">
        <v>330</v>
      </c>
      <c r="C331" s="2" t="n">
        <v>0.98365978</v>
      </c>
      <c r="D331" s="2" t="n">
        <v>1</v>
      </c>
      <c r="E331" s="2" t="n">
        <v>0.99</v>
      </c>
    </row>
    <row r="332" customFormat="false" ht="13.8" hidden="false" customHeight="false" outlineLevel="0" collapsed="false">
      <c r="B332" s="2" t="n">
        <v>331</v>
      </c>
      <c r="C332" s="2" t="n">
        <v>0.989099850000137</v>
      </c>
      <c r="D332" s="2" t="n">
        <v>0.999999999999978</v>
      </c>
      <c r="E332" s="2" t="n">
        <v>0.996499999999979</v>
      </c>
    </row>
    <row r="333" customFormat="false" ht="13.8" hidden="false" customHeight="false" outlineLevel="0" collapsed="false">
      <c r="B333" s="2" t="n">
        <v>332</v>
      </c>
      <c r="C333" s="2" t="n">
        <v>0.98389988</v>
      </c>
      <c r="D333" s="2" t="n">
        <v>0.999999999999998</v>
      </c>
      <c r="E333" s="2" t="n">
        <v>0.99</v>
      </c>
    </row>
    <row r="334" customFormat="false" ht="13.8" hidden="false" customHeight="false" outlineLevel="0" collapsed="false">
      <c r="B334" s="2" t="n">
        <v>333</v>
      </c>
      <c r="C334" s="2" t="n">
        <v>0.989099936666137</v>
      </c>
      <c r="D334" s="2" t="n">
        <v>0.999999999999479</v>
      </c>
      <c r="E334" s="2" t="n">
        <v>0.996500000003424</v>
      </c>
    </row>
    <row r="335" customFormat="false" ht="13.8" hidden="false" customHeight="false" outlineLevel="0" collapsed="false">
      <c r="B335" s="2" t="n">
        <v>334</v>
      </c>
      <c r="C335" s="2" t="n">
        <v>0.983233226696134</v>
      </c>
      <c r="D335" s="2" t="n">
        <v>1</v>
      </c>
      <c r="E335" s="2" t="n">
        <v>0.990000000000007</v>
      </c>
    </row>
    <row r="336" customFormat="false" ht="13.8" hidden="false" customHeight="false" outlineLevel="0" collapsed="false">
      <c r="B336" s="2" t="n">
        <v>335</v>
      </c>
      <c r="C336" s="2" t="n">
        <v>0.987733069998725</v>
      </c>
      <c r="D336" s="2" t="n">
        <v>0.999999999998732</v>
      </c>
      <c r="E336" s="2" t="n">
        <v>0.996500000008354</v>
      </c>
    </row>
    <row r="337" customFormat="false" ht="13.8" hidden="false" customHeight="false" outlineLevel="0" collapsed="false">
      <c r="B337" s="2" t="n">
        <v>336</v>
      </c>
      <c r="C337" s="2" t="n">
        <v>0.981433106659848</v>
      </c>
      <c r="D337" s="2" t="n">
        <v>0.999999999993175</v>
      </c>
      <c r="E337" s="2" t="n">
        <v>0.990000000045055</v>
      </c>
    </row>
    <row r="338" customFormat="false" ht="13.8" hidden="false" customHeight="false" outlineLevel="0" collapsed="false">
      <c r="B338" s="2" t="n">
        <v>337</v>
      </c>
      <c r="C338" s="2" t="n">
        <v>0.990099743331656</v>
      </c>
      <c r="D338" s="2" t="n">
        <v>0.999999999998397</v>
      </c>
      <c r="E338" s="2" t="n">
        <v>0.996500000010555</v>
      </c>
    </row>
    <row r="339" customFormat="false" ht="13.8" hidden="false" customHeight="false" outlineLevel="0" collapsed="false">
      <c r="B339" s="2" t="n">
        <v>338</v>
      </c>
      <c r="C339" s="2" t="n">
        <v>0.985266330199901</v>
      </c>
      <c r="D339" s="2" t="n">
        <v>1.00000000000004</v>
      </c>
      <c r="E339" s="2" t="n">
        <v>0.990000000000045</v>
      </c>
    </row>
    <row r="340" customFormat="false" ht="13.8" hidden="false" customHeight="false" outlineLevel="0" collapsed="false">
      <c r="B340" s="2" t="n">
        <v>339</v>
      </c>
      <c r="C340" s="2" t="n">
        <v>0.996499526666671</v>
      </c>
      <c r="D340" s="2" t="n">
        <v>0.999999999999994</v>
      </c>
      <c r="E340" s="2" t="n">
        <v>0.9965</v>
      </c>
    </row>
    <row r="341" customFormat="false" ht="13.8" hidden="false" customHeight="false" outlineLevel="0" collapsed="false">
      <c r="B341" s="2" t="n">
        <v>340</v>
      </c>
      <c r="C341" s="2" t="n">
        <v>0.986119579999999</v>
      </c>
      <c r="D341" s="2" t="n">
        <v>0.999999999999993</v>
      </c>
      <c r="E341" s="2" t="n">
        <v>0.989999999999993</v>
      </c>
    </row>
    <row r="342" customFormat="false" ht="13.8" hidden="false" customHeight="false" outlineLevel="0" collapsed="false">
      <c r="B342" s="2" t="n">
        <v>341</v>
      </c>
      <c r="C342" s="2" t="n">
        <v>0.985242996666666</v>
      </c>
      <c r="D342" s="2" t="n">
        <v>0.999999999999987</v>
      </c>
      <c r="E342" s="2" t="n">
        <v>0.996499999999991</v>
      </c>
    </row>
    <row r="343" customFormat="false" ht="13.8" hidden="false" customHeight="false" outlineLevel="0" collapsed="false">
      <c r="B343" s="2" t="n">
        <v>342</v>
      </c>
      <c r="C343" s="2" t="n">
        <v>0.985349686666668</v>
      </c>
      <c r="D343" s="2" t="n">
        <v>0.99999999999999</v>
      </c>
      <c r="E343" s="2" t="n">
        <v>0.989999999999989</v>
      </c>
    </row>
    <row r="344" customFormat="false" ht="13.8" hidden="false" customHeight="false" outlineLevel="0" collapsed="false">
      <c r="B344" s="2" t="n">
        <v>343</v>
      </c>
      <c r="C344" s="2" t="n">
        <v>0.985563073395009</v>
      </c>
      <c r="D344" s="2" t="n">
        <v>0.999999999493037</v>
      </c>
      <c r="E344" s="2" t="n">
        <v>0.996500000061543</v>
      </c>
    </row>
    <row r="345" customFormat="false" ht="13.8" hidden="false" customHeight="false" outlineLevel="0" collapsed="false">
      <c r="B345" s="2" t="n">
        <v>344</v>
      </c>
      <c r="C345" s="2" t="n">
        <v>0.986499743333348</v>
      </c>
      <c r="D345" s="2" t="n">
        <v>0.999999999999988</v>
      </c>
      <c r="E345" s="2" t="n">
        <v>0.989999999999986</v>
      </c>
    </row>
    <row r="346" customFormat="false" ht="13.8" hidden="false" customHeight="false" outlineLevel="0" collapsed="false">
      <c r="B346" s="2" t="n">
        <v>345</v>
      </c>
      <c r="C346" s="2" t="n">
        <v>0.986499760000081</v>
      </c>
      <c r="D346" s="2" t="n">
        <v>0.999999999999983</v>
      </c>
      <c r="E346" s="2" t="n">
        <v>0.996499999999982</v>
      </c>
    </row>
    <row r="347" customFormat="false" ht="13.8" hidden="false" customHeight="false" outlineLevel="0" collapsed="false">
      <c r="B347" s="2" t="n">
        <v>346</v>
      </c>
      <c r="C347" s="2" t="n">
        <v>0.986419873333427</v>
      </c>
      <c r="D347" s="2" t="n">
        <v>0.999999999999981</v>
      </c>
      <c r="E347" s="2" t="n">
        <v>0.989999999999981</v>
      </c>
    </row>
    <row r="348" customFormat="false" ht="13.8" hidden="false" customHeight="false" outlineLevel="0" collapsed="false">
      <c r="B348" s="2" t="n">
        <v>347</v>
      </c>
      <c r="C348" s="2" t="n">
        <v>0.986446630000089</v>
      </c>
      <c r="D348" s="2" t="n">
        <v>0.99999999999998</v>
      </c>
      <c r="E348" s="2" t="n">
        <v>0.996499999999978</v>
      </c>
    </row>
    <row r="349" customFormat="false" ht="13.8" hidden="false" customHeight="false" outlineLevel="0" collapsed="false">
      <c r="B349" s="2" t="n">
        <v>348</v>
      </c>
      <c r="C349" s="2" t="n">
        <v>0.986500000000085</v>
      </c>
      <c r="D349" s="2" t="n">
        <v>0.999999999999978</v>
      </c>
      <c r="E349" s="2" t="n">
        <v>0.989999999999976</v>
      </c>
    </row>
    <row r="350" customFormat="false" ht="13.8" hidden="false" customHeight="false" outlineLevel="0" collapsed="false">
      <c r="B350" s="2" t="n">
        <v>349</v>
      </c>
      <c r="C350" s="2" t="n">
        <v>0.986500000000084</v>
      </c>
      <c r="D350" s="2" t="n">
        <v>0.999999999999977</v>
      </c>
      <c r="E350" s="2" t="n">
        <v>0.996499999999976</v>
      </c>
    </row>
    <row r="351" customFormat="false" ht="13.8" hidden="false" customHeight="false" outlineLevel="0" collapsed="false">
      <c r="B351" s="2" t="n">
        <v>350</v>
      </c>
      <c r="C351" s="2" t="n">
        <v>0.988499990000077</v>
      </c>
      <c r="D351" s="2" t="n">
        <v>0.999999999999976</v>
      </c>
      <c r="E351" s="2" t="n">
        <v>0.989999999999972</v>
      </c>
    </row>
    <row r="352" customFormat="false" ht="13.8" hidden="false" customHeight="false" outlineLevel="0" collapsed="false">
      <c r="B352" s="2" t="n">
        <v>351</v>
      </c>
      <c r="C352" s="2" t="n">
        <v>0.986500000000077</v>
      </c>
      <c r="D352" s="2" t="n">
        <v>0.999999999999974</v>
      </c>
      <c r="E352" s="2" t="n">
        <v>0.996499999999972</v>
      </c>
    </row>
    <row r="353" customFormat="false" ht="13.8" hidden="false" customHeight="false" outlineLevel="0" collapsed="false">
      <c r="B353" s="2" t="n">
        <v>352</v>
      </c>
      <c r="C353" s="2" t="n">
        <v>0.986500000000066</v>
      </c>
      <c r="D353" s="2" t="n">
        <v>0.999999999999974</v>
      </c>
      <c r="E353" s="2" t="n">
        <v>0.989999999999966</v>
      </c>
    </row>
    <row r="354" customFormat="false" ht="13.8" hidden="false" customHeight="false" outlineLevel="0" collapsed="false">
      <c r="B354" s="2" t="n">
        <v>353</v>
      </c>
      <c r="C354" s="2" t="n">
        <v>0.9864999933341</v>
      </c>
      <c r="D354" s="2" t="n">
        <v>0.999999999999984</v>
      </c>
      <c r="E354" s="2" t="n">
        <v>0.996499999999983</v>
      </c>
    </row>
    <row r="355" customFormat="false" ht="13.8" hidden="false" customHeight="false" outlineLevel="0" collapsed="false">
      <c r="B355" s="2" t="n">
        <v>354</v>
      </c>
      <c r="C355" s="2" t="n">
        <v>0.986183304247464</v>
      </c>
      <c r="D355" s="2" t="n">
        <v>0.999999999997233</v>
      </c>
      <c r="E355" s="2" t="n">
        <v>0.989999999997228</v>
      </c>
    </row>
    <row r="356" customFormat="false" ht="13.8" hidden="false" customHeight="false" outlineLevel="0" collapsed="false">
      <c r="B356" s="2" t="n">
        <v>355</v>
      </c>
      <c r="C356" s="2" t="n">
        <v>0.989099947642258</v>
      </c>
      <c r="D356" s="2" t="n">
        <v>0.999999999997303</v>
      </c>
      <c r="E356" s="2" t="n">
        <v>0.996499999997296</v>
      </c>
    </row>
    <row r="357" customFormat="false" ht="13.8" hidden="false" customHeight="false" outlineLevel="0" collapsed="false">
      <c r="B357" s="2" t="n">
        <v>356</v>
      </c>
      <c r="C357" s="2" t="n">
        <v>0.983933274368353</v>
      </c>
      <c r="D357" s="2" t="n">
        <v>0.999999999997368</v>
      </c>
      <c r="E357" s="2" t="n">
        <v>0.989999999997365</v>
      </c>
    </row>
    <row r="358" customFormat="false" ht="13.8" hidden="false" customHeight="false" outlineLevel="0" collapsed="false">
      <c r="B358" s="2" t="n">
        <v>357</v>
      </c>
      <c r="C358" s="2" t="n">
        <v>0.990359941094348</v>
      </c>
      <c r="D358" s="2" t="n">
        <v>0.999999999997432</v>
      </c>
      <c r="E358" s="2" t="n">
        <v>0.996499999997433</v>
      </c>
    </row>
    <row r="359" customFormat="false" ht="13.8" hidden="false" customHeight="false" outlineLevel="0" collapsed="false">
      <c r="B359" s="2" t="n">
        <v>358</v>
      </c>
      <c r="C359" s="2" t="n">
        <v>0.982466597820241</v>
      </c>
      <c r="D359" s="2" t="n">
        <v>0.999999999997496</v>
      </c>
      <c r="E359" s="2" t="n">
        <v>0.988786666664168</v>
      </c>
    </row>
    <row r="360" customFormat="false" ht="13.8" hidden="false" customHeight="false" outlineLevel="0" collapsed="false">
      <c r="B360" s="2" t="n">
        <v>359</v>
      </c>
      <c r="C360" s="2" t="n">
        <v>0.989099954546015</v>
      </c>
      <c r="D360" s="2" t="n">
        <v>0.999999999997561</v>
      </c>
      <c r="E360" s="2" t="n">
        <v>0.993899999997569</v>
      </c>
    </row>
    <row r="361" customFormat="false" ht="13.8" hidden="false" customHeight="false" outlineLevel="0" collapsed="false">
      <c r="B361" s="2" t="n">
        <v>360</v>
      </c>
      <c r="C361" s="2" t="n">
        <v>0.981333281272016</v>
      </c>
      <c r="D361" s="2" t="n">
        <v>0.999999999997926</v>
      </c>
      <c r="E361" s="2" t="n">
        <v>0.988786646664304</v>
      </c>
    </row>
    <row r="362" customFormat="false" ht="13.8" hidden="false" customHeight="false" outlineLevel="0" collapsed="false">
      <c r="B362" s="2" t="n">
        <v>361</v>
      </c>
      <c r="C362" s="2" t="n">
        <v>0.989799857711514</v>
      </c>
      <c r="D362" s="2" t="n">
        <v>0.999999998657046</v>
      </c>
      <c r="E362" s="2" t="n">
        <v>0.99649999999709</v>
      </c>
    </row>
    <row r="363" customFormat="false" ht="13.8" hidden="false" customHeight="false" outlineLevel="0" collapsed="false">
      <c r="B363" s="2" t="n">
        <v>362</v>
      </c>
      <c r="C363" s="2" t="n">
        <v>0.981999757784464</v>
      </c>
      <c r="D363" s="2" t="n">
        <v>0.999999998737101</v>
      </c>
      <c r="E363" s="2" t="n">
        <v>0.989999999997193</v>
      </c>
    </row>
    <row r="364" customFormat="false" ht="13.8" hidden="false" customHeight="false" outlineLevel="0" collapsed="false">
      <c r="B364" s="2" t="n">
        <v>363</v>
      </c>
      <c r="C364" s="2" t="n">
        <v>0.987396367857412</v>
      </c>
      <c r="D364" s="2" t="n">
        <v>0.999999998816359</v>
      </c>
      <c r="E364" s="2" t="n">
        <v>0.996499999997296</v>
      </c>
    </row>
    <row r="365" customFormat="false" ht="13.8" hidden="false" customHeight="false" outlineLevel="0" collapsed="false">
      <c r="B365" s="2" t="n">
        <v>364</v>
      </c>
      <c r="C365" s="2" t="n">
        <v>0.97656958459703</v>
      </c>
      <c r="D365" s="2" t="n">
        <v>0.999999998895615</v>
      </c>
      <c r="E365" s="2" t="n">
        <v>0.9899999999974</v>
      </c>
    </row>
    <row r="366" customFormat="false" ht="13.8" hidden="false" customHeight="false" outlineLevel="0" collapsed="false">
      <c r="B366" s="2" t="n">
        <v>365</v>
      </c>
      <c r="C366" s="2" t="n">
        <v>0.981752728002879</v>
      </c>
      <c r="D366" s="2" t="n">
        <v>0.979999999092775</v>
      </c>
      <c r="E366" s="2" t="n">
        <v>0.995333306663734</v>
      </c>
    </row>
    <row r="367" customFormat="false" ht="13.8" hidden="false" customHeight="false" outlineLevel="0" collapsed="false">
      <c r="B367" s="2" t="n">
        <v>366</v>
      </c>
      <c r="C367" s="2" t="n">
        <v>0.975249168075868</v>
      </c>
      <c r="D367" s="2" t="n">
        <v>0.979999999162803</v>
      </c>
      <c r="E367" s="2" t="n">
        <v>0.989999999997208</v>
      </c>
    </row>
    <row r="368" customFormat="false" ht="13.8" hidden="false" customHeight="false" outlineLevel="0" collapsed="false">
      <c r="B368" s="2" t="n">
        <v>367</v>
      </c>
      <c r="C368" s="2" t="n">
        <v>0.981795854815523</v>
      </c>
      <c r="D368" s="2" t="n">
        <v>0.979999999232823</v>
      </c>
      <c r="E368" s="2" t="n">
        <v>0.999833316664014</v>
      </c>
    </row>
    <row r="369" customFormat="false" ht="13.8" hidden="false" customHeight="false" outlineLevel="0" collapsed="false">
      <c r="B369" s="2" t="n">
        <v>368</v>
      </c>
      <c r="C369" s="2" t="n">
        <v>0.97349582155518</v>
      </c>
      <c r="D369" s="2" t="n">
        <v>0.979999999302835</v>
      </c>
      <c r="E369" s="2" t="n">
        <v>0.999799989997488</v>
      </c>
    </row>
    <row r="370" customFormat="false" ht="13.8" hidden="false" customHeight="false" outlineLevel="0" collapsed="false">
      <c r="B370" s="2" t="n">
        <v>369</v>
      </c>
      <c r="C370" s="2" t="n">
        <v>0.978599224961504</v>
      </c>
      <c r="D370" s="2" t="n">
        <v>0.979999999372834</v>
      </c>
      <c r="E370" s="2" t="n">
        <v>0.995199999997627</v>
      </c>
    </row>
    <row r="371" customFormat="false" ht="13.8" hidden="false" customHeight="false" outlineLevel="0" collapsed="false">
      <c r="B371" s="2" t="n">
        <v>370</v>
      </c>
      <c r="C371" s="2" t="n">
        <v>0.969959341701162</v>
      </c>
      <c r="D371" s="2" t="n">
        <v>0.979999999442814</v>
      </c>
      <c r="E371" s="2" t="n">
        <v>0.997799999997768</v>
      </c>
    </row>
    <row r="372" customFormat="false" ht="13.8" hidden="false" customHeight="false" outlineLevel="0" collapsed="false">
      <c r="B372" s="2" t="n">
        <v>371</v>
      </c>
      <c r="C372" s="2" t="n">
        <v>0.977852671774154</v>
      </c>
      <c r="D372" s="2" t="n">
        <v>0.979999999512766</v>
      </c>
      <c r="E372" s="2" t="n">
        <v>0.999749999997907</v>
      </c>
    </row>
    <row r="373" customFormat="false" ht="13.8" hidden="false" customHeight="false" outlineLevel="0" collapsed="false">
      <c r="B373" s="2" t="n">
        <v>372</v>
      </c>
      <c r="C373" s="2" t="n">
        <v>0.970852541847146</v>
      </c>
      <c r="D373" s="2" t="n">
        <v>0.979999999582673</v>
      </c>
      <c r="E373" s="2" t="n">
        <v>0.994549999998047</v>
      </c>
    </row>
    <row r="374" customFormat="false" ht="13.8" hidden="false" customHeight="false" outlineLevel="0" collapsed="false">
      <c r="B374" s="2" t="n">
        <v>373</v>
      </c>
      <c r="C374" s="2" t="n">
        <v>0.982109115253473</v>
      </c>
      <c r="D374" s="2" t="n">
        <v>0.979999999652497</v>
      </c>
      <c r="E374" s="2" t="n">
        <v>0.998449999998187</v>
      </c>
    </row>
    <row r="375" customFormat="false" ht="13.8" hidden="false" customHeight="false" outlineLevel="0" collapsed="false">
      <c r="B375" s="2" t="n">
        <v>374</v>
      </c>
      <c r="C375" s="2" t="n">
        <v>0.984152345326467</v>
      </c>
      <c r="D375" s="2" t="n">
        <v>0.979999999722157</v>
      </c>
      <c r="E375" s="2" t="n">
        <v>0.994549999998327</v>
      </c>
    </row>
    <row r="376" customFormat="false" ht="13.8" hidden="false" customHeight="false" outlineLevel="0" collapsed="false">
      <c r="B376" s="2" t="n">
        <v>375</v>
      </c>
      <c r="C376" s="2" t="n">
        <v>0.983349162066128</v>
      </c>
      <c r="D376" s="2" t="n">
        <v>0.979999999791413</v>
      </c>
      <c r="E376" s="2" t="n">
        <v>0.998449999998467</v>
      </c>
    </row>
    <row r="377" customFormat="false" ht="13.8" hidden="false" customHeight="false" outlineLevel="0" collapsed="false">
      <c r="B377" s="2" t="n">
        <v>376</v>
      </c>
      <c r="C377" s="2" t="n">
        <v>0.986485842139102</v>
      </c>
      <c r="D377" s="2" t="n">
        <v>0.979999999862488</v>
      </c>
      <c r="E377" s="2" t="n">
        <v>0.997883316665274</v>
      </c>
    </row>
    <row r="378" customFormat="false" ht="13.8" hidden="false" customHeight="false" outlineLevel="0" collapsed="false">
      <c r="B378" s="2" t="n">
        <v>377</v>
      </c>
      <c r="C378" s="2" t="n">
        <v>0.990685765577204</v>
      </c>
      <c r="D378" s="2" t="n">
        <v>0.979999999999455</v>
      </c>
      <c r="E378" s="2" t="n">
        <v>0.999916633332171</v>
      </c>
    </row>
    <row r="379" customFormat="false" ht="13.8" hidden="false" customHeight="false" outlineLevel="0" collapsed="false">
      <c r="B379" s="2" t="n">
        <v>378</v>
      </c>
      <c r="C379" s="2" t="n">
        <v>0.99122918228028</v>
      </c>
      <c r="D379" s="2" t="n">
        <v>0.979999999999397</v>
      </c>
      <c r="E379" s="2" t="n">
        <v>0.999749999998873</v>
      </c>
    </row>
    <row r="380" customFormat="false" ht="13.8" hidden="false" customHeight="false" outlineLevel="0" collapsed="false">
      <c r="B380" s="2" t="n">
        <v>379</v>
      </c>
      <c r="C380" s="2" t="n">
        <v>0.984082592316738</v>
      </c>
      <c r="D380" s="2" t="n">
        <v>0.979999999999414</v>
      </c>
      <c r="E380" s="2" t="n">
        <v>0.993249999998908</v>
      </c>
    </row>
    <row r="381" customFormat="false" ht="13.8" hidden="false" customHeight="false" outlineLevel="0" collapsed="false">
      <c r="B381" s="2" t="n">
        <v>380</v>
      </c>
      <c r="C381" s="2" t="n">
        <v>0.985662739019862</v>
      </c>
      <c r="D381" s="2" t="n">
        <v>0.979999999999431</v>
      </c>
      <c r="E381" s="2" t="n">
        <v>0.999749999998942</v>
      </c>
    </row>
    <row r="382" customFormat="false" ht="13.8" hidden="false" customHeight="false" outlineLevel="0" collapsed="false">
      <c r="B382" s="2" t="n">
        <v>381</v>
      </c>
      <c r="C382" s="2" t="n">
        <v>0.984449355722987</v>
      </c>
      <c r="D382" s="2" t="n">
        <v>0.979999999999447</v>
      </c>
      <c r="E382" s="2" t="n">
        <v>0.994549999998977</v>
      </c>
    </row>
    <row r="383" customFormat="false" ht="13.8" hidden="false" customHeight="false" outlineLevel="0" collapsed="false">
      <c r="B383" s="2" t="n">
        <v>382</v>
      </c>
      <c r="C383" s="2" t="n">
        <v>0.988082549092779</v>
      </c>
      <c r="D383" s="2" t="n">
        <v>0.997333333332798</v>
      </c>
      <c r="E383" s="2" t="n">
        <v>0.998466663332345</v>
      </c>
    </row>
    <row r="384" customFormat="false" ht="13.8" hidden="false" customHeight="false" outlineLevel="0" collapsed="false">
      <c r="B384" s="2" t="n">
        <v>383</v>
      </c>
      <c r="C384" s="2" t="n">
        <v>0.994266145795205</v>
      </c>
      <c r="D384" s="2" t="n">
        <v>0.999999999995262</v>
      </c>
      <c r="E384" s="2" t="n">
        <v>0.995849999999044</v>
      </c>
    </row>
    <row r="385" customFormat="false" ht="13.8" hidden="false" customHeight="false" outlineLevel="0" collapsed="false">
      <c r="B385" s="2" t="n">
        <v>384</v>
      </c>
      <c r="C385" s="2" t="n">
        <v>0.98472275583183</v>
      </c>
      <c r="D385" s="2" t="n">
        <v>0.999999999995628</v>
      </c>
      <c r="E385" s="2" t="n">
        <v>0.997166663332412</v>
      </c>
    </row>
    <row r="386" customFormat="false" ht="13.8" hidden="false" customHeight="false" outlineLevel="0" collapsed="false">
      <c r="B386" s="2" t="n">
        <v>385</v>
      </c>
      <c r="C386" s="2" t="n">
        <v>0.98496272586846</v>
      </c>
      <c r="D386" s="2" t="n">
        <v>0.999999999996921</v>
      </c>
      <c r="E386" s="2" t="n">
        <v>0.999999949999119</v>
      </c>
    </row>
    <row r="387" customFormat="false" ht="13.8" hidden="false" customHeight="false" outlineLevel="0" collapsed="false">
      <c r="B387" s="2" t="n">
        <v>386</v>
      </c>
      <c r="C387" s="2" t="n">
        <v>0.997312815905282</v>
      </c>
      <c r="D387" s="2" t="n">
        <v>0.986666666666198</v>
      </c>
      <c r="E387" s="2" t="n">
        <v>0.99329998999915</v>
      </c>
    </row>
    <row r="388" customFormat="false" ht="13.8" hidden="false" customHeight="false" outlineLevel="0" collapsed="false">
      <c r="B388" s="2" t="n">
        <v>387</v>
      </c>
      <c r="C388" s="2" t="n">
        <v>0.98188638927492</v>
      </c>
      <c r="D388" s="2" t="n">
        <v>0.979999999996928</v>
      </c>
      <c r="E388" s="2" t="n">
        <v>0.999749999999188</v>
      </c>
    </row>
    <row r="389" customFormat="false" ht="13.8" hidden="false" customHeight="false" outlineLevel="0" collapsed="false">
      <c r="B389" s="2" t="n">
        <v>388</v>
      </c>
      <c r="C389" s="2" t="n">
        <v>0.995169809311422</v>
      </c>
      <c r="D389" s="2" t="n">
        <v>0.979999999997025</v>
      </c>
      <c r="E389" s="2" t="n">
        <v>0.993249999999223</v>
      </c>
    </row>
    <row r="390" customFormat="false" ht="13.8" hidden="false" customHeight="false" outlineLevel="0" collapsed="false">
      <c r="B390" s="2" t="n">
        <v>389</v>
      </c>
      <c r="C390" s="2" t="n">
        <v>0.985856602681258</v>
      </c>
      <c r="D390" s="2" t="n">
        <v>0.979999999997121</v>
      </c>
      <c r="E390" s="2" t="n">
        <v>0.993283326665924</v>
      </c>
    </row>
    <row r="391" customFormat="false" ht="13.8" hidden="false" customHeight="false" outlineLevel="0" collapsed="false">
      <c r="B391" s="2" t="n">
        <v>390</v>
      </c>
      <c r="C391" s="2" t="n">
        <v>0.995399972717791</v>
      </c>
      <c r="D391" s="2" t="n">
        <v>0.979999999999599</v>
      </c>
      <c r="E391" s="2" t="n">
        <v>0.999749999999288</v>
      </c>
    </row>
    <row r="392" customFormat="false" ht="13.8" hidden="false" customHeight="false" outlineLevel="0" collapsed="false">
      <c r="B392" s="2" t="n">
        <v>391</v>
      </c>
      <c r="C392" s="2" t="n">
        <v>0.991299959420919</v>
      </c>
      <c r="D392" s="2" t="n">
        <v>0.979999999999615</v>
      </c>
      <c r="E392" s="2" t="n">
        <v>0.995249989999323</v>
      </c>
    </row>
    <row r="393" customFormat="false" ht="13.8" hidden="false" customHeight="false" outlineLevel="0" collapsed="false">
      <c r="B393" s="2" t="n">
        <v>392</v>
      </c>
      <c r="C393" s="2" t="n">
        <v>0.989096606124047</v>
      </c>
      <c r="D393" s="2" t="n">
        <v>0.979999999999632</v>
      </c>
      <c r="E393" s="2" t="n">
        <v>0.99666663333269</v>
      </c>
    </row>
    <row r="394" customFormat="false" ht="13.8" hidden="false" customHeight="false" outlineLevel="0" collapsed="false">
      <c r="B394" s="2" t="n">
        <v>393</v>
      </c>
      <c r="C394" s="2" t="n">
        <v>0.993233309493843</v>
      </c>
      <c r="D394" s="2" t="n">
        <v>0.979999999999649</v>
      </c>
      <c r="E394" s="2" t="n">
        <v>0.996499999999391</v>
      </c>
    </row>
    <row r="395" customFormat="false" ht="13.8" hidden="false" customHeight="false" outlineLevel="0" collapsed="false">
      <c r="B395" s="2" t="n">
        <v>394</v>
      </c>
      <c r="C395" s="2" t="n">
        <v>0.989619949530305</v>
      </c>
      <c r="D395" s="2" t="n">
        <v>0.979999999999666</v>
      </c>
      <c r="E395" s="2" t="n">
        <v>0.996499999999426</v>
      </c>
    </row>
    <row r="396" customFormat="false" ht="13.8" hidden="false" customHeight="false" outlineLevel="0" collapsed="false">
      <c r="B396" s="2" t="n">
        <v>395</v>
      </c>
      <c r="C396" s="2" t="n">
        <v>0.993313296233435</v>
      </c>
      <c r="D396" s="2" t="n">
        <v>0.979999999999683</v>
      </c>
      <c r="E396" s="2" t="n">
        <v>0.996499999999461</v>
      </c>
    </row>
    <row r="397" customFormat="false" ht="13.8" hidden="false" customHeight="false" outlineLevel="0" collapsed="false">
      <c r="B397" s="2" t="n">
        <v>396</v>
      </c>
      <c r="C397" s="2" t="n">
        <v>0.995479819603231</v>
      </c>
      <c r="D397" s="2" t="n">
        <v>0.9799999999997</v>
      </c>
      <c r="E397" s="2" t="n">
        <v>0.996499999999495</v>
      </c>
    </row>
    <row r="398" customFormat="false" ht="13.8" hidden="false" customHeight="false" outlineLevel="0" collapsed="false">
      <c r="B398" s="2" t="n">
        <v>397</v>
      </c>
      <c r="C398" s="2" t="n">
        <v>0.986326589639694</v>
      </c>
      <c r="D398" s="2" t="n">
        <v>0.979999999999716</v>
      </c>
      <c r="E398" s="2" t="n">
        <v>0.99649999999953</v>
      </c>
    </row>
    <row r="399" customFormat="false" ht="13.8" hidden="false" customHeight="false" outlineLevel="0" collapsed="false">
      <c r="B399" s="2" t="n">
        <v>398</v>
      </c>
      <c r="C399" s="2" t="n">
        <v>0.996586639676157</v>
      </c>
      <c r="D399" s="2" t="n">
        <v>0.979999999999733</v>
      </c>
      <c r="E399" s="2" t="n">
        <v>0.996499999999564</v>
      </c>
    </row>
    <row r="400" customFormat="false" ht="13.8" hidden="false" customHeight="false" outlineLevel="0" collapsed="false">
      <c r="B400" s="2" t="n">
        <v>399</v>
      </c>
      <c r="C400" s="2" t="n">
        <v>0.986776613045954</v>
      </c>
      <c r="D400" s="2" t="n">
        <v>0.97999999999975</v>
      </c>
      <c r="E400" s="2" t="n">
        <v>0.996499999999599</v>
      </c>
    </row>
    <row r="401" customFormat="false" ht="13.8" hidden="false" customHeight="false" outlineLevel="0" collapsed="false">
      <c r="B401" s="2" t="n">
        <v>400</v>
      </c>
      <c r="C401" s="2" t="n">
        <v>0.998966549749084</v>
      </c>
      <c r="D401" s="2" t="n">
        <v>0.979999999999767</v>
      </c>
      <c r="E401" s="2" t="n">
        <v>0.996499999999634</v>
      </c>
    </row>
    <row r="402" customFormat="false" ht="13.8" hidden="false" customHeight="false" outlineLevel="0" collapsed="false">
      <c r="B402" s="2" t="n">
        <v>401</v>
      </c>
      <c r="C402" s="2" t="n">
        <v>0.98760661311888</v>
      </c>
      <c r="D402" s="2" t="n">
        <v>0.979999999999784</v>
      </c>
      <c r="E402" s="2" t="n">
        <v>0.996499999999668</v>
      </c>
    </row>
    <row r="403" customFormat="false" ht="13.8" hidden="false" customHeight="false" outlineLevel="0" collapsed="false">
      <c r="B403" s="2" t="n">
        <v>402</v>
      </c>
      <c r="C403" s="2" t="n">
        <v>0.995603316488578</v>
      </c>
      <c r="D403" s="2" t="n">
        <v>0.979999999999801</v>
      </c>
      <c r="E403" s="2" t="n">
        <v>0.996499999999703</v>
      </c>
    </row>
    <row r="404" customFormat="false" ht="13.8" hidden="false" customHeight="false" outlineLevel="0" collapsed="false">
      <c r="B404" s="2" t="n">
        <v>403</v>
      </c>
      <c r="C404" s="2" t="n">
        <v>0.988179920044013</v>
      </c>
      <c r="D404" s="2" t="n">
        <v>0.979999999832012</v>
      </c>
      <c r="E404" s="2" t="n">
        <v>0.996500000021952</v>
      </c>
    </row>
    <row r="405" customFormat="false" ht="13.8" hidden="false" customHeight="false" outlineLevel="0" collapsed="false">
      <c r="B405" s="2" t="n">
        <v>404</v>
      </c>
      <c r="C405" s="2" t="n">
        <v>0.995776613334341</v>
      </c>
      <c r="D405" s="2" t="n">
        <v>0.979999999819232</v>
      </c>
      <c r="E405" s="2" t="n">
        <v>0.996500000023602</v>
      </c>
    </row>
    <row r="406" customFormat="false" ht="13.8" hidden="false" customHeight="false" outlineLevel="0" collapsed="false">
      <c r="B406" s="2" t="n">
        <v>405</v>
      </c>
      <c r="C406" s="2" t="n">
        <v>0.990316636729109</v>
      </c>
      <c r="D406" s="2" t="n">
        <v>0.995999999761305</v>
      </c>
      <c r="E406" s="2" t="n">
        <v>0.996500000031243</v>
      </c>
    </row>
    <row r="407" customFormat="false" ht="13.8" hidden="false" customHeight="false" outlineLevel="0" collapsed="false">
      <c r="B407" s="2" t="n">
        <v>406</v>
      </c>
      <c r="C407" s="2" t="n">
        <v>0.990826563333211</v>
      </c>
      <c r="D407" s="2" t="n">
        <v>0.999999999999754</v>
      </c>
      <c r="E407" s="2" t="n">
        <v>0.996499999999858</v>
      </c>
    </row>
    <row r="408" customFormat="false" ht="13.8" hidden="false" customHeight="false" outlineLevel="0" collapsed="false">
      <c r="B408" s="2" t="n">
        <v>407</v>
      </c>
      <c r="C408" s="2" t="n">
        <v>0.985986653333211</v>
      </c>
      <c r="D408" s="2" t="n">
        <v>0.999999999999754</v>
      </c>
      <c r="E408" s="2" t="n">
        <v>0.996499999999858</v>
      </c>
    </row>
    <row r="409" customFormat="false" ht="13.8" hidden="false" customHeight="false" outlineLevel="0" collapsed="false">
      <c r="B409" s="2" t="n">
        <v>408</v>
      </c>
      <c r="C409" s="2" t="n">
        <v>0.989893309999878</v>
      </c>
      <c r="D409" s="2" t="n">
        <v>0.999999999999754</v>
      </c>
      <c r="E409" s="2" t="n">
        <v>0.996499999999858</v>
      </c>
    </row>
    <row r="410" customFormat="false" ht="13.8" hidden="false" customHeight="false" outlineLevel="0" collapsed="false">
      <c r="B410" s="2" t="n">
        <v>409</v>
      </c>
      <c r="C410" s="2" t="n">
        <v>0.988336576666544</v>
      </c>
      <c r="D410" s="2" t="n">
        <v>0.999999999999858</v>
      </c>
      <c r="E410" s="2" t="n">
        <v>0.996499999999858</v>
      </c>
    </row>
    <row r="411" customFormat="false" ht="13.8" hidden="false" customHeight="false" outlineLevel="0" collapsed="false">
      <c r="B411" s="2" t="n">
        <v>410</v>
      </c>
      <c r="C411" s="2" t="n">
        <v>0.991086446666667</v>
      </c>
      <c r="D411" s="2" t="n">
        <v>0.999999999999999</v>
      </c>
      <c r="E411" s="2" t="n">
        <v>0.9965</v>
      </c>
    </row>
    <row r="412" customFormat="false" ht="13.8" hidden="false" customHeight="false" outlineLevel="0" collapsed="false">
      <c r="B412" s="2" t="n">
        <v>411</v>
      </c>
      <c r="C412" s="2" t="n">
        <v>0.986429810000001</v>
      </c>
      <c r="D412" s="2" t="n">
        <v>1</v>
      </c>
      <c r="E412" s="2" t="n">
        <v>0.996500000000001</v>
      </c>
    </row>
    <row r="413" customFormat="false" ht="13.8" hidden="false" customHeight="false" outlineLevel="0" collapsed="false">
      <c r="B413" s="2" t="n">
        <v>412</v>
      </c>
      <c r="C413" s="2" t="n">
        <v>0.991803046666667</v>
      </c>
      <c r="D413" s="2" t="n">
        <v>1</v>
      </c>
      <c r="E413" s="2" t="n">
        <v>0.9965</v>
      </c>
    </row>
    <row r="414" customFormat="false" ht="13.8" hidden="false" customHeight="false" outlineLevel="0" collapsed="false">
      <c r="B414" s="2" t="n">
        <v>413</v>
      </c>
      <c r="C414" s="2" t="n">
        <v>0.984219630000001</v>
      </c>
      <c r="D414" s="2" t="n">
        <v>1</v>
      </c>
      <c r="E414" s="2" t="n">
        <v>0.9965</v>
      </c>
    </row>
    <row r="415" customFormat="false" ht="13.8" hidden="false" customHeight="false" outlineLevel="0" collapsed="false">
      <c r="B415" s="2" t="n">
        <v>414</v>
      </c>
      <c r="C415" s="2" t="n">
        <v>0.993429590000001</v>
      </c>
      <c r="D415" s="2" t="n">
        <v>1</v>
      </c>
      <c r="E415" s="2" t="n">
        <v>0.9965</v>
      </c>
    </row>
    <row r="416" customFormat="false" ht="13.8" hidden="false" customHeight="false" outlineLevel="0" collapsed="false">
      <c r="B416" s="2" t="n">
        <v>415</v>
      </c>
      <c r="C416" s="2" t="n">
        <v>0.982233120000001</v>
      </c>
      <c r="D416" s="2" t="n">
        <v>1</v>
      </c>
      <c r="E416" s="2" t="n">
        <v>0.9965</v>
      </c>
    </row>
    <row r="417" customFormat="false" ht="13.8" hidden="false" customHeight="false" outlineLevel="0" collapsed="false">
      <c r="B417" s="2" t="n">
        <v>416</v>
      </c>
      <c r="C417" s="2" t="n">
        <v>0.994316393333334</v>
      </c>
      <c r="D417" s="2" t="n">
        <v>1</v>
      </c>
      <c r="E417" s="2" t="n">
        <v>0.9965</v>
      </c>
    </row>
    <row r="418" customFormat="false" ht="13.8" hidden="false" customHeight="false" outlineLevel="0" collapsed="false">
      <c r="B418" s="2" t="n">
        <v>417</v>
      </c>
      <c r="C418" s="2" t="n">
        <v>0.983732976666668</v>
      </c>
      <c r="D418" s="2" t="n">
        <v>1</v>
      </c>
      <c r="E418" s="2" t="n">
        <v>0.996500000000001</v>
      </c>
    </row>
    <row r="419" customFormat="false" ht="13.8" hidden="false" customHeight="false" outlineLevel="0" collapsed="false">
      <c r="B419" s="2" t="n">
        <v>418</v>
      </c>
      <c r="C419" s="2" t="n">
        <v>0.99014961</v>
      </c>
      <c r="D419" s="2" t="n">
        <v>1</v>
      </c>
      <c r="E419" s="2" t="n">
        <v>0.9965</v>
      </c>
    </row>
    <row r="420" customFormat="false" ht="13.8" hidden="false" customHeight="false" outlineLevel="0" collapsed="false">
      <c r="B420" s="2" t="n">
        <v>419</v>
      </c>
      <c r="C420" s="2" t="n">
        <v>0.989726213846263</v>
      </c>
      <c r="D420" s="2" t="n">
        <v>0.999999999922289</v>
      </c>
      <c r="E420" s="2" t="n">
        <v>0.996499999922288</v>
      </c>
    </row>
    <row r="421" customFormat="false" ht="13.8" hidden="false" customHeight="false" outlineLevel="0" collapsed="false">
      <c r="B421" s="2" t="n">
        <v>420</v>
      </c>
      <c r="C421" s="2" t="n">
        <v>0.980926263333335</v>
      </c>
      <c r="D421" s="2" t="n">
        <v>1</v>
      </c>
      <c r="E421" s="2" t="n">
        <v>0.996500000000001</v>
      </c>
    </row>
    <row r="422" customFormat="false" ht="13.8" hidden="false" customHeight="false" outlineLevel="0" collapsed="false">
      <c r="B422" s="2" t="n">
        <v>421</v>
      </c>
      <c r="C422" s="2" t="n">
        <v>0.995982906772227</v>
      </c>
      <c r="D422" s="2" t="n">
        <v>0.99999999998402</v>
      </c>
      <c r="E422" s="2" t="n">
        <v>0.996499999984019</v>
      </c>
    </row>
    <row r="423" customFormat="false" ht="13.8" hidden="false" customHeight="false" outlineLevel="0" collapsed="false">
      <c r="B423" s="2" t="n">
        <v>422</v>
      </c>
      <c r="C423" s="2" t="n">
        <v>0.984122936666667</v>
      </c>
      <c r="D423" s="2" t="n">
        <v>1</v>
      </c>
      <c r="E423" s="2" t="n">
        <v>0.9965</v>
      </c>
    </row>
    <row r="424" customFormat="false" ht="13.8" hidden="false" customHeight="false" outlineLevel="0" collapsed="false">
      <c r="B424" s="2" t="n">
        <v>423</v>
      </c>
      <c r="C424" s="2" t="n">
        <v>0.987389653353187</v>
      </c>
      <c r="D424" s="2" t="n">
        <v>0.999999999996995</v>
      </c>
      <c r="E424" s="2" t="n">
        <v>0.996499999996994</v>
      </c>
    </row>
    <row r="425" customFormat="false" ht="13.8" hidden="false" customHeight="false" outlineLevel="0" collapsed="false">
      <c r="B425" s="2" t="n">
        <v>424</v>
      </c>
      <c r="C425" s="2" t="n">
        <v>0.983549616666667</v>
      </c>
      <c r="D425" s="2" t="n">
        <v>1</v>
      </c>
      <c r="E425" s="2" t="n">
        <v>0.9965</v>
      </c>
    </row>
    <row r="426" customFormat="false" ht="13.8" hidden="false" customHeight="false" outlineLevel="0" collapsed="false">
      <c r="B426" s="2" t="n">
        <v>425</v>
      </c>
      <c r="C426" s="2" t="n">
        <v>0.988249586666666</v>
      </c>
      <c r="D426" s="2" t="n">
        <v>1</v>
      </c>
      <c r="E426" s="2" t="n">
        <v>0.9965</v>
      </c>
    </row>
    <row r="427" customFormat="false" ht="13.8" hidden="false" customHeight="false" outlineLevel="0" collapsed="false">
      <c r="B427" s="2" t="n">
        <v>426</v>
      </c>
      <c r="C427" s="2" t="n">
        <v>0.99454955</v>
      </c>
      <c r="D427" s="2" t="n">
        <v>0.999999999999999</v>
      </c>
      <c r="E427" s="2" t="n">
        <v>0.99979999</v>
      </c>
    </row>
    <row r="428" customFormat="false" ht="13.8" hidden="false" customHeight="false" outlineLevel="0" collapsed="false">
      <c r="B428" s="2" t="n">
        <v>427</v>
      </c>
      <c r="C428" s="2" t="n">
        <v>0.98261628332573</v>
      </c>
      <c r="D428" s="2" t="n">
        <v>0.999999999992394</v>
      </c>
      <c r="E428" s="2" t="n">
        <v>0.993250000050234</v>
      </c>
    </row>
    <row r="429" customFormat="false" ht="13.8" hidden="false" customHeight="false" outlineLevel="0" collapsed="false">
      <c r="B429" s="2" t="n">
        <v>428</v>
      </c>
      <c r="C429" s="2" t="n">
        <v>0.990399716666588</v>
      </c>
      <c r="D429" s="2" t="n">
        <v>0.999999999999999</v>
      </c>
      <c r="E429" s="2" t="n">
        <v>0.99325</v>
      </c>
    </row>
    <row r="430" customFormat="false" ht="13.8" hidden="false" customHeight="false" outlineLevel="0" collapsed="false">
      <c r="B430" s="2" t="n">
        <v>429</v>
      </c>
      <c r="C430" s="2" t="n">
        <v>0.982306453516228</v>
      </c>
      <c r="D430" s="2" t="n">
        <v>0.999999999997546</v>
      </c>
      <c r="E430" s="2" t="n">
        <v>0.993249999997548</v>
      </c>
    </row>
    <row r="431" customFormat="false" ht="13.8" hidden="false" customHeight="false" outlineLevel="0" collapsed="false">
      <c r="B431" s="2" t="n">
        <v>430</v>
      </c>
      <c r="C431" s="2" t="n">
        <v>0.990026443333254</v>
      </c>
      <c r="D431" s="2" t="n">
        <v>0.999999999999996</v>
      </c>
      <c r="E431" s="2" t="n">
        <v>0.99325</v>
      </c>
    </row>
    <row r="432" customFormat="false" ht="13.8" hidden="false" customHeight="false" outlineLevel="0" collapsed="false">
      <c r="B432" s="2" t="n">
        <v>431</v>
      </c>
      <c r="C432" s="2" t="n">
        <v>0.982599810075725</v>
      </c>
      <c r="D432" s="2" t="n">
        <v>0.999999999990029</v>
      </c>
      <c r="E432" s="2" t="n">
        <v>0.999966623323366</v>
      </c>
    </row>
    <row r="433" customFormat="false" ht="13.8" hidden="false" customHeight="false" outlineLevel="0" collapsed="false">
      <c r="B433" s="2" t="n">
        <v>432</v>
      </c>
      <c r="C433" s="2" t="n">
        <v>0.990349800000044</v>
      </c>
      <c r="D433" s="2" t="n">
        <v>0.999999999999996</v>
      </c>
      <c r="E433" s="2" t="n">
        <v>0.99994996</v>
      </c>
    </row>
    <row r="434" customFormat="false" ht="13.8" hidden="false" customHeight="false" outlineLevel="0" collapsed="false">
      <c r="B434" s="2" t="n">
        <v>433</v>
      </c>
      <c r="C434" s="2" t="n">
        <v>0.987476376666666</v>
      </c>
      <c r="D434" s="2" t="n">
        <v>0.999999999999992</v>
      </c>
      <c r="E434" s="2" t="n">
        <v>0.994549999999992</v>
      </c>
    </row>
    <row r="435" customFormat="false" ht="13.8" hidden="false" customHeight="false" outlineLevel="0" collapsed="false">
      <c r="B435" s="2" t="n">
        <v>434</v>
      </c>
      <c r="C435" s="2" t="n">
        <v>0.985949666666666</v>
      </c>
      <c r="D435" s="2" t="n">
        <v>0.999999999999991</v>
      </c>
      <c r="E435" s="2" t="n">
        <v>0.991949999999989</v>
      </c>
    </row>
    <row r="436" customFormat="false" ht="13.8" hidden="false" customHeight="false" outlineLevel="0" collapsed="false">
      <c r="B436" s="2" t="n">
        <v>435</v>
      </c>
      <c r="C436" s="2" t="n">
        <v>0.984959583333334</v>
      </c>
      <c r="D436" s="2" t="n">
        <v>0.999999999999993</v>
      </c>
      <c r="E436" s="2" t="n">
        <v>0.994549999999986</v>
      </c>
    </row>
    <row r="437" customFormat="false" ht="13.8" hidden="false" customHeight="false" outlineLevel="0" collapsed="false">
      <c r="B437" s="2" t="n">
        <v>436</v>
      </c>
      <c r="C437" s="2" t="n">
        <v>0.987799550162235</v>
      </c>
      <c r="D437" s="2" t="n">
        <v>0.999999998554779</v>
      </c>
      <c r="E437" s="2" t="n">
        <v>0.991950000162215</v>
      </c>
    </row>
    <row r="438" customFormat="false" ht="13.8" hidden="false" customHeight="false" outlineLevel="0" collapsed="false">
      <c r="B438" s="2" t="n">
        <v>437</v>
      </c>
      <c r="C438" s="2" t="n">
        <v>0.985199550143044</v>
      </c>
      <c r="D438" s="2" t="n">
        <v>0.999999998761192</v>
      </c>
      <c r="E438" s="2" t="n">
        <v>0.994550000143022</v>
      </c>
    </row>
    <row r="439" customFormat="false" ht="13.8" hidden="false" customHeight="false" outlineLevel="0" collapsed="false">
      <c r="B439" s="2" t="n">
        <v>438</v>
      </c>
      <c r="C439" s="2" t="n">
        <v>0.987666240000221</v>
      </c>
      <c r="D439" s="2" t="n">
        <v>0.999999999999989</v>
      </c>
      <c r="E439" s="2" t="n">
        <v>0.99929995999998</v>
      </c>
    </row>
    <row r="440" customFormat="false" ht="13.8" hidden="false" customHeight="false" outlineLevel="0" collapsed="false">
      <c r="B440" s="2" t="n">
        <v>439</v>
      </c>
      <c r="C440" s="2" t="n">
        <v>0.984879776666641</v>
      </c>
      <c r="D440" s="2" t="n">
        <v>0.999999999999982</v>
      </c>
      <c r="E440" s="2" t="n">
        <v>0.995199999999975</v>
      </c>
    </row>
    <row r="441" customFormat="false" ht="13.8" hidden="false" customHeight="false" outlineLevel="0" collapsed="false">
      <c r="B441" s="2" t="n">
        <v>440</v>
      </c>
      <c r="C441" s="2" t="n">
        <v>0.987799759999971</v>
      </c>
      <c r="D441" s="2" t="n">
        <v>0.99999999999998</v>
      </c>
      <c r="E441" s="2" t="n">
        <v>0.991316663333307</v>
      </c>
    </row>
    <row r="442" customFormat="false" ht="13.8" hidden="false" customHeight="false" outlineLevel="0" collapsed="false">
      <c r="B442" s="2" t="n">
        <v>441</v>
      </c>
      <c r="C442" s="2" t="n">
        <v>0.984849823333301</v>
      </c>
      <c r="D442" s="2" t="n">
        <v>0.999999999999978</v>
      </c>
      <c r="E442" s="2" t="n">
        <v>0.996499999999972</v>
      </c>
    </row>
    <row r="443" customFormat="false" ht="13.8" hidden="false" customHeight="false" outlineLevel="0" collapsed="false">
      <c r="B443" s="2" t="n">
        <v>442</v>
      </c>
      <c r="C443" s="2" t="n">
        <v>0.987446493333304</v>
      </c>
      <c r="D443" s="2" t="n">
        <v>0.999999999999975</v>
      </c>
      <c r="E443" s="2" t="n">
        <v>0.989999999999974</v>
      </c>
    </row>
    <row r="444" customFormat="false" ht="13.8" hidden="false" customHeight="false" outlineLevel="0" collapsed="false">
      <c r="B444" s="2" t="n">
        <v>443</v>
      </c>
      <c r="C444" s="2" t="n">
        <v>0.986536506666627</v>
      </c>
      <c r="D444" s="2" t="n">
        <v>0.999999999999976</v>
      </c>
      <c r="E444" s="2" t="n">
        <v>0.999883306666634</v>
      </c>
    </row>
    <row r="445" customFormat="false" ht="13.8" hidden="false" customHeight="false" outlineLevel="0" collapsed="false">
      <c r="B445" s="2" t="n">
        <v>444</v>
      </c>
      <c r="C445" s="2" t="n">
        <v>0.991883206666843</v>
      </c>
      <c r="D445" s="2" t="n">
        <v>0.999999999999983</v>
      </c>
      <c r="E445" s="2" t="n">
        <v>0.997833326666637</v>
      </c>
    </row>
    <row r="446" customFormat="false" ht="13.8" hidden="false" customHeight="false" outlineLevel="0" collapsed="false">
      <c r="B446" s="2" t="n">
        <v>445</v>
      </c>
      <c r="C446" s="2" t="n">
        <v>0.981866633333288</v>
      </c>
      <c r="D446" s="2" t="n">
        <v>0.999999999999975</v>
      </c>
      <c r="E446" s="2" t="n">
        <v>0.989999999999961</v>
      </c>
    </row>
    <row r="447" customFormat="false" ht="13.8" hidden="false" customHeight="false" outlineLevel="0" collapsed="false">
      <c r="B447" s="2" t="n">
        <v>446</v>
      </c>
      <c r="C447" s="2" t="n">
        <v>0.99104994995264</v>
      </c>
      <c r="D447" s="2" t="n">
        <v>0.999999999905511</v>
      </c>
      <c r="E447" s="2" t="n">
        <v>0.996500000313044</v>
      </c>
    </row>
    <row r="448" customFormat="false" ht="13.8" hidden="false" customHeight="false" outlineLevel="0" collapsed="false">
      <c r="B448" s="2" t="n">
        <v>447</v>
      </c>
      <c r="C448" s="2" t="n">
        <v>0.981783316666994</v>
      </c>
      <c r="D448" s="2" t="n">
        <v>1.00000000033202</v>
      </c>
      <c r="E448" s="2" t="n">
        <v>0.990000000000148</v>
      </c>
    </row>
    <row r="449" customFormat="false" ht="13.8" hidden="false" customHeight="false" outlineLevel="0" collapsed="false">
      <c r="B449" s="2" t="n">
        <v>448</v>
      </c>
      <c r="C449" s="2" t="n">
        <v>0.993583296666667</v>
      </c>
      <c r="D449" s="2" t="n">
        <v>0.999999999999822</v>
      </c>
      <c r="E449" s="2" t="n">
        <v>0.99649999999996</v>
      </c>
    </row>
    <row r="450" customFormat="false" ht="13.8" hidden="false" customHeight="false" outlineLevel="0" collapsed="false">
      <c r="B450" s="2" t="n">
        <v>449</v>
      </c>
      <c r="C450" s="2" t="n">
        <v>0.981749989999949</v>
      </c>
      <c r="D450" s="2" t="n">
        <v>0.999999999999946</v>
      </c>
      <c r="E450" s="2" t="n">
        <v>0.989999999999946</v>
      </c>
    </row>
    <row r="451" customFormat="false" ht="13.8" hidden="false" customHeight="false" outlineLevel="0" collapsed="false">
      <c r="B451" s="2" t="n">
        <v>450</v>
      </c>
      <c r="C451" s="2" t="n">
        <v>0.989549936666615</v>
      </c>
      <c r="D451" s="2" t="n">
        <v>0.999999999999942</v>
      </c>
      <c r="E451" s="2" t="n">
        <v>0.996499999999942</v>
      </c>
    </row>
    <row r="452" customFormat="false" ht="13.8" hidden="false" customHeight="false" outlineLevel="0" collapsed="false">
      <c r="B452" s="2" t="n">
        <v>451</v>
      </c>
      <c r="C452" s="2" t="n">
        <v>0.979949939999944</v>
      </c>
      <c r="D452" s="2" t="n">
        <v>0.999999999999938</v>
      </c>
      <c r="E452" s="2" t="n">
        <v>0.989999999999938</v>
      </c>
    </row>
    <row r="453" customFormat="false" ht="13.8" hidden="false" customHeight="false" outlineLevel="0" collapsed="false">
      <c r="B453" s="2" t="n">
        <v>452</v>
      </c>
      <c r="C453" s="2" t="n">
        <v>0.991049899999941</v>
      </c>
      <c r="D453" s="2" t="n">
        <v>0.999999999999934</v>
      </c>
      <c r="E453" s="2" t="n">
        <v>0.996499999999934</v>
      </c>
    </row>
    <row r="454" customFormat="false" ht="13.8" hidden="false" customHeight="false" outlineLevel="0" collapsed="false">
      <c r="B454" s="2" t="n">
        <v>453</v>
      </c>
      <c r="C454" s="2" t="n">
        <v>0.981949899999916</v>
      </c>
      <c r="D454" s="2" t="n">
        <v>0.999999999999907</v>
      </c>
      <c r="E454" s="2" t="n">
        <v>0.989999986666612</v>
      </c>
    </row>
    <row r="455" customFormat="false" ht="13.8" hidden="false" customHeight="false" outlineLevel="0" collapsed="false">
      <c r="B455" s="2" t="n">
        <v>454</v>
      </c>
      <c r="C455" s="2" t="n">
        <v>0.990583256667282</v>
      </c>
      <c r="D455" s="2" t="n">
        <v>0.999999999999899</v>
      </c>
      <c r="E455" s="2" t="n">
        <v>0.995459989999886</v>
      </c>
    </row>
    <row r="456" customFormat="false" ht="13.8" hidden="false" customHeight="false" outlineLevel="0" collapsed="false">
      <c r="B456" s="2" t="n">
        <v>455</v>
      </c>
      <c r="C456" s="2" t="n">
        <v>0.982283247552623</v>
      </c>
      <c r="D456" s="2" t="n">
        <v>0.999999999997889</v>
      </c>
      <c r="E456" s="2" t="n">
        <v>0.987399989997822</v>
      </c>
    </row>
    <row r="457" customFormat="false" ht="13.8" hidden="false" customHeight="false" outlineLevel="0" collapsed="false">
      <c r="B457" s="2" t="n">
        <v>456</v>
      </c>
      <c r="C457" s="2" t="n">
        <v>0.990309840948005</v>
      </c>
      <c r="D457" s="2" t="n">
        <v>0.999999999998691</v>
      </c>
      <c r="E457" s="2" t="n">
        <v>0.996499976664526</v>
      </c>
    </row>
    <row r="458" customFormat="false" ht="13.8" hidden="false" customHeight="false" outlineLevel="0" collapsed="false">
      <c r="B458" s="2" t="n">
        <v>457</v>
      </c>
      <c r="C458" s="2" t="n">
        <v>0.988249694338949</v>
      </c>
      <c r="D458" s="2" t="n">
        <v>0.983999998421068</v>
      </c>
      <c r="E458" s="2" t="n">
        <v>0.989999999996068</v>
      </c>
    </row>
    <row r="459" customFormat="false" ht="13.8" hidden="false" customHeight="false" outlineLevel="0" collapsed="false">
      <c r="B459" s="2" t="n">
        <v>458</v>
      </c>
      <c r="C459" s="2" t="n">
        <v>0.99010289773173</v>
      </c>
      <c r="D459" s="2" t="n">
        <v>0.979999998483053</v>
      </c>
      <c r="E459" s="2" t="n">
        <v>0.996499999996206</v>
      </c>
    </row>
    <row r="460" customFormat="false" ht="13.8" hidden="false" customHeight="false" outlineLevel="0" collapsed="false">
      <c r="B460" s="2" t="n">
        <v>459</v>
      </c>
      <c r="C460" s="2" t="n">
        <v>0.98419626112441</v>
      </c>
      <c r="D460" s="2" t="n">
        <v>0.97999999854385</v>
      </c>
      <c r="E460" s="2" t="n">
        <v>0.989999999996344</v>
      </c>
    </row>
    <row r="461" customFormat="false" ht="13.8" hidden="false" customHeight="false" outlineLevel="0" collapsed="false">
      <c r="B461" s="2" t="n">
        <v>460</v>
      </c>
      <c r="C461" s="2" t="n">
        <v>0.985799467850313</v>
      </c>
      <c r="D461" s="2" t="n">
        <v>0.979999998604647</v>
      </c>
      <c r="E461" s="2" t="n">
        <v>0.996499999996482</v>
      </c>
    </row>
    <row r="462" customFormat="false" ht="13.8" hidden="false" customHeight="false" outlineLevel="0" collapsed="false">
      <c r="B462" s="2" t="n">
        <v>461</v>
      </c>
      <c r="C462" s="2" t="n">
        <v>0.982789490938887</v>
      </c>
      <c r="D462" s="2" t="n">
        <v>0.979999998463154</v>
      </c>
      <c r="E462" s="2" t="n">
        <v>0.989999999996584</v>
      </c>
    </row>
    <row r="463" customFormat="false" ht="13.8" hidden="false" customHeight="false" outlineLevel="0" collapsed="false">
      <c r="B463" s="2" t="n">
        <v>462</v>
      </c>
      <c r="C463" s="2" t="n">
        <v>0.985776021009991</v>
      </c>
      <c r="D463" s="2" t="n">
        <v>0.979999998533199</v>
      </c>
      <c r="E463" s="2" t="n">
        <v>0.996499999996722</v>
      </c>
    </row>
    <row r="464" customFormat="false" ht="13.8" hidden="false" customHeight="false" outlineLevel="0" collapsed="false">
      <c r="B464" s="2" t="n">
        <v>463</v>
      </c>
      <c r="C464" s="2" t="n">
        <v>0.979096067749642</v>
      </c>
      <c r="D464" s="2" t="n">
        <v>0.979999998603243</v>
      </c>
      <c r="E464" s="2" t="n">
        <v>0.989999999996861</v>
      </c>
    </row>
    <row r="465" customFormat="false" ht="13.8" hidden="false" customHeight="false" outlineLevel="0" collapsed="false">
      <c r="B465" s="2" t="n">
        <v>464</v>
      </c>
      <c r="C465" s="2" t="n">
        <v>0.979469421155961</v>
      </c>
      <c r="D465" s="2" t="n">
        <v>0.979999998673287</v>
      </c>
      <c r="E465" s="2" t="n">
        <v>0.996499999997</v>
      </c>
    </row>
    <row r="466" customFormat="false" ht="13.8" hidden="false" customHeight="false" outlineLevel="0" collapsed="false">
      <c r="B466" s="2" t="n">
        <v>465</v>
      </c>
      <c r="C466" s="2" t="n">
        <v>0.976515977895614</v>
      </c>
      <c r="D466" s="2" t="n">
        <v>0.97999999874333</v>
      </c>
      <c r="E466" s="2" t="n">
        <v>0.989999999997138</v>
      </c>
    </row>
    <row r="467" customFormat="false" ht="13.8" hidden="false" customHeight="false" outlineLevel="0" collapsed="false">
      <c r="B467" s="2" t="n">
        <v>466</v>
      </c>
      <c r="C467" s="2" t="n">
        <v>0.984519161301934</v>
      </c>
      <c r="D467" s="2" t="n">
        <v>0.979999998813371</v>
      </c>
      <c r="E467" s="2" t="n">
        <v>0.99861663333061</v>
      </c>
    </row>
    <row r="468" customFormat="false" ht="13.8" hidden="false" customHeight="false" outlineLevel="0" collapsed="false">
      <c r="B468" s="2" t="n">
        <v>467</v>
      </c>
      <c r="C468" s="2" t="n">
        <v>0.979805808041589</v>
      </c>
      <c r="D468" s="2" t="n">
        <v>0.979999998883411</v>
      </c>
      <c r="E468" s="2" t="n">
        <v>0.998666623330748</v>
      </c>
    </row>
    <row r="469" customFormat="false" ht="13.8" hidden="false" customHeight="false" outlineLevel="0" collapsed="false">
      <c r="B469" s="2" t="n">
        <v>468</v>
      </c>
      <c r="C469" s="2" t="n">
        <v>0.984445918114577</v>
      </c>
      <c r="D469" s="2" t="n">
        <v>0.979999998953449</v>
      </c>
      <c r="E469" s="2" t="n">
        <v>0.994549999997553</v>
      </c>
    </row>
    <row r="470" customFormat="false" ht="13.8" hidden="false" customHeight="false" outlineLevel="0" collapsed="false">
      <c r="B470" s="2" t="n">
        <v>469</v>
      </c>
      <c r="C470" s="2" t="n">
        <v>0.982122458187567</v>
      </c>
      <c r="D470" s="2" t="n">
        <v>0.979999999023484</v>
      </c>
      <c r="E470" s="2" t="n">
        <v>0.998449999997692</v>
      </c>
    </row>
    <row r="471" customFormat="false" ht="13.8" hidden="false" customHeight="false" outlineLevel="0" collapsed="false">
      <c r="B471" s="2" t="n">
        <v>470</v>
      </c>
      <c r="C471" s="2" t="n">
        <v>0.980059258260556</v>
      </c>
      <c r="D471" s="2" t="n">
        <v>0.979999999093516</v>
      </c>
      <c r="E471" s="2" t="n">
        <v>0.99454999999783</v>
      </c>
    </row>
    <row r="472" customFormat="false" ht="13.8" hidden="false" customHeight="false" outlineLevel="0" collapsed="false">
      <c r="B472" s="2" t="n">
        <v>471</v>
      </c>
      <c r="C472" s="2" t="n">
        <v>0.98744917166688</v>
      </c>
      <c r="D472" s="2" t="n">
        <v>0.979999999163542</v>
      </c>
      <c r="E472" s="2" t="n">
        <v>0.998449999997969</v>
      </c>
    </row>
    <row r="473" customFormat="false" ht="13.8" hidden="false" customHeight="false" outlineLevel="0" collapsed="false">
      <c r="B473" s="2" t="n">
        <v>472</v>
      </c>
      <c r="C473" s="2" t="n">
        <v>0.981699188406538</v>
      </c>
      <c r="D473" s="2" t="n">
        <v>0.979999999233562</v>
      </c>
      <c r="E473" s="2" t="n">
        <v>0.994549999998107</v>
      </c>
    </row>
    <row r="474" customFormat="false" ht="13.8" hidden="false" customHeight="false" outlineLevel="0" collapsed="false">
      <c r="B474" s="2" t="n">
        <v>473</v>
      </c>
      <c r="C474" s="2" t="n">
        <v>0.986779235146197</v>
      </c>
      <c r="D474" s="2" t="n">
        <v>0.979999999303573</v>
      </c>
      <c r="E474" s="2" t="n">
        <v>0.998449999998246</v>
      </c>
    </row>
    <row r="475" customFormat="false" ht="13.8" hidden="false" customHeight="false" outlineLevel="0" collapsed="false">
      <c r="B475" s="2" t="n">
        <v>474</v>
      </c>
      <c r="C475" s="2" t="n">
        <v>0.98156589521919</v>
      </c>
      <c r="D475" s="2" t="n">
        <v>0.979999999373571</v>
      </c>
      <c r="E475" s="2" t="n">
        <v>0.994549999998384</v>
      </c>
    </row>
    <row r="476" customFormat="false" ht="13.8" hidden="false" customHeight="false" outlineLevel="0" collapsed="false">
      <c r="B476" s="2" t="n">
        <v>475</v>
      </c>
      <c r="C476" s="2" t="n">
        <v>0.989115925292183</v>
      </c>
      <c r="D476" s="2" t="n">
        <v>0.979999999443551</v>
      </c>
      <c r="E476" s="2" t="n">
        <v>0.999116663331856</v>
      </c>
    </row>
    <row r="477" customFormat="false" ht="13.8" hidden="false" customHeight="false" outlineLevel="0" collapsed="false">
      <c r="B477" s="2" t="n">
        <v>476</v>
      </c>
      <c r="C477" s="2" t="n">
        <v>0.988859162031844</v>
      </c>
      <c r="D477" s="2" t="n">
        <v>0.979999999513502</v>
      </c>
      <c r="E477" s="2" t="n">
        <v>0.999999949998661</v>
      </c>
    </row>
    <row r="478" customFormat="false" ht="13.8" hidden="false" customHeight="false" outlineLevel="0" collapsed="false">
      <c r="B478" s="2" t="n">
        <v>477</v>
      </c>
      <c r="C478" s="2" t="n">
        <v>0.993932768771506</v>
      </c>
      <c r="D478" s="2" t="n">
        <v>0.979999999583407</v>
      </c>
      <c r="E478" s="2" t="n">
        <v>0.993316653332133</v>
      </c>
    </row>
    <row r="479" customFormat="false" ht="13.8" hidden="false" customHeight="false" outlineLevel="0" collapsed="false">
      <c r="B479" s="2" t="n">
        <v>478</v>
      </c>
      <c r="C479" s="2" t="n">
        <v>0.989356175511168</v>
      </c>
      <c r="D479" s="2" t="n">
        <v>0.97999999965323</v>
      </c>
      <c r="E479" s="2" t="n">
        <v>0.999749999998938</v>
      </c>
    </row>
    <row r="480" customFormat="false" ht="13.8" hidden="false" customHeight="false" outlineLevel="0" collapsed="false">
      <c r="B480" s="2" t="n">
        <v>479</v>
      </c>
      <c r="C480" s="2" t="n">
        <v>0.990936195584165</v>
      </c>
      <c r="D480" s="2" t="n">
        <v>0.979999999722888</v>
      </c>
      <c r="E480" s="2" t="n">
        <v>0.993249999999077</v>
      </c>
    </row>
    <row r="481" customFormat="false" ht="13.8" hidden="false" customHeight="false" outlineLevel="0" collapsed="false">
      <c r="B481" s="2" t="n">
        <v>480</v>
      </c>
      <c r="C481" s="2" t="n">
        <v>0.996975998990495</v>
      </c>
      <c r="D481" s="2" t="n">
        <v>0.97999999979214</v>
      </c>
      <c r="E481" s="2" t="n">
        <v>0.999799989999215</v>
      </c>
    </row>
    <row r="482" customFormat="false" ht="13.8" hidden="false" customHeight="false" outlineLevel="0" collapsed="false">
      <c r="B482" s="2" t="n">
        <v>481</v>
      </c>
      <c r="C482" s="2" t="n">
        <v>0.998296109063471</v>
      </c>
      <c r="D482" s="2" t="n">
        <v>0.986666666529881</v>
      </c>
      <c r="E482" s="2" t="n">
        <v>0.999999949999354</v>
      </c>
    </row>
    <row r="483" customFormat="false" ht="13.8" hidden="false" customHeight="false" outlineLevel="0" collapsed="false">
      <c r="B483" s="2" t="n">
        <v>482</v>
      </c>
      <c r="C483" s="2" t="n">
        <v>0.992346135834904</v>
      </c>
      <c r="D483" s="2" t="n">
        <v>0.980000000000067</v>
      </c>
      <c r="E483" s="2" t="n">
        <v>0.99983331666625</v>
      </c>
    </row>
    <row r="484" customFormat="false" ht="13.8" hidden="false" customHeight="false" outlineLevel="0" collapsed="false">
      <c r="B484" s="2" t="n">
        <v>483</v>
      </c>
      <c r="C484" s="2" t="n">
        <v>0.985986369204649</v>
      </c>
      <c r="D484" s="2" t="n">
        <v>0.980000000000042</v>
      </c>
      <c r="E484" s="2" t="n">
        <v>0.996499999999617</v>
      </c>
    </row>
    <row r="485" customFormat="false" ht="13.8" hidden="false" customHeight="false" outlineLevel="0" collapsed="false">
      <c r="B485" s="2" t="n">
        <v>484</v>
      </c>
      <c r="C485" s="2" t="n">
        <v>0.991806439241109</v>
      </c>
      <c r="D485" s="2" t="n">
        <v>0.980000000000058</v>
      </c>
      <c r="E485" s="2" t="n">
        <v>0.996516663332985</v>
      </c>
    </row>
    <row r="486" customFormat="false" ht="13.8" hidden="false" customHeight="false" outlineLevel="0" collapsed="false">
      <c r="B486" s="2" t="n">
        <v>485</v>
      </c>
      <c r="C486" s="2" t="n">
        <v>0.98960325927757</v>
      </c>
      <c r="D486" s="2" t="n">
        <v>0.980000000000074</v>
      </c>
      <c r="E486" s="2" t="n">
        <v>0.997149999999685</v>
      </c>
    </row>
    <row r="487" customFormat="false" ht="13.8" hidden="false" customHeight="false" outlineLevel="0" collapsed="false">
      <c r="B487" s="2" t="n">
        <v>486</v>
      </c>
      <c r="C487" s="2" t="n">
        <v>0.99682993931403</v>
      </c>
      <c r="D487" s="2" t="n">
        <v>0.98000000000009</v>
      </c>
      <c r="E487" s="2" t="n">
        <v>0.995849999999719</v>
      </c>
    </row>
    <row r="488" customFormat="false" ht="13.8" hidden="false" customHeight="false" outlineLevel="0" collapsed="false">
      <c r="B488" s="2" t="n">
        <v>487</v>
      </c>
      <c r="C488" s="2" t="n">
        <v>0.995799896017158</v>
      </c>
      <c r="D488" s="2" t="n">
        <v>0.980000000000106</v>
      </c>
      <c r="E488" s="2" t="n">
        <v>0.997149999999753</v>
      </c>
    </row>
    <row r="489" customFormat="false" ht="13.8" hidden="false" customHeight="false" outlineLevel="0" collapsed="false">
      <c r="B489" s="2" t="n">
        <v>488</v>
      </c>
      <c r="C489" s="2" t="n">
        <v>0.997529989386953</v>
      </c>
      <c r="D489" s="2" t="n">
        <v>0.980000000000122</v>
      </c>
      <c r="E489" s="2" t="n">
        <v>0.995849999999787</v>
      </c>
    </row>
    <row r="490" customFormat="false" ht="13.8" hidden="false" customHeight="false" outlineLevel="0" collapsed="false">
      <c r="B490" s="2" t="n">
        <v>489</v>
      </c>
      <c r="C490" s="2" t="n">
        <v>0.981193329423181</v>
      </c>
      <c r="D490" s="2" t="n">
        <v>0.979999999998243</v>
      </c>
      <c r="E490" s="2" t="n">
        <v>0.997149999999821</v>
      </c>
    </row>
    <row r="491" customFormat="false" ht="13.8" hidden="false" customHeight="false" outlineLevel="0" collapsed="false">
      <c r="B491" s="2" t="n">
        <v>490</v>
      </c>
      <c r="C491" s="2" t="n">
        <v>0.997603326126544</v>
      </c>
      <c r="D491" s="2" t="n">
        <v>0.980000000000154</v>
      </c>
      <c r="E491" s="2" t="n">
        <v>0.995849999999855</v>
      </c>
    </row>
    <row r="492" customFormat="false" ht="13.8" hidden="false" customHeight="false" outlineLevel="0" collapsed="false">
      <c r="B492" s="2" t="n">
        <v>491</v>
      </c>
      <c r="C492" s="2" t="n">
        <v>0.982026659496288</v>
      </c>
      <c r="D492" s="2" t="n">
        <v>0.979999999998285</v>
      </c>
      <c r="E492" s="2" t="n">
        <v>0.997149999999889</v>
      </c>
    </row>
    <row r="493" customFormat="false" ht="13.8" hidden="false" customHeight="false" outlineLevel="0" collapsed="false">
      <c r="B493" s="2" t="n">
        <v>492</v>
      </c>
      <c r="C493" s="2" t="n">
        <v>0.997179966199469</v>
      </c>
      <c r="D493" s="2" t="n">
        <v>0.980000000000186</v>
      </c>
      <c r="E493" s="2" t="n">
        <v>0.995849999999923</v>
      </c>
    </row>
    <row r="494" customFormat="false" ht="13.8" hidden="false" customHeight="false" outlineLevel="0" collapsed="false">
      <c r="B494" s="2" t="n">
        <v>493</v>
      </c>
      <c r="C494" s="2" t="n">
        <v>0.979826632902706</v>
      </c>
      <c r="D494" s="2" t="n">
        <v>0.979999999998621</v>
      </c>
      <c r="E494" s="2" t="n">
        <v>0.997149999999993</v>
      </c>
    </row>
    <row r="495" customFormat="false" ht="13.8" hidden="false" customHeight="false" outlineLevel="0" collapsed="false">
      <c r="B495" s="2" t="n">
        <v>494</v>
      </c>
      <c r="C495" s="2" t="n">
        <v>0.991363302939061</v>
      </c>
      <c r="D495" s="2" t="n">
        <v>0.980000000000218</v>
      </c>
      <c r="E495" s="2" t="n">
        <v>0.995849999999991</v>
      </c>
    </row>
    <row r="496" customFormat="false" ht="13.8" hidden="false" customHeight="false" outlineLevel="0" collapsed="false">
      <c r="B496" s="2" t="n">
        <v>495</v>
      </c>
      <c r="C496" s="2" t="n">
        <v>0.979299982975953</v>
      </c>
      <c r="D496" s="2" t="n">
        <v>0.979999999999193</v>
      </c>
      <c r="E496" s="2" t="n">
        <v>0.99715000000017</v>
      </c>
    </row>
    <row r="497" customFormat="false" ht="13.8" hidden="false" customHeight="false" outlineLevel="0" collapsed="false">
      <c r="B497" s="2" t="n">
        <v>496</v>
      </c>
      <c r="C497" s="2" t="n">
        <v>0.992399953011988</v>
      </c>
      <c r="D497" s="2" t="n">
        <v>0.98000000000025</v>
      </c>
      <c r="E497" s="2" t="n">
        <v>0.995850000000059</v>
      </c>
    </row>
    <row r="498" customFormat="false" ht="13.8" hidden="false" customHeight="false" outlineLevel="0" collapsed="false">
      <c r="B498" s="2" t="n">
        <v>497</v>
      </c>
      <c r="C498" s="2" t="n">
        <v>0.980236643049731</v>
      </c>
      <c r="D498" s="2" t="n">
        <v>0.979999999998417</v>
      </c>
      <c r="E498" s="2" t="n">
        <v>0.997150000000491</v>
      </c>
    </row>
    <row r="499" customFormat="false" ht="13.8" hidden="false" customHeight="false" outlineLevel="0" collapsed="false">
      <c r="B499" s="2" t="n">
        <v>498</v>
      </c>
      <c r="C499" s="2" t="n">
        <v>0.993633296418247</v>
      </c>
      <c r="D499" s="2" t="n">
        <v>0.980000000000282</v>
      </c>
      <c r="E499" s="2" t="n">
        <v>0.995850000000127</v>
      </c>
    </row>
    <row r="500" customFormat="false" ht="13.8" hidden="false" customHeight="false" outlineLevel="0" collapsed="false">
      <c r="B500" s="2" t="n">
        <v>499</v>
      </c>
      <c r="C500" s="2" t="n">
        <v>0.981576659791757</v>
      </c>
      <c r="D500" s="2" t="n">
        <v>0.97999999999537</v>
      </c>
      <c r="E500" s="2" t="n">
        <v>0.997150000000934</v>
      </c>
    </row>
    <row r="501" customFormat="false" ht="13.8" hidden="false" customHeight="false" outlineLevel="0" collapsed="false">
      <c r="B501" s="2" t="n">
        <v>500</v>
      </c>
      <c r="C501" s="2" t="n">
        <v>0.993899999824503</v>
      </c>
      <c r="D501" s="2" t="n">
        <v>0.980000000000314</v>
      </c>
      <c r="E501" s="2" t="n">
        <v>0.995850000000195</v>
      </c>
    </row>
    <row r="502" customFormat="false" ht="13.8" hidden="false" customHeight="false" outlineLevel="0" collapsed="false">
      <c r="B502" s="2" t="n">
        <v>501</v>
      </c>
      <c r="C502" s="2" t="n">
        <v>0.981589973205029</v>
      </c>
      <c r="D502" s="2" t="n">
        <v>0.979999999986423</v>
      </c>
      <c r="E502" s="2" t="n">
        <v>0.99715000000215</v>
      </c>
    </row>
    <row r="503" customFormat="false" ht="13.8" hidden="false" customHeight="false" outlineLevel="0" collapsed="false">
      <c r="B503" s="2" t="n">
        <v>502</v>
      </c>
      <c r="C503" s="2" t="n">
        <v>0.993739989910536</v>
      </c>
      <c r="D503" s="2" t="n">
        <v>0.980000000000369</v>
      </c>
      <c r="E503" s="2" t="n">
        <v>0.99585000000029</v>
      </c>
    </row>
    <row r="504" customFormat="false" ht="13.8" hidden="false" customHeight="false" outlineLevel="0" collapsed="false">
      <c r="B504" s="2" t="n">
        <v>503</v>
      </c>
      <c r="C504" s="2" t="n">
        <v>0.981576630000472</v>
      </c>
      <c r="D504" s="2" t="n">
        <v>0.982666666667097</v>
      </c>
      <c r="E504" s="2" t="n">
        <v>0.999866643333724</v>
      </c>
    </row>
    <row r="505" customFormat="false" ht="13.8" hidden="false" customHeight="false" outlineLevel="0" collapsed="false">
      <c r="B505" s="2" t="n">
        <v>504</v>
      </c>
      <c r="C505" s="2" t="n">
        <v>0.993979996642421</v>
      </c>
      <c r="D505" s="2" t="n">
        <v>1.0000000000004</v>
      </c>
      <c r="E505" s="2" t="n">
        <v>0.999933296667044</v>
      </c>
    </row>
    <row r="506" customFormat="false" ht="13.8" hidden="false" customHeight="false" outlineLevel="0" collapsed="false">
      <c r="B506" s="2" t="n">
        <v>505</v>
      </c>
      <c r="C506" s="2" t="n">
        <v>0.98175000000046</v>
      </c>
      <c r="D506" s="2" t="n">
        <v>1.00000000000044</v>
      </c>
      <c r="E506" s="2" t="n">
        <v>0.999750000000408</v>
      </c>
    </row>
    <row r="507" customFormat="false" ht="13.8" hidden="false" customHeight="false" outlineLevel="0" collapsed="false">
      <c r="B507" s="2" t="n">
        <v>506</v>
      </c>
      <c r="C507" s="2" t="n">
        <v>0.994193300000455</v>
      </c>
      <c r="D507" s="2" t="n">
        <v>1.00000000000044</v>
      </c>
      <c r="E507" s="2" t="n">
        <v>0.993250000000412</v>
      </c>
    </row>
    <row r="508" customFormat="false" ht="13.8" hidden="false" customHeight="false" outlineLevel="0" collapsed="false">
      <c r="B508" s="2" t="n">
        <v>507</v>
      </c>
      <c r="C508" s="2" t="n">
        <v>0.981603243333792</v>
      </c>
      <c r="D508" s="2" t="n">
        <v>1.00000000000045</v>
      </c>
      <c r="E508" s="2" t="n">
        <v>0.999750000000415</v>
      </c>
    </row>
    <row r="509" customFormat="false" ht="13.8" hidden="false" customHeight="false" outlineLevel="0" collapsed="false">
      <c r="B509" s="2" t="n">
        <v>508</v>
      </c>
      <c r="C509" s="2" t="n">
        <v>0.993899880000463</v>
      </c>
      <c r="D509" s="2" t="n">
        <v>1.00000000000046</v>
      </c>
      <c r="E509" s="2" t="n">
        <v>0.993266663333785</v>
      </c>
    </row>
    <row r="510" customFormat="false" ht="13.8" hidden="false" customHeight="false" outlineLevel="0" collapsed="false">
      <c r="B510" s="2" t="n">
        <v>509</v>
      </c>
      <c r="C510" s="2" t="n">
        <v>0.9802298433338</v>
      </c>
      <c r="D510" s="2" t="n">
        <v>1.00000000000046</v>
      </c>
      <c r="E510" s="2" t="n">
        <v>0.997800000031551</v>
      </c>
    </row>
    <row r="511" customFormat="false" ht="13.8" hidden="false" customHeight="false" outlineLevel="0" collapsed="false">
      <c r="B511" s="2" t="n">
        <v>510</v>
      </c>
      <c r="C511" s="2" t="n">
        <v>0.991606470000509</v>
      </c>
      <c r="D511" s="2" t="n">
        <v>1.00000000000045</v>
      </c>
      <c r="E511" s="2" t="n">
        <v>0.991949999914891</v>
      </c>
    </row>
    <row r="512" customFormat="false" ht="13.8" hidden="false" customHeight="false" outlineLevel="0" collapsed="false">
      <c r="B512" s="2" t="n">
        <v>511</v>
      </c>
      <c r="C512" s="2" t="n">
        <v>0.979929870000899</v>
      </c>
      <c r="D512" s="2" t="n">
        <v>1.00000000000015</v>
      </c>
      <c r="E512" s="2" t="n">
        <v>0.997800000000058</v>
      </c>
    </row>
    <row r="513" customFormat="false" ht="13.8" hidden="false" customHeight="false" outlineLevel="0" collapsed="false">
      <c r="B513" s="2" t="n">
        <v>512</v>
      </c>
      <c r="C513" s="2" t="n">
        <v>0.99312327666761</v>
      </c>
      <c r="D513" s="2" t="n">
        <v>1.00000000000015</v>
      </c>
      <c r="E513" s="2" t="n">
        <v>0.991949906666784</v>
      </c>
    </row>
    <row r="514" customFormat="false" ht="13.8" hidden="false" customHeight="false" outlineLevel="0" collapsed="false">
      <c r="B514" s="2" t="n">
        <v>513</v>
      </c>
      <c r="C514" s="2" t="n">
        <v>0.981066533334275</v>
      </c>
      <c r="D514" s="2" t="n">
        <v>1.00000000000015</v>
      </c>
      <c r="E514" s="2" t="n">
        <v>0.997739930000118</v>
      </c>
    </row>
    <row r="515" customFormat="false" ht="13.8" hidden="false" customHeight="false" outlineLevel="0" collapsed="false">
      <c r="B515" s="2" t="n">
        <v>514</v>
      </c>
      <c r="C515" s="2" t="n">
        <v>0.993549813331992</v>
      </c>
      <c r="D515" s="2" t="n">
        <v>1.00000000000008</v>
      </c>
      <c r="E515" s="2" t="n">
        <v>0.991849950000033</v>
      </c>
    </row>
    <row r="516" customFormat="false" ht="13.8" hidden="false" customHeight="false" outlineLevel="0" collapsed="false">
      <c r="B516" s="2" t="n">
        <v>515</v>
      </c>
      <c r="C516" s="2" t="n">
        <v>0.981549683334271</v>
      </c>
      <c r="D516" s="2" t="n">
        <v>1.00000000000014</v>
      </c>
      <c r="E516" s="2" t="n">
        <v>0.997699950000118</v>
      </c>
    </row>
    <row r="517" customFormat="false" ht="13.8" hidden="false" customHeight="false" outlineLevel="0" collapsed="false">
      <c r="B517" s="2" t="n">
        <v>516</v>
      </c>
      <c r="C517" s="2" t="n">
        <v>0.994299576665333</v>
      </c>
      <c r="D517" s="2" t="n">
        <v>1.00000000000008</v>
      </c>
      <c r="E517" s="2" t="n">
        <v>0.99184995000003</v>
      </c>
    </row>
    <row r="518" customFormat="false" ht="13.8" hidden="false" customHeight="false" outlineLevel="0" collapsed="false">
      <c r="B518" s="2" t="n">
        <v>517</v>
      </c>
      <c r="C518" s="2" t="n">
        <v>0.991036293332004</v>
      </c>
      <c r="D518" s="2" t="n">
        <v>1.00000000000007</v>
      </c>
      <c r="E518" s="2" t="n">
        <v>0.99769995000003</v>
      </c>
    </row>
    <row r="519" customFormat="false" ht="13.8" hidden="false" customHeight="false" outlineLevel="0" collapsed="false">
      <c r="B519" s="2" t="n">
        <v>518</v>
      </c>
      <c r="C519" s="2" t="n">
        <v>0.984069610000921</v>
      </c>
      <c r="D519" s="2" t="n">
        <v>1.00000000000014</v>
      </c>
      <c r="E519" s="2" t="n">
        <v>0.991849950000114</v>
      </c>
    </row>
    <row r="520" customFormat="false" ht="13.8" hidden="false" customHeight="false" outlineLevel="0" collapsed="false">
      <c r="B520" s="2" t="n">
        <v>519</v>
      </c>
      <c r="C520" s="2" t="n">
        <v>0.988242906667582</v>
      </c>
      <c r="D520" s="2" t="n">
        <v>1.00000000000013</v>
      </c>
      <c r="E520" s="2" t="n">
        <v>0.997699950000113</v>
      </c>
    </row>
    <row r="521" customFormat="false" ht="13.8" hidden="false" customHeight="false" outlineLevel="0" collapsed="false">
      <c r="B521" s="2" t="n">
        <v>520</v>
      </c>
      <c r="C521" s="2" t="n">
        <v>0.98584955000091</v>
      </c>
      <c r="D521" s="2" t="n">
        <v>1.00000000000013</v>
      </c>
      <c r="E521" s="2" t="n">
        <v>0.991849950000112</v>
      </c>
    </row>
    <row r="522" customFormat="false" ht="13.8" hidden="false" customHeight="false" outlineLevel="0" collapsed="false">
      <c r="B522" s="2" t="n">
        <v>521</v>
      </c>
      <c r="C522" s="2" t="n">
        <v>0.987149593373247</v>
      </c>
      <c r="D522" s="2" t="n">
        <v>0.999999999851309</v>
      </c>
      <c r="E522" s="2" t="n">
        <v>0.996739943352988</v>
      </c>
    </row>
    <row r="523" customFormat="false" ht="13.8" hidden="false" customHeight="false" outlineLevel="0" collapsed="false">
      <c r="B523" s="2" t="n">
        <v>522</v>
      </c>
      <c r="C523" s="2" t="n">
        <v>0.985849600058431</v>
      </c>
      <c r="D523" s="2" t="n">
        <v>0.99999999978066</v>
      </c>
      <c r="E523" s="2" t="n">
        <v>0.974999950028925</v>
      </c>
    </row>
    <row r="524" customFormat="false" ht="13.8" hidden="false" customHeight="false" outlineLevel="0" collapsed="false">
      <c r="B524" s="2" t="n">
        <v>523</v>
      </c>
      <c r="C524" s="2" t="n">
        <v>0.987149640035648</v>
      </c>
      <c r="D524" s="2" t="n">
        <v>0.99999999970755</v>
      </c>
      <c r="E524" s="2" t="n">
        <v>0.996166567295299</v>
      </c>
    </row>
    <row r="525" customFormat="false" ht="13.8" hidden="false" customHeight="false" outlineLevel="0" collapsed="false">
      <c r="B525" s="2" t="n">
        <v>524</v>
      </c>
      <c r="C525" s="2" t="n">
        <v>0.985399690044657</v>
      </c>
      <c r="D525" s="2" t="n">
        <v>0.999999999636334</v>
      </c>
      <c r="E525" s="2" t="n">
        <v>0.990666564114941</v>
      </c>
    </row>
    <row r="526" customFormat="false" ht="13.8" hidden="false" customHeight="false" outlineLevel="0" collapsed="false">
      <c r="B526" s="2" t="n">
        <v>525</v>
      </c>
      <c r="C526" s="2" t="n">
        <v>0.98639977994333</v>
      </c>
      <c r="D526" s="2" t="n">
        <v>0.99999999906409</v>
      </c>
      <c r="E526" s="2" t="n">
        <v>0.979349937045599</v>
      </c>
    </row>
    <row r="527" customFormat="false" ht="13.8" hidden="false" customHeight="false" outlineLevel="0" collapsed="false">
      <c r="B527" s="2" t="n">
        <v>526</v>
      </c>
      <c r="C527" s="2" t="n">
        <v>0.985199753396009</v>
      </c>
      <c r="D527" s="2" t="n">
        <v>0.9999999994939</v>
      </c>
      <c r="E527" s="2" t="n">
        <v>0.972649941087564</v>
      </c>
    </row>
    <row r="528" customFormat="false" ht="13.8" hidden="false" customHeight="false" outlineLevel="0" collapsed="false">
      <c r="B528" s="2" t="n">
        <v>527</v>
      </c>
      <c r="C528" s="2" t="n">
        <v>0.986399706738352</v>
      </c>
      <c r="D528" s="2" t="n">
        <v>0.999999999422682</v>
      </c>
      <c r="E528" s="2" t="n">
        <v>0.995899891240545</v>
      </c>
    </row>
    <row r="529" customFormat="false" ht="13.8" hidden="false" customHeight="false" outlineLevel="0" collapsed="false">
      <c r="B529" s="2" t="n">
        <v>528</v>
      </c>
      <c r="C529" s="2" t="n">
        <v>0.984099619916325</v>
      </c>
      <c r="D529" s="2" t="n">
        <v>0.999999998604225</v>
      </c>
      <c r="E529" s="2" t="n">
        <v>0.99994654389833</v>
      </c>
    </row>
    <row r="530" customFormat="false" ht="13.8" hidden="false" customHeight="false" outlineLevel="0" collapsed="false">
      <c r="B530" s="2" t="n">
        <v>529</v>
      </c>
      <c r="C530" s="2" t="n">
        <v>0.986432866756369</v>
      </c>
      <c r="D530" s="2" t="n">
        <v>0.999999999280243</v>
      </c>
      <c r="E530" s="2" t="n">
        <v>0.994606584879845</v>
      </c>
    </row>
    <row r="531" customFormat="false" ht="13.8" hidden="false" customHeight="false" outlineLevel="0" collapsed="false">
      <c r="B531" s="2" t="n">
        <v>530</v>
      </c>
      <c r="C531" s="2" t="n">
        <v>0.992936193432045</v>
      </c>
      <c r="D531" s="2" t="n">
        <v>0.999999999209022</v>
      </c>
      <c r="E531" s="2" t="n">
        <v>0.987616661699498</v>
      </c>
    </row>
    <row r="532" customFormat="false" ht="13.8" hidden="false" customHeight="false" outlineLevel="0" collapsed="false">
      <c r="B532" s="2" t="n">
        <v>531</v>
      </c>
      <c r="C532" s="2" t="n">
        <v>0.981069590224852</v>
      </c>
      <c r="D532" s="2" t="n">
        <v>0.999999999144786</v>
      </c>
      <c r="E532" s="2" t="n">
        <v>0.984216643445696</v>
      </c>
    </row>
    <row r="533" customFormat="false" ht="13.8" hidden="false" customHeight="false" outlineLevel="0" collapsed="false">
      <c r="B533" s="2" t="n">
        <v>532</v>
      </c>
      <c r="C533" s="2" t="n">
        <v>0.99109956011673</v>
      </c>
      <c r="D533" s="2" t="n">
        <v>0.999999999066578</v>
      </c>
      <c r="E533" s="2" t="n">
        <v>0.979999952005476</v>
      </c>
    </row>
    <row r="534" customFormat="false" ht="13.8" hidden="false" customHeight="false" outlineLevel="0" collapsed="false">
      <c r="B534" s="2" t="n">
        <v>533</v>
      </c>
      <c r="C534" s="2" t="n">
        <v>0.985899540261827</v>
      </c>
      <c r="D534" s="2" t="n">
        <v>0.999999999003473</v>
      </c>
      <c r="E534" s="2" t="n">
        <v>0.97266665346424</v>
      </c>
    </row>
    <row r="535" customFormat="false" ht="13.8" hidden="false" customHeight="false" outlineLevel="0" collapsed="false">
      <c r="B535" s="2" t="n">
        <v>534</v>
      </c>
      <c r="C535" s="2" t="n">
        <v>0.984449600280314</v>
      </c>
      <c r="D535" s="2" t="n">
        <v>0.999999998932815</v>
      </c>
      <c r="E535" s="2" t="n">
        <v>0.973900000140179</v>
      </c>
    </row>
    <row r="536" customFormat="false" ht="13.8" hidden="false" customHeight="false" outlineLevel="0" collapsed="false">
      <c r="B536" s="2" t="n">
        <v>535</v>
      </c>
      <c r="C536" s="2" t="n">
        <v>0.996099606810253</v>
      </c>
      <c r="D536" s="2" t="n">
        <v>0.999999998852908</v>
      </c>
      <c r="E536" s="2" t="n">
        <v>0.972600002464455</v>
      </c>
    </row>
    <row r="537" customFormat="false" ht="13.8" hidden="false" customHeight="false" outlineLevel="0" collapsed="false">
      <c r="B537" s="2" t="n">
        <v>536</v>
      </c>
      <c r="C537" s="2" t="n">
        <v>0.985849736983313</v>
      </c>
      <c r="D537" s="2" t="n">
        <v>0.999999998791498</v>
      </c>
      <c r="E537" s="2" t="n">
        <v>0.989899980158724</v>
      </c>
    </row>
    <row r="538" customFormat="false" ht="13.8" hidden="false" customHeight="false" outlineLevel="0" collapsed="false">
      <c r="B538" s="2" t="n">
        <v>537</v>
      </c>
      <c r="C538" s="2" t="n">
        <v>0.987123087001633</v>
      </c>
      <c r="D538" s="2" t="n">
        <v>0.999999998720838</v>
      </c>
      <c r="E538" s="2" t="n">
        <v>0.992599976834663</v>
      </c>
    </row>
    <row r="539" customFormat="false" ht="13.8" hidden="false" customHeight="false" outlineLevel="0" collapsed="false">
      <c r="B539" s="2" t="n">
        <v>538</v>
      </c>
      <c r="C539" s="2" t="n">
        <v>0.985663143686792</v>
      </c>
      <c r="D539" s="2" t="n">
        <v>0.999999998650178</v>
      </c>
      <c r="E539" s="2" t="n">
        <v>0.993606653510602</v>
      </c>
    </row>
    <row r="540" customFormat="false" ht="13.8" hidden="false" customHeight="false" outlineLevel="0" collapsed="false">
      <c r="B540" s="2" t="n">
        <v>539</v>
      </c>
      <c r="C540" s="2" t="n">
        <v>0.987149880371953</v>
      </c>
      <c r="D540" s="2" t="n">
        <v>0.999999998579517</v>
      </c>
      <c r="E540" s="2" t="n">
        <v>0.992200000186542</v>
      </c>
    </row>
    <row r="541" customFormat="false" ht="13.8" hidden="false" customHeight="false" outlineLevel="0" collapsed="false">
      <c r="B541" s="2" t="n">
        <v>540</v>
      </c>
      <c r="C541" s="2" t="n">
        <v>0.991183293725497</v>
      </c>
      <c r="D541" s="2" t="n">
        <v>0.999999998508949</v>
      </c>
      <c r="E541" s="2" t="n">
        <v>0.993499993529331</v>
      </c>
    </row>
    <row r="542" customFormat="false" ht="13.8" hidden="false" customHeight="false" outlineLevel="0" collapsed="false">
      <c r="B542" s="2" t="n">
        <v>541</v>
      </c>
      <c r="C542" s="2" t="n">
        <v>0.993849957304288</v>
      </c>
      <c r="D542" s="2" t="n">
        <v>0.999999999994426</v>
      </c>
      <c r="E542" s="2" t="n">
        <v>0.992306603328666</v>
      </c>
    </row>
    <row r="543" customFormat="false" ht="13.8" hidden="false" customHeight="false" outlineLevel="0" collapsed="false">
      <c r="B543" s="2" t="n">
        <v>542</v>
      </c>
      <c r="C543" s="2" t="n">
        <v>0.987149977366974</v>
      </c>
      <c r="D543" s="2" t="n">
        <v>0.999999999994585</v>
      </c>
      <c r="E543" s="2" t="n">
        <v>0.99133322666225</v>
      </c>
    </row>
    <row r="544" customFormat="false" ht="13.8" hidden="false" customHeight="false" outlineLevel="0" collapsed="false">
      <c r="B544" s="2" t="n">
        <v>543</v>
      </c>
      <c r="C544" s="2" t="n">
        <v>0.985883274093414</v>
      </c>
      <c r="D544" s="2" t="n">
        <v>0.99999999999465</v>
      </c>
      <c r="E544" s="2" t="n">
        <v>0.994939943328985</v>
      </c>
    </row>
    <row r="545" customFormat="false" ht="13.8" hidden="false" customHeight="false" outlineLevel="0" collapsed="false">
      <c r="B545" s="2" t="n">
        <v>544</v>
      </c>
      <c r="C545" s="2" t="n">
        <v>0.99251658081979</v>
      </c>
      <c r="D545" s="2" t="n">
        <v>0.999999999994714</v>
      </c>
      <c r="E545" s="2" t="n">
        <v>0.986633256662387</v>
      </c>
    </row>
    <row r="546" customFormat="false" ht="13.8" hidden="false" customHeight="false" outlineLevel="0" collapsed="false">
      <c r="B546" s="2" t="n">
        <v>545</v>
      </c>
      <c r="C546" s="2" t="n">
        <v>0.987016640879431</v>
      </c>
      <c r="D546" s="2" t="n">
        <v>0.999999999994778</v>
      </c>
      <c r="E546" s="2" t="n">
        <v>0.985199949995788</v>
      </c>
    </row>
    <row r="547" customFormat="false" ht="13.8" hidden="false" customHeight="false" outlineLevel="0" collapsed="false">
      <c r="B547" s="2" t="n">
        <v>546</v>
      </c>
      <c r="C547" s="2" t="n">
        <v>0.985599997605663</v>
      </c>
      <c r="D547" s="2" t="n">
        <v>0.999999999994843</v>
      </c>
      <c r="E547" s="2" t="n">
        <v>0.981299949995857</v>
      </c>
    </row>
    <row r="548" customFormat="false" ht="13.8" hidden="false" customHeight="false" outlineLevel="0" collapsed="false">
      <c r="B548" s="2" t="n">
        <v>547</v>
      </c>
      <c r="C548" s="2" t="n">
        <v>0.987133284331811</v>
      </c>
      <c r="D548" s="2" t="n">
        <v>0.999999999994907</v>
      </c>
      <c r="E548" s="2" t="n">
        <v>0.987499899995925</v>
      </c>
    </row>
    <row r="549" customFormat="false" ht="13.8" hidden="false" customHeight="false" outlineLevel="0" collapsed="false">
      <c r="B549" s="2" t="n">
        <v>548</v>
      </c>
      <c r="C549" s="2" t="n">
        <v>0.985616661057867</v>
      </c>
      <c r="D549" s="2" t="n">
        <v>0.999999999994972</v>
      </c>
      <c r="E549" s="2" t="n">
        <v>0.967499939995993</v>
      </c>
    </row>
    <row r="550" customFormat="false" ht="13.8" hidden="false" customHeight="false" outlineLevel="0" collapsed="false">
      <c r="B550" s="2" t="n">
        <v>549</v>
      </c>
      <c r="C550" s="2" t="n">
        <v>0.986899987783824</v>
      </c>
      <c r="D550" s="2" t="n">
        <v>0.999999999995036</v>
      </c>
      <c r="E550" s="2" t="n">
        <v>0.971383279996061</v>
      </c>
    </row>
    <row r="551" customFormat="false" ht="13.8" hidden="false" customHeight="false" outlineLevel="0" collapsed="false">
      <c r="B551" s="2" t="n">
        <v>550</v>
      </c>
      <c r="C551" s="2" t="n">
        <v>0.985039987843004</v>
      </c>
      <c r="D551" s="2" t="n">
        <v>0.9999999999951</v>
      </c>
      <c r="E551" s="2" t="n">
        <v>0.983849863329463</v>
      </c>
    </row>
    <row r="552" customFormat="false" ht="13.8" hidden="false" customHeight="false" outlineLevel="0" collapsed="false">
      <c r="B552" s="2" t="n">
        <v>551</v>
      </c>
      <c r="C552" s="2" t="n">
        <v>0.98652994456873</v>
      </c>
      <c r="D552" s="2" t="n">
        <v>0.999999999995483</v>
      </c>
      <c r="E552" s="2" t="n">
        <v>0.986929886662864</v>
      </c>
    </row>
    <row r="553" customFormat="false" ht="13.8" hidden="false" customHeight="false" outlineLevel="0" collapsed="false">
      <c r="B553" s="2" t="n">
        <v>552</v>
      </c>
      <c r="C553" s="2" t="n">
        <v>0.984933274628623</v>
      </c>
      <c r="D553" s="2" t="n">
        <v>0.997333332239096</v>
      </c>
      <c r="E553" s="2" t="n">
        <v>0.991529923328277</v>
      </c>
    </row>
    <row r="554" customFormat="false" ht="13.8" hidden="false" customHeight="false" outlineLevel="0" collapsed="false">
      <c r="B554" s="2" t="n">
        <v>553</v>
      </c>
      <c r="C554" s="2" t="n">
        <v>0.986309827739452</v>
      </c>
      <c r="D554" s="2" t="n">
        <v>0.979999998811613</v>
      </c>
      <c r="E554" s="2" t="n">
        <v>0.990649943328625</v>
      </c>
    </row>
    <row r="555" customFormat="false" ht="13.8" hidden="false" customHeight="false" outlineLevel="0" collapsed="false">
      <c r="B555" s="2" t="n">
        <v>554</v>
      </c>
      <c r="C555" s="2" t="n">
        <v>0.980519854479105</v>
      </c>
      <c r="D555" s="2" t="n">
        <v>0.979999998881654</v>
      </c>
      <c r="E555" s="2" t="n">
        <v>0.995849949995432</v>
      </c>
    </row>
    <row r="556" customFormat="false" ht="13.8" hidden="false" customHeight="false" outlineLevel="0" collapsed="false">
      <c r="B556" s="2" t="n">
        <v>555</v>
      </c>
      <c r="C556" s="2" t="n">
        <v>0.980909734552091</v>
      </c>
      <c r="D556" s="2" t="n">
        <v>0.979999998951692</v>
      </c>
      <c r="E556" s="2" t="n">
        <v>0.990649949995572</v>
      </c>
    </row>
    <row r="557" customFormat="false" ht="13.8" hidden="false" customHeight="false" outlineLevel="0" collapsed="false">
      <c r="B557" s="2" t="n">
        <v>556</v>
      </c>
      <c r="C557" s="2" t="n">
        <v>0.977976221291745</v>
      </c>
      <c r="D557" s="2" t="n">
        <v>0.979999999021729</v>
      </c>
      <c r="E557" s="2" t="n">
        <v>0.995849949995712</v>
      </c>
    </row>
    <row r="558" customFormat="false" ht="13.8" hidden="false" customHeight="false" outlineLevel="0" collapsed="false">
      <c r="B558" s="2" t="n">
        <v>557</v>
      </c>
      <c r="C558" s="2" t="n">
        <v>0.977036161364733</v>
      </c>
      <c r="D558" s="2" t="n">
        <v>0.979999999091761</v>
      </c>
      <c r="E558" s="2" t="n">
        <v>0.990649949995852</v>
      </c>
    </row>
    <row r="559" customFormat="false" ht="13.8" hidden="false" customHeight="false" outlineLevel="0" collapsed="false">
      <c r="B559" s="2" t="n">
        <v>558</v>
      </c>
      <c r="C559" s="2" t="n">
        <v>0.978222704771055</v>
      </c>
      <c r="D559" s="2" t="n">
        <v>0.979999999161789</v>
      </c>
      <c r="E559" s="2" t="n">
        <v>0.995849986662658</v>
      </c>
    </row>
    <row r="560" customFormat="false" ht="13.8" hidden="false" customHeight="false" outlineLevel="0" collapsed="false">
      <c r="B560" s="2" t="n">
        <v>559</v>
      </c>
      <c r="C560" s="2" t="n">
        <v>0.988755871510711</v>
      </c>
      <c r="D560" s="2" t="n">
        <v>0.97999999923181</v>
      </c>
      <c r="E560" s="2" t="n">
        <v>0.993983316662798</v>
      </c>
    </row>
    <row r="561" customFormat="false" ht="13.8" hidden="false" customHeight="false" outlineLevel="0" collapsed="false">
      <c r="B561" s="2" t="n">
        <v>560</v>
      </c>
      <c r="C561" s="2" t="n">
        <v>0.984012558250367</v>
      </c>
      <c r="D561" s="2" t="n">
        <v>0.979999999301823</v>
      </c>
      <c r="E561" s="2" t="n">
        <v>0.989999999996271</v>
      </c>
    </row>
    <row r="562" customFormat="false" ht="13.8" hidden="false" customHeight="false" outlineLevel="0" collapsed="false">
      <c r="B562" s="2" t="n">
        <v>561</v>
      </c>
      <c r="C562" s="2" t="n">
        <v>0.979825864990025</v>
      </c>
      <c r="D562" s="2" t="n">
        <v>0.979999999371823</v>
      </c>
      <c r="E562" s="2" t="n">
        <v>0.997166663329745</v>
      </c>
    </row>
    <row r="563" customFormat="false" ht="13.8" hidden="false" customHeight="false" outlineLevel="0" collapsed="false">
      <c r="B563" s="2" t="n">
        <v>562</v>
      </c>
      <c r="C563" s="2" t="n">
        <v>0.986022355063016</v>
      </c>
      <c r="D563" s="2" t="n">
        <v>0.979999999441804</v>
      </c>
      <c r="E563" s="2" t="n">
        <v>0.999783326663218</v>
      </c>
    </row>
    <row r="564" customFormat="false" ht="13.8" hidden="false" customHeight="false" outlineLevel="0" collapsed="false">
      <c r="B564" s="2" t="n">
        <v>563</v>
      </c>
      <c r="C564" s="2" t="n">
        <v>0.985059171802675</v>
      </c>
      <c r="D564" s="2" t="n">
        <v>0.979999999511758</v>
      </c>
      <c r="E564" s="2" t="n">
        <v>0.994549999996691</v>
      </c>
    </row>
    <row r="565" customFormat="false" ht="13.8" hidden="false" customHeight="false" outlineLevel="0" collapsed="false">
      <c r="B565" s="2" t="n">
        <v>564</v>
      </c>
      <c r="C565" s="2" t="n">
        <v>0.978012641875668</v>
      </c>
      <c r="D565" s="2" t="n">
        <v>0.979999999581666</v>
      </c>
      <c r="E565" s="2" t="n">
        <v>0.998449999996831</v>
      </c>
    </row>
    <row r="566" customFormat="false" ht="13.8" hidden="false" customHeight="false" outlineLevel="0" collapsed="false">
      <c r="B566" s="2" t="n">
        <v>565</v>
      </c>
      <c r="C566" s="2" t="n">
        <v>0.976042611948662</v>
      </c>
      <c r="D566" s="2" t="n">
        <v>0.979999999651494</v>
      </c>
      <c r="E566" s="2" t="n">
        <v>0.995216663330304</v>
      </c>
    </row>
    <row r="567" customFormat="false" ht="13.8" hidden="false" customHeight="false" outlineLevel="0" collapsed="false">
      <c r="B567" s="2" t="n">
        <v>566</v>
      </c>
      <c r="C567" s="2" t="n">
        <v>0.981385905354989</v>
      </c>
      <c r="D567" s="2" t="n">
        <v>0.979999999721159</v>
      </c>
      <c r="E567" s="2" t="n">
        <v>0.999849979997111</v>
      </c>
    </row>
    <row r="568" customFormat="false" ht="13.8" hidden="false" customHeight="false" outlineLevel="0" collapsed="false">
      <c r="B568" s="2" t="n">
        <v>567</v>
      </c>
      <c r="C568" s="2" t="n">
        <v>0.983455968761318</v>
      </c>
      <c r="D568" s="2" t="n">
        <v>0.979999999790423</v>
      </c>
      <c r="E568" s="2" t="n">
        <v>0.997149999997251</v>
      </c>
    </row>
    <row r="569" customFormat="false" ht="13.8" hidden="false" customHeight="false" outlineLevel="0" collapsed="false">
      <c r="B569" s="2" t="n">
        <v>568</v>
      </c>
      <c r="C569" s="2" t="n">
        <v>0.981782445500958</v>
      </c>
      <c r="D569" s="2" t="n">
        <v>0.979999999861504</v>
      </c>
      <c r="E569" s="2" t="n">
        <v>0.995849999997391</v>
      </c>
    </row>
    <row r="570" customFormat="false" ht="13.8" hidden="false" customHeight="false" outlineLevel="0" collapsed="false">
      <c r="B570" s="2" t="n">
        <v>569</v>
      </c>
      <c r="C570" s="2" t="n">
        <v>0.98744242227239</v>
      </c>
      <c r="D570" s="2" t="n">
        <v>0.979999999998332</v>
      </c>
      <c r="E570" s="2" t="n">
        <v>0.997149999997621</v>
      </c>
    </row>
    <row r="571" customFormat="false" ht="13.8" hidden="false" customHeight="false" outlineLevel="0" collapsed="false">
      <c r="B571" s="2" t="n">
        <v>570</v>
      </c>
      <c r="C571" s="2" t="n">
        <v>0.982792425642133</v>
      </c>
      <c r="D571" s="2" t="n">
        <v>0.979999999998274</v>
      </c>
      <c r="E571" s="2" t="n">
        <v>0.995849999997656</v>
      </c>
    </row>
    <row r="572" customFormat="false" ht="13.8" hidden="false" customHeight="false" outlineLevel="0" collapsed="false">
      <c r="B572" s="2" t="n">
        <v>571</v>
      </c>
      <c r="C572" s="2" t="n">
        <v>0.980895802345257</v>
      </c>
      <c r="D572" s="2" t="n">
        <v>0.979999999998291</v>
      </c>
      <c r="E572" s="2" t="n">
        <v>0.999866643331024</v>
      </c>
    </row>
    <row r="573" customFormat="false" ht="13.8" hidden="false" customHeight="false" outlineLevel="0" collapsed="false">
      <c r="B573" s="2" t="n">
        <v>572</v>
      </c>
      <c r="C573" s="2" t="n">
        <v>0.985372582381715</v>
      </c>
      <c r="D573" s="2" t="n">
        <v>0.979999999998308</v>
      </c>
      <c r="E573" s="2" t="n">
        <v>0.999816653331059</v>
      </c>
    </row>
    <row r="574" customFormat="false" ht="13.8" hidden="false" customHeight="false" outlineLevel="0" collapsed="false">
      <c r="B574" s="2" t="n">
        <v>573</v>
      </c>
      <c r="C574" s="2" t="n">
        <v>0.988129165751506</v>
      </c>
      <c r="D574" s="2" t="n">
        <v>0.979999999998324</v>
      </c>
      <c r="E574" s="2" t="n">
        <v>0.99584999999776</v>
      </c>
    </row>
    <row r="575" customFormat="false" ht="13.8" hidden="false" customHeight="false" outlineLevel="0" collapsed="false">
      <c r="B575" s="2" t="n">
        <v>574</v>
      </c>
      <c r="C575" s="2" t="n">
        <v>0.989975959121298</v>
      </c>
      <c r="D575" s="2" t="n">
        <v>0.979999999998341</v>
      </c>
      <c r="E575" s="2" t="n">
        <v>0.997149999997795</v>
      </c>
    </row>
    <row r="576" customFormat="false" ht="13.8" hidden="false" customHeight="false" outlineLevel="0" collapsed="false">
      <c r="B576" s="2" t="n">
        <v>575</v>
      </c>
      <c r="C576" s="2" t="n">
        <v>0.990919409157757</v>
      </c>
      <c r="D576" s="2" t="n">
        <v>0.979999999998358</v>
      </c>
      <c r="E576" s="2" t="n">
        <v>0.997183326664496</v>
      </c>
    </row>
    <row r="577" customFormat="false" ht="13.8" hidden="false" customHeight="false" outlineLevel="0" collapsed="false">
      <c r="B577" s="2" t="n">
        <v>576</v>
      </c>
      <c r="C577" s="2" t="n">
        <v>0.98959931252723</v>
      </c>
      <c r="D577" s="2" t="n">
        <v>0.979999999995517</v>
      </c>
      <c r="E577" s="2" t="n">
        <v>0.999999949997913</v>
      </c>
    </row>
    <row r="578" customFormat="false" ht="13.8" hidden="false" customHeight="false" outlineLevel="0" collapsed="false">
      <c r="B578" s="2" t="n">
        <v>577</v>
      </c>
      <c r="C578" s="2" t="n">
        <v>0.99090286923041</v>
      </c>
      <c r="D578" s="2" t="n">
        <v>0.999999999995597</v>
      </c>
      <c r="E578" s="2" t="n">
        <v>0.999999949997948</v>
      </c>
    </row>
    <row r="579" customFormat="false" ht="13.8" hidden="false" customHeight="false" outlineLevel="0" collapsed="false">
      <c r="B579" s="2" t="n">
        <v>578</v>
      </c>
      <c r="C579" s="2" t="n">
        <v>0.994336209266923</v>
      </c>
      <c r="D579" s="2" t="n">
        <v>0.999999999995677</v>
      </c>
      <c r="E579" s="2" t="n">
        <v>0.999916633331316</v>
      </c>
    </row>
    <row r="580" customFormat="false" ht="13.8" hidden="false" customHeight="false" outlineLevel="0" collapsed="false">
      <c r="B580" s="2" t="n">
        <v>579</v>
      </c>
      <c r="C580" s="2" t="n">
        <v>0.983116385970103</v>
      </c>
      <c r="D580" s="2" t="n">
        <v>0.999999999995756</v>
      </c>
      <c r="E580" s="2" t="n">
        <v>0.999749999998018</v>
      </c>
    </row>
    <row r="581" customFormat="false" ht="13.8" hidden="false" customHeight="false" outlineLevel="0" collapsed="false">
      <c r="B581" s="2" t="n">
        <v>580</v>
      </c>
      <c r="C581" s="2" t="n">
        <v>0.997183132673284</v>
      </c>
      <c r="D581" s="2" t="n">
        <v>0.997333333329168</v>
      </c>
      <c r="E581" s="2" t="n">
        <v>0.993249999998052</v>
      </c>
    </row>
    <row r="582" customFormat="false" ht="13.8" hidden="false" customHeight="false" outlineLevel="0" collapsed="false">
      <c r="B582" s="2" t="n">
        <v>581</v>
      </c>
      <c r="C582" s="2" t="n">
        <v>0.984606586043132</v>
      </c>
      <c r="D582" s="2" t="n">
        <v>0.979999999995913</v>
      </c>
      <c r="E582" s="2" t="n">
        <v>0.99976666333142</v>
      </c>
    </row>
    <row r="583" customFormat="false" ht="13.8" hidden="false" customHeight="false" outlineLevel="0" collapsed="false">
      <c r="B583" s="2" t="n">
        <v>582</v>
      </c>
      <c r="C583" s="2" t="n">
        <v>0.994616636079645</v>
      </c>
      <c r="D583" s="2" t="n">
        <v>0.979999999998476</v>
      </c>
      <c r="E583" s="2" t="n">
        <v>0.997149999998071</v>
      </c>
    </row>
    <row r="584" customFormat="false" ht="13.8" hidden="false" customHeight="false" outlineLevel="0" collapsed="false">
      <c r="B584" s="2" t="n">
        <v>583</v>
      </c>
      <c r="C584" s="2" t="n">
        <v>0.991659972782773</v>
      </c>
      <c r="D584" s="2" t="n">
        <v>0.979999999998493</v>
      </c>
      <c r="E584" s="2" t="n">
        <v>0.995849999998106</v>
      </c>
    </row>
    <row r="585" customFormat="false" ht="13.8" hidden="false" customHeight="false" outlineLevel="0" collapsed="false">
      <c r="B585" s="2" t="n">
        <v>584</v>
      </c>
      <c r="C585" s="2" t="n">
        <v>0.986669939485902</v>
      </c>
      <c r="D585" s="2" t="n">
        <v>0.979999999998509</v>
      </c>
      <c r="E585" s="2" t="n">
        <v>0.99714999999814</v>
      </c>
    </row>
    <row r="586" customFormat="false" ht="13.8" hidden="false" customHeight="false" outlineLevel="0" collapsed="false">
      <c r="B586" s="2" t="n">
        <v>585</v>
      </c>
      <c r="C586" s="2" t="n">
        <v>0.994446619522364</v>
      </c>
      <c r="D586" s="2" t="n">
        <v>0.979999999998526</v>
      </c>
      <c r="E586" s="2" t="n">
        <v>0.999149989998175</v>
      </c>
    </row>
    <row r="587" customFormat="false" ht="13.8" hidden="false" customHeight="false" outlineLevel="0" collapsed="false">
      <c r="B587" s="2" t="n">
        <v>586</v>
      </c>
      <c r="C587" s="2" t="n">
        <v>0.993703299558826</v>
      </c>
      <c r="D587" s="2" t="n">
        <v>0.979999999998543</v>
      </c>
      <c r="E587" s="2" t="n">
        <v>0.99584999999821</v>
      </c>
    </row>
    <row r="588" customFormat="false" ht="13.8" hidden="false" customHeight="false" outlineLevel="0" collapsed="false">
      <c r="B588" s="2" t="n">
        <v>587</v>
      </c>
      <c r="C588" s="2" t="n">
        <v>0.985759986261956</v>
      </c>
      <c r="D588" s="2" t="n">
        <v>0.97999999999856</v>
      </c>
      <c r="E588" s="2" t="n">
        <v>0.997183326664911</v>
      </c>
    </row>
    <row r="589" customFormat="false" ht="13.8" hidden="false" customHeight="false" outlineLevel="0" collapsed="false">
      <c r="B589" s="2" t="n">
        <v>588</v>
      </c>
      <c r="C589" s="2" t="n">
        <v>0.996129992965085</v>
      </c>
      <c r="D589" s="2" t="n">
        <v>0.979999999998577</v>
      </c>
      <c r="E589" s="2" t="n">
        <v>0.997799999998279</v>
      </c>
    </row>
    <row r="590" customFormat="false" ht="13.8" hidden="false" customHeight="false" outlineLevel="0" collapsed="false">
      <c r="B590" s="2" t="n">
        <v>589</v>
      </c>
      <c r="C590" s="2" t="n">
        <v>0.989733306334881</v>
      </c>
      <c r="D590" s="2" t="n">
        <v>0.979999999998593</v>
      </c>
      <c r="E590" s="2" t="n">
        <v>0.99528331666498</v>
      </c>
    </row>
    <row r="591" customFormat="false" ht="13.8" hidden="false" customHeight="false" outlineLevel="0" collapsed="false">
      <c r="B591" s="2" t="n">
        <v>590</v>
      </c>
      <c r="C591" s="2" t="n">
        <v>0.991549999704678</v>
      </c>
      <c r="D591" s="2" t="n">
        <v>0.97999999999861</v>
      </c>
      <c r="E591" s="2" t="n">
        <v>0.999849979998348</v>
      </c>
    </row>
    <row r="592" customFormat="false" ht="13.8" hidden="false" customHeight="false" outlineLevel="0" collapsed="false">
      <c r="B592" s="2" t="n">
        <v>591</v>
      </c>
      <c r="C592" s="2" t="n">
        <v>0.990303319741141</v>
      </c>
      <c r="D592" s="2" t="n">
        <v>0.979999999998627</v>
      </c>
      <c r="E592" s="2" t="n">
        <v>0.997149999998382</v>
      </c>
    </row>
    <row r="593" customFormat="false" ht="13.8" hidden="false" customHeight="false" outlineLevel="0" collapsed="false">
      <c r="B593" s="2" t="n">
        <v>592</v>
      </c>
      <c r="C593" s="2" t="n">
        <v>0.991636659777604</v>
      </c>
      <c r="D593" s="2" t="n">
        <v>0.979999999998655</v>
      </c>
      <c r="E593" s="2" t="n">
        <v>0.995899989998417</v>
      </c>
    </row>
    <row r="594" customFormat="false" ht="13.8" hidden="false" customHeight="false" outlineLevel="0" collapsed="false">
      <c r="B594" s="2" t="n">
        <v>593</v>
      </c>
      <c r="C594" s="2" t="n">
        <v>0.995029953147399</v>
      </c>
      <c r="D594" s="2" t="n">
        <v>0.97999999999869</v>
      </c>
      <c r="E594" s="2" t="n">
        <v>0.999866643331785</v>
      </c>
    </row>
    <row r="595" customFormat="false" ht="13.8" hidden="false" customHeight="false" outlineLevel="0" collapsed="false">
      <c r="B595" s="2" t="n">
        <v>594</v>
      </c>
      <c r="C595" s="2" t="n">
        <v>0.99066331318386</v>
      </c>
      <c r="D595" s="2" t="n">
        <v>0.979999999998725</v>
      </c>
      <c r="E595" s="2" t="n">
        <v>0.997799999998486</v>
      </c>
    </row>
    <row r="596" customFormat="false" ht="13.8" hidden="false" customHeight="false" outlineLevel="0" collapsed="false">
      <c r="B596" s="2" t="n">
        <v>595</v>
      </c>
      <c r="C596" s="2" t="n">
        <v>0.992256633220318</v>
      </c>
      <c r="D596" s="2" t="n">
        <v>0.979999999998759</v>
      </c>
      <c r="E596" s="2" t="n">
        <v>0.99519999999852</v>
      </c>
    </row>
    <row r="597" customFormat="false" ht="13.8" hidden="false" customHeight="false" outlineLevel="0" collapsed="false">
      <c r="B597" s="2" t="n">
        <v>596</v>
      </c>
      <c r="C597" s="2" t="n">
        <v>0.995066606590075</v>
      </c>
      <c r="D597" s="2" t="n">
        <v>0.979999999998794</v>
      </c>
      <c r="E597" s="2" t="n">
        <v>0.997799999998555</v>
      </c>
    </row>
    <row r="598" customFormat="false" ht="13.8" hidden="false" customHeight="false" outlineLevel="0" collapsed="false">
      <c r="B598" s="2" t="n">
        <v>597</v>
      </c>
      <c r="C598" s="2" t="n">
        <v>0.989796633332243</v>
      </c>
      <c r="D598" s="2" t="n">
        <v>0.979999999998867</v>
      </c>
      <c r="E598" s="2" t="n">
        <v>0.995199999998628</v>
      </c>
    </row>
    <row r="599" customFormat="false" ht="13.8" hidden="false" customHeight="false" outlineLevel="0" collapsed="false">
      <c r="B599" s="2" t="n">
        <v>598</v>
      </c>
      <c r="C599" s="2" t="n">
        <v>0.994893233331954</v>
      </c>
      <c r="D599" s="2" t="n">
        <v>0.982666666665288</v>
      </c>
      <c r="E599" s="2" t="n">
        <v>0.997799999998406</v>
      </c>
    </row>
    <row r="600" customFormat="false" ht="13.8" hidden="false" customHeight="false" outlineLevel="0" collapsed="false">
      <c r="B600" s="2" t="n">
        <v>599</v>
      </c>
      <c r="C600" s="2" t="n">
        <v>0.987599999997293</v>
      </c>
      <c r="D600" s="2" t="n">
        <v>0.999999999994883</v>
      </c>
      <c r="E600" s="2" t="n">
        <v>0.995200000006679</v>
      </c>
    </row>
    <row r="601" customFormat="false" ht="13.8" hidden="false" customHeight="false" outlineLevel="0" collapsed="false">
      <c r="B601" s="2" t="n">
        <v>600</v>
      </c>
      <c r="C601" s="2" t="n">
        <v>0.986949993332004</v>
      </c>
      <c r="D601" s="2" t="n">
        <v>1.00000000000717</v>
      </c>
      <c r="E601" s="2" t="n">
        <v>0.997799999998457</v>
      </c>
    </row>
    <row r="602" customFormat="false" ht="13.8" hidden="false" customHeight="false" outlineLevel="0" collapsed="false">
      <c r="B602" s="2" t="n">
        <v>601</v>
      </c>
      <c r="C602" s="2" t="n">
        <v>0.991846563332004</v>
      </c>
      <c r="D602" s="2" t="n">
        <v>0.999999999974534</v>
      </c>
      <c r="E602" s="2" t="n">
        <v>0.995199999998457</v>
      </c>
    </row>
    <row r="603" customFormat="false" ht="13.8" hidden="false" customHeight="false" outlineLevel="0" collapsed="false">
      <c r="B603" s="2" t="n">
        <v>602</v>
      </c>
      <c r="C603" s="2" t="n">
        <v>0.990399860000002</v>
      </c>
      <c r="D603" s="2" t="n">
        <v>0.999999999999994</v>
      </c>
      <c r="E603" s="2" t="n">
        <v>0.997800000000001</v>
      </c>
    </row>
    <row r="604" customFormat="false" ht="13.8" hidden="false" customHeight="false" outlineLevel="0" collapsed="false">
      <c r="B604" s="2" t="n">
        <v>603</v>
      </c>
      <c r="C604" s="2" t="n">
        <v>0.985743160000002</v>
      </c>
      <c r="D604" s="2" t="n">
        <v>1.00000000000001</v>
      </c>
      <c r="E604" s="2" t="n">
        <v>0.995200000000001</v>
      </c>
    </row>
    <row r="605" customFormat="false" ht="13.8" hidden="false" customHeight="false" outlineLevel="0" collapsed="false">
      <c r="B605" s="2" t="n">
        <v>604</v>
      </c>
      <c r="C605" s="2" t="n">
        <v>0.988293126666668</v>
      </c>
      <c r="D605" s="2" t="n">
        <v>1.00000000000001</v>
      </c>
      <c r="E605" s="2" t="n">
        <v>0.997800000000001</v>
      </c>
    </row>
    <row r="606" customFormat="false" ht="13.8" hidden="false" customHeight="false" outlineLevel="0" collapsed="false">
      <c r="B606" s="2" t="n">
        <v>605</v>
      </c>
      <c r="C606" s="2" t="n">
        <v>0.985389606666668</v>
      </c>
      <c r="D606" s="2" t="n">
        <v>1.00000000000001</v>
      </c>
      <c r="E606" s="2" t="n">
        <v>0.999750000000001</v>
      </c>
    </row>
    <row r="607" customFormat="false" ht="13.8" hidden="false" customHeight="false" outlineLevel="0" collapsed="false">
      <c r="B607" s="2" t="n">
        <v>606</v>
      </c>
      <c r="C607" s="2" t="n">
        <v>0.986532923333335</v>
      </c>
      <c r="D607" s="2" t="n">
        <v>1.00000000000001</v>
      </c>
      <c r="E607" s="2" t="n">
        <v>0.993249930000001</v>
      </c>
    </row>
    <row r="608" customFormat="false" ht="13.8" hidden="false" customHeight="false" outlineLevel="0" collapsed="false">
      <c r="B608" s="2" t="n">
        <v>607</v>
      </c>
      <c r="C608" s="2" t="n">
        <v>0.989099610000002</v>
      </c>
      <c r="D608" s="2" t="n">
        <v>1.00000000000001</v>
      </c>
      <c r="E608" s="2" t="n">
        <v>0.999749890000001</v>
      </c>
    </row>
    <row r="609" customFormat="false" ht="13.8" hidden="false" customHeight="false" outlineLevel="0" collapsed="false">
      <c r="B609" s="2" t="n">
        <v>608</v>
      </c>
      <c r="C609" s="2" t="n">
        <v>0.989549640000002</v>
      </c>
      <c r="D609" s="2" t="n">
        <v>1.00000000000001</v>
      </c>
      <c r="E609" s="2" t="n">
        <v>0.989999850000001</v>
      </c>
    </row>
    <row r="610" customFormat="false" ht="13.8" hidden="false" customHeight="false" outlineLevel="0" collapsed="false">
      <c r="B610" s="2" t="n">
        <v>609</v>
      </c>
      <c r="C610" s="2" t="n">
        <v>0.989399689990882</v>
      </c>
      <c r="D610" s="2" t="n">
        <v>0.999999999990908</v>
      </c>
      <c r="E610" s="2" t="n">
        <v>0.999589870069172</v>
      </c>
    </row>
    <row r="611" customFormat="false" ht="13.8" hidden="false" customHeight="false" outlineLevel="0" collapsed="false">
      <c r="B611" s="2" t="n">
        <v>610</v>
      </c>
      <c r="C611" s="2" t="n">
        <v>0.981449700000002</v>
      </c>
      <c r="D611" s="2" t="n">
        <v>1.00000000000001</v>
      </c>
      <c r="E611" s="2" t="n">
        <v>0.989973163333334</v>
      </c>
    </row>
    <row r="612" customFormat="false" ht="13.8" hidden="false" customHeight="false" outlineLevel="0" collapsed="false">
      <c r="B612" s="2" t="n">
        <v>611</v>
      </c>
      <c r="C612" s="2" t="n">
        <v>0.989436333333339</v>
      </c>
      <c r="D612" s="2" t="n">
        <v>1.00000000000002</v>
      </c>
      <c r="E612" s="2" t="n">
        <v>0.994283206666672</v>
      </c>
    </row>
    <row r="613" customFormat="false" ht="13.8" hidden="false" customHeight="false" outlineLevel="0" collapsed="false">
      <c r="B613" s="2" t="n">
        <v>612</v>
      </c>
      <c r="C613" s="2" t="n">
        <v>0.991349606666667</v>
      </c>
      <c r="D613" s="2" t="n">
        <v>1.00000000000001</v>
      </c>
      <c r="E613" s="2" t="n">
        <v>0.987199860000001</v>
      </c>
    </row>
    <row r="614" customFormat="false" ht="13.8" hidden="false" customHeight="false" outlineLevel="0" collapsed="false">
      <c r="B614" s="2" t="n">
        <v>613</v>
      </c>
      <c r="C614" s="2" t="n">
        <v>0.991286350000001</v>
      </c>
      <c r="D614" s="2" t="n">
        <v>1.00000000000001</v>
      </c>
      <c r="E614" s="2" t="n">
        <v>0.999083136666667</v>
      </c>
    </row>
    <row r="615" customFormat="false" ht="13.8" hidden="false" customHeight="false" outlineLevel="0" collapsed="false">
      <c r="B615" s="2" t="n">
        <v>614</v>
      </c>
      <c r="C615" s="2" t="n">
        <v>0.981299636666669</v>
      </c>
      <c r="D615" s="2" t="n">
        <v>1.00000000000001</v>
      </c>
      <c r="E615" s="2" t="n">
        <v>0.972473246666668</v>
      </c>
    </row>
    <row r="616" customFormat="false" ht="13.8" hidden="false" customHeight="false" outlineLevel="0" collapsed="false">
      <c r="B616" s="2" t="n">
        <v>615</v>
      </c>
      <c r="C616" s="2" t="n">
        <v>0.988699686666667</v>
      </c>
      <c r="D616" s="2" t="n">
        <v>1.00000000000001</v>
      </c>
      <c r="E616" s="2" t="n">
        <v>0.982149950000001</v>
      </c>
    </row>
    <row r="617" customFormat="false" ht="13.8" hidden="false" customHeight="false" outlineLevel="0" collapsed="false">
      <c r="B617" s="2" t="n">
        <v>616</v>
      </c>
      <c r="C617" s="2" t="n">
        <v>0.980886403333336</v>
      </c>
      <c r="D617" s="2" t="n">
        <v>1.00000000000001</v>
      </c>
      <c r="E617" s="2" t="n">
        <v>0.972399916666668</v>
      </c>
    </row>
    <row r="618" customFormat="false" ht="13.8" hidden="false" customHeight="false" outlineLevel="0" collapsed="false">
      <c r="B618" s="2" t="n">
        <v>617</v>
      </c>
      <c r="C618" s="2" t="n">
        <v>0.989653069999998</v>
      </c>
      <c r="D618" s="2" t="n">
        <v>1.00000000000001</v>
      </c>
      <c r="E618" s="2" t="n">
        <v>0.982173226666667</v>
      </c>
    </row>
    <row r="619" customFormat="false" ht="13.8" hidden="false" customHeight="false" outlineLevel="0" collapsed="false">
      <c r="B619" s="2" t="n">
        <v>618</v>
      </c>
      <c r="C619" s="2" t="n">
        <v>0.982572986672808</v>
      </c>
      <c r="D619" s="2" t="n">
        <v>1.00000000000001</v>
      </c>
      <c r="E619" s="2" t="n">
        <v>0.983833126666669</v>
      </c>
    </row>
    <row r="620" customFormat="false" ht="13.8" hidden="false" customHeight="false" outlineLevel="0" collapsed="false">
      <c r="B620" s="2" t="n">
        <v>619</v>
      </c>
      <c r="C620" s="2" t="n">
        <v>0.990399649999998</v>
      </c>
      <c r="D620" s="2" t="n">
        <v>1.00000000000001</v>
      </c>
      <c r="E620" s="2" t="n">
        <v>0.990469790000001</v>
      </c>
    </row>
    <row r="621" customFormat="false" ht="13.8" hidden="false" customHeight="false" outlineLevel="0" collapsed="false">
      <c r="B621" s="2" t="n">
        <v>620</v>
      </c>
      <c r="C621" s="2" t="n">
        <v>0.98333296</v>
      </c>
      <c r="D621" s="2" t="n">
        <v>1.00000000000001</v>
      </c>
      <c r="E621" s="2" t="n">
        <v>0.990316476666667</v>
      </c>
    </row>
    <row r="622" customFormat="false" ht="13.8" hidden="false" customHeight="false" outlineLevel="0" collapsed="false">
      <c r="B622" s="2" t="n">
        <v>621</v>
      </c>
      <c r="C622" s="2" t="n">
        <v>0.993966280000004</v>
      </c>
      <c r="D622" s="2" t="n">
        <v>1.00000000000001</v>
      </c>
      <c r="E622" s="2" t="n">
        <v>0.993599800000004</v>
      </c>
    </row>
    <row r="623" customFormat="false" ht="13.8" hidden="false" customHeight="false" outlineLevel="0" collapsed="false">
      <c r="B623" s="2" t="n">
        <v>622</v>
      </c>
      <c r="C623" s="2" t="n">
        <v>0.975366356666669</v>
      </c>
      <c r="D623" s="2" t="n">
        <v>1.00000000000001</v>
      </c>
      <c r="E623" s="2" t="n">
        <v>0.990966503333334</v>
      </c>
    </row>
    <row r="624" customFormat="false" ht="13.8" hidden="false" customHeight="false" outlineLevel="0" collapsed="false">
      <c r="B624" s="2" t="n">
        <v>623</v>
      </c>
      <c r="C624" s="2" t="n">
        <v>0.992672956651112</v>
      </c>
      <c r="D624" s="2" t="n">
        <v>0.999999999984468</v>
      </c>
      <c r="E624" s="2" t="n">
        <v>0.973779870102757</v>
      </c>
    </row>
    <row r="625" customFormat="false" ht="13.8" hidden="false" customHeight="false" outlineLevel="0" collapsed="false">
      <c r="B625" s="2" t="n">
        <v>624</v>
      </c>
      <c r="C625" s="2" t="n">
        <v>0.97776633666667</v>
      </c>
      <c r="D625" s="2" t="n">
        <v>1.00000000000001</v>
      </c>
      <c r="E625" s="2" t="n">
        <v>0.972599850000001</v>
      </c>
    </row>
    <row r="626" customFormat="false" ht="13.8" hidden="false" customHeight="false" outlineLevel="0" collapsed="false">
      <c r="B626" s="2" t="n">
        <v>625</v>
      </c>
      <c r="C626" s="2" t="n">
        <v>0.992812970000003</v>
      </c>
      <c r="D626" s="2" t="n">
        <v>1.00000000000001</v>
      </c>
      <c r="E626" s="2" t="n">
        <v>0.973899850000004</v>
      </c>
    </row>
    <row r="627" customFormat="false" ht="13.8" hidden="false" customHeight="false" outlineLevel="0" collapsed="false">
      <c r="B627" s="2" t="n">
        <v>626</v>
      </c>
      <c r="C627" s="2" t="n">
        <v>0.97997297666667</v>
      </c>
      <c r="D627" s="2" t="n">
        <v>1.00000000000001</v>
      </c>
      <c r="E627" s="2" t="n">
        <v>0.987246483333334</v>
      </c>
    </row>
    <row r="628" customFormat="false" ht="13.8" hidden="false" customHeight="false" outlineLevel="0" collapsed="false">
      <c r="B628" s="2" t="n">
        <v>627</v>
      </c>
      <c r="C628" s="2" t="n">
        <v>0.992449566666669</v>
      </c>
      <c r="D628" s="2" t="n">
        <v>1.00000000000001</v>
      </c>
      <c r="E628" s="2" t="n">
        <v>0.993776530000003</v>
      </c>
    </row>
    <row r="629" customFormat="false" ht="13.8" hidden="false" customHeight="false" outlineLevel="0" collapsed="false">
      <c r="B629" s="2" t="n">
        <v>628</v>
      </c>
      <c r="C629" s="2" t="n">
        <v>0.97961958</v>
      </c>
      <c r="D629" s="2" t="n">
        <v>1</v>
      </c>
      <c r="E629" s="2" t="n">
        <v>0.997999783333332</v>
      </c>
    </row>
    <row r="630" customFormat="false" ht="13.8" hidden="false" customHeight="false" outlineLevel="0" collapsed="false">
      <c r="B630" s="2" t="n">
        <v>629</v>
      </c>
      <c r="C630" s="2" t="n">
        <v>0.992999580106153</v>
      </c>
      <c r="D630" s="2" t="n">
        <v>0.999999999983945</v>
      </c>
      <c r="E630" s="2" t="n">
        <v>0.986999866650595</v>
      </c>
    </row>
    <row r="631" customFormat="false" ht="13.8" hidden="false" customHeight="false" outlineLevel="0" collapsed="false">
      <c r="B631" s="2" t="n">
        <v>630</v>
      </c>
      <c r="C631" s="2" t="n">
        <v>0.979839619999996</v>
      </c>
      <c r="D631" s="2" t="n">
        <v>1</v>
      </c>
      <c r="E631" s="2" t="n">
        <v>0.993499899999995</v>
      </c>
    </row>
    <row r="632" customFormat="false" ht="13.8" hidden="false" customHeight="false" outlineLevel="0" collapsed="false">
      <c r="B632" s="2" t="n">
        <v>631</v>
      </c>
      <c r="C632" s="2" t="n">
        <v>0.994946300000089</v>
      </c>
      <c r="D632" s="2" t="n">
        <v>1</v>
      </c>
      <c r="E632" s="2" t="n">
        <v>0.986999899999994</v>
      </c>
    </row>
    <row r="633" customFormat="false" ht="13.8" hidden="false" customHeight="false" outlineLevel="0" collapsed="false">
      <c r="B633" s="2" t="n">
        <v>632</v>
      </c>
      <c r="C633" s="2" t="n">
        <v>0.989786443333334</v>
      </c>
      <c r="D633" s="2" t="n">
        <v>1</v>
      </c>
      <c r="E633" s="2" t="n">
        <v>0.993233226666659</v>
      </c>
    </row>
    <row r="634" customFormat="false" ht="13.8" hidden="false" customHeight="false" outlineLevel="0" collapsed="false">
      <c r="B634" s="2" t="n">
        <v>633</v>
      </c>
      <c r="C634" s="2" t="n">
        <v>0.993666476666668</v>
      </c>
      <c r="D634" s="2" t="n">
        <v>1</v>
      </c>
      <c r="E634" s="2" t="n">
        <v>0.989266483333326</v>
      </c>
    </row>
    <row r="635" customFormat="false" ht="13.8" hidden="false" customHeight="false" outlineLevel="0" collapsed="false">
      <c r="B635" s="2" t="n">
        <v>634</v>
      </c>
      <c r="C635" s="2" t="n">
        <v>0.97999989333332</v>
      </c>
      <c r="D635" s="2" t="n">
        <v>1</v>
      </c>
      <c r="E635" s="2" t="n">
        <v>0.996313156666655</v>
      </c>
    </row>
    <row r="636" customFormat="false" ht="13.8" hidden="false" customHeight="false" outlineLevel="0" collapsed="false">
      <c r="B636" s="2" t="n">
        <v>635</v>
      </c>
      <c r="C636" s="2" t="n">
        <v>0.99299992</v>
      </c>
      <c r="D636" s="2" t="n">
        <v>1</v>
      </c>
      <c r="E636" s="2" t="n">
        <v>0.989653176666656</v>
      </c>
    </row>
    <row r="637" customFormat="false" ht="13.8" hidden="false" customHeight="false" outlineLevel="0" collapsed="false">
      <c r="B637" s="2" t="n">
        <v>636</v>
      </c>
      <c r="C637" s="2" t="n">
        <v>0.979999996666649</v>
      </c>
      <c r="D637" s="2" t="n">
        <v>0.999999999999998</v>
      </c>
      <c r="E637" s="2" t="n">
        <v>0.990499769999985</v>
      </c>
    </row>
    <row r="638" customFormat="false" ht="13.8" hidden="false" customHeight="false" outlineLevel="0" collapsed="false">
      <c r="B638" s="2" t="n">
        <v>637</v>
      </c>
      <c r="C638" s="2" t="n">
        <v>0.993000000000007</v>
      </c>
      <c r="D638" s="2" t="n">
        <v>1</v>
      </c>
      <c r="E638" s="2" t="n">
        <v>0.97499978333332</v>
      </c>
    </row>
    <row r="639" customFormat="false" ht="13.8" hidden="false" customHeight="false" outlineLevel="0" collapsed="false">
      <c r="B639" s="2" t="n">
        <v>638</v>
      </c>
      <c r="C639" s="2" t="n">
        <v>0.984099996667204</v>
      </c>
      <c r="D639" s="2" t="n">
        <v>0.999999999999996</v>
      </c>
      <c r="E639" s="2" t="n">
        <v>0.996299753333316</v>
      </c>
    </row>
    <row r="640" customFormat="false" ht="13.8" hidden="false" customHeight="false" outlineLevel="0" collapsed="false">
      <c r="B640" s="2" t="n">
        <v>639</v>
      </c>
      <c r="C640" s="2" t="n">
        <v>0.988099998176087</v>
      </c>
      <c r="D640" s="2" t="n">
        <v>0.999999999997927</v>
      </c>
      <c r="E640" s="2" t="n">
        <v>0.963966483331276</v>
      </c>
    </row>
    <row r="641" customFormat="false" ht="13.8" hidden="false" customHeight="false" outlineLevel="0" collapsed="false">
      <c r="B641" s="2" t="n">
        <v>640</v>
      </c>
      <c r="C641" s="2" t="n">
        <v>0.982899998241272</v>
      </c>
      <c r="D641" s="2" t="n">
        <v>0.999999999997997</v>
      </c>
      <c r="E641" s="2" t="n">
        <v>0.970999803331346</v>
      </c>
    </row>
    <row r="642" customFormat="false" ht="13.8" hidden="false" customHeight="false" outlineLevel="0" collapsed="false">
      <c r="B642" s="2" t="n">
        <v>641</v>
      </c>
      <c r="C642" s="2" t="n">
        <v>0.988099998304944</v>
      </c>
      <c r="D642" s="2" t="n">
        <v>0.999999999998067</v>
      </c>
      <c r="E642" s="2" t="n">
        <v>0.964906513331417</v>
      </c>
    </row>
    <row r="643" customFormat="false" ht="13.8" hidden="false" customHeight="false" outlineLevel="0" collapsed="false">
      <c r="B643" s="2" t="n">
        <v>642</v>
      </c>
      <c r="C643" s="2" t="n">
        <v>0.992766641701949</v>
      </c>
      <c r="D643" s="2" t="n">
        <v>0.999999999998137</v>
      </c>
      <c r="E643" s="2" t="n">
        <v>0.973549793331487</v>
      </c>
    </row>
    <row r="644" customFormat="false" ht="13.8" hidden="false" customHeight="false" outlineLevel="0" collapsed="false">
      <c r="B644" s="2" t="n">
        <v>643</v>
      </c>
      <c r="C644" s="2" t="n">
        <v>0.982899998432292</v>
      </c>
      <c r="D644" s="2" t="n">
        <v>0.999999999998207</v>
      </c>
      <c r="E644" s="2" t="n">
        <v>0.994626403331558</v>
      </c>
    </row>
    <row r="645" customFormat="false" ht="13.8" hidden="false" customHeight="false" outlineLevel="0" collapsed="false">
      <c r="B645" s="2" t="n">
        <v>644</v>
      </c>
      <c r="C645" s="2" t="n">
        <v>0.988099968495967</v>
      </c>
      <c r="D645" s="2" t="n">
        <v>0.999999999998278</v>
      </c>
      <c r="E645" s="2" t="n">
        <v>0.990979756664962</v>
      </c>
    </row>
    <row r="646" customFormat="false" ht="13.8" hidden="false" customHeight="false" outlineLevel="0" collapsed="false">
      <c r="B646" s="2" t="n">
        <v>645</v>
      </c>
      <c r="C646" s="2" t="n">
        <v>0.981966661892976</v>
      </c>
      <c r="D646" s="2" t="n">
        <v>0.999999999998348</v>
      </c>
      <c r="E646" s="2" t="n">
        <v>0.989619729998365</v>
      </c>
    </row>
    <row r="647" customFormat="false" ht="13.8" hidden="false" customHeight="false" outlineLevel="0" collapsed="false">
      <c r="B647" s="2" t="n">
        <v>646</v>
      </c>
      <c r="C647" s="2" t="n">
        <v>0.987099998623318</v>
      </c>
      <c r="D647" s="2" t="n">
        <v>0.999999999998418</v>
      </c>
      <c r="E647" s="2" t="n">
        <v>0.995179696665102</v>
      </c>
    </row>
    <row r="648" customFormat="false" ht="13.8" hidden="false" customHeight="false" outlineLevel="0" collapsed="false">
      <c r="B648" s="2" t="n">
        <v>647</v>
      </c>
      <c r="C648" s="2" t="n">
        <v>0.982433228686995</v>
      </c>
      <c r="D648" s="2" t="n">
        <v>0.999999999998488</v>
      </c>
      <c r="E648" s="2" t="n">
        <v>0.989953106665173</v>
      </c>
    </row>
    <row r="649" customFormat="false" ht="13.8" hidden="false" customHeight="false" outlineLevel="0" collapsed="false">
      <c r="B649" s="2" t="n">
        <v>648</v>
      </c>
      <c r="C649" s="2" t="n">
        <v>0.985983242084006</v>
      </c>
      <c r="D649" s="2" t="n">
        <v>0.999999999998558</v>
      </c>
      <c r="E649" s="2" t="n">
        <v>0.99089981333191</v>
      </c>
    </row>
    <row r="650" customFormat="false" ht="13.8" hidden="false" customHeight="false" outlineLevel="0" collapsed="false">
      <c r="B650" s="2" t="n">
        <v>649</v>
      </c>
      <c r="C650" s="2" t="n">
        <v>0.98100646864205</v>
      </c>
      <c r="D650" s="2" t="n">
        <v>0.999999999999326</v>
      </c>
      <c r="E650" s="2" t="n">
        <v>0.995199799998637</v>
      </c>
    </row>
    <row r="651" customFormat="false" ht="13.8" hidden="false" customHeight="false" outlineLevel="0" collapsed="false">
      <c r="B651" s="2" t="n">
        <v>650</v>
      </c>
      <c r="C651" s="2" t="n">
        <v>0.985106405381643</v>
      </c>
      <c r="D651" s="2" t="n">
        <v>0.999999999999386</v>
      </c>
      <c r="E651" s="2" t="n">
        <v>0.989699853332041</v>
      </c>
    </row>
    <row r="652" customFormat="false" ht="13.8" hidden="false" customHeight="false" outlineLevel="0" collapsed="false">
      <c r="B652" s="2" t="n">
        <v>651</v>
      </c>
      <c r="C652" s="2" t="n">
        <v>0.978469735454475</v>
      </c>
      <c r="D652" s="2" t="n">
        <v>0.981333333231172</v>
      </c>
      <c r="E652" s="2" t="n">
        <v>0.992199906665359</v>
      </c>
    </row>
    <row r="653" customFormat="false" ht="13.8" hidden="false" customHeight="false" outlineLevel="0" collapsed="false">
      <c r="B653" s="2" t="n">
        <v>652</v>
      </c>
      <c r="C653" s="2" t="n">
        <v>0.984416185541484</v>
      </c>
      <c r="D653" s="2" t="n">
        <v>0.979999999999484</v>
      </c>
      <c r="E653" s="2" t="n">
        <v>0.988299949998877</v>
      </c>
    </row>
    <row r="654" customFormat="false" ht="13.8" hidden="false" customHeight="false" outlineLevel="0" collapsed="false">
      <c r="B654" s="2" t="n">
        <v>653</v>
      </c>
      <c r="C654" s="2" t="n">
        <v>0.983469362244537</v>
      </c>
      <c r="D654" s="2" t="n">
        <v>0.979999999999446</v>
      </c>
      <c r="E654" s="2" t="n">
        <v>0.997066606665578</v>
      </c>
    </row>
    <row r="655" customFormat="false" ht="13.8" hidden="false" customHeight="false" outlineLevel="0" collapsed="false">
      <c r="B655" s="2" t="n">
        <v>654</v>
      </c>
      <c r="C655" s="2" t="n">
        <v>0.977612745690332</v>
      </c>
      <c r="D655" s="2" t="n">
        <v>0.979999999901225</v>
      </c>
      <c r="E655" s="2" t="n">
        <v>0.999333286678994</v>
      </c>
    </row>
    <row r="656" customFormat="false" ht="13.8" hidden="false" customHeight="false" outlineLevel="0" collapsed="false">
      <c r="B656" s="2" t="n">
        <v>655</v>
      </c>
      <c r="C656" s="2" t="n">
        <v>0.976479495781742</v>
      </c>
      <c r="D656" s="2" t="n">
        <v>0.979999999830595</v>
      </c>
      <c r="E656" s="2" t="n">
        <v>0.990000000021665</v>
      </c>
    </row>
    <row r="657" customFormat="false" ht="13.8" hidden="false" customHeight="false" outlineLevel="0" collapsed="false">
      <c r="B657" s="2" t="n">
        <v>656</v>
      </c>
      <c r="C657" s="2" t="n">
        <v>0.975349349206495</v>
      </c>
      <c r="D657" s="2" t="n">
        <v>0.979999999759964</v>
      </c>
      <c r="E657" s="2" t="n">
        <v>0.997150000031005</v>
      </c>
    </row>
    <row r="658" customFormat="false" ht="13.8" hidden="false" customHeight="false" outlineLevel="0" collapsed="false">
      <c r="B658" s="2" t="n">
        <v>657</v>
      </c>
      <c r="C658" s="2" t="n">
        <v>0.98113927263125</v>
      </c>
      <c r="D658" s="2" t="n">
        <v>0.979999999689332</v>
      </c>
      <c r="E658" s="2" t="n">
        <v>0.999750000040345</v>
      </c>
    </row>
    <row r="659" customFormat="false" ht="13.8" hidden="false" customHeight="false" outlineLevel="0" collapsed="false">
      <c r="B659" s="2" t="n">
        <v>658</v>
      </c>
      <c r="C659" s="2" t="n">
        <v>0.976519302722673</v>
      </c>
      <c r="D659" s="2" t="n">
        <v>0.979999999618699</v>
      </c>
      <c r="E659" s="2" t="n">
        <v>0.993250000049685</v>
      </c>
    </row>
    <row r="660" customFormat="false" ht="13.8" hidden="false" customHeight="false" outlineLevel="0" collapsed="false">
      <c r="B660" s="2" t="n">
        <v>659</v>
      </c>
      <c r="C660" s="2" t="n">
        <v>0.982135952814096</v>
      </c>
      <c r="D660" s="2" t="n">
        <v>0.979999999548066</v>
      </c>
      <c r="E660" s="2" t="n">
        <v>0.999750000059026</v>
      </c>
    </row>
    <row r="661" customFormat="false" ht="13.8" hidden="false" customHeight="false" outlineLevel="0" collapsed="false">
      <c r="B661" s="2" t="n">
        <v>660</v>
      </c>
      <c r="C661" s="2" t="n">
        <v>0.977745959572187</v>
      </c>
      <c r="D661" s="2" t="n">
        <v>0.979999999477431</v>
      </c>
      <c r="E661" s="2" t="n">
        <v>0.993250000068366</v>
      </c>
    </row>
    <row r="662" customFormat="false" ht="13.8" hidden="false" customHeight="false" outlineLevel="0" collapsed="false">
      <c r="B662" s="2" t="n">
        <v>661</v>
      </c>
      <c r="C662" s="2" t="n">
        <v>0.978415939663612</v>
      </c>
      <c r="D662" s="2" t="n">
        <v>0.979999999406797</v>
      </c>
      <c r="E662" s="2" t="n">
        <v>0.999999950077707</v>
      </c>
    </row>
    <row r="663" customFormat="false" ht="13.8" hidden="false" customHeight="false" outlineLevel="0" collapsed="false">
      <c r="B663" s="2" t="n">
        <v>662</v>
      </c>
      <c r="C663" s="2" t="n">
        <v>0.974672573088372</v>
      </c>
      <c r="D663" s="2" t="n">
        <v>0.979999999336161</v>
      </c>
      <c r="E663" s="2" t="n">
        <v>0.999783326753715</v>
      </c>
    </row>
    <row r="664" customFormat="false" ht="13.8" hidden="false" customHeight="false" outlineLevel="0" collapsed="false">
      <c r="B664" s="2" t="n">
        <v>663</v>
      </c>
      <c r="C664" s="2" t="n">
        <v>0.984705753179798</v>
      </c>
      <c r="D664" s="2" t="n">
        <v>0.979999999265525</v>
      </c>
      <c r="E664" s="2" t="n">
        <v>0.994550000096389</v>
      </c>
    </row>
    <row r="665" customFormat="false" ht="13.8" hidden="false" customHeight="false" outlineLevel="0" collapsed="false">
      <c r="B665" s="2" t="n">
        <v>664</v>
      </c>
      <c r="C665" s="2" t="n">
        <v>0.979459123271226</v>
      </c>
      <c r="D665" s="2" t="n">
        <v>0.979999999194888</v>
      </c>
      <c r="E665" s="2" t="n">
        <v>0.99845000010573</v>
      </c>
    </row>
    <row r="666" customFormat="false" ht="13.8" hidden="false" customHeight="false" outlineLevel="0" collapsed="false">
      <c r="B666" s="2" t="n">
        <v>665</v>
      </c>
      <c r="C666" s="2" t="n">
        <v>0.986555750029321</v>
      </c>
      <c r="D666" s="2" t="n">
        <v>0.979999999124251</v>
      </c>
      <c r="E666" s="2" t="n">
        <v>0.99455000011507</v>
      </c>
    </row>
    <row r="667" customFormat="false" ht="13.8" hidden="false" customHeight="false" outlineLevel="0" collapsed="false">
      <c r="B667" s="2" t="n">
        <v>666</v>
      </c>
      <c r="C667" s="2" t="n">
        <v>0.980929076787378</v>
      </c>
      <c r="D667" s="2" t="n">
        <v>0.979999999053612</v>
      </c>
      <c r="E667" s="2" t="n">
        <v>0.998566643457744</v>
      </c>
    </row>
    <row r="668" customFormat="false" ht="13.8" hidden="false" customHeight="false" outlineLevel="0" collapsed="false">
      <c r="B668" s="2" t="n">
        <v>667</v>
      </c>
      <c r="C668" s="2" t="n">
        <v>0.984335873607187</v>
      </c>
      <c r="D668" s="2" t="n">
        <v>0.979999998956664</v>
      </c>
      <c r="E668" s="2" t="n">
        <v>0.999799990137248</v>
      </c>
    </row>
    <row r="669" customFormat="false" ht="13.8" hidden="false" customHeight="false" outlineLevel="0" collapsed="false">
      <c r="B669" s="2" t="n">
        <v>668</v>
      </c>
      <c r="C669" s="2" t="n">
        <v>0.978885926949766</v>
      </c>
      <c r="D669" s="2" t="n">
        <v>0.979999998921301</v>
      </c>
      <c r="E669" s="2" t="n">
        <v>0.995200000141904</v>
      </c>
    </row>
    <row r="670" customFormat="false" ht="13.8" hidden="false" customHeight="false" outlineLevel="0" collapsed="false">
      <c r="B670" s="2" t="n">
        <v>669</v>
      </c>
      <c r="C670" s="2" t="n">
        <v>0.986999173625717</v>
      </c>
      <c r="D670" s="2" t="n">
        <v>0.979999998885939</v>
      </c>
      <c r="E670" s="2" t="n">
        <v>0.997816663479892</v>
      </c>
    </row>
    <row r="671" customFormat="false" ht="13.8" hidden="false" customHeight="false" outlineLevel="0" collapsed="false">
      <c r="B671" s="2" t="n">
        <v>670</v>
      </c>
      <c r="C671" s="2" t="n">
        <v>0.982799223635002</v>
      </c>
      <c r="D671" s="2" t="n">
        <v>0.979999998850576</v>
      </c>
      <c r="E671" s="2" t="n">
        <v>0.995850000151215</v>
      </c>
    </row>
    <row r="672" customFormat="false" ht="13.8" hidden="false" customHeight="false" outlineLevel="0" collapsed="false">
      <c r="B672" s="2" t="n">
        <v>671</v>
      </c>
      <c r="C672" s="2" t="n">
        <v>0.984885916993829</v>
      </c>
      <c r="D672" s="2" t="n">
        <v>0.979999998753495</v>
      </c>
      <c r="E672" s="2" t="n">
        <v>0.997166663497329</v>
      </c>
    </row>
    <row r="673" customFormat="false" ht="13.8" hidden="false" customHeight="false" outlineLevel="0" collapsed="false">
      <c r="B673" s="2" t="n">
        <v>672</v>
      </c>
      <c r="C673" s="2" t="n">
        <v>0.989249166666665</v>
      </c>
      <c r="D673" s="2" t="n">
        <v>0.981333333333333</v>
      </c>
      <c r="E673" s="2" t="n">
        <v>0.999999950000005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2024-03-21T10:19:05Z</dcterms:created>
  <dc:creator>Ida Fuchs</dc:creator>
  <dc:description/>
  <dc:language>en-US</dc:language>
  <cp:lastModifiedBy/>
  <dcterms:modified xsi:type="dcterms:W3CDTF">2025-12-15T13:12:18Z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0x010100E60DA9F6DF9B4248A5FF8CC251C47EBC</vt:lpwstr>
  </property>
</Properties>
</file>