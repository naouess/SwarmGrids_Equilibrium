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<sst xmlns="http://schemas.openxmlformats.org/spreadsheetml/2006/main" count="91" uniqueCount="57">
  <si>
    <t xml:space="preserve">1</t>
  </si>
  <si>
    <t xml:space="preserve">2</t>
  </si>
  <si>
    <t xml:space="preserve">3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</si>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</sst>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0"/>
    <numFmt numFmtId="166" formatCode="#,##0.0000"/>
    <numFmt numFmtId="167" formatCode="General"/>
    <numFmt numFmtId="168" formatCode="0.000"/>
    <numFmt numFmtId="169" formatCode="0"/>
    <numFmt numFmtId="170" formatCode="@"/>
    <numFmt numFmtId="171" formatCode="0.0000000"/>
    <numFmt numFmtId="172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96269372"/>
        <c:axId val="34293743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269372"/>
        <c:axId val="34293743"/>
      </c:lineChart>
      <c:catAx>
        <c:axId val="962693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34293743"/>
        <c:crosses val="autoZero"/>
        <c:auto val="1"/>
        <c:lblAlgn val="ctr"/>
        <c:lblOffset val="100"/>
        <c:noMultiLvlLbl val="0"/>
      </c:catAx>
      <c:valAx>
        <c:axId val="3429374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62693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69.6480919693716</c:v>
                </c:pt>
                <c:pt idx="1">
                  <c:v>68.2287504195908</c:v>
                </c:pt>
                <c:pt idx="2">
                  <c:v>66.6100558474699</c:v>
                </c:pt>
                <c:pt idx="3">
                  <c:v>65.0505347274511</c:v>
                </c:pt>
                <c:pt idx="4">
                  <c:v>63.4592809165275</c:v>
                </c:pt>
                <c:pt idx="5">
                  <c:v>62.2936728462908</c:v>
                </c:pt>
                <c:pt idx="6">
                  <c:v>60.7088079890661</c:v>
                </c:pt>
                <c:pt idx="7">
                  <c:v>59.5026700508824</c:v>
                </c:pt>
                <c:pt idx="8">
                  <c:v>57.8821613607553</c:v>
                </c:pt>
                <c:pt idx="9">
                  <c:v>56.7073230423042</c:v>
                </c:pt>
                <c:pt idx="10">
                  <c:v>56.0861534509049</c:v>
                </c:pt>
                <c:pt idx="11">
                  <c:v>54.5726990413422</c:v>
                </c:pt>
                <c:pt idx="12">
                  <c:v>52.4303500161402</c:v>
                </c:pt>
                <c:pt idx="13">
                  <c:v>49.9679525834862</c:v>
                </c:pt>
                <c:pt idx="14">
                  <c:v>48.5801446689003</c:v>
                </c:pt>
                <c:pt idx="15">
                  <c:v>46.3249744573273</c:v>
                </c:pt>
                <c:pt idx="16">
                  <c:v>45.0578963031558</c:v>
                </c:pt>
                <c:pt idx="17">
                  <c:v>42.9210142731303</c:v>
                </c:pt>
                <c:pt idx="18">
                  <c:v>41.7189630098769</c:v>
                </c:pt>
                <c:pt idx="19">
                  <c:v>40.1445603993241</c:v>
                </c:pt>
                <c:pt idx="20">
                  <c:v>38.258893241987</c:v>
                </c:pt>
                <c:pt idx="21">
                  <c:v>36.2028872381037</c:v>
                </c:pt>
                <c:pt idx="22">
                  <c:v>35.0965378164181</c:v>
                </c:pt>
                <c:pt idx="23">
                  <c:v>32.30595915771</c:v>
                </c:pt>
                <c:pt idx="24">
                  <c:v>31.2229625583283</c:v>
                </c:pt>
                <c:pt idx="25">
                  <c:v>28.448783271352</c:v>
                </c:pt>
                <c:pt idx="26">
                  <c:v>27.6160495740715</c:v>
                </c:pt>
                <c:pt idx="27">
                  <c:v>25.7970972711504</c:v>
                </c:pt>
                <c:pt idx="28">
                  <c:v>25.641015176927</c:v>
                </c:pt>
                <c:pt idx="29">
                  <c:v>25.6407587667753</c:v>
                </c:pt>
                <c:pt idx="30">
                  <c:v>26.4987152762759</c:v>
                </c:pt>
                <c:pt idx="31">
                  <c:v>26.4984502891231</c:v>
                </c:pt>
                <c:pt idx="32">
                  <c:v>28.5836829118614</c:v>
                </c:pt>
                <c:pt idx="33">
                  <c:v>28.5833970750322</c:v>
                </c:pt>
                <c:pt idx="34">
                  <c:v>30.7000570344053</c:v>
                </c:pt>
                <c:pt idx="35">
                  <c:v>32.3473446661493</c:v>
                </c:pt>
                <c:pt idx="36">
                  <c:v>34.1296807653604</c:v>
                </c:pt>
                <c:pt idx="37">
                  <c:v>37.2713509018619</c:v>
                </c:pt>
                <c:pt idx="38">
                  <c:v>41.4655831404046</c:v>
                </c:pt>
                <c:pt idx="39">
                  <c:v>47.088381473815</c:v>
                </c:pt>
                <c:pt idx="40">
                  <c:v>54.4049317401249</c:v>
                </c:pt>
                <c:pt idx="41">
                  <c:v>62.0060740585009</c:v>
                </c:pt>
                <c:pt idx="42">
                  <c:v>68.9188958472939</c:v>
                </c:pt>
                <c:pt idx="43">
                  <c:v>76.4005157481144</c:v>
                </c:pt>
                <c:pt idx="44">
                  <c:v>83.3307731140256</c:v>
                </c:pt>
                <c:pt idx="45">
                  <c:v>90.9238390102069</c:v>
                </c:pt>
                <c:pt idx="46">
                  <c:v>98.9362777068105</c:v>
                </c:pt>
                <c:pt idx="47">
                  <c:v>98.9352883440334</c:v>
                </c:pt>
                <c:pt idx="48">
                  <c:v>98.93429899115</c:v>
                </c:pt>
                <c:pt idx="49">
                  <c:v>98.9333096481601</c:v>
                </c:pt>
                <c:pt idx="50">
                  <c:v>98.9323203150636</c:v>
                </c:pt>
                <c:pt idx="51">
                  <c:v>98.9313309918605</c:v>
                </c:pt>
                <c:pt idx="52">
                  <c:v>98.9303416785505</c:v>
                </c:pt>
                <c:pt idx="53">
                  <c:v>98.9293523751338</c:v>
                </c:pt>
                <c:pt idx="54">
                  <c:v>98.92836308161</c:v>
                </c:pt>
                <c:pt idx="55">
                  <c:v>98.9273737979792</c:v>
                </c:pt>
                <c:pt idx="56">
                  <c:v>98.9263845242412</c:v>
                </c:pt>
                <c:pt idx="57">
                  <c:v>98.925395260396</c:v>
                </c:pt>
                <c:pt idx="58">
                  <c:v>98.9244060064434</c:v>
                </c:pt>
                <c:pt idx="59">
                  <c:v>98.9234167623833</c:v>
                </c:pt>
                <c:pt idx="60">
                  <c:v>98.9224275282157</c:v>
                </c:pt>
                <c:pt idx="61">
                  <c:v>98.9214383039404</c:v>
                </c:pt>
                <c:pt idx="62">
                  <c:v>98.9204490895574</c:v>
                </c:pt>
                <c:pt idx="63">
                  <c:v>98.9194598850665</c:v>
                </c:pt>
                <c:pt idx="64">
                  <c:v>98.9184706904677</c:v>
                </c:pt>
                <c:pt idx="65">
                  <c:v>98.9174815057608</c:v>
                </c:pt>
                <c:pt idx="66">
                  <c:v>98.9164923309457</c:v>
                </c:pt>
                <c:pt idx="67">
                  <c:v>98.9155031660224</c:v>
                </c:pt>
                <c:pt idx="68">
                  <c:v>98.5904357963952</c:v>
                </c:pt>
                <c:pt idx="69">
                  <c:v>97.5181070574063</c:v>
                </c:pt>
                <c:pt idx="70">
                  <c:v>96.4608326808607</c:v>
                </c:pt>
                <c:pt idx="71">
                  <c:v>94.6563067003271</c:v>
                </c:pt>
                <c:pt idx="72">
                  <c:v>92.5858649411444</c:v>
                </c:pt>
                <c:pt idx="73">
                  <c:v>90.0365397793223</c:v>
                </c:pt>
                <c:pt idx="74">
                  <c:v>87.7535396721687</c:v>
                </c:pt>
                <c:pt idx="75">
                  <c:v>86.4200008285452</c:v>
                </c:pt>
                <c:pt idx="76">
                  <c:v>83.411826771123</c:v>
                </c:pt>
                <c:pt idx="77">
                  <c:v>81.5139228530905</c:v>
                </c:pt>
                <c:pt idx="78">
                  <c:v>77.6574770056407</c:v>
                </c:pt>
                <c:pt idx="79">
                  <c:v>76.1666424863284</c:v>
                </c:pt>
                <c:pt idx="80">
                  <c:v>73.0275776414801</c:v>
                </c:pt>
                <c:pt idx="81">
                  <c:v>71.1585797166541</c:v>
                </c:pt>
                <c:pt idx="82">
                  <c:v>68.2389916902003</c:v>
                </c:pt>
                <c:pt idx="83">
                  <c:v>65.1352087505118</c:v>
                </c:pt>
                <c:pt idx="84">
                  <c:v>62.4893177596959</c:v>
                </c:pt>
                <c:pt idx="85">
                  <c:v>60.200667136372</c:v>
                </c:pt>
                <c:pt idx="86">
                  <c:v>58.0840626281435</c:v>
                </c:pt>
                <c:pt idx="87">
                  <c:v>55.3073103990283</c:v>
                </c:pt>
                <c:pt idx="88">
                  <c:v>52.9899235811343</c:v>
                </c:pt>
                <c:pt idx="89">
                  <c:v>51.7573642276509</c:v>
                </c:pt>
                <c:pt idx="90">
                  <c:v>50.642595180618</c:v>
                </c:pt>
                <c:pt idx="91">
                  <c:v>47.7344642154426</c:v>
                </c:pt>
                <c:pt idx="92">
                  <c:v>46.1565324475207</c:v>
                </c:pt>
                <c:pt idx="93">
                  <c:v>42.9108203988198</c:v>
                </c:pt>
                <c:pt idx="94">
                  <c:v>41.7360682678864</c:v>
                </c:pt>
                <c:pt idx="95">
                  <c:v>40.6971687196947</c:v>
                </c:pt>
                <c:pt idx="96">
                  <c:v>39.7872742592176</c:v>
                </c:pt>
                <c:pt idx="97">
                  <c:v>36.5445637312674</c:v>
                </c:pt>
                <c:pt idx="98">
                  <c:v>35.3787024299071</c:v>
                </c:pt>
                <c:pt idx="99">
                  <c:v>34.158128163274</c:v>
                </c:pt>
                <c:pt idx="100">
                  <c:v>32.6043297973593</c:v>
                </c:pt>
                <c:pt idx="101">
                  <c:v>32.0855259483307</c:v>
                </c:pt>
                <c:pt idx="102">
                  <c:v>29.8236813876936</c:v>
                </c:pt>
                <c:pt idx="103">
                  <c:v>29.4700760846479</c:v>
                </c:pt>
                <c:pt idx="104">
                  <c:v>28.0111174464486</c:v>
                </c:pt>
                <c:pt idx="105">
                  <c:v>27.6028051564959</c:v>
                </c:pt>
                <c:pt idx="106">
                  <c:v>25.4167458779666</c:v>
                </c:pt>
                <c:pt idx="107">
                  <c:v>24.9424820290894</c:v>
                </c:pt>
                <c:pt idx="108">
                  <c:v>23.0657681605249</c:v>
                </c:pt>
                <c:pt idx="109">
                  <c:v>22.1453825508256</c:v>
                </c:pt>
                <c:pt idx="110">
                  <c:v>20.8291924385151</c:v>
                </c:pt>
                <c:pt idx="111">
                  <c:v>19.6346900494381</c:v>
                </c:pt>
                <c:pt idx="112">
                  <c:v>18.4910276487953</c:v>
                </c:pt>
                <c:pt idx="113">
                  <c:v>17.3752259471136</c:v>
                </c:pt>
                <c:pt idx="114">
                  <c:v>15.7673560264171</c:v>
                </c:pt>
                <c:pt idx="115">
                  <c:v>15.1099472590048</c:v>
                </c:pt>
                <c:pt idx="116">
                  <c:v>13.2084036281566</c:v>
                </c:pt>
                <c:pt idx="117">
                  <c:v>12.6466786942991</c:v>
                </c:pt>
                <c:pt idx="118">
                  <c:v>11.2595029400759</c:v>
                </c:pt>
                <c:pt idx="119">
                  <c:v>8.75940939022244</c:v>
                </c:pt>
                <c:pt idx="120">
                  <c:v>8.75932179612854</c:v>
                </c:pt>
                <c:pt idx="121">
                  <c:v>7.4452821464042</c:v>
                </c:pt>
                <c:pt idx="122">
                  <c:v>8.54464040630018</c:v>
                </c:pt>
                <c:pt idx="123">
                  <c:v>8.54455495989611</c:v>
                </c:pt>
                <c:pt idx="124">
                  <c:v>9.98657093904918</c:v>
                </c:pt>
                <c:pt idx="125">
                  <c:v>9.98647107333979</c:v>
                </c:pt>
                <c:pt idx="126">
                  <c:v>12.8355598961237</c:v>
                </c:pt>
                <c:pt idx="127">
                  <c:v>16.0010502877173</c:v>
                </c:pt>
                <c:pt idx="128">
                  <c:v>19.3580867949725</c:v>
                </c:pt>
                <c:pt idx="129">
                  <c:v>23.6500748778454</c:v>
                </c:pt>
                <c:pt idx="130">
                  <c:v>29.0549420050475</c:v>
                </c:pt>
                <c:pt idx="131">
                  <c:v>33.7337177775131</c:v>
                </c:pt>
                <c:pt idx="132">
                  <c:v>40.2774132001178</c:v>
                </c:pt>
                <c:pt idx="133">
                  <c:v>46.0001459443215</c:v>
                </c:pt>
                <c:pt idx="134">
                  <c:v>53.3718108958346</c:v>
                </c:pt>
                <c:pt idx="135">
                  <c:v>59.9225048892514</c:v>
                </c:pt>
                <c:pt idx="136">
                  <c:v>68.0872954291564</c:v>
                </c:pt>
                <c:pt idx="137">
                  <c:v>75.1878685314662</c:v>
                </c:pt>
                <c:pt idx="138">
                  <c:v>83.8025665595709</c:v>
                </c:pt>
                <c:pt idx="139">
                  <c:v>91.0739981000259</c:v>
                </c:pt>
                <c:pt idx="140">
                  <c:v>100</c:v>
                </c:pt>
                <c:pt idx="141">
                  <c:v>99.999</c:v>
                </c:pt>
                <c:pt idx="142">
                  <c:v>99.99800001</c:v>
                </c:pt>
                <c:pt idx="143">
                  <c:v>99.9970000299999</c:v>
                </c:pt>
                <c:pt idx="144">
                  <c:v>99.9960000599996</c:v>
                </c:pt>
                <c:pt idx="145">
                  <c:v>99.995000099999</c:v>
                </c:pt>
                <c:pt idx="146">
                  <c:v>99.994000149998</c:v>
                </c:pt>
                <c:pt idx="147">
                  <c:v>99.9930002099965</c:v>
                </c:pt>
                <c:pt idx="148">
                  <c:v>99.9920002799944</c:v>
                </c:pt>
                <c:pt idx="149">
                  <c:v>99.9910003599916</c:v>
                </c:pt>
                <c:pt idx="150">
                  <c:v>99.990000449988</c:v>
                </c:pt>
                <c:pt idx="151">
                  <c:v>99.9890005499836</c:v>
                </c:pt>
                <c:pt idx="152">
                  <c:v>99.988000659978</c:v>
                </c:pt>
                <c:pt idx="153">
                  <c:v>99.9870007799715</c:v>
                </c:pt>
                <c:pt idx="154">
                  <c:v>99.9860009099636</c:v>
                </c:pt>
                <c:pt idx="155">
                  <c:v>99.9850010499545</c:v>
                </c:pt>
                <c:pt idx="156">
                  <c:v>99.984001199944</c:v>
                </c:pt>
                <c:pt idx="157">
                  <c:v>99.9830013599321</c:v>
                </c:pt>
                <c:pt idx="158">
                  <c:v>99.9820015299185</c:v>
                </c:pt>
                <c:pt idx="159">
                  <c:v>99.9810017099032</c:v>
                </c:pt>
                <c:pt idx="160">
                  <c:v>99.9800018998861</c:v>
                </c:pt>
                <c:pt idx="161">
                  <c:v>99.9790020998671</c:v>
                </c:pt>
                <c:pt idx="162">
                  <c:v>99.9780023098461</c:v>
                </c:pt>
                <c:pt idx="163">
                  <c:v>99.977002529823</c:v>
                </c:pt>
                <c:pt idx="164">
                  <c:v>99.9760027597977</c:v>
                </c:pt>
                <c:pt idx="165">
                  <c:v>99.8665338962794</c:v>
                </c:pt>
                <c:pt idx="166">
                  <c:v>99.2709144272951</c:v>
                </c:pt>
                <c:pt idx="167">
                  <c:v>97.170700457494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65407"/>
        <c:axId val="49195055"/>
      </c:lineChart>
      <c:catAx>
        <c:axId val="47654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9195055"/>
        <c:crosses val="autoZero"/>
        <c:auto val="1"/>
        <c:lblAlgn val="ctr"/>
        <c:lblOffset val="100"/>
        <c:noMultiLvlLbl val="0"/>
      </c:catAx>
      <c:valAx>
        <c:axId val="4919505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7654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370560"/>
        <c:axId val="94177741"/>
      </c:lineChart>
      <c:catAx>
        <c:axId val="683705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4177741"/>
        <c:crosses val="autoZero"/>
        <c:auto val="1"/>
        <c:lblAlgn val="ctr"/>
        <c:lblOffset val="100"/>
        <c:noMultiLvlLbl val="0"/>
      </c:catAx>
      <c:valAx>
        <c:axId val="941777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8370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29072474"/>
        <c:axId val="65625386"/>
      </c:barChart>
      <c:catAx>
        <c:axId val="290724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5625386"/>
        <c:crosses val="autoZero"/>
        <c:auto val="1"/>
        <c:lblAlgn val="ctr"/>
        <c:lblOffset val="100"/>
        <c:noMultiLvlLbl val="0"/>
      </c:catAx>
      <c:valAx>
        <c:axId val="656253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290724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2483130"/>
        <c:axId val="42926224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483130"/>
        <c:axId val="42926224"/>
      </c:lineChart>
      <c:catAx>
        <c:axId val="724831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2926224"/>
        <c:crosses val="autoZero"/>
        <c:auto val="1"/>
        <c:lblAlgn val="ctr"/>
        <c:lblOffset val="100"/>
        <c:noMultiLvlLbl val="0"/>
      </c:catAx>
      <c:valAx>
        <c:axId val="429262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24831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70</c:v>
                </c:pt>
                <c:pt idx="1">
                  <c:v>69.9993</c:v>
                </c:pt>
                <c:pt idx="2">
                  <c:v>69.998600007</c:v>
                </c:pt>
                <c:pt idx="3">
                  <c:v>69.2300269524225</c:v>
                </c:pt>
                <c:pt idx="4">
                  <c:v>66.9257154464205</c:v>
                </c:pt>
                <c:pt idx="5">
                  <c:v>64.6214269835337</c:v>
                </c:pt>
                <c:pt idx="6">
                  <c:v>62.3171615635314</c:v>
                </c:pt>
                <c:pt idx="7">
                  <c:v>60.0129191861834</c:v>
                </c:pt>
                <c:pt idx="8">
                  <c:v>57.7086998512591</c:v>
                </c:pt>
                <c:pt idx="9">
                  <c:v>55.4045035585282</c:v>
                </c:pt>
                <c:pt idx="10">
                  <c:v>53.1003303077602</c:v>
                </c:pt>
                <c:pt idx="11">
                  <c:v>50.7961800987246</c:v>
                </c:pt>
                <c:pt idx="12">
                  <c:v>48.4920529311913</c:v>
                </c:pt>
                <c:pt idx="13">
                  <c:v>46.1879488049295</c:v>
                </c:pt>
                <c:pt idx="14">
                  <c:v>43.8838677197091</c:v>
                </c:pt>
                <c:pt idx="15">
                  <c:v>41.5798096752995</c:v>
                </c:pt>
                <c:pt idx="16">
                  <c:v>39.2757746714703</c:v>
                </c:pt>
                <c:pt idx="17">
                  <c:v>36.9717627079912</c:v>
                </c:pt>
                <c:pt idx="18">
                  <c:v>34.6677737846317</c:v>
                </c:pt>
                <c:pt idx="19">
                  <c:v>32.3638079011614</c:v>
                </c:pt>
                <c:pt idx="20">
                  <c:v>30.05986505735</c:v>
                </c:pt>
                <c:pt idx="21">
                  <c:v>30.0595644586995</c:v>
                </c:pt>
                <c:pt idx="22">
                  <c:v>30.0592638630549</c:v>
                </c:pt>
                <c:pt idx="23">
                  <c:v>30.0589632704162</c:v>
                </c:pt>
                <c:pt idx="24">
                  <c:v>30.0586626807835</c:v>
                </c:pt>
                <c:pt idx="25">
                  <c:v>30.0583620941567</c:v>
                </c:pt>
                <c:pt idx="26">
                  <c:v>30.0580615105358</c:v>
                </c:pt>
                <c:pt idx="27">
                  <c:v>30.0577609299207</c:v>
                </c:pt>
                <c:pt idx="28">
                  <c:v>30.0574603523114</c:v>
                </c:pt>
                <c:pt idx="29">
                  <c:v>30.0571597777079</c:v>
                </c:pt>
                <c:pt idx="30">
                  <c:v>31.2432246681724</c:v>
                </c:pt>
                <c:pt idx="31">
                  <c:v>32.8316823287759</c:v>
                </c:pt>
                <c:pt idx="32">
                  <c:v>34.8225287355905</c:v>
                </c:pt>
                <c:pt idx="33">
                  <c:v>36.9369495169224</c:v>
                </c:pt>
                <c:pt idx="34">
                  <c:v>39.1749434370277</c:v>
                </c:pt>
                <c:pt idx="35">
                  <c:v>41.5365092601749</c:v>
                </c:pt>
                <c:pt idx="36">
                  <c:v>44.021645750645</c:v>
                </c:pt>
                <c:pt idx="37">
                  <c:v>47.3568795674229</c:v>
                </c:pt>
                <c:pt idx="38">
                  <c:v>51.5422022095352</c:v>
                </c:pt>
                <c:pt idx="39">
                  <c:v>56.5776051760938</c:v>
                </c:pt>
                <c:pt idx="40">
                  <c:v>62.4630799662954</c:v>
                </c:pt>
                <c:pt idx="41">
                  <c:v>68.4706936391599</c:v>
                </c:pt>
                <c:pt idx="42">
                  <c:v>74.6004449732984</c:v>
                </c:pt>
                <c:pt idx="43">
                  <c:v>80.8523327473343</c:v>
                </c:pt>
                <c:pt idx="44">
                  <c:v>87.2263557399033</c:v>
                </c:pt>
                <c:pt idx="45">
                  <c:v>93.623781945488</c:v>
                </c:pt>
                <c:pt idx="46">
                  <c:v>93.6228457076686</c:v>
                </c:pt>
                <c:pt idx="47">
                  <c:v>93.6219094792115</c:v>
                </c:pt>
                <c:pt idx="48">
                  <c:v>93.6209732601167</c:v>
                </c:pt>
                <c:pt idx="49">
                  <c:v>93.6200370503841</c:v>
                </c:pt>
                <c:pt idx="50">
                  <c:v>93.6191008500136</c:v>
                </c:pt>
                <c:pt idx="51">
                  <c:v>93.6181646590051</c:v>
                </c:pt>
                <c:pt idx="52">
                  <c:v>93.6172284773585</c:v>
                </c:pt>
                <c:pt idx="53">
                  <c:v>93.6162923050738</c:v>
                </c:pt>
                <c:pt idx="54">
                  <c:v>93.6153561421507</c:v>
                </c:pt>
                <c:pt idx="55">
                  <c:v>93.6144199885893</c:v>
                </c:pt>
                <c:pt idx="56">
                  <c:v>93.6134838443894</c:v>
                </c:pt>
                <c:pt idx="57">
                  <c:v>93.612547709551</c:v>
                </c:pt>
                <c:pt idx="58">
                  <c:v>93.6116115840739</c:v>
                </c:pt>
                <c:pt idx="59">
                  <c:v>93.6106754679581</c:v>
                </c:pt>
                <c:pt idx="60">
                  <c:v>93.6097393612034</c:v>
                </c:pt>
                <c:pt idx="61">
                  <c:v>93.6088032638098</c:v>
                </c:pt>
                <c:pt idx="62">
                  <c:v>93.6078671757771</c:v>
                </c:pt>
                <c:pt idx="63">
                  <c:v>93.6069310971054</c:v>
                </c:pt>
                <c:pt idx="64">
                  <c:v>95.7026089419982</c:v>
                </c:pt>
                <c:pt idx="65">
                  <c:v>95.7016519159088</c:v>
                </c:pt>
                <c:pt idx="66">
                  <c:v>96.6805752666082</c:v>
                </c:pt>
                <c:pt idx="67">
                  <c:v>96.8640411729908</c:v>
                </c:pt>
                <c:pt idx="68">
                  <c:v>96.863072532579</c:v>
                </c:pt>
                <c:pt idx="69">
                  <c:v>96.8621039018537</c:v>
                </c:pt>
                <c:pt idx="70">
                  <c:v>96.8611352808147</c:v>
                </c:pt>
                <c:pt idx="71">
                  <c:v>96.8601666694619</c:v>
                </c:pt>
                <c:pt idx="72">
                  <c:v>96.8591980677952</c:v>
                </c:pt>
                <c:pt idx="73">
                  <c:v>96.8582294758145</c:v>
                </c:pt>
                <c:pt idx="74">
                  <c:v>96.8572608935198</c:v>
                </c:pt>
                <c:pt idx="75">
                  <c:v>96.8562923209109</c:v>
                </c:pt>
                <c:pt idx="76">
                  <c:v>96.8553237579877</c:v>
                </c:pt>
                <c:pt idx="77">
                  <c:v>96.0864821361726</c:v>
                </c:pt>
                <c:pt idx="78">
                  <c:v>93.7819020656189</c:v>
                </c:pt>
                <c:pt idx="79">
                  <c:v>91.4773450408658</c:v>
                </c:pt>
                <c:pt idx="80">
                  <c:v>89.172811061683</c:v>
                </c:pt>
                <c:pt idx="81">
                  <c:v>86.86830012784</c:v>
                </c:pt>
                <c:pt idx="82">
                  <c:v>84.5638122391063</c:v>
                </c:pt>
                <c:pt idx="83">
                  <c:v>82.2593473952515</c:v>
                </c:pt>
                <c:pt idx="84">
                  <c:v>79.9549055960452</c:v>
                </c:pt>
                <c:pt idx="85">
                  <c:v>77.6504868412568</c:v>
                </c:pt>
                <c:pt idx="86">
                  <c:v>75.346091130656</c:v>
                </c:pt>
                <c:pt idx="87">
                  <c:v>73.0417184640123</c:v>
                </c:pt>
                <c:pt idx="88">
                  <c:v>70.7373688410953</c:v>
                </c:pt>
                <c:pt idx="89">
                  <c:v>68.4330422616744</c:v>
                </c:pt>
                <c:pt idx="90">
                  <c:v>66.1287387255194</c:v>
                </c:pt>
                <c:pt idx="91">
                  <c:v>63.8244582323998</c:v>
                </c:pt>
                <c:pt idx="92">
                  <c:v>61.520200782085</c:v>
                </c:pt>
                <c:pt idx="93">
                  <c:v>59.2159663743448</c:v>
                </c:pt>
                <c:pt idx="94">
                  <c:v>56.9117550089487</c:v>
                </c:pt>
                <c:pt idx="95">
                  <c:v>54.7611412993817</c:v>
                </c:pt>
                <c:pt idx="96">
                  <c:v>52.4569744822363</c:v>
                </c:pt>
                <c:pt idx="97">
                  <c:v>50.152830706759</c:v>
                </c:pt>
                <c:pt idx="98">
                  <c:v>47.8487099727196</c:v>
                </c:pt>
                <c:pt idx="99">
                  <c:v>45.5446122798874</c:v>
                </c:pt>
                <c:pt idx="100">
                  <c:v>43.2405376280322</c:v>
                </c:pt>
                <c:pt idx="101">
                  <c:v>40.9364860169235</c:v>
                </c:pt>
                <c:pt idx="102">
                  <c:v>38.632457446331</c:v>
                </c:pt>
                <c:pt idx="103">
                  <c:v>36.3284519160241</c:v>
                </c:pt>
                <c:pt idx="104">
                  <c:v>34.0244694257725</c:v>
                </c:pt>
                <c:pt idx="105">
                  <c:v>31.7205099753459</c:v>
                </c:pt>
                <c:pt idx="106">
                  <c:v>29.4165735645137</c:v>
                </c:pt>
                <c:pt idx="107">
                  <c:v>27.1126601930457</c:v>
                </c:pt>
                <c:pt idx="108">
                  <c:v>24.8087698607113</c:v>
                </c:pt>
                <c:pt idx="109">
                  <c:v>22.5049025672803</c:v>
                </c:pt>
                <c:pt idx="110">
                  <c:v>20.2010583125222</c:v>
                </c:pt>
                <c:pt idx="111">
                  <c:v>17.8972370962067</c:v>
                </c:pt>
                <c:pt idx="112">
                  <c:v>15.5934389181033</c:v>
                </c:pt>
                <c:pt idx="113">
                  <c:v>13.2896637779817</c:v>
                </c:pt>
                <c:pt idx="114">
                  <c:v>10.9859116756115</c:v>
                </c:pt>
                <c:pt idx="115">
                  <c:v>8.68218261076239</c:v>
                </c:pt>
                <c:pt idx="116">
                  <c:v>6.37847658320387</c:v>
                </c:pt>
                <c:pt idx="117">
                  <c:v>4.16429442985684</c:v>
                </c:pt>
                <c:pt idx="118">
                  <c:v>2.03963525548254</c:v>
                </c:pt>
                <c:pt idx="119">
                  <c:v>0</c:v>
                </c:pt>
                <c:pt idx="120">
                  <c:v>1.76002303324649E-010</c:v>
                </c:pt>
                <c:pt idx="121">
                  <c:v>0</c:v>
                </c:pt>
                <c:pt idx="122">
                  <c:v>0.859374292076612</c:v>
                </c:pt>
                <c:pt idx="123">
                  <c:v>0.859365698333691</c:v>
                </c:pt>
                <c:pt idx="124">
                  <c:v>2.28812297646003</c:v>
                </c:pt>
                <c:pt idx="125">
                  <c:v>4.26042145366773</c:v>
                </c:pt>
                <c:pt idx="126">
                  <c:v>6.77625569454481</c:v>
                </c:pt>
                <c:pt idx="127">
                  <c:v>9.83562026373362</c:v>
                </c:pt>
                <c:pt idx="128">
                  <c:v>13.4385097259309</c:v>
                </c:pt>
                <c:pt idx="129">
                  <c:v>17.4578579372942</c:v>
                </c:pt>
                <c:pt idx="130">
                  <c:v>21.8936607332361</c:v>
                </c:pt>
                <c:pt idx="131">
                  <c:v>26.7459139492108</c:v>
                </c:pt>
                <c:pt idx="132">
                  <c:v>32.014613420714</c:v>
                </c:pt>
                <c:pt idx="133">
                  <c:v>37.5729935344548</c:v>
                </c:pt>
                <c:pt idx="134">
                  <c:v>43.4210513936268</c:v>
                </c:pt>
                <c:pt idx="135">
                  <c:v>49.5587841014525</c:v>
                </c:pt>
                <c:pt idx="136">
                  <c:v>55.9861887611835</c:v>
                </c:pt>
                <c:pt idx="137">
                  <c:v>62.5419115860905</c:v>
                </c:pt>
                <c:pt idx="138">
                  <c:v>69.2259512929918</c:v>
                </c:pt>
                <c:pt idx="139">
                  <c:v>76.0383065987186</c:v>
                </c:pt>
                <c:pt idx="140">
                  <c:v>82.978976220115</c:v>
                </c:pt>
                <c:pt idx="141">
                  <c:v>90.0097284390477</c:v>
                </c:pt>
                <c:pt idx="142">
                  <c:v>97.130562354691</c:v>
                </c:pt>
                <c:pt idx="143">
                  <c:v>97.1295910490675</c:v>
                </c:pt>
                <c:pt idx="144">
                  <c:v>97.128619753157</c:v>
                </c:pt>
                <c:pt idx="145">
                  <c:v>97.1276484669595</c:v>
                </c:pt>
                <c:pt idx="146">
                  <c:v>97.1266771904748</c:v>
                </c:pt>
                <c:pt idx="147">
                  <c:v>97.1257059237029</c:v>
                </c:pt>
                <c:pt idx="148">
                  <c:v>97.1247346666437</c:v>
                </c:pt>
                <c:pt idx="149">
                  <c:v>97.123763419297</c:v>
                </c:pt>
                <c:pt idx="150">
                  <c:v>97.1227921816628</c:v>
                </c:pt>
                <c:pt idx="151">
                  <c:v>97.121820953741</c:v>
                </c:pt>
                <c:pt idx="152">
                  <c:v>97.1208497355315</c:v>
                </c:pt>
                <c:pt idx="153">
                  <c:v>97.1198785270341</c:v>
                </c:pt>
                <c:pt idx="154">
                  <c:v>97.1189073282489</c:v>
                </c:pt>
                <c:pt idx="155">
                  <c:v>97.1179361391756</c:v>
                </c:pt>
                <c:pt idx="156">
                  <c:v>97.1169649598142</c:v>
                </c:pt>
                <c:pt idx="157">
                  <c:v>97.1159937901646</c:v>
                </c:pt>
                <c:pt idx="158">
                  <c:v>97.1150226302267</c:v>
                </c:pt>
                <c:pt idx="159">
                  <c:v>97.1140514800004</c:v>
                </c:pt>
                <c:pt idx="160">
                  <c:v>97.1130803394856</c:v>
                </c:pt>
                <c:pt idx="161">
                  <c:v>97.1121092086822</c:v>
                </c:pt>
                <c:pt idx="162">
                  <c:v>97.1111380875901</c:v>
                </c:pt>
                <c:pt idx="163">
                  <c:v>97.1101669762093</c:v>
                </c:pt>
                <c:pt idx="164">
                  <c:v>97.5700390855243</c:v>
                </c:pt>
                <c:pt idx="165">
                  <c:v>97.5690633851334</c:v>
                </c:pt>
                <c:pt idx="166">
                  <c:v>97.5680876944996</c:v>
                </c:pt>
                <c:pt idx="167">
                  <c:v>97.5671120136227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301305"/>
        <c:axId val="75498622"/>
      </c:lineChart>
      <c:catAx>
        <c:axId val="113013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5498622"/>
        <c:crosses val="autoZero"/>
        <c:auto val="1"/>
        <c:lblAlgn val="ctr"/>
        <c:lblOffset val="100"/>
        <c:noMultiLvlLbl val="0"/>
      </c:catAx>
      <c:valAx>
        <c:axId val="7549862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13013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518679"/>
        <c:axId val="46980679"/>
      </c:lineChart>
      <c:catAx>
        <c:axId val="77518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46980679"/>
        <c:crosses val="autoZero"/>
        <c:auto val="1"/>
        <c:lblAlgn val="ctr"/>
        <c:lblOffset val="100"/>
        <c:noMultiLvlLbl val="0"/>
      </c:catAx>
      <c:valAx>
        <c:axId val="469806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75186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8500126"/>
        <c:axId val="14029469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500126"/>
        <c:axId val="14029469"/>
      </c:lineChart>
      <c:catAx>
        <c:axId val="78500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4029469"/>
        <c:crosses val="autoZero"/>
        <c:auto val="1"/>
        <c:lblAlgn val="ctr"/>
        <c:lblOffset val="100"/>
        <c:noMultiLvlLbl val="0"/>
      </c:catAx>
      <c:valAx>
        <c:axId val="140294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85001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68.5528730457784</c:v>
                </c:pt>
                <c:pt idx="1">
                  <c:v>67.869974422704</c:v>
                </c:pt>
                <c:pt idx="2">
                  <c:v>67.001021411008</c:v>
                </c:pt>
                <c:pt idx="3">
                  <c:v>66.3801452747886</c:v>
                </c:pt>
                <c:pt idx="4">
                  <c:v>64.8910165402219</c:v>
                </c:pt>
                <c:pt idx="5">
                  <c:v>64.2081545357126</c:v>
                </c:pt>
                <c:pt idx="6">
                  <c:v>62.7190475210532</c:v>
                </c:pt>
                <c:pt idx="7">
                  <c:v>62.0362072362341</c:v>
                </c:pt>
                <c:pt idx="8">
                  <c:v>60.5471219410477</c:v>
                </c:pt>
                <c:pt idx="9">
                  <c:v>59.8643033754844</c:v>
                </c:pt>
                <c:pt idx="10">
                  <c:v>59.0367683993913</c:v>
                </c:pt>
                <c:pt idx="11">
                  <c:v>58.0025114915938</c:v>
                </c:pt>
                <c:pt idx="12">
                  <c:v>56.91659245275</c:v>
                </c:pt>
                <c:pt idx="13">
                  <c:v>56.0374144801505</c:v>
                </c:pt>
                <c:pt idx="14">
                  <c:v>54.7499521325842</c:v>
                </c:pt>
                <c:pt idx="15">
                  <c:v>54.2790889931346</c:v>
                </c:pt>
                <c:pt idx="16">
                  <c:v>54.2785306974016</c:v>
                </c:pt>
                <c:pt idx="17">
                  <c:v>52.1848340999031</c:v>
                </c:pt>
                <c:pt idx="18">
                  <c:v>52.1067880362957</c:v>
                </c:pt>
                <c:pt idx="19">
                  <c:v>50.4524098071397</c:v>
                </c:pt>
                <c:pt idx="20">
                  <c:v>49.7696921886977</c:v>
                </c:pt>
                <c:pt idx="21">
                  <c:v>48.2957834045354</c:v>
                </c:pt>
                <c:pt idx="22">
                  <c:v>47.6431950441046</c:v>
                </c:pt>
                <c:pt idx="23">
                  <c:v>46.8196058378231</c:v>
                </c:pt>
                <c:pt idx="24">
                  <c:v>45.1893251324525</c:v>
                </c:pt>
                <c:pt idx="25">
                  <c:v>45.1888732392012</c:v>
                </c:pt>
                <c:pt idx="26">
                  <c:v>44.5299091575214</c:v>
                </c:pt>
                <c:pt idx="27">
                  <c:v>44.5294638584299</c:v>
                </c:pt>
                <c:pt idx="28">
                  <c:v>44.5290185637913</c:v>
                </c:pt>
                <c:pt idx="29">
                  <c:v>44.5285732736056</c:v>
                </c:pt>
                <c:pt idx="30">
                  <c:v>44.5281279878729</c:v>
                </c:pt>
                <c:pt idx="31">
                  <c:v>46.6160152902513</c:v>
                </c:pt>
                <c:pt idx="32">
                  <c:v>48.3518318994352</c:v>
                </c:pt>
                <c:pt idx="33">
                  <c:v>51.2599712357888</c:v>
                </c:pt>
                <c:pt idx="34">
                  <c:v>53.3812296078735</c:v>
                </c:pt>
                <c:pt idx="35">
                  <c:v>56.6748068527103</c:v>
                </c:pt>
                <c:pt idx="36">
                  <c:v>59.1814992788992</c:v>
                </c:pt>
                <c:pt idx="37">
                  <c:v>64.3828315591033</c:v>
                </c:pt>
                <c:pt idx="38">
                  <c:v>70.1981986028361</c:v>
                </c:pt>
                <c:pt idx="39">
                  <c:v>75.5324570324728</c:v>
                </c:pt>
                <c:pt idx="40">
                  <c:v>83.7815527766146</c:v>
                </c:pt>
                <c:pt idx="41">
                  <c:v>90.5951686757467</c:v>
                </c:pt>
                <c:pt idx="42">
                  <c:v>98.2707605226214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99.999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99.999</c:v>
                </c:pt>
                <c:pt idx="51">
                  <c:v>99.99800001</c:v>
                </c:pt>
                <c:pt idx="52">
                  <c:v>99.9970000299999</c:v>
                </c:pt>
                <c:pt idx="53">
                  <c:v>99.9960000599996</c:v>
                </c:pt>
                <c:pt idx="54">
                  <c:v>99.995000099999</c:v>
                </c:pt>
                <c:pt idx="55">
                  <c:v>99.994000149998</c:v>
                </c:pt>
                <c:pt idx="56">
                  <c:v>99.9930002099965</c:v>
                </c:pt>
                <c:pt idx="57">
                  <c:v>99.9920002799945</c:v>
                </c:pt>
                <c:pt idx="58">
                  <c:v>99.9910003599917</c:v>
                </c:pt>
                <c:pt idx="59">
                  <c:v>99.9900004499881</c:v>
                </c:pt>
                <c:pt idx="60">
                  <c:v>99.9890005499836</c:v>
                </c:pt>
                <c:pt idx="61">
                  <c:v>99.9880006599781</c:v>
                </c:pt>
                <c:pt idx="62">
                  <c:v>99.9870007799715</c:v>
                </c:pt>
                <c:pt idx="63">
                  <c:v>99.9860009099637</c:v>
                </c:pt>
                <c:pt idx="64">
                  <c:v>99.9850010499546</c:v>
                </c:pt>
                <c:pt idx="65">
                  <c:v>99.9840011999441</c:v>
                </c:pt>
                <c:pt idx="66">
                  <c:v>100</c:v>
                </c:pt>
                <c:pt idx="67">
                  <c:v>99.999</c:v>
                </c:pt>
                <c:pt idx="68">
                  <c:v>98.9799396822768</c:v>
                </c:pt>
                <c:pt idx="69">
                  <c:v>94.9976279655651</c:v>
                </c:pt>
                <c:pt idx="70">
                  <c:v>88.8800593033609</c:v>
                </c:pt>
                <c:pt idx="71">
                  <c:v>81.7291160227199</c:v>
                </c:pt>
                <c:pt idx="72">
                  <c:v>74.6477247948589</c:v>
                </c:pt>
                <c:pt idx="73">
                  <c:v>67.7007993268397</c:v>
                </c:pt>
                <c:pt idx="74">
                  <c:v>61.1570785503661</c:v>
                </c:pt>
                <c:pt idx="75">
                  <c:v>55.450680601352</c:v>
                </c:pt>
                <c:pt idx="76">
                  <c:v>52.0080488694075</c:v>
                </c:pt>
                <c:pt idx="77">
                  <c:v>49.7128120170347</c:v>
                </c:pt>
                <c:pt idx="78">
                  <c:v>47.8207240364154</c:v>
                </c:pt>
                <c:pt idx="79">
                  <c:v>45.525529057291</c:v>
                </c:pt>
                <c:pt idx="80">
                  <c:v>43.6334829495013</c:v>
                </c:pt>
                <c:pt idx="81">
                  <c:v>41.3383298427877</c:v>
                </c:pt>
                <c:pt idx="82">
                  <c:v>39.4463256069902</c:v>
                </c:pt>
                <c:pt idx="83">
                  <c:v>37.15121437185</c:v>
                </c:pt>
                <c:pt idx="84">
                  <c:v>35.2592520072073</c:v>
                </c:pt>
                <c:pt idx="85">
                  <c:v>32.9641826428031</c:v>
                </c:pt>
                <c:pt idx="86">
                  <c:v>31.0722621484776</c:v>
                </c:pt>
                <c:pt idx="87">
                  <c:v>28.777234653972</c:v>
                </c:pt>
                <c:pt idx="88">
                  <c:v>27.7329458467889</c:v>
                </c:pt>
                <c:pt idx="89">
                  <c:v>26.6473295036015</c:v>
                </c:pt>
                <c:pt idx="90">
                  <c:v>25.5617240165775</c:v>
                </c:pt>
                <c:pt idx="91">
                  <c:v>24.4761293856084</c:v>
                </c:pt>
                <c:pt idx="92">
                  <c:v>24.4448656353021</c:v>
                </c:pt>
                <c:pt idx="93">
                  <c:v>22.3721363639004</c:v>
                </c:pt>
                <c:pt idx="94">
                  <c:v>22.2943884272704</c:v>
                </c:pt>
                <c:pt idx="95">
                  <c:v>22.2734809890969</c:v>
                </c:pt>
                <c:pt idx="96">
                  <c:v>21.4463219212276</c:v>
                </c:pt>
                <c:pt idx="97">
                  <c:v>20.1592054845869</c:v>
                </c:pt>
                <c:pt idx="98">
                  <c:v>19.2752278384956</c:v>
                </c:pt>
                <c:pt idx="99">
                  <c:v>16.7890898493637</c:v>
                </c:pt>
                <c:pt idx="100">
                  <c:v>16.7113977431989</c:v>
                </c:pt>
                <c:pt idx="101">
                  <c:v>14.8299742714455</c:v>
                </c:pt>
                <c:pt idx="102">
                  <c:v>14.5507387967439</c:v>
                </c:pt>
                <c:pt idx="103">
                  <c:v>12.6590024368569</c:v>
                </c:pt>
                <c:pt idx="104">
                  <c:v>12.3797886718736</c:v>
                </c:pt>
                <c:pt idx="105">
                  <c:v>10.4880740214878</c:v>
                </c:pt>
                <c:pt idx="106">
                  <c:v>10.2088819657888</c:v>
                </c:pt>
                <c:pt idx="107">
                  <c:v>8.31718902447003</c:v>
                </c:pt>
                <c:pt idx="108">
                  <c:v>8.03801867762091</c:v>
                </c:pt>
                <c:pt idx="109">
                  <c:v>6.14634744493507</c:v>
                </c:pt>
                <c:pt idx="110">
                  <c:v>5.86719880650174</c:v>
                </c:pt>
                <c:pt idx="111">
                  <c:v>3.97554928201462</c:v>
                </c:pt>
                <c:pt idx="112">
                  <c:v>3.69642235156292</c:v>
                </c:pt>
                <c:pt idx="113">
                  <c:v>1.80479453484034</c:v>
                </c:pt>
                <c:pt idx="114">
                  <c:v>1.52568931193612</c:v>
                </c:pt>
                <c:pt idx="115">
                  <c:v>1.30859384842276</c:v>
                </c:pt>
                <c:pt idx="116">
                  <c:v>1.3307913539833E-017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8.25618536497342E-008</c:v>
                </c:pt>
                <c:pt idx="125">
                  <c:v>1.87851304128372</c:v>
                </c:pt>
                <c:pt idx="126">
                  <c:v>1.87849425615331</c:v>
                </c:pt>
                <c:pt idx="127">
                  <c:v>1.87847547121074</c:v>
                </c:pt>
                <c:pt idx="128">
                  <c:v>1.87845668645603</c:v>
                </c:pt>
                <c:pt idx="129">
                  <c:v>1.87843790188917</c:v>
                </c:pt>
                <c:pt idx="130">
                  <c:v>1.87841911751015</c:v>
                </c:pt>
                <c:pt idx="131">
                  <c:v>1.87840033331897</c:v>
                </c:pt>
                <c:pt idx="132">
                  <c:v>1.87838154931564</c:v>
                </c:pt>
                <c:pt idx="133">
                  <c:v>1.87836276550015</c:v>
                </c:pt>
                <c:pt idx="134">
                  <c:v>1.87834398187249</c:v>
                </c:pt>
                <c:pt idx="135">
                  <c:v>1.87832519843267</c:v>
                </c:pt>
                <c:pt idx="136">
                  <c:v>1.87830641518069</c:v>
                </c:pt>
                <c:pt idx="137">
                  <c:v>1.87828763211654</c:v>
                </c:pt>
                <c:pt idx="138">
                  <c:v>1.87826884924022</c:v>
                </c:pt>
                <c:pt idx="139">
                  <c:v>1.87825006655172</c:v>
                </c:pt>
                <c:pt idx="140">
                  <c:v>1.87823128405106</c:v>
                </c:pt>
                <c:pt idx="141">
                  <c:v>1.87821250173822</c:v>
                </c:pt>
                <c:pt idx="142">
                  <c:v>1.8781937196132</c:v>
                </c:pt>
                <c:pt idx="143">
                  <c:v>1.878174937676</c:v>
                </c:pt>
                <c:pt idx="144">
                  <c:v>1.87815615592663</c:v>
                </c:pt>
                <c:pt idx="145">
                  <c:v>8.53802953725944</c:v>
                </c:pt>
                <c:pt idx="146">
                  <c:v>11.8693751194213</c:v>
                </c:pt>
                <c:pt idx="147">
                  <c:v>14.8126735923494</c:v>
                </c:pt>
                <c:pt idx="148">
                  <c:v>24.0827595679334</c:v>
                </c:pt>
                <c:pt idx="149">
                  <c:v>32.3103098701117</c:v>
                </c:pt>
                <c:pt idx="150">
                  <c:v>40.8014595540024</c:v>
                </c:pt>
                <c:pt idx="151">
                  <c:v>40.8010515394069</c:v>
                </c:pt>
                <c:pt idx="152">
                  <c:v>40.8006435288915</c:v>
                </c:pt>
                <c:pt idx="153">
                  <c:v>40.8002355224562</c:v>
                </c:pt>
                <c:pt idx="154">
                  <c:v>40.799827520101</c:v>
                </c:pt>
                <c:pt idx="155">
                  <c:v>40.7994195218258</c:v>
                </c:pt>
                <c:pt idx="156">
                  <c:v>41.3826658322579</c:v>
                </c:pt>
                <c:pt idx="157">
                  <c:v>46.5734138440094</c:v>
                </c:pt>
                <c:pt idx="158">
                  <c:v>51.6829836447613</c:v>
                </c:pt>
                <c:pt idx="159">
                  <c:v>54.0380117190261</c:v>
                </c:pt>
                <c:pt idx="160">
                  <c:v>56.0180061206898</c:v>
                </c:pt>
                <c:pt idx="161">
                  <c:v>56.0174459406286</c:v>
                </c:pt>
                <c:pt idx="162">
                  <c:v>56.0168857661692</c:v>
                </c:pt>
                <c:pt idx="163">
                  <c:v>54.3577434453674</c:v>
                </c:pt>
                <c:pt idx="164">
                  <c:v>54.3571998679329</c:v>
                </c:pt>
                <c:pt idx="165">
                  <c:v>54.3566562959343</c:v>
                </c:pt>
                <c:pt idx="166">
                  <c:v>54.3561127293713</c:v>
                </c:pt>
                <c:pt idx="167">
                  <c:v>52.7701621612812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024702"/>
        <c:axId val="85175195"/>
      </c:lineChart>
      <c:catAx>
        <c:axId val="170247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5175195"/>
        <c:crosses val="autoZero"/>
        <c:auto val="1"/>
        <c:lblAlgn val="ctr"/>
        <c:lblOffset val="100"/>
        <c:noMultiLvlLbl val="0"/>
      </c:catAx>
      <c:valAx>
        <c:axId val="8517519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70247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17089462"/>
        <c:axId val="51693184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089462"/>
        <c:axId val="51693184"/>
      </c:lineChart>
      <c:catAx>
        <c:axId val="17089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1693184"/>
        <c:crosses val="autoZero"/>
        <c:auto val="1"/>
        <c:lblAlgn val="ctr"/>
        <c:lblOffset val="100"/>
        <c:noMultiLvlLbl val="0"/>
      </c:catAx>
      <c:valAx>
        <c:axId val="516931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170894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199177"/>
        <c:axId val="50936922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99177"/>
        <c:axId val="50936922"/>
      </c:lineChart>
      <c:catAx>
        <c:axId val="7199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0936922"/>
        <c:crosses val="autoZero"/>
        <c:auto val="1"/>
        <c:lblAlgn val="ctr"/>
        <c:lblOffset val="100"/>
        <c:noMultiLvlLbl val="0"/>
      </c:catAx>
      <c:valAx>
        <c:axId val="509369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1991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93046956"/>
        <c:axId val="89123379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046956"/>
        <c:axId val="89123379"/>
      </c:lineChart>
      <c:catAx>
        <c:axId val="930469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9123379"/>
        <c:crosses val="autoZero"/>
        <c:auto val="1"/>
        <c:lblAlgn val="ctr"/>
        <c:lblOffset val="100"/>
        <c:noMultiLvlLbl val="0"/>
      </c:catAx>
      <c:valAx>
        <c:axId val="891233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DejaVu Sans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930469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058437"/>
        <c:axId val="87387793"/>
      </c:lineChart>
      <c:catAx>
        <c:axId val="740584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7387793"/>
        <c:crosses val="autoZero"/>
        <c:auto val="1"/>
        <c:lblAlgn val="ctr"/>
        <c:lblOffset val="100"/>
        <c:noMultiLvlLbl val="0"/>
      </c:catAx>
      <c:valAx>
        <c:axId val="873877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74058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588600</xdr:colOff>
      <xdr:row>29</xdr:row>
      <xdr:rowOff>100440</xdr:rowOff>
    </xdr:to>
    <xdr:graphicFrame>
      <xdr:nvGraphicFramePr>
        <xdr:cNvPr id="0" name="Chart 1"/>
        <xdr:cNvGraphicFramePr/>
      </xdr:nvGraphicFramePr>
      <xdr:xfrm>
        <a:off x="10496160" y="718920"/>
        <a:ext cx="12182040" cy="446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590040</xdr:colOff>
      <xdr:row>54</xdr:row>
      <xdr:rowOff>12960</xdr:rowOff>
    </xdr:to>
    <xdr:graphicFrame>
      <xdr:nvGraphicFramePr>
        <xdr:cNvPr id="1" name="Chart 2"/>
        <xdr:cNvGraphicFramePr/>
      </xdr:nvGraphicFramePr>
      <xdr:xfrm>
        <a:off x="10400400" y="7847640"/>
        <a:ext cx="12279240" cy="162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601560</xdr:colOff>
      <xdr:row>71</xdr:row>
      <xdr:rowOff>81720</xdr:rowOff>
    </xdr:to>
    <xdr:graphicFrame>
      <xdr:nvGraphicFramePr>
        <xdr:cNvPr id="2" name="Chart 3"/>
        <xdr:cNvGraphicFramePr/>
      </xdr:nvGraphicFramePr>
      <xdr:xfrm>
        <a:off x="10400400" y="9486000"/>
        <a:ext cx="12290760" cy="303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585720</xdr:colOff>
      <xdr:row>44</xdr:row>
      <xdr:rowOff>127080</xdr:rowOff>
    </xdr:to>
    <xdr:graphicFrame>
      <xdr:nvGraphicFramePr>
        <xdr:cNvPr id="3" name="Chart 4"/>
        <xdr:cNvGraphicFramePr/>
      </xdr:nvGraphicFramePr>
      <xdr:xfrm>
        <a:off x="10493280" y="5183280"/>
        <a:ext cx="12182040" cy="265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566640</xdr:colOff>
      <xdr:row>29</xdr:row>
      <xdr:rowOff>82440</xdr:rowOff>
    </xdr:to>
    <xdr:graphicFrame>
      <xdr:nvGraphicFramePr>
        <xdr:cNvPr id="4" name="Chart 6"/>
        <xdr:cNvGraphicFramePr/>
      </xdr:nvGraphicFramePr>
      <xdr:xfrm>
        <a:off x="9711000" y="700920"/>
        <a:ext cx="12182040" cy="446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580680</xdr:colOff>
      <xdr:row>41</xdr:row>
      <xdr:rowOff>70200</xdr:rowOff>
    </xdr:to>
    <xdr:graphicFrame>
      <xdr:nvGraphicFramePr>
        <xdr:cNvPr id="5" name="Chart 8"/>
        <xdr:cNvGraphicFramePr/>
      </xdr:nvGraphicFramePr>
      <xdr:xfrm>
        <a:off x="9627840" y="5168160"/>
        <a:ext cx="12279240" cy="20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590400</xdr:colOff>
      <xdr:row>56</xdr:row>
      <xdr:rowOff>114120</xdr:rowOff>
    </xdr:to>
    <xdr:graphicFrame>
      <xdr:nvGraphicFramePr>
        <xdr:cNvPr id="6" name="Chart 1"/>
        <xdr:cNvGraphicFramePr/>
      </xdr:nvGraphicFramePr>
      <xdr:xfrm>
        <a:off x="9629640" y="7261920"/>
        <a:ext cx="12287160" cy="266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566640</xdr:colOff>
      <xdr:row>29</xdr:row>
      <xdr:rowOff>82440</xdr:rowOff>
    </xdr:to>
    <xdr:graphicFrame>
      <xdr:nvGraphicFramePr>
        <xdr:cNvPr id="7" name="Chart 1"/>
        <xdr:cNvGraphicFramePr/>
      </xdr:nvGraphicFramePr>
      <xdr:xfrm>
        <a:off x="9711000" y="700920"/>
        <a:ext cx="12182040" cy="446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590400</xdr:colOff>
      <xdr:row>42</xdr:row>
      <xdr:rowOff>108360</xdr:rowOff>
    </xdr:to>
    <xdr:graphicFrame>
      <xdr:nvGraphicFramePr>
        <xdr:cNvPr id="8" name="Chart 2"/>
        <xdr:cNvGraphicFramePr/>
      </xdr:nvGraphicFramePr>
      <xdr:xfrm>
        <a:off x="9711000" y="5177880"/>
        <a:ext cx="12205800" cy="229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566640</xdr:colOff>
      <xdr:row>26</xdr:row>
      <xdr:rowOff>82440</xdr:rowOff>
    </xdr:to>
    <xdr:graphicFrame>
      <xdr:nvGraphicFramePr>
        <xdr:cNvPr id="9" name="Chart 5"/>
        <xdr:cNvGraphicFramePr/>
      </xdr:nvGraphicFramePr>
      <xdr:xfrm>
        <a:off x="9565560" y="175320"/>
        <a:ext cx="12182040" cy="446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566640</xdr:colOff>
      <xdr:row>52</xdr:row>
      <xdr:rowOff>84600</xdr:rowOff>
    </xdr:to>
    <xdr:graphicFrame>
      <xdr:nvGraphicFramePr>
        <xdr:cNvPr id="10" name="Chart 6"/>
        <xdr:cNvGraphicFramePr/>
      </xdr:nvGraphicFramePr>
      <xdr:xfrm>
        <a:off x="9565560" y="4732200"/>
        <a:ext cx="12182040" cy="446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566640</xdr:colOff>
      <xdr:row>78</xdr:row>
      <xdr:rowOff>84600</xdr:rowOff>
    </xdr:to>
    <xdr:graphicFrame>
      <xdr:nvGraphicFramePr>
        <xdr:cNvPr id="11" name="Chart 7"/>
        <xdr:cNvGraphicFramePr/>
      </xdr:nvGraphicFramePr>
      <xdr:xfrm>
        <a:off x="9565560" y="9288720"/>
        <a:ext cx="12182040" cy="446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597960</xdr:colOff>
      <xdr:row>96</xdr:row>
      <xdr:rowOff>69120</xdr:rowOff>
    </xdr:to>
    <xdr:graphicFrame>
      <xdr:nvGraphicFramePr>
        <xdr:cNvPr id="12" name="Chart 8"/>
        <xdr:cNvGraphicFramePr/>
      </xdr:nvGraphicFramePr>
      <xdr:xfrm>
        <a:off x="9565560" y="13845600"/>
        <a:ext cx="12213360" cy="304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74880</xdr:colOff>
      <xdr:row>104</xdr:row>
      <xdr:rowOff>122400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3560" cy="18174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I2:I4 C2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2" t="n">
        <v>0</v>
      </c>
    </row>
    <row r="3" customFormat="false" ht="13.8" hidden="false" customHeight="false" outlineLevel="0" collapsed="false">
      <c r="B3" s="1" t="n">
        <v>2</v>
      </c>
      <c r="C3" s="2" t="n">
        <v>0</v>
      </c>
    </row>
    <row r="4" customFormat="false" ht="13.8" hidden="false" customHeight="false" outlineLevel="0" collapsed="false">
      <c r="B4" s="1" t="n">
        <v>3</v>
      </c>
      <c r="C4" s="2" t="n">
        <v>0</v>
      </c>
    </row>
    <row r="5" customFormat="false" ht="13.8" hidden="false" customHeight="false" outlineLevel="0" collapsed="false">
      <c r="B5" s="1" t="n">
        <v>4</v>
      </c>
      <c r="C5" s="2" t="n">
        <v>0</v>
      </c>
    </row>
    <row r="6" customFormat="false" ht="13.8" hidden="false" customHeight="false" outlineLevel="0" collapsed="false">
      <c r="B6" s="1" t="n">
        <v>5</v>
      </c>
      <c r="C6" s="2" t="n">
        <v>0</v>
      </c>
    </row>
    <row r="7" customFormat="false" ht="13.8" hidden="false" customHeight="false" outlineLevel="0" collapsed="false">
      <c r="B7" s="1" t="n">
        <v>6</v>
      </c>
      <c r="C7" s="2" t="n">
        <v>0</v>
      </c>
    </row>
    <row r="8" customFormat="false" ht="13.8" hidden="false" customHeight="false" outlineLevel="0" collapsed="false">
      <c r="B8" s="1" t="n">
        <v>7</v>
      </c>
      <c r="C8" s="2" t="n">
        <v>0</v>
      </c>
    </row>
    <row r="9" customFormat="false" ht="13.8" hidden="false" customHeight="false" outlineLevel="0" collapsed="false">
      <c r="B9" s="1" t="n">
        <v>8</v>
      </c>
      <c r="C9" s="2" t="n">
        <v>0</v>
      </c>
    </row>
    <row r="10" customFormat="false" ht="13.8" hidden="false" customHeight="false" outlineLevel="0" collapsed="false">
      <c r="B10" s="1" t="n">
        <v>9</v>
      </c>
      <c r="C10" s="2" t="n">
        <v>0</v>
      </c>
    </row>
    <row r="11" customFormat="false" ht="13.8" hidden="false" customHeight="false" outlineLevel="0" collapsed="false">
      <c r="B11" s="1" t="n">
        <v>10</v>
      </c>
      <c r="C11" s="2" t="n">
        <v>0</v>
      </c>
    </row>
    <row r="12" customFormat="false" ht="13.8" hidden="false" customHeight="false" outlineLevel="0" collapsed="false">
      <c r="B12" s="1" t="n">
        <v>11</v>
      </c>
      <c r="C12" s="2" t="n">
        <v>0</v>
      </c>
    </row>
    <row r="13" customFormat="false" ht="13.8" hidden="false" customHeight="false" outlineLevel="0" collapsed="false">
      <c r="B13" s="1" t="n">
        <v>12</v>
      </c>
      <c r="C13" s="2" t="n">
        <v>0</v>
      </c>
    </row>
    <row r="14" customFormat="false" ht="13.8" hidden="false" customHeight="false" outlineLevel="0" collapsed="false">
      <c r="B14" s="1" t="n">
        <v>13</v>
      </c>
      <c r="C14" s="2" t="n">
        <v>0</v>
      </c>
    </row>
    <row r="15" customFormat="false" ht="13.8" hidden="false" customHeight="false" outlineLevel="0" collapsed="false">
      <c r="B15" s="1" t="n">
        <v>14</v>
      </c>
      <c r="C15" s="2" t="n">
        <v>0</v>
      </c>
    </row>
    <row r="16" customFormat="false" ht="13.8" hidden="false" customHeight="false" outlineLevel="0" collapsed="false">
      <c r="B16" s="1" t="n">
        <v>15</v>
      </c>
      <c r="C16" s="2" t="n">
        <v>0</v>
      </c>
    </row>
    <row r="17" customFormat="false" ht="13.8" hidden="false" customHeight="false" outlineLevel="0" collapsed="false">
      <c r="B17" s="1" t="n">
        <v>16</v>
      </c>
      <c r="C17" s="2" t="n">
        <v>0</v>
      </c>
    </row>
    <row r="18" customFormat="false" ht="13.8" hidden="false" customHeight="false" outlineLevel="0" collapsed="false">
      <c r="B18" s="1" t="n">
        <v>17</v>
      </c>
      <c r="C18" s="2" t="n">
        <v>0</v>
      </c>
    </row>
    <row r="19" customFormat="false" ht="13.8" hidden="false" customHeight="false" outlineLevel="0" collapsed="false">
      <c r="B19" s="1" t="n">
        <v>18</v>
      </c>
      <c r="C19" s="2" t="n">
        <v>0</v>
      </c>
    </row>
    <row r="20" customFormat="false" ht="13.8" hidden="false" customHeight="false" outlineLevel="0" collapsed="false">
      <c r="B20" s="1" t="n">
        <v>19</v>
      </c>
      <c r="C20" s="2" t="n">
        <v>0</v>
      </c>
    </row>
    <row r="21" customFormat="false" ht="13.8" hidden="false" customHeight="false" outlineLevel="0" collapsed="false">
      <c r="B21" s="1" t="n">
        <v>20</v>
      </c>
      <c r="C21" s="2" t="n">
        <v>0</v>
      </c>
    </row>
    <row r="22" customFormat="false" ht="13.8" hidden="false" customHeight="false" outlineLevel="0" collapsed="false">
      <c r="B22" s="1" t="n">
        <v>21</v>
      </c>
      <c r="C22" s="2" t="n">
        <v>0</v>
      </c>
    </row>
    <row r="23" customFormat="false" ht="13.8" hidden="false" customHeight="false" outlineLevel="0" collapsed="false">
      <c r="B23" s="1" t="n">
        <v>22</v>
      </c>
      <c r="C23" s="2" t="n">
        <v>7.1875E-005</v>
      </c>
    </row>
    <row r="24" customFormat="false" ht="13.8" hidden="false" customHeight="false" outlineLevel="0" collapsed="false">
      <c r="B24" s="1" t="n">
        <v>23</v>
      </c>
      <c r="C24" s="2" t="n">
        <v>0.00014375</v>
      </c>
    </row>
    <row r="25" customFormat="false" ht="13.8" hidden="false" customHeight="false" outlineLevel="0" collapsed="false">
      <c r="B25" s="1" t="n">
        <v>24</v>
      </c>
      <c r="C25" s="2" t="n">
        <v>0.000215625</v>
      </c>
    </row>
    <row r="26" customFormat="false" ht="13.8" hidden="false" customHeight="false" outlineLevel="0" collapsed="false">
      <c r="B26" s="1" t="n">
        <v>25</v>
      </c>
      <c r="C26" s="2" t="n">
        <v>0.0002875</v>
      </c>
    </row>
    <row r="27" customFormat="false" ht="13.8" hidden="false" customHeight="false" outlineLevel="0" collapsed="false">
      <c r="B27" s="1" t="n">
        <v>26</v>
      </c>
      <c r="C27" s="2" t="n">
        <v>0.00260625</v>
      </c>
    </row>
    <row r="28" customFormat="false" ht="13.8" hidden="false" customHeight="false" outlineLevel="0" collapsed="false">
      <c r="B28" s="1" t="n">
        <v>27</v>
      </c>
      <c r="C28" s="2" t="n">
        <v>0.004925</v>
      </c>
    </row>
    <row r="29" customFormat="false" ht="13.8" hidden="false" customHeight="false" outlineLevel="0" collapsed="false">
      <c r="B29" s="1" t="n">
        <v>28</v>
      </c>
      <c r="C29" s="2" t="n">
        <v>0.00724375</v>
      </c>
    </row>
    <row r="30" customFormat="false" ht="13.8" hidden="false" customHeight="false" outlineLevel="0" collapsed="false">
      <c r="B30" s="1" t="n">
        <v>29</v>
      </c>
      <c r="C30" s="2" t="n">
        <v>0.0095625</v>
      </c>
    </row>
    <row r="31" customFormat="false" ht="13.8" hidden="false" customHeight="false" outlineLevel="0" collapsed="false">
      <c r="B31" s="1" t="n">
        <v>30</v>
      </c>
      <c r="C31" s="2" t="n">
        <v>0.0196475</v>
      </c>
    </row>
    <row r="32" customFormat="false" ht="13.8" hidden="false" customHeight="false" outlineLevel="0" collapsed="false">
      <c r="B32" s="1" t="n">
        <v>31</v>
      </c>
      <c r="C32" s="2" t="n">
        <v>0.0297325</v>
      </c>
    </row>
    <row r="33" customFormat="false" ht="13.8" hidden="false" customHeight="false" outlineLevel="0" collapsed="false">
      <c r="B33" s="1" t="n">
        <v>32</v>
      </c>
      <c r="C33" s="2" t="n">
        <v>0.0398175</v>
      </c>
    </row>
    <row r="34" customFormat="false" ht="13.8" hidden="false" customHeight="false" outlineLevel="0" collapsed="false">
      <c r="B34" s="1" t="n">
        <v>33</v>
      </c>
      <c r="C34" s="2" t="n">
        <v>0.0499025</v>
      </c>
    </row>
    <row r="35" customFormat="false" ht="13.8" hidden="false" customHeight="false" outlineLevel="0" collapsed="false">
      <c r="B35" s="1" t="n">
        <v>34</v>
      </c>
      <c r="C35" s="2" t="n">
        <v>0.053</v>
      </c>
    </row>
    <row r="36" customFormat="false" ht="13.8" hidden="false" customHeight="false" outlineLevel="0" collapsed="false">
      <c r="B36" s="1" t="n">
        <v>35</v>
      </c>
      <c r="C36" s="2" t="n">
        <v>0.0560975</v>
      </c>
    </row>
    <row r="37" customFormat="false" ht="13.8" hidden="false" customHeight="false" outlineLevel="0" collapsed="false">
      <c r="B37" s="1" t="n">
        <v>36</v>
      </c>
      <c r="C37" s="2" t="n">
        <v>0.059195</v>
      </c>
    </row>
    <row r="38" customFormat="false" ht="13.8" hidden="false" customHeight="false" outlineLevel="0" collapsed="false">
      <c r="B38" s="1" t="n">
        <v>37</v>
      </c>
      <c r="C38" s="2" t="n">
        <v>0.0622925</v>
      </c>
    </row>
    <row r="39" customFormat="false" ht="13.8" hidden="false" customHeight="false" outlineLevel="0" collapsed="false">
      <c r="B39" s="1" t="n">
        <v>38</v>
      </c>
      <c r="C39" s="2" t="n">
        <v>0.083598125</v>
      </c>
    </row>
    <row r="40" customFormat="false" ht="13.8" hidden="false" customHeight="false" outlineLevel="0" collapsed="false">
      <c r="B40" s="1" t="n">
        <v>39</v>
      </c>
      <c r="C40" s="2" t="n">
        <v>0.10490375</v>
      </c>
    </row>
    <row r="41" customFormat="false" ht="13.8" hidden="false" customHeight="false" outlineLevel="0" collapsed="false">
      <c r="B41" s="1" t="n">
        <v>40</v>
      </c>
      <c r="C41" s="2" t="n">
        <v>0.126209375</v>
      </c>
    </row>
    <row r="42" customFormat="false" ht="13.8" hidden="false" customHeight="false" outlineLevel="0" collapsed="false">
      <c r="B42" s="1" t="n">
        <v>41</v>
      </c>
      <c r="C42" s="2" t="n">
        <v>0.147515</v>
      </c>
    </row>
    <row r="43" customFormat="false" ht="13.8" hidden="false" customHeight="false" outlineLevel="0" collapsed="false">
      <c r="B43" s="1" t="n">
        <v>42</v>
      </c>
      <c r="C43" s="2" t="n">
        <v>0.1505775</v>
      </c>
    </row>
    <row r="44" customFormat="false" ht="13.8" hidden="false" customHeight="false" outlineLevel="0" collapsed="false">
      <c r="B44" s="1" t="n">
        <v>43</v>
      </c>
      <c r="C44" s="2" t="n">
        <v>0.15364</v>
      </c>
    </row>
    <row r="45" customFormat="false" ht="13.8" hidden="false" customHeight="false" outlineLevel="0" collapsed="false">
      <c r="B45" s="1" t="n">
        <v>44</v>
      </c>
      <c r="C45" s="2" t="n">
        <v>0.1567025</v>
      </c>
    </row>
    <row r="46" customFormat="false" ht="13.8" hidden="false" customHeight="false" outlineLevel="0" collapsed="false">
      <c r="B46" s="1" t="n">
        <v>45</v>
      </c>
      <c r="C46" s="2" t="n">
        <v>0.159765</v>
      </c>
    </row>
    <row r="47" customFormat="false" ht="13.8" hidden="false" customHeight="false" outlineLevel="0" collapsed="false">
      <c r="B47" s="1" t="n">
        <v>46</v>
      </c>
      <c r="C47" s="2" t="n">
        <v>0.160353125</v>
      </c>
    </row>
    <row r="48" customFormat="false" ht="13.8" hidden="false" customHeight="false" outlineLevel="0" collapsed="false">
      <c r="B48" s="1" t="n">
        <v>47</v>
      </c>
      <c r="C48" s="2" t="n">
        <v>0.16094125</v>
      </c>
    </row>
    <row r="49" customFormat="false" ht="13.8" hidden="false" customHeight="false" outlineLevel="0" collapsed="false">
      <c r="B49" s="1" t="n">
        <v>48</v>
      </c>
      <c r="C49" s="2" t="n">
        <v>0.161529375</v>
      </c>
    </row>
    <row r="50" customFormat="false" ht="13.8" hidden="false" customHeight="false" outlineLevel="0" collapsed="false">
      <c r="B50" s="1" t="n">
        <v>49</v>
      </c>
      <c r="C50" s="2" t="n">
        <v>0.1621175</v>
      </c>
    </row>
    <row r="51" customFormat="false" ht="13.8" hidden="false" customHeight="false" outlineLevel="0" collapsed="false">
      <c r="B51" s="1" t="n">
        <v>50</v>
      </c>
      <c r="C51" s="2" t="n">
        <v>0.1633125</v>
      </c>
    </row>
    <row r="52" customFormat="false" ht="13.8" hidden="false" customHeight="false" outlineLevel="0" collapsed="false">
      <c r="B52" s="1" t="n">
        <v>51</v>
      </c>
      <c r="C52" s="2" t="n">
        <v>0.1645075</v>
      </c>
    </row>
    <row r="53" customFormat="false" ht="13.8" hidden="false" customHeight="false" outlineLevel="0" collapsed="false">
      <c r="B53" s="1" t="n">
        <v>52</v>
      </c>
      <c r="C53" s="2" t="n">
        <v>0.1657025</v>
      </c>
    </row>
    <row r="54" customFormat="false" ht="13.8" hidden="false" customHeight="false" outlineLevel="0" collapsed="false">
      <c r="B54" s="1" t="n">
        <v>53</v>
      </c>
      <c r="C54" s="2" t="n">
        <v>0.1668975</v>
      </c>
    </row>
    <row r="55" customFormat="false" ht="13.8" hidden="false" customHeight="false" outlineLevel="0" collapsed="false">
      <c r="B55" s="1" t="n">
        <v>54</v>
      </c>
      <c r="C55" s="2" t="n">
        <v>0.16136375</v>
      </c>
    </row>
    <row r="56" customFormat="false" ht="13.8" hidden="false" customHeight="false" outlineLevel="0" collapsed="false">
      <c r="B56" s="1" t="n">
        <v>55</v>
      </c>
      <c r="C56" s="2" t="n">
        <v>0.15583</v>
      </c>
    </row>
    <row r="57" customFormat="false" ht="13.8" hidden="false" customHeight="false" outlineLevel="0" collapsed="false">
      <c r="B57" s="1" t="n">
        <v>56</v>
      </c>
      <c r="C57" s="2" t="n">
        <v>0.15029625</v>
      </c>
    </row>
    <row r="58" customFormat="false" ht="13.8" hidden="false" customHeight="false" outlineLevel="0" collapsed="false">
      <c r="B58" s="1" t="n">
        <v>57</v>
      </c>
      <c r="C58" s="2" t="n">
        <v>0.1447625</v>
      </c>
    </row>
    <row r="59" customFormat="false" ht="13.8" hidden="false" customHeight="false" outlineLevel="0" collapsed="false">
      <c r="B59" s="1" t="n">
        <v>58</v>
      </c>
      <c r="C59" s="2" t="n">
        <v>0.129499375</v>
      </c>
    </row>
    <row r="60" customFormat="false" ht="13.8" hidden="false" customHeight="false" outlineLevel="0" collapsed="false">
      <c r="B60" s="1" t="n">
        <v>59</v>
      </c>
      <c r="C60" s="2" t="n">
        <v>0.11423625</v>
      </c>
    </row>
    <row r="61" customFormat="false" ht="13.8" hidden="false" customHeight="false" outlineLevel="0" collapsed="false">
      <c r="B61" s="1" t="n">
        <v>60</v>
      </c>
      <c r="C61" s="2" t="n">
        <v>0.098973125</v>
      </c>
    </row>
    <row r="62" customFormat="false" ht="13.8" hidden="false" customHeight="false" outlineLevel="0" collapsed="false">
      <c r="B62" s="1" t="n">
        <v>61</v>
      </c>
      <c r="C62" s="2" t="n">
        <v>0.08371</v>
      </c>
    </row>
    <row r="63" customFormat="false" ht="13.8" hidden="false" customHeight="false" outlineLevel="0" collapsed="false">
      <c r="B63" s="1" t="n">
        <v>62</v>
      </c>
      <c r="C63" s="2" t="n">
        <v>0.07591875</v>
      </c>
    </row>
    <row r="64" customFormat="false" ht="13.8" hidden="false" customHeight="false" outlineLevel="0" collapsed="false">
      <c r="B64" s="1" t="n">
        <v>63</v>
      </c>
      <c r="C64" s="2" t="n">
        <v>0.0681275</v>
      </c>
    </row>
    <row r="65" customFormat="false" ht="13.8" hidden="false" customHeight="false" outlineLevel="0" collapsed="false">
      <c r="B65" s="1" t="n">
        <v>64</v>
      </c>
      <c r="C65" s="2" t="n">
        <v>0.06033625</v>
      </c>
    </row>
    <row r="66" customFormat="false" ht="13.8" hidden="false" customHeight="false" outlineLevel="0" collapsed="false">
      <c r="B66" s="1" t="n">
        <v>65</v>
      </c>
      <c r="C66" s="2" t="n">
        <v>0.052545</v>
      </c>
    </row>
    <row r="67" customFormat="false" ht="13.8" hidden="false" customHeight="false" outlineLevel="0" collapsed="false">
      <c r="B67" s="1" t="n">
        <v>66</v>
      </c>
      <c r="C67" s="2" t="n">
        <v>0.044609375</v>
      </c>
    </row>
    <row r="68" customFormat="false" ht="13.8" hidden="false" customHeight="false" outlineLevel="0" collapsed="false">
      <c r="B68" s="1" t="n">
        <v>67</v>
      </c>
      <c r="C68" s="2" t="n">
        <v>0.03667375</v>
      </c>
    </row>
    <row r="69" customFormat="false" ht="13.8" hidden="false" customHeight="false" outlineLevel="0" collapsed="false">
      <c r="B69" s="1" t="n">
        <v>68</v>
      </c>
      <c r="C69" s="2" t="n">
        <v>0.028738125</v>
      </c>
    </row>
    <row r="70" customFormat="false" ht="13.8" hidden="false" customHeight="false" outlineLevel="0" collapsed="false">
      <c r="B70" s="1" t="n">
        <v>69</v>
      </c>
      <c r="C70" s="2" t="n">
        <v>0.0208025</v>
      </c>
    </row>
    <row r="71" customFormat="false" ht="13.8" hidden="false" customHeight="false" outlineLevel="0" collapsed="false">
      <c r="B71" s="1" t="n">
        <v>70</v>
      </c>
      <c r="C71" s="2" t="n">
        <v>0.015601875</v>
      </c>
    </row>
    <row r="72" customFormat="false" ht="13.8" hidden="false" customHeight="false" outlineLevel="0" collapsed="false">
      <c r="B72" s="1" t="n">
        <v>71</v>
      </c>
      <c r="C72" s="2" t="n">
        <v>0.01040125</v>
      </c>
    </row>
    <row r="73" customFormat="false" ht="13.8" hidden="false" customHeight="false" outlineLevel="0" collapsed="false">
      <c r="B73" s="1" t="n">
        <v>72</v>
      </c>
      <c r="C73" s="2" t="n">
        <v>0.005200625</v>
      </c>
    </row>
    <row r="74" customFormat="false" ht="13.8" hidden="false" customHeight="false" outlineLevel="0" collapsed="false">
      <c r="B74" s="1" t="n">
        <v>73</v>
      </c>
      <c r="C74" s="2" t="n">
        <v>0</v>
      </c>
    </row>
    <row r="75" customFormat="false" ht="13.8" hidden="false" customHeight="false" outlineLevel="0" collapsed="false">
      <c r="B75" s="1" t="n">
        <v>74</v>
      </c>
      <c r="C75" s="2" t="n">
        <v>0</v>
      </c>
    </row>
    <row r="76" customFormat="false" ht="13.8" hidden="false" customHeight="false" outlineLevel="0" collapsed="false">
      <c r="B76" s="1" t="n">
        <v>75</v>
      </c>
      <c r="C76" s="2" t="n">
        <v>0</v>
      </c>
    </row>
    <row r="77" customFormat="false" ht="13.8" hidden="false" customHeight="false" outlineLevel="0" collapsed="false">
      <c r="B77" s="1" t="n">
        <v>76</v>
      </c>
      <c r="C77" s="2" t="n">
        <v>0</v>
      </c>
    </row>
    <row r="78" customFormat="false" ht="13.8" hidden="false" customHeight="false" outlineLevel="0" collapsed="false">
      <c r="B78" s="1" t="n">
        <v>77</v>
      </c>
      <c r="C78" s="2" t="n">
        <v>0</v>
      </c>
    </row>
    <row r="79" customFormat="false" ht="13.8" hidden="false" customHeight="false" outlineLevel="0" collapsed="false">
      <c r="B79" s="1" t="n">
        <v>78</v>
      </c>
      <c r="C79" s="2" t="n">
        <v>0</v>
      </c>
    </row>
    <row r="80" customFormat="false" ht="13.8" hidden="false" customHeight="false" outlineLevel="0" collapsed="false">
      <c r="B80" s="1" t="n">
        <v>79</v>
      </c>
      <c r="C80" s="2" t="n">
        <v>0</v>
      </c>
    </row>
    <row r="81" customFormat="false" ht="13.8" hidden="false" customHeight="false" outlineLevel="0" collapsed="false">
      <c r="B81" s="1" t="n">
        <v>80</v>
      </c>
      <c r="C81" s="2" t="n">
        <v>0</v>
      </c>
    </row>
    <row r="82" customFormat="false" ht="13.8" hidden="false" customHeight="false" outlineLevel="0" collapsed="false">
      <c r="B82" s="1" t="n">
        <v>81</v>
      </c>
      <c r="C82" s="2" t="n">
        <v>0</v>
      </c>
    </row>
    <row r="83" customFormat="false" ht="13.8" hidden="false" customHeight="false" outlineLevel="0" collapsed="false">
      <c r="B83" s="1" t="n">
        <v>82</v>
      </c>
      <c r="C83" s="2" t="n">
        <v>0</v>
      </c>
    </row>
    <row r="84" customFormat="false" ht="13.8" hidden="false" customHeight="false" outlineLevel="0" collapsed="false">
      <c r="B84" s="1" t="n">
        <v>83</v>
      </c>
      <c r="C84" s="2" t="n">
        <v>0</v>
      </c>
    </row>
    <row r="85" customFormat="false" ht="13.8" hidden="false" customHeight="false" outlineLevel="0" collapsed="false">
      <c r="B85" s="1" t="n">
        <v>84</v>
      </c>
      <c r="C85" s="2" t="n">
        <v>0</v>
      </c>
    </row>
    <row r="86" customFormat="false" ht="13.8" hidden="false" customHeight="false" outlineLevel="0" collapsed="false">
      <c r="B86" s="1" t="n">
        <v>85</v>
      </c>
      <c r="C86" s="2" t="n">
        <v>0</v>
      </c>
    </row>
    <row r="87" customFormat="false" ht="13.8" hidden="false" customHeight="false" outlineLevel="0" collapsed="false">
      <c r="B87" s="1" t="n">
        <v>86</v>
      </c>
      <c r="C87" s="2" t="n">
        <v>0</v>
      </c>
    </row>
    <row r="88" customFormat="false" ht="13.8" hidden="false" customHeight="false" outlineLevel="0" collapsed="false">
      <c r="B88" s="1" t="n">
        <v>87</v>
      </c>
      <c r="C88" s="2" t="n">
        <v>0</v>
      </c>
    </row>
    <row r="89" customFormat="false" ht="13.8" hidden="false" customHeight="false" outlineLevel="0" collapsed="false">
      <c r="B89" s="1" t="n">
        <v>88</v>
      </c>
      <c r="C89" s="2" t="n">
        <v>0</v>
      </c>
    </row>
    <row r="90" customFormat="false" ht="13.8" hidden="false" customHeight="false" outlineLevel="0" collapsed="false">
      <c r="B90" s="1" t="n">
        <v>89</v>
      </c>
      <c r="C90" s="2" t="n">
        <v>0</v>
      </c>
    </row>
    <row r="91" customFormat="false" ht="13.8" hidden="false" customHeight="false" outlineLevel="0" collapsed="false">
      <c r="B91" s="1" t="n">
        <v>90</v>
      </c>
      <c r="C91" s="2" t="n">
        <v>0</v>
      </c>
    </row>
    <row r="92" customFormat="false" ht="13.8" hidden="false" customHeight="false" outlineLevel="0" collapsed="false">
      <c r="B92" s="1" t="n">
        <v>91</v>
      </c>
      <c r="C92" s="2" t="n">
        <v>0</v>
      </c>
    </row>
    <row r="93" customFormat="false" ht="13.8" hidden="false" customHeight="false" outlineLevel="0" collapsed="false">
      <c r="B93" s="1" t="n">
        <v>92</v>
      </c>
      <c r="C93" s="2" t="n">
        <v>0</v>
      </c>
    </row>
    <row r="94" customFormat="false" ht="13.8" hidden="false" customHeight="false" outlineLevel="0" collapsed="false">
      <c r="B94" s="1" t="n">
        <v>93</v>
      </c>
      <c r="C94" s="2" t="n">
        <v>0</v>
      </c>
    </row>
    <row r="95" customFormat="false" ht="13.8" hidden="false" customHeight="false" outlineLevel="0" collapsed="false">
      <c r="B95" s="1" t="n">
        <v>94</v>
      </c>
      <c r="C95" s="2" t="n">
        <v>0</v>
      </c>
    </row>
    <row r="96" customFormat="false" ht="13.8" hidden="false" customHeight="false" outlineLevel="0" collapsed="false">
      <c r="B96" s="1" t="n">
        <v>95</v>
      </c>
      <c r="C96" s="2" t="n">
        <v>0</v>
      </c>
    </row>
    <row r="97" customFormat="false" ht="13.8" hidden="false" customHeight="false" outlineLevel="0" collapsed="false">
      <c r="B97" s="1" t="n">
        <v>96</v>
      </c>
      <c r="C97" s="2" t="n">
        <v>0</v>
      </c>
    </row>
    <row r="98" customFormat="false" ht="13.8" hidden="false" customHeight="false" outlineLevel="0" collapsed="false">
      <c r="B98" s="1" t="n">
        <v>97</v>
      </c>
      <c r="C98" s="2" t="n">
        <v>0</v>
      </c>
    </row>
    <row r="99" customFormat="false" ht="13.8" hidden="false" customHeight="false" outlineLevel="0" collapsed="false">
      <c r="B99" s="1" t="n">
        <v>98</v>
      </c>
      <c r="C99" s="2" t="n">
        <v>0</v>
      </c>
    </row>
    <row r="100" customFormat="false" ht="13.8" hidden="false" customHeight="false" outlineLevel="0" collapsed="false">
      <c r="B100" s="1" t="n">
        <v>99</v>
      </c>
      <c r="C100" s="2" t="n">
        <v>0</v>
      </c>
    </row>
    <row r="101" customFormat="false" ht="13.8" hidden="false" customHeight="false" outlineLevel="0" collapsed="false">
      <c r="B101" s="1" t="n">
        <v>100</v>
      </c>
      <c r="C101" s="2" t="n">
        <v>0</v>
      </c>
    </row>
    <row r="102" customFormat="false" ht="13.8" hidden="false" customHeight="false" outlineLevel="0" collapsed="false">
      <c r="B102" s="1" t="n">
        <v>101</v>
      </c>
      <c r="C102" s="2" t="n">
        <v>0</v>
      </c>
    </row>
    <row r="103" customFormat="false" ht="13.8" hidden="false" customHeight="false" outlineLevel="0" collapsed="false">
      <c r="B103" s="1" t="n">
        <v>102</v>
      </c>
      <c r="C103" s="2" t="n">
        <v>0</v>
      </c>
    </row>
    <row r="104" customFormat="false" ht="13.8" hidden="false" customHeight="false" outlineLevel="0" collapsed="false">
      <c r="B104" s="1" t="n">
        <v>103</v>
      </c>
      <c r="C104" s="2" t="n">
        <v>0</v>
      </c>
    </row>
    <row r="105" customFormat="false" ht="13.8" hidden="false" customHeight="false" outlineLevel="0" collapsed="false">
      <c r="B105" s="1" t="n">
        <v>104</v>
      </c>
      <c r="C105" s="2" t="n">
        <v>0</v>
      </c>
    </row>
    <row r="106" customFormat="false" ht="13.8" hidden="false" customHeight="false" outlineLevel="0" collapsed="false">
      <c r="B106" s="1" t="n">
        <v>105</v>
      </c>
      <c r="C106" s="2" t="n">
        <v>0</v>
      </c>
    </row>
    <row r="107" customFormat="false" ht="13.8" hidden="false" customHeight="false" outlineLevel="0" collapsed="false">
      <c r="B107" s="1" t="n">
        <v>106</v>
      </c>
      <c r="C107" s="2" t="n">
        <v>0</v>
      </c>
    </row>
    <row r="108" customFormat="false" ht="13.8" hidden="false" customHeight="false" outlineLevel="0" collapsed="false">
      <c r="B108" s="1" t="n">
        <v>107</v>
      </c>
      <c r="C108" s="2" t="n">
        <v>0</v>
      </c>
    </row>
    <row r="109" customFormat="false" ht="13.8" hidden="false" customHeight="false" outlineLevel="0" collapsed="false">
      <c r="B109" s="1" t="n">
        <v>108</v>
      </c>
      <c r="C109" s="2" t="n">
        <v>0</v>
      </c>
    </row>
    <row r="110" customFormat="false" ht="13.8" hidden="false" customHeight="false" outlineLevel="0" collapsed="false">
      <c r="B110" s="1" t="n">
        <v>109</v>
      </c>
      <c r="C110" s="2" t="n">
        <v>0</v>
      </c>
    </row>
    <row r="111" customFormat="false" ht="13.8" hidden="false" customHeight="false" outlineLevel="0" collapsed="false">
      <c r="B111" s="1" t="n">
        <v>110</v>
      </c>
      <c r="C111" s="2" t="n">
        <v>0</v>
      </c>
    </row>
    <row r="112" customFormat="false" ht="13.8" hidden="false" customHeight="false" outlineLevel="0" collapsed="false">
      <c r="B112" s="1" t="n">
        <v>111</v>
      </c>
      <c r="C112" s="2" t="n">
        <v>0</v>
      </c>
    </row>
    <row r="113" customFormat="false" ht="13.8" hidden="false" customHeight="false" outlineLevel="0" collapsed="false">
      <c r="B113" s="1" t="n">
        <v>112</v>
      </c>
      <c r="C113" s="2" t="n">
        <v>0</v>
      </c>
    </row>
    <row r="114" customFormat="false" ht="13.8" hidden="false" customHeight="false" outlineLevel="0" collapsed="false">
      <c r="B114" s="1" t="n">
        <v>113</v>
      </c>
      <c r="C114" s="2" t="n">
        <v>0</v>
      </c>
    </row>
    <row r="115" customFormat="false" ht="13.8" hidden="false" customHeight="false" outlineLevel="0" collapsed="false">
      <c r="B115" s="1" t="n">
        <v>114</v>
      </c>
      <c r="C115" s="2" t="n">
        <v>0</v>
      </c>
    </row>
    <row r="116" customFormat="false" ht="13.8" hidden="false" customHeight="false" outlineLevel="0" collapsed="false">
      <c r="B116" s="1" t="n">
        <v>115</v>
      </c>
      <c r="C116" s="2" t="n">
        <v>0</v>
      </c>
    </row>
    <row r="117" customFormat="false" ht="13.8" hidden="false" customHeight="false" outlineLevel="0" collapsed="false">
      <c r="B117" s="1" t="n">
        <v>116</v>
      </c>
      <c r="C117" s="2" t="n">
        <v>0</v>
      </c>
    </row>
    <row r="118" customFormat="false" ht="13.8" hidden="false" customHeight="false" outlineLevel="0" collapsed="false">
      <c r="B118" s="1" t="n">
        <v>117</v>
      </c>
      <c r="C118" s="2" t="n">
        <v>0</v>
      </c>
    </row>
    <row r="119" customFormat="false" ht="13.8" hidden="false" customHeight="false" outlineLevel="0" collapsed="false">
      <c r="B119" s="1" t="n">
        <v>118</v>
      </c>
      <c r="C119" s="2" t="n">
        <v>0.001816875</v>
      </c>
    </row>
    <row r="120" customFormat="false" ht="13.8" hidden="false" customHeight="false" outlineLevel="0" collapsed="false">
      <c r="B120" s="1" t="n">
        <v>119</v>
      </c>
      <c r="C120" s="2" t="n">
        <v>0.00363375</v>
      </c>
    </row>
    <row r="121" customFormat="false" ht="13.8" hidden="false" customHeight="false" outlineLevel="0" collapsed="false">
      <c r="B121" s="1" t="n">
        <v>120</v>
      </c>
      <c r="C121" s="2" t="n">
        <v>0.005450625</v>
      </c>
    </row>
    <row r="122" customFormat="false" ht="13.8" hidden="false" customHeight="false" outlineLevel="0" collapsed="false">
      <c r="B122" s="1" t="n">
        <v>121</v>
      </c>
      <c r="C122" s="2" t="n">
        <v>0.0072675</v>
      </c>
    </row>
    <row r="123" customFormat="false" ht="13.8" hidden="false" customHeight="false" outlineLevel="0" collapsed="false">
      <c r="B123" s="1" t="n">
        <v>122</v>
      </c>
      <c r="C123" s="2" t="n">
        <v>0.0144025</v>
      </c>
    </row>
    <row r="124" customFormat="false" ht="13.8" hidden="false" customHeight="false" outlineLevel="0" collapsed="false">
      <c r="B124" s="1" t="n">
        <v>123</v>
      </c>
      <c r="C124" s="2" t="n">
        <v>0.0215375</v>
      </c>
    </row>
    <row r="125" customFormat="false" ht="13.8" hidden="false" customHeight="false" outlineLevel="0" collapsed="false">
      <c r="B125" s="1" t="n">
        <v>124</v>
      </c>
      <c r="C125" s="2" t="n">
        <v>0.0286725</v>
      </c>
    </row>
    <row r="126" customFormat="false" ht="13.8" hidden="false" customHeight="false" outlineLevel="0" collapsed="false">
      <c r="B126" s="1" t="n">
        <v>125</v>
      </c>
      <c r="C126" s="2" t="n">
        <v>0.0358075</v>
      </c>
    </row>
    <row r="127" customFormat="false" ht="13.8" hidden="false" customHeight="false" outlineLevel="0" collapsed="false">
      <c r="B127" s="1" t="n">
        <v>126</v>
      </c>
      <c r="C127" s="2" t="n">
        <v>0.04943</v>
      </c>
    </row>
    <row r="128" customFormat="false" ht="13.8" hidden="false" customHeight="false" outlineLevel="0" collapsed="false">
      <c r="B128" s="1" t="n">
        <v>127</v>
      </c>
      <c r="C128" s="2" t="n">
        <v>0.0630525</v>
      </c>
    </row>
    <row r="129" customFormat="false" ht="13.8" hidden="false" customHeight="false" outlineLevel="0" collapsed="false">
      <c r="B129" s="1" t="n">
        <v>128</v>
      </c>
      <c r="C129" s="2" t="n">
        <v>0.076675</v>
      </c>
    </row>
    <row r="130" customFormat="false" ht="13.8" hidden="false" customHeight="false" outlineLevel="0" collapsed="false">
      <c r="B130" s="1" t="n">
        <v>129</v>
      </c>
      <c r="C130" s="2" t="n">
        <v>0.0902975</v>
      </c>
    </row>
    <row r="131" customFormat="false" ht="13.8" hidden="false" customHeight="false" outlineLevel="0" collapsed="false">
      <c r="B131" s="1" t="n">
        <v>130</v>
      </c>
      <c r="C131" s="2" t="n">
        <v>0.100735625</v>
      </c>
    </row>
    <row r="132" customFormat="false" ht="13.8" hidden="false" customHeight="false" outlineLevel="0" collapsed="false">
      <c r="B132" s="1" t="n">
        <v>131</v>
      </c>
      <c r="C132" s="2" t="n">
        <v>0.11117375</v>
      </c>
    </row>
    <row r="133" customFormat="false" ht="13.8" hidden="false" customHeight="false" outlineLevel="0" collapsed="false">
      <c r="B133" s="1" t="n">
        <v>132</v>
      </c>
      <c r="C133" s="2" t="n">
        <v>0.121611875</v>
      </c>
    </row>
    <row r="134" customFormat="false" ht="13.8" hidden="false" customHeight="false" outlineLevel="0" collapsed="false">
      <c r="B134" s="1" t="n">
        <v>133</v>
      </c>
      <c r="C134" s="2" t="n">
        <v>0.13205</v>
      </c>
    </row>
    <row r="135" customFormat="false" ht="13.8" hidden="false" customHeight="false" outlineLevel="0" collapsed="false">
      <c r="B135" s="1" t="n">
        <v>134</v>
      </c>
      <c r="C135" s="2" t="n">
        <v>0.13931125</v>
      </c>
    </row>
    <row r="136" customFormat="false" ht="13.8" hidden="false" customHeight="false" outlineLevel="0" collapsed="false">
      <c r="B136" s="1" t="n">
        <v>135</v>
      </c>
      <c r="C136" s="2" t="n">
        <v>0.1465725</v>
      </c>
    </row>
    <row r="137" customFormat="false" ht="13.8" hidden="false" customHeight="false" outlineLevel="0" collapsed="false">
      <c r="B137" s="1" t="n">
        <v>136</v>
      </c>
      <c r="C137" s="2" t="n">
        <v>0.15383375</v>
      </c>
    </row>
    <row r="138" customFormat="false" ht="13.8" hidden="false" customHeight="false" outlineLevel="0" collapsed="false">
      <c r="B138" s="1" t="n">
        <v>137</v>
      </c>
      <c r="C138" s="2" t="n">
        <v>0.161095</v>
      </c>
    </row>
    <row r="139" customFormat="false" ht="13.8" hidden="false" customHeight="false" outlineLevel="0" collapsed="false">
      <c r="B139" s="1" t="n">
        <v>138</v>
      </c>
      <c r="C139" s="2" t="n">
        <v>0.1643125</v>
      </c>
    </row>
    <row r="140" customFormat="false" ht="13.8" hidden="false" customHeight="false" outlineLevel="0" collapsed="false">
      <c r="B140" s="1" t="n">
        <v>139</v>
      </c>
      <c r="C140" s="2" t="n">
        <v>0.16753</v>
      </c>
    </row>
    <row r="141" customFormat="false" ht="13.8" hidden="false" customHeight="false" outlineLevel="0" collapsed="false">
      <c r="B141" s="1" t="n">
        <v>140</v>
      </c>
      <c r="C141" s="2" t="n">
        <v>0.1707475</v>
      </c>
    </row>
    <row r="142" customFormat="false" ht="13.8" hidden="false" customHeight="false" outlineLevel="0" collapsed="false">
      <c r="B142" s="1" t="n">
        <v>141</v>
      </c>
      <c r="C142" s="2" t="n">
        <v>0.173965</v>
      </c>
    </row>
    <row r="143" customFormat="false" ht="13.8" hidden="false" customHeight="false" outlineLevel="0" collapsed="false">
      <c r="B143" s="1" t="n">
        <v>142</v>
      </c>
      <c r="C143" s="2" t="n">
        <v>0.176224375</v>
      </c>
    </row>
    <row r="144" customFormat="false" ht="13.8" hidden="false" customHeight="false" outlineLevel="0" collapsed="false">
      <c r="B144" s="1" t="n">
        <v>143</v>
      </c>
      <c r="C144" s="2" t="n">
        <v>0.17848375</v>
      </c>
    </row>
    <row r="145" customFormat="false" ht="13.8" hidden="false" customHeight="false" outlineLevel="0" collapsed="false">
      <c r="B145" s="1" t="n">
        <v>144</v>
      </c>
      <c r="C145" s="2" t="n">
        <v>0.180743125</v>
      </c>
    </row>
    <row r="146" customFormat="false" ht="13.8" hidden="false" customHeight="false" outlineLevel="0" collapsed="false">
      <c r="B146" s="1" t="n">
        <v>145</v>
      </c>
      <c r="C146" s="2" t="n">
        <v>0.1830025</v>
      </c>
    </row>
    <row r="147" customFormat="false" ht="13.8" hidden="false" customHeight="false" outlineLevel="0" collapsed="false">
      <c r="B147" s="1" t="n">
        <v>146</v>
      </c>
      <c r="C147" s="2" t="n">
        <v>0.17999625</v>
      </c>
    </row>
    <row r="148" customFormat="false" ht="13.8" hidden="false" customHeight="false" outlineLevel="0" collapsed="false">
      <c r="B148" s="1" t="n">
        <v>147</v>
      </c>
      <c r="C148" s="2" t="n">
        <v>0.17699</v>
      </c>
    </row>
    <row r="149" customFormat="false" ht="13.8" hidden="false" customHeight="false" outlineLevel="0" collapsed="false">
      <c r="B149" s="1" t="n">
        <v>148</v>
      </c>
      <c r="C149" s="2" t="n">
        <v>0.17398375</v>
      </c>
    </row>
    <row r="150" customFormat="false" ht="13.8" hidden="false" customHeight="false" outlineLevel="0" collapsed="false">
      <c r="B150" s="1" t="n">
        <v>149</v>
      </c>
      <c r="C150" s="2" t="n">
        <v>0.1709775</v>
      </c>
    </row>
    <row r="151" customFormat="false" ht="13.8" hidden="false" customHeight="false" outlineLevel="0" collapsed="false">
      <c r="B151" s="1" t="n">
        <v>150</v>
      </c>
      <c r="C151" s="2" t="n">
        <v>0.16472</v>
      </c>
    </row>
    <row r="152" customFormat="false" ht="13.8" hidden="false" customHeight="false" outlineLevel="0" collapsed="false">
      <c r="B152" s="1" t="n">
        <v>151</v>
      </c>
      <c r="C152" s="2" t="n">
        <v>0.1584625</v>
      </c>
    </row>
    <row r="153" customFormat="false" ht="13.8" hidden="false" customHeight="false" outlineLevel="0" collapsed="false">
      <c r="B153" s="1" t="n">
        <v>152</v>
      </c>
      <c r="C153" s="2" t="n">
        <v>0.152205</v>
      </c>
    </row>
    <row r="154" customFormat="false" ht="13.8" hidden="false" customHeight="false" outlineLevel="0" collapsed="false">
      <c r="B154" s="1" t="n">
        <v>153</v>
      </c>
      <c r="C154" s="2" t="n">
        <v>0.1459475</v>
      </c>
    </row>
    <row r="155" customFormat="false" ht="13.8" hidden="false" customHeight="false" outlineLevel="0" collapsed="false">
      <c r="B155" s="1" t="n">
        <v>154</v>
      </c>
      <c r="C155" s="2" t="n">
        <v>0.13440375</v>
      </c>
    </row>
    <row r="156" customFormat="false" ht="13.8" hidden="false" customHeight="false" outlineLevel="0" collapsed="false">
      <c r="B156" s="1" t="n">
        <v>155</v>
      </c>
      <c r="C156" s="2" t="n">
        <v>0.12286</v>
      </c>
    </row>
    <row r="157" customFormat="false" ht="13.8" hidden="false" customHeight="false" outlineLevel="0" collapsed="false">
      <c r="B157" s="1" t="n">
        <v>156</v>
      </c>
      <c r="C157" s="2" t="n">
        <v>0.11131625</v>
      </c>
    </row>
    <row r="158" customFormat="false" ht="13.8" hidden="false" customHeight="false" outlineLevel="0" collapsed="false">
      <c r="B158" s="1" t="n">
        <v>157</v>
      </c>
      <c r="C158" s="2" t="n">
        <v>0.0997725</v>
      </c>
    </row>
    <row r="159" customFormat="false" ht="13.8" hidden="false" customHeight="false" outlineLevel="0" collapsed="false">
      <c r="B159" s="1" t="n">
        <v>158</v>
      </c>
      <c r="C159" s="2" t="n">
        <v>0.091700625</v>
      </c>
    </row>
    <row r="160" customFormat="false" ht="13.8" hidden="false" customHeight="false" outlineLevel="0" collapsed="false">
      <c r="B160" s="1" t="n">
        <v>159</v>
      </c>
      <c r="C160" s="2" t="n">
        <v>0.08362875</v>
      </c>
    </row>
    <row r="161" customFormat="false" ht="13.8" hidden="false" customHeight="false" outlineLevel="0" collapsed="false">
      <c r="B161" s="1" t="n">
        <v>160</v>
      </c>
      <c r="C161" s="2" t="n">
        <v>0.075556875</v>
      </c>
    </row>
    <row r="162" customFormat="false" ht="13.8" hidden="false" customHeight="false" outlineLevel="0" collapsed="false">
      <c r="B162" s="1" t="n">
        <v>161</v>
      </c>
      <c r="C162" s="2" t="n">
        <v>0.067485</v>
      </c>
    </row>
    <row r="163" customFormat="false" ht="13.8" hidden="false" customHeight="false" outlineLevel="0" collapsed="false">
      <c r="B163" s="1" t="n">
        <v>162</v>
      </c>
      <c r="C163" s="2" t="n">
        <v>0.057474375</v>
      </c>
    </row>
    <row r="164" customFormat="false" ht="13.8" hidden="false" customHeight="false" outlineLevel="0" collapsed="false">
      <c r="B164" s="1" t="n">
        <v>163</v>
      </c>
      <c r="C164" s="2" t="n">
        <v>0.04746375</v>
      </c>
    </row>
    <row r="165" customFormat="false" ht="13.8" hidden="false" customHeight="false" outlineLevel="0" collapsed="false">
      <c r="B165" s="1" t="n">
        <v>164</v>
      </c>
      <c r="C165" s="2" t="n">
        <v>0.037453125</v>
      </c>
    </row>
    <row r="166" customFormat="false" ht="13.8" hidden="false" customHeight="false" outlineLevel="0" collapsed="false">
      <c r="B166" s="1" t="n">
        <v>165</v>
      </c>
      <c r="C166" s="2" t="n">
        <v>0.0274425</v>
      </c>
    </row>
    <row r="167" customFormat="false" ht="13.8" hidden="false" customHeight="false" outlineLevel="0" collapsed="false">
      <c r="B167" s="1" t="n">
        <v>166</v>
      </c>
      <c r="C167" s="2" t="n">
        <v>0.02058375</v>
      </c>
    </row>
    <row r="168" customFormat="false" ht="13.8" hidden="false" customHeight="false" outlineLevel="0" collapsed="false">
      <c r="B168" s="1" t="n">
        <v>167</v>
      </c>
      <c r="C168" s="2" t="n">
        <v>0.013725</v>
      </c>
    </row>
    <row r="169" customFormat="false" ht="13.8" hidden="false" customHeight="false" outlineLevel="0" collapsed="false">
      <c r="B169" s="1" t="n">
        <v>168</v>
      </c>
      <c r="C169" s="2" t="n">
        <v>0.00686625</v>
      </c>
    </row>
    <row r="170" customFormat="false" ht="13.8" hidden="false" customHeight="false" outlineLevel="0" collapsed="false">
      <c r="B170" s="1" t="n">
        <v>169</v>
      </c>
      <c r="C170" s="2" t="n">
        <v>7.5E-006</v>
      </c>
    </row>
    <row r="171" customFormat="false" ht="13.8" hidden="false" customHeight="false" outlineLevel="0" collapsed="false">
      <c r="B171" s="1" t="n">
        <v>170</v>
      </c>
      <c r="C171" s="2" t="n">
        <v>5.625E-006</v>
      </c>
    </row>
    <row r="172" customFormat="false" ht="13.8" hidden="false" customHeight="false" outlineLevel="0" collapsed="false">
      <c r="B172" s="1" t="n">
        <v>171</v>
      </c>
      <c r="C172" s="2" t="n">
        <v>3.75E-006</v>
      </c>
    </row>
    <row r="173" customFormat="false" ht="13.8" hidden="false" customHeight="false" outlineLevel="0" collapsed="false">
      <c r="B173" s="1" t="n">
        <v>172</v>
      </c>
      <c r="C173" s="2" t="n">
        <v>1.875E-006</v>
      </c>
    </row>
    <row r="174" customFormat="false" ht="13.8" hidden="false" customHeight="false" outlineLevel="0" collapsed="false">
      <c r="B174" s="1" t="n">
        <v>173</v>
      </c>
      <c r="C174" s="2" t="n">
        <v>0</v>
      </c>
    </row>
    <row r="175" customFormat="false" ht="13.8" hidden="false" customHeight="false" outlineLevel="0" collapsed="false">
      <c r="B175" s="1" t="n">
        <v>174</v>
      </c>
      <c r="C175" s="2" t="n">
        <v>0</v>
      </c>
    </row>
    <row r="176" customFormat="false" ht="13.8" hidden="false" customHeight="false" outlineLevel="0" collapsed="false">
      <c r="B176" s="1" t="n">
        <v>175</v>
      </c>
      <c r="C176" s="2" t="n">
        <v>0</v>
      </c>
    </row>
    <row r="177" customFormat="false" ht="13.8" hidden="false" customHeight="false" outlineLevel="0" collapsed="false">
      <c r="B177" s="1" t="n">
        <v>176</v>
      </c>
      <c r="C177" s="2" t="n">
        <v>0</v>
      </c>
    </row>
    <row r="178" customFormat="false" ht="13.8" hidden="false" customHeight="false" outlineLevel="0" collapsed="false">
      <c r="B178" s="1" t="n">
        <v>177</v>
      </c>
      <c r="C178" s="2" t="n">
        <v>0</v>
      </c>
    </row>
    <row r="179" customFormat="false" ht="13.8" hidden="false" customHeight="false" outlineLevel="0" collapsed="false">
      <c r="B179" s="1" t="n">
        <v>178</v>
      </c>
      <c r="C179" s="2" t="n">
        <v>0</v>
      </c>
    </row>
    <row r="180" customFormat="false" ht="13.8" hidden="false" customHeight="false" outlineLevel="0" collapsed="false">
      <c r="B180" s="1" t="n">
        <v>179</v>
      </c>
      <c r="C180" s="2" t="n">
        <v>0</v>
      </c>
    </row>
    <row r="181" customFormat="false" ht="13.8" hidden="false" customHeight="false" outlineLevel="0" collapsed="false">
      <c r="B181" s="1" t="n">
        <v>180</v>
      </c>
      <c r="C181" s="2" t="n">
        <v>0</v>
      </c>
    </row>
    <row r="182" customFormat="false" ht="13.8" hidden="false" customHeight="false" outlineLevel="0" collapsed="false">
      <c r="B182" s="1" t="n">
        <v>181</v>
      </c>
      <c r="C182" s="2" t="n">
        <v>0</v>
      </c>
    </row>
    <row r="183" customFormat="false" ht="13.8" hidden="false" customHeight="false" outlineLevel="0" collapsed="false">
      <c r="B183" s="1" t="n">
        <v>182</v>
      </c>
      <c r="C183" s="2" t="n">
        <v>0</v>
      </c>
    </row>
    <row r="184" customFormat="false" ht="13.8" hidden="false" customHeight="false" outlineLevel="0" collapsed="false">
      <c r="B184" s="1" t="n">
        <v>183</v>
      </c>
      <c r="C184" s="2" t="n">
        <v>0</v>
      </c>
    </row>
    <row r="185" customFormat="false" ht="13.8" hidden="false" customHeight="false" outlineLevel="0" collapsed="false">
      <c r="B185" s="1" t="n">
        <v>184</v>
      </c>
      <c r="C185" s="2" t="n">
        <v>0</v>
      </c>
    </row>
    <row r="186" customFormat="false" ht="13.8" hidden="false" customHeight="false" outlineLevel="0" collapsed="false">
      <c r="B186" s="1" t="n">
        <v>185</v>
      </c>
      <c r="C186" s="2" t="n">
        <v>0</v>
      </c>
    </row>
    <row r="187" customFormat="false" ht="13.8" hidden="false" customHeight="false" outlineLevel="0" collapsed="false">
      <c r="B187" s="1" t="n">
        <v>186</v>
      </c>
      <c r="C187" s="2" t="n">
        <v>0</v>
      </c>
    </row>
    <row r="188" customFormat="false" ht="13.8" hidden="false" customHeight="false" outlineLevel="0" collapsed="false">
      <c r="B188" s="1" t="n">
        <v>187</v>
      </c>
      <c r="C188" s="2" t="n">
        <v>0</v>
      </c>
    </row>
    <row r="189" customFormat="false" ht="13.8" hidden="false" customHeight="false" outlineLevel="0" collapsed="false">
      <c r="B189" s="1" t="n">
        <v>188</v>
      </c>
      <c r="C189" s="2" t="n">
        <v>0</v>
      </c>
    </row>
    <row r="190" customFormat="false" ht="13.8" hidden="false" customHeight="false" outlineLevel="0" collapsed="false">
      <c r="B190" s="1" t="n">
        <v>189</v>
      </c>
      <c r="C190" s="2" t="n">
        <v>0</v>
      </c>
    </row>
    <row r="191" customFormat="false" ht="13.8" hidden="false" customHeight="false" outlineLevel="0" collapsed="false">
      <c r="B191" s="1" t="n">
        <v>190</v>
      </c>
      <c r="C191" s="2" t="n">
        <v>0</v>
      </c>
    </row>
    <row r="192" customFormat="false" ht="13.8" hidden="false" customHeight="false" outlineLevel="0" collapsed="false">
      <c r="B192" s="1" t="n">
        <v>191</v>
      </c>
      <c r="C192" s="2" t="n">
        <v>0</v>
      </c>
    </row>
    <row r="193" customFormat="false" ht="13.8" hidden="false" customHeight="false" outlineLevel="0" collapsed="false">
      <c r="B193" s="1" t="n">
        <v>192</v>
      </c>
      <c r="C193" s="2" t="n">
        <v>0</v>
      </c>
    </row>
    <row r="194" customFormat="false" ht="13.8" hidden="false" customHeight="false" outlineLevel="0" collapsed="false">
      <c r="B194" s="1" t="n">
        <v>193</v>
      </c>
      <c r="C194" s="2" t="n">
        <v>0</v>
      </c>
    </row>
    <row r="195" customFormat="false" ht="13.8" hidden="false" customHeight="false" outlineLevel="0" collapsed="false">
      <c r="B195" s="1" t="n">
        <v>194</v>
      </c>
      <c r="C195" s="2" t="n">
        <v>0</v>
      </c>
    </row>
    <row r="196" customFormat="false" ht="13.8" hidden="false" customHeight="false" outlineLevel="0" collapsed="false">
      <c r="B196" s="1" t="n">
        <v>195</v>
      </c>
      <c r="C196" s="2" t="n">
        <v>0</v>
      </c>
    </row>
    <row r="197" customFormat="false" ht="13.8" hidden="false" customHeight="false" outlineLevel="0" collapsed="false">
      <c r="B197" s="1" t="n">
        <v>196</v>
      </c>
      <c r="C197" s="2" t="n">
        <v>0</v>
      </c>
    </row>
    <row r="198" customFormat="false" ht="13.8" hidden="false" customHeight="false" outlineLevel="0" collapsed="false">
      <c r="B198" s="1" t="n">
        <v>197</v>
      </c>
      <c r="C198" s="2" t="n">
        <v>0</v>
      </c>
    </row>
    <row r="199" customFormat="false" ht="13.8" hidden="false" customHeight="false" outlineLevel="0" collapsed="false">
      <c r="B199" s="1" t="n">
        <v>198</v>
      </c>
      <c r="C199" s="2" t="n">
        <v>0</v>
      </c>
    </row>
    <row r="200" customFormat="false" ht="13.8" hidden="false" customHeight="false" outlineLevel="0" collapsed="false">
      <c r="B200" s="1" t="n">
        <v>199</v>
      </c>
      <c r="C200" s="2" t="n">
        <v>0</v>
      </c>
    </row>
    <row r="201" customFormat="false" ht="13.8" hidden="false" customHeight="false" outlineLevel="0" collapsed="false">
      <c r="B201" s="1" t="n">
        <v>200</v>
      </c>
      <c r="C201" s="2" t="n">
        <v>0</v>
      </c>
    </row>
    <row r="202" customFormat="false" ht="13.8" hidden="false" customHeight="false" outlineLevel="0" collapsed="false">
      <c r="B202" s="1" t="n">
        <v>201</v>
      </c>
      <c r="C202" s="2" t="n">
        <v>0</v>
      </c>
    </row>
    <row r="203" customFormat="false" ht="13.8" hidden="false" customHeight="false" outlineLevel="0" collapsed="false">
      <c r="B203" s="1" t="n">
        <v>202</v>
      </c>
      <c r="C203" s="2" t="n">
        <v>0</v>
      </c>
    </row>
    <row r="204" customFormat="false" ht="13.8" hidden="false" customHeight="false" outlineLevel="0" collapsed="false">
      <c r="B204" s="1" t="n">
        <v>203</v>
      </c>
      <c r="C204" s="2" t="n">
        <v>0</v>
      </c>
    </row>
    <row r="205" customFormat="false" ht="13.8" hidden="false" customHeight="false" outlineLevel="0" collapsed="false">
      <c r="B205" s="1" t="n">
        <v>204</v>
      </c>
      <c r="C205" s="2" t="n">
        <v>0</v>
      </c>
    </row>
    <row r="206" customFormat="false" ht="13.8" hidden="false" customHeight="false" outlineLevel="0" collapsed="false">
      <c r="B206" s="1" t="n">
        <v>205</v>
      </c>
      <c r="C206" s="2" t="n">
        <v>0</v>
      </c>
    </row>
    <row r="207" customFormat="false" ht="13.8" hidden="false" customHeight="false" outlineLevel="0" collapsed="false">
      <c r="B207" s="1" t="n">
        <v>206</v>
      </c>
      <c r="C207" s="2" t="n">
        <v>0</v>
      </c>
    </row>
    <row r="208" customFormat="false" ht="13.8" hidden="false" customHeight="false" outlineLevel="0" collapsed="false">
      <c r="B208" s="1" t="n">
        <v>207</v>
      </c>
      <c r="C208" s="2" t="n">
        <v>0</v>
      </c>
    </row>
    <row r="209" customFormat="false" ht="13.8" hidden="false" customHeight="false" outlineLevel="0" collapsed="false">
      <c r="B209" s="1" t="n">
        <v>208</v>
      </c>
      <c r="C209" s="2" t="n">
        <v>0</v>
      </c>
    </row>
    <row r="210" customFormat="false" ht="13.8" hidden="false" customHeight="false" outlineLevel="0" collapsed="false">
      <c r="B210" s="1" t="n">
        <v>209</v>
      </c>
      <c r="C210" s="2" t="n">
        <v>0</v>
      </c>
    </row>
    <row r="211" customFormat="false" ht="13.8" hidden="false" customHeight="false" outlineLevel="0" collapsed="false">
      <c r="B211" s="1" t="n">
        <v>210</v>
      </c>
      <c r="C211" s="2" t="n">
        <v>0</v>
      </c>
    </row>
    <row r="212" customFormat="false" ht="13.8" hidden="false" customHeight="false" outlineLevel="0" collapsed="false">
      <c r="B212" s="1" t="n">
        <v>211</v>
      </c>
      <c r="C212" s="2" t="n">
        <v>0</v>
      </c>
    </row>
    <row r="213" customFormat="false" ht="13.8" hidden="false" customHeight="false" outlineLevel="0" collapsed="false">
      <c r="B213" s="1" t="n">
        <v>212</v>
      </c>
      <c r="C213" s="2" t="n">
        <v>0</v>
      </c>
    </row>
    <row r="214" customFormat="false" ht="13.8" hidden="false" customHeight="false" outlineLevel="0" collapsed="false">
      <c r="B214" s="1" t="n">
        <v>213</v>
      </c>
      <c r="C214" s="2" t="n">
        <v>0</v>
      </c>
    </row>
    <row r="215" customFormat="false" ht="13.8" hidden="false" customHeight="false" outlineLevel="0" collapsed="false">
      <c r="B215" s="1" t="n">
        <v>214</v>
      </c>
      <c r="C215" s="2" t="n">
        <v>0.001499375</v>
      </c>
    </row>
    <row r="216" customFormat="false" ht="13.8" hidden="false" customHeight="false" outlineLevel="0" collapsed="false">
      <c r="B216" s="1" t="n">
        <v>215</v>
      </c>
      <c r="C216" s="2" t="n">
        <v>0.00299875</v>
      </c>
    </row>
    <row r="217" customFormat="false" ht="13.8" hidden="false" customHeight="false" outlineLevel="0" collapsed="false">
      <c r="B217" s="1" t="n">
        <v>216</v>
      </c>
      <c r="C217" s="2" t="n">
        <v>0.004498125</v>
      </c>
    </row>
    <row r="218" customFormat="false" ht="13.8" hidden="false" customHeight="false" outlineLevel="0" collapsed="false">
      <c r="B218" s="1" t="n">
        <v>217</v>
      </c>
      <c r="C218" s="2" t="n">
        <v>0.0059975</v>
      </c>
    </row>
    <row r="219" customFormat="false" ht="13.8" hidden="false" customHeight="false" outlineLevel="0" collapsed="false">
      <c r="B219" s="1" t="n">
        <v>218</v>
      </c>
      <c r="C219" s="2" t="n">
        <v>0.013571875</v>
      </c>
    </row>
    <row r="220" customFormat="false" ht="13.8" hidden="false" customHeight="false" outlineLevel="0" collapsed="false">
      <c r="B220" s="1" t="n">
        <v>219</v>
      </c>
      <c r="C220" s="2" t="n">
        <v>0.02114625</v>
      </c>
    </row>
    <row r="221" customFormat="false" ht="13.8" hidden="false" customHeight="false" outlineLevel="0" collapsed="false">
      <c r="B221" s="1" t="n">
        <v>220</v>
      </c>
      <c r="C221" s="2" t="n">
        <v>0.028720625</v>
      </c>
    </row>
    <row r="222" customFormat="false" ht="13.8" hidden="false" customHeight="false" outlineLevel="0" collapsed="false">
      <c r="B222" s="1" t="n">
        <v>221</v>
      </c>
      <c r="C222" s="2" t="n">
        <v>0.036295</v>
      </c>
    </row>
    <row r="223" customFormat="false" ht="13.8" hidden="false" customHeight="false" outlineLevel="0" collapsed="false">
      <c r="B223" s="1" t="n">
        <v>222</v>
      </c>
      <c r="C223" s="2" t="n">
        <v>0.04875125</v>
      </c>
    </row>
    <row r="224" customFormat="false" ht="13.8" hidden="false" customHeight="false" outlineLevel="0" collapsed="false">
      <c r="B224" s="1" t="n">
        <v>223</v>
      </c>
      <c r="C224" s="2" t="n">
        <v>0.0612075</v>
      </c>
    </row>
    <row r="225" customFormat="false" ht="13.8" hidden="false" customHeight="false" outlineLevel="0" collapsed="false">
      <c r="B225" s="1" t="n">
        <v>224</v>
      </c>
      <c r="C225" s="2" t="n">
        <v>0.07366375</v>
      </c>
    </row>
    <row r="226" customFormat="false" ht="13.8" hidden="false" customHeight="false" outlineLevel="0" collapsed="false">
      <c r="B226" s="1" t="n">
        <v>225</v>
      </c>
      <c r="C226" s="2" t="n">
        <v>0.08612</v>
      </c>
    </row>
    <row r="227" customFormat="false" ht="13.8" hidden="false" customHeight="false" outlineLevel="0" collapsed="false">
      <c r="B227" s="1" t="n">
        <v>226</v>
      </c>
      <c r="C227" s="2" t="n">
        <v>0.097349375</v>
      </c>
    </row>
    <row r="228" customFormat="false" ht="13.8" hidden="false" customHeight="false" outlineLevel="0" collapsed="false">
      <c r="B228" s="1" t="n">
        <v>227</v>
      </c>
      <c r="C228" s="2" t="n">
        <v>0.10857875</v>
      </c>
    </row>
    <row r="229" customFormat="false" ht="13.8" hidden="false" customHeight="false" outlineLevel="0" collapsed="false">
      <c r="B229" s="1" t="n">
        <v>228</v>
      </c>
      <c r="C229" s="2" t="n">
        <v>0.119808125</v>
      </c>
    </row>
    <row r="230" customFormat="false" ht="13.8" hidden="false" customHeight="false" outlineLevel="0" collapsed="false">
      <c r="B230" s="1" t="n">
        <v>229</v>
      </c>
      <c r="C230" s="2" t="n">
        <v>0.1310375</v>
      </c>
    </row>
    <row r="231" customFormat="false" ht="13.8" hidden="false" customHeight="false" outlineLevel="0" collapsed="false">
      <c r="B231" s="1" t="n">
        <v>230</v>
      </c>
      <c r="C231" s="2" t="n">
        <v>0.138510625</v>
      </c>
    </row>
    <row r="232" customFormat="false" ht="13.8" hidden="false" customHeight="false" outlineLevel="0" collapsed="false">
      <c r="B232" s="1" t="n">
        <v>231</v>
      </c>
      <c r="C232" s="2" t="n">
        <v>0.14598375</v>
      </c>
    </row>
    <row r="233" customFormat="false" ht="13.8" hidden="false" customHeight="false" outlineLevel="0" collapsed="false">
      <c r="B233" s="1" t="n">
        <v>232</v>
      </c>
      <c r="C233" s="2" t="n">
        <v>0.153456875</v>
      </c>
    </row>
    <row r="234" customFormat="false" ht="13.8" hidden="false" customHeight="false" outlineLevel="0" collapsed="false">
      <c r="B234" s="1" t="n">
        <v>233</v>
      </c>
      <c r="C234" s="2" t="n">
        <v>0.16093</v>
      </c>
    </row>
    <row r="235" customFormat="false" ht="13.8" hidden="false" customHeight="false" outlineLevel="0" collapsed="false">
      <c r="B235" s="1" t="n">
        <v>234</v>
      </c>
      <c r="C235" s="2" t="n">
        <v>0.1652125</v>
      </c>
    </row>
    <row r="236" customFormat="false" ht="13.8" hidden="false" customHeight="false" outlineLevel="0" collapsed="false">
      <c r="B236" s="1" t="n">
        <v>235</v>
      </c>
      <c r="C236" s="2" t="n">
        <v>0.169495</v>
      </c>
    </row>
    <row r="237" customFormat="false" ht="13.8" hidden="false" customHeight="false" outlineLevel="0" collapsed="false">
      <c r="B237" s="1" t="n">
        <v>236</v>
      </c>
      <c r="C237" s="2" t="n">
        <v>0.1737775</v>
      </c>
    </row>
    <row r="238" customFormat="false" ht="13.8" hidden="false" customHeight="false" outlineLevel="0" collapsed="false">
      <c r="B238" s="1" t="n">
        <v>237</v>
      </c>
      <c r="C238" s="2" t="n">
        <v>0.17806</v>
      </c>
    </row>
    <row r="239" customFormat="false" ht="13.8" hidden="false" customHeight="false" outlineLevel="0" collapsed="false">
      <c r="B239" s="1" t="n">
        <v>238</v>
      </c>
      <c r="C239" s="2" t="n">
        <v>0.17883875</v>
      </c>
    </row>
    <row r="240" customFormat="false" ht="13.8" hidden="false" customHeight="false" outlineLevel="0" collapsed="false">
      <c r="B240" s="1" t="n">
        <v>239</v>
      </c>
      <c r="C240" s="2" t="n">
        <v>0.1796175</v>
      </c>
    </row>
    <row r="241" customFormat="false" ht="13.8" hidden="false" customHeight="false" outlineLevel="0" collapsed="false">
      <c r="B241" s="1" t="n">
        <v>240</v>
      </c>
      <c r="C241" s="2" t="n">
        <v>0.18039625</v>
      </c>
    </row>
    <row r="242" customFormat="false" ht="13.8" hidden="false" customHeight="false" outlineLevel="0" collapsed="false">
      <c r="B242" s="1" t="n">
        <v>241</v>
      </c>
      <c r="C242" s="2" t="n">
        <v>0.181175</v>
      </c>
    </row>
    <row r="243" customFormat="false" ht="13.8" hidden="false" customHeight="false" outlineLevel="0" collapsed="false">
      <c r="B243" s="1" t="n">
        <v>242</v>
      </c>
      <c r="C243" s="2" t="n">
        <v>0.178909375</v>
      </c>
    </row>
    <row r="244" customFormat="false" ht="13.8" hidden="false" customHeight="false" outlineLevel="0" collapsed="false">
      <c r="B244" s="1" t="n">
        <v>243</v>
      </c>
      <c r="C244" s="2" t="n">
        <v>0.17664375</v>
      </c>
    </row>
    <row r="245" customFormat="false" ht="13.8" hidden="false" customHeight="false" outlineLevel="0" collapsed="false">
      <c r="B245" s="1" t="n">
        <v>244</v>
      </c>
      <c r="C245" s="2" t="n">
        <v>0.174378125</v>
      </c>
    </row>
    <row r="246" customFormat="false" ht="13.8" hidden="false" customHeight="false" outlineLevel="0" collapsed="false">
      <c r="B246" s="1" t="n">
        <v>245</v>
      </c>
      <c r="C246" s="2" t="n">
        <v>0.1721125</v>
      </c>
    </row>
    <row r="247" customFormat="false" ht="13.8" hidden="false" customHeight="false" outlineLevel="0" collapsed="false">
      <c r="B247" s="1" t="n">
        <v>246</v>
      </c>
      <c r="C247" s="2" t="n">
        <v>0.166998125</v>
      </c>
    </row>
    <row r="248" customFormat="false" ht="13.8" hidden="false" customHeight="false" outlineLevel="0" collapsed="false">
      <c r="B248" s="1" t="n">
        <v>247</v>
      </c>
      <c r="C248" s="2" t="n">
        <v>0.16188375</v>
      </c>
    </row>
    <row r="249" customFormat="false" ht="13.8" hidden="false" customHeight="false" outlineLevel="0" collapsed="false">
      <c r="B249" s="1" t="n">
        <v>248</v>
      </c>
      <c r="C249" s="2" t="n">
        <v>0.156769375</v>
      </c>
    </row>
    <row r="250" customFormat="false" ht="13.8" hidden="false" customHeight="false" outlineLevel="0" collapsed="false">
      <c r="B250" s="1" t="n">
        <v>249</v>
      </c>
      <c r="C250" s="2" t="n">
        <v>0.151655</v>
      </c>
    </row>
    <row r="251" customFormat="false" ht="13.8" hidden="false" customHeight="false" outlineLevel="0" collapsed="false">
      <c r="B251" s="1" t="n">
        <v>250</v>
      </c>
      <c r="C251" s="2" t="n">
        <v>0.14261375</v>
      </c>
    </row>
    <row r="252" customFormat="false" ht="13.8" hidden="false" customHeight="false" outlineLevel="0" collapsed="false">
      <c r="B252" s="1" t="n">
        <v>251</v>
      </c>
      <c r="C252" s="2" t="n">
        <v>0.1335725</v>
      </c>
    </row>
    <row r="253" customFormat="false" ht="13.8" hidden="false" customHeight="false" outlineLevel="0" collapsed="false">
      <c r="B253" s="1" t="n">
        <v>252</v>
      </c>
      <c r="C253" s="2" t="n">
        <v>0.12453125</v>
      </c>
    </row>
    <row r="254" customFormat="false" ht="13.8" hidden="false" customHeight="false" outlineLevel="0" collapsed="false">
      <c r="B254" s="1" t="n">
        <v>253</v>
      </c>
      <c r="C254" s="2" t="n">
        <v>0.11549</v>
      </c>
    </row>
    <row r="255" customFormat="false" ht="13.8" hidden="false" customHeight="false" outlineLevel="0" collapsed="false">
      <c r="B255" s="1" t="n">
        <v>254</v>
      </c>
      <c r="C255" s="2" t="n">
        <v>0.090353125</v>
      </c>
    </row>
    <row r="256" customFormat="false" ht="13.8" hidden="false" customHeight="false" outlineLevel="0" collapsed="false">
      <c r="B256" s="1" t="n">
        <v>255</v>
      </c>
      <c r="C256" s="2" t="n">
        <v>0.06521625</v>
      </c>
    </row>
    <row r="257" customFormat="false" ht="13.8" hidden="false" customHeight="false" outlineLevel="0" collapsed="false">
      <c r="B257" s="1" t="n">
        <v>256</v>
      </c>
      <c r="C257" s="2" t="n">
        <v>0.040079375</v>
      </c>
    </row>
    <row r="258" customFormat="false" ht="13.8" hidden="false" customHeight="false" outlineLevel="0" collapsed="false">
      <c r="B258" s="1" t="n">
        <v>257</v>
      </c>
      <c r="C258" s="2" t="n">
        <v>0.0149425</v>
      </c>
    </row>
    <row r="259" customFormat="false" ht="13.8" hidden="false" customHeight="false" outlineLevel="0" collapsed="false">
      <c r="B259" s="1" t="n">
        <v>258</v>
      </c>
      <c r="C259" s="2" t="n">
        <v>0.01275375</v>
      </c>
    </row>
    <row r="260" customFormat="false" ht="13.8" hidden="false" customHeight="false" outlineLevel="0" collapsed="false">
      <c r="B260" s="1" t="n">
        <v>259</v>
      </c>
      <c r="C260" s="2" t="n">
        <v>0.010565</v>
      </c>
    </row>
    <row r="261" customFormat="false" ht="13.8" hidden="false" customHeight="false" outlineLevel="0" collapsed="false">
      <c r="B261" s="1" t="n">
        <v>260</v>
      </c>
      <c r="C261" s="2" t="n">
        <v>0.00837625</v>
      </c>
    </row>
    <row r="262" customFormat="false" ht="13.8" hidden="false" customHeight="false" outlineLevel="0" collapsed="false">
      <c r="B262" s="1" t="n">
        <v>261</v>
      </c>
      <c r="C262" s="2" t="n">
        <v>0.0061875</v>
      </c>
    </row>
    <row r="263" customFormat="false" ht="13.8" hidden="false" customHeight="false" outlineLevel="0" collapsed="false">
      <c r="B263" s="1" t="n">
        <v>262</v>
      </c>
      <c r="C263" s="2" t="n">
        <v>0.004640625</v>
      </c>
    </row>
    <row r="264" customFormat="false" ht="13.8" hidden="false" customHeight="false" outlineLevel="0" collapsed="false">
      <c r="B264" s="1" t="n">
        <v>263</v>
      </c>
      <c r="C264" s="2" t="n">
        <v>0.00309375</v>
      </c>
    </row>
    <row r="265" customFormat="false" ht="13.8" hidden="false" customHeight="false" outlineLevel="0" collapsed="false">
      <c r="B265" s="1" t="n">
        <v>264</v>
      </c>
      <c r="C265" s="2" t="n">
        <v>0.001546875</v>
      </c>
    </row>
    <row r="266" customFormat="false" ht="13.8" hidden="false" customHeight="false" outlineLevel="0" collapsed="false">
      <c r="B266" s="1" t="n">
        <v>265</v>
      </c>
      <c r="C266" s="2" t="n">
        <v>0</v>
      </c>
    </row>
    <row r="267" customFormat="false" ht="13.8" hidden="false" customHeight="false" outlineLevel="0" collapsed="false">
      <c r="B267" s="1" t="n">
        <v>266</v>
      </c>
      <c r="C267" s="2" t="n">
        <v>0</v>
      </c>
    </row>
    <row r="268" customFormat="false" ht="13.8" hidden="false" customHeight="false" outlineLevel="0" collapsed="false">
      <c r="B268" s="1" t="n">
        <v>267</v>
      </c>
      <c r="C268" s="2" t="n">
        <v>0</v>
      </c>
    </row>
    <row r="269" customFormat="false" ht="13.8" hidden="false" customHeight="false" outlineLevel="0" collapsed="false">
      <c r="B269" s="1" t="n">
        <v>268</v>
      </c>
      <c r="C269" s="2" t="n">
        <v>0</v>
      </c>
    </row>
    <row r="270" customFormat="false" ht="13.8" hidden="false" customHeight="false" outlineLevel="0" collapsed="false">
      <c r="B270" s="1" t="n">
        <v>269</v>
      </c>
      <c r="C270" s="2" t="n">
        <v>0</v>
      </c>
    </row>
    <row r="271" customFormat="false" ht="13.8" hidden="false" customHeight="false" outlineLevel="0" collapsed="false">
      <c r="B271" s="1" t="n">
        <v>270</v>
      </c>
      <c r="C271" s="2" t="n">
        <v>0</v>
      </c>
    </row>
    <row r="272" customFormat="false" ht="13.8" hidden="false" customHeight="false" outlineLevel="0" collapsed="false">
      <c r="B272" s="1" t="n">
        <v>271</v>
      </c>
      <c r="C272" s="2" t="n">
        <v>0</v>
      </c>
    </row>
    <row r="273" customFormat="false" ht="13.8" hidden="false" customHeight="false" outlineLevel="0" collapsed="false">
      <c r="B273" s="1" t="n">
        <v>272</v>
      </c>
      <c r="C273" s="2" t="n">
        <v>0</v>
      </c>
    </row>
    <row r="274" customFormat="false" ht="13.8" hidden="false" customHeight="false" outlineLevel="0" collapsed="false">
      <c r="B274" s="1" t="n">
        <v>273</v>
      </c>
      <c r="C274" s="2" t="n">
        <v>0</v>
      </c>
    </row>
    <row r="275" customFormat="false" ht="13.8" hidden="false" customHeight="false" outlineLevel="0" collapsed="false">
      <c r="B275" s="1" t="n">
        <v>274</v>
      </c>
      <c r="C275" s="2" t="n">
        <v>0</v>
      </c>
    </row>
    <row r="276" customFormat="false" ht="13.8" hidden="false" customHeight="false" outlineLevel="0" collapsed="false">
      <c r="B276" s="1" t="n">
        <v>275</v>
      </c>
      <c r="C276" s="2" t="n">
        <v>0</v>
      </c>
    </row>
    <row r="277" customFormat="false" ht="13.8" hidden="false" customHeight="false" outlineLevel="0" collapsed="false">
      <c r="B277" s="1" t="n">
        <v>276</v>
      </c>
      <c r="C277" s="2" t="n">
        <v>0</v>
      </c>
    </row>
    <row r="278" customFormat="false" ht="13.8" hidden="false" customHeight="false" outlineLevel="0" collapsed="false">
      <c r="B278" s="1" t="n">
        <v>277</v>
      </c>
      <c r="C278" s="2" t="n">
        <v>0</v>
      </c>
    </row>
    <row r="279" customFormat="false" ht="13.8" hidden="false" customHeight="false" outlineLevel="0" collapsed="false">
      <c r="B279" s="1" t="n">
        <v>278</v>
      </c>
      <c r="C279" s="2" t="n">
        <v>0</v>
      </c>
    </row>
    <row r="280" customFormat="false" ht="13.8" hidden="false" customHeight="false" outlineLevel="0" collapsed="false">
      <c r="B280" s="1" t="n">
        <v>279</v>
      </c>
      <c r="C280" s="2" t="n">
        <v>0</v>
      </c>
    </row>
    <row r="281" customFormat="false" ht="13.8" hidden="false" customHeight="false" outlineLevel="0" collapsed="false">
      <c r="B281" s="1" t="n">
        <v>280</v>
      </c>
      <c r="C281" s="2" t="n">
        <v>0</v>
      </c>
    </row>
    <row r="282" customFormat="false" ht="13.8" hidden="false" customHeight="false" outlineLevel="0" collapsed="false">
      <c r="B282" s="1" t="n">
        <v>281</v>
      </c>
      <c r="C282" s="2" t="n">
        <v>0</v>
      </c>
    </row>
    <row r="283" customFormat="false" ht="13.8" hidden="false" customHeight="false" outlineLevel="0" collapsed="false">
      <c r="B283" s="1" t="n">
        <v>282</v>
      </c>
      <c r="C283" s="2" t="n">
        <v>0</v>
      </c>
    </row>
    <row r="284" customFormat="false" ht="13.8" hidden="false" customHeight="false" outlineLevel="0" collapsed="false">
      <c r="B284" s="1" t="n">
        <v>283</v>
      </c>
      <c r="C284" s="2" t="n">
        <v>0</v>
      </c>
    </row>
    <row r="285" customFormat="false" ht="13.8" hidden="false" customHeight="false" outlineLevel="0" collapsed="false">
      <c r="B285" s="1" t="n">
        <v>284</v>
      </c>
      <c r="C285" s="2" t="n">
        <v>0</v>
      </c>
    </row>
    <row r="286" customFormat="false" ht="13.8" hidden="false" customHeight="false" outlineLevel="0" collapsed="false">
      <c r="B286" s="1" t="n">
        <v>285</v>
      </c>
      <c r="C286" s="2" t="n">
        <v>0</v>
      </c>
    </row>
    <row r="287" customFormat="false" ht="13.8" hidden="false" customHeight="false" outlineLevel="0" collapsed="false">
      <c r="B287" s="1" t="n">
        <v>286</v>
      </c>
      <c r="C287" s="2" t="n">
        <v>0</v>
      </c>
    </row>
    <row r="288" customFormat="false" ht="13.8" hidden="false" customHeight="false" outlineLevel="0" collapsed="false">
      <c r="B288" s="1" t="n">
        <v>287</v>
      </c>
      <c r="C288" s="2" t="n">
        <v>0</v>
      </c>
    </row>
    <row r="289" customFormat="false" ht="13.8" hidden="false" customHeight="false" outlineLevel="0" collapsed="false">
      <c r="B289" s="1" t="n">
        <v>288</v>
      </c>
      <c r="C289" s="2" t="n">
        <v>0</v>
      </c>
    </row>
    <row r="290" customFormat="false" ht="13.8" hidden="false" customHeight="false" outlineLevel="0" collapsed="false">
      <c r="B290" s="1" t="n">
        <v>289</v>
      </c>
      <c r="C290" s="2" t="n">
        <v>0</v>
      </c>
    </row>
    <row r="291" customFormat="false" ht="13.8" hidden="false" customHeight="false" outlineLevel="0" collapsed="false">
      <c r="B291" s="1" t="n">
        <v>290</v>
      </c>
      <c r="C291" s="2" t="n">
        <v>0</v>
      </c>
    </row>
    <row r="292" customFormat="false" ht="13.8" hidden="false" customHeight="false" outlineLevel="0" collapsed="false">
      <c r="B292" s="1" t="n">
        <v>291</v>
      </c>
      <c r="C292" s="2" t="n">
        <v>0</v>
      </c>
    </row>
    <row r="293" customFormat="false" ht="13.8" hidden="false" customHeight="false" outlineLevel="0" collapsed="false">
      <c r="B293" s="1" t="n">
        <v>292</v>
      </c>
      <c r="C293" s="2" t="n">
        <v>0</v>
      </c>
    </row>
    <row r="294" customFormat="false" ht="13.8" hidden="false" customHeight="false" outlineLevel="0" collapsed="false">
      <c r="B294" s="1" t="n">
        <v>293</v>
      </c>
      <c r="C294" s="2" t="n">
        <v>0</v>
      </c>
    </row>
    <row r="295" customFormat="false" ht="13.8" hidden="false" customHeight="false" outlineLevel="0" collapsed="false">
      <c r="B295" s="1" t="n">
        <v>294</v>
      </c>
      <c r="C295" s="2" t="n">
        <v>0</v>
      </c>
    </row>
    <row r="296" customFormat="false" ht="13.8" hidden="false" customHeight="false" outlineLevel="0" collapsed="false">
      <c r="B296" s="1" t="n">
        <v>295</v>
      </c>
      <c r="C296" s="2" t="n">
        <v>0</v>
      </c>
    </row>
    <row r="297" customFormat="false" ht="13.8" hidden="false" customHeight="false" outlineLevel="0" collapsed="false">
      <c r="B297" s="1" t="n">
        <v>296</v>
      </c>
      <c r="C297" s="2" t="n">
        <v>0</v>
      </c>
    </row>
    <row r="298" customFormat="false" ht="13.8" hidden="false" customHeight="false" outlineLevel="0" collapsed="false">
      <c r="B298" s="1" t="n">
        <v>297</v>
      </c>
      <c r="C298" s="2" t="n">
        <v>0</v>
      </c>
    </row>
    <row r="299" customFormat="false" ht="13.8" hidden="false" customHeight="false" outlineLevel="0" collapsed="false">
      <c r="B299" s="1" t="n">
        <v>298</v>
      </c>
      <c r="C299" s="2" t="n">
        <v>0</v>
      </c>
    </row>
    <row r="300" customFormat="false" ht="13.8" hidden="false" customHeight="false" outlineLevel="0" collapsed="false">
      <c r="B300" s="1" t="n">
        <v>299</v>
      </c>
      <c r="C300" s="2" t="n">
        <v>0</v>
      </c>
    </row>
    <row r="301" customFormat="false" ht="13.8" hidden="false" customHeight="false" outlineLevel="0" collapsed="false">
      <c r="B301" s="1" t="n">
        <v>300</v>
      </c>
      <c r="C301" s="2" t="n">
        <v>0</v>
      </c>
    </row>
    <row r="302" customFormat="false" ht="13.8" hidden="false" customHeight="false" outlineLevel="0" collapsed="false">
      <c r="B302" s="1" t="n">
        <v>301</v>
      </c>
      <c r="C302" s="2" t="n">
        <v>0</v>
      </c>
    </row>
    <row r="303" customFormat="false" ht="13.8" hidden="false" customHeight="false" outlineLevel="0" collapsed="false">
      <c r="B303" s="1" t="n">
        <v>302</v>
      </c>
      <c r="C303" s="2" t="n">
        <v>0</v>
      </c>
    </row>
    <row r="304" customFormat="false" ht="13.8" hidden="false" customHeight="false" outlineLevel="0" collapsed="false">
      <c r="B304" s="1" t="n">
        <v>303</v>
      </c>
      <c r="C304" s="2" t="n">
        <v>0</v>
      </c>
    </row>
    <row r="305" customFormat="false" ht="13.8" hidden="false" customHeight="false" outlineLevel="0" collapsed="false">
      <c r="B305" s="1" t="n">
        <v>304</v>
      </c>
      <c r="C305" s="2" t="n">
        <v>0</v>
      </c>
    </row>
    <row r="306" customFormat="false" ht="13.8" hidden="false" customHeight="false" outlineLevel="0" collapsed="false">
      <c r="B306" s="1" t="n">
        <v>305</v>
      </c>
      <c r="C306" s="2" t="n">
        <v>0</v>
      </c>
    </row>
    <row r="307" customFormat="false" ht="13.8" hidden="false" customHeight="false" outlineLevel="0" collapsed="false">
      <c r="B307" s="1" t="n">
        <v>306</v>
      </c>
      <c r="C307" s="2" t="n">
        <v>0</v>
      </c>
    </row>
    <row r="308" customFormat="false" ht="13.8" hidden="false" customHeight="false" outlineLevel="0" collapsed="false">
      <c r="B308" s="1" t="n">
        <v>307</v>
      </c>
      <c r="C308" s="2" t="n">
        <v>0</v>
      </c>
    </row>
    <row r="309" customFormat="false" ht="13.8" hidden="false" customHeight="false" outlineLevel="0" collapsed="false">
      <c r="B309" s="1" t="n">
        <v>308</v>
      </c>
      <c r="C309" s="2" t="n">
        <v>0</v>
      </c>
    </row>
    <row r="310" customFormat="false" ht="13.8" hidden="false" customHeight="false" outlineLevel="0" collapsed="false">
      <c r="B310" s="1" t="n">
        <v>309</v>
      </c>
      <c r="C310" s="2" t="n">
        <v>0</v>
      </c>
    </row>
    <row r="311" customFormat="false" ht="13.8" hidden="false" customHeight="false" outlineLevel="0" collapsed="false">
      <c r="B311" s="1" t="n">
        <v>310</v>
      </c>
      <c r="C311" s="2" t="n">
        <v>0.001955</v>
      </c>
    </row>
    <row r="312" customFormat="false" ht="13.8" hidden="false" customHeight="false" outlineLevel="0" collapsed="false">
      <c r="B312" s="1" t="n">
        <v>311</v>
      </c>
      <c r="C312" s="2" t="n">
        <v>0.00391</v>
      </c>
    </row>
    <row r="313" customFormat="false" ht="13.8" hidden="false" customHeight="false" outlineLevel="0" collapsed="false">
      <c r="B313" s="1" t="n">
        <v>312</v>
      </c>
      <c r="C313" s="2" t="n">
        <v>0.005865</v>
      </c>
    </row>
    <row r="314" customFormat="false" ht="13.8" hidden="false" customHeight="false" outlineLevel="0" collapsed="false">
      <c r="B314" s="1" t="n">
        <v>313</v>
      </c>
      <c r="C314" s="2" t="n">
        <v>0.00782</v>
      </c>
    </row>
    <row r="315" customFormat="false" ht="13.8" hidden="false" customHeight="false" outlineLevel="0" collapsed="false">
      <c r="B315" s="1" t="n">
        <v>314</v>
      </c>
      <c r="C315" s="2" t="n">
        <v>0.014230625</v>
      </c>
    </row>
    <row r="316" customFormat="false" ht="13.8" hidden="false" customHeight="false" outlineLevel="0" collapsed="false">
      <c r="B316" s="1" t="n">
        <v>315</v>
      </c>
      <c r="C316" s="2" t="n">
        <v>0.02064125</v>
      </c>
    </row>
    <row r="317" customFormat="false" ht="13.8" hidden="false" customHeight="false" outlineLevel="0" collapsed="false">
      <c r="B317" s="1" t="n">
        <v>316</v>
      </c>
      <c r="C317" s="2" t="n">
        <v>0.027051875</v>
      </c>
    </row>
    <row r="318" customFormat="false" ht="13.8" hidden="false" customHeight="false" outlineLevel="0" collapsed="false">
      <c r="B318" s="1" t="n">
        <v>317</v>
      </c>
      <c r="C318" s="2" t="n">
        <v>0.0334625</v>
      </c>
    </row>
    <row r="319" customFormat="false" ht="13.8" hidden="false" customHeight="false" outlineLevel="0" collapsed="false">
      <c r="B319" s="1" t="n">
        <v>318</v>
      </c>
      <c r="C319" s="2" t="n">
        <v>0.04670625</v>
      </c>
    </row>
    <row r="320" customFormat="false" ht="13.8" hidden="false" customHeight="false" outlineLevel="0" collapsed="false">
      <c r="B320" s="1" t="n">
        <v>319</v>
      </c>
      <c r="C320" s="2" t="n">
        <v>0.05995</v>
      </c>
    </row>
    <row r="321" customFormat="false" ht="13.8" hidden="false" customHeight="false" outlineLevel="0" collapsed="false">
      <c r="B321" s="1" t="n">
        <v>320</v>
      </c>
      <c r="C321" s="2" t="n">
        <v>0.07319375</v>
      </c>
    </row>
    <row r="322" customFormat="false" ht="13.8" hidden="false" customHeight="false" outlineLevel="0" collapsed="false">
      <c r="B322" s="1" t="n">
        <v>321</v>
      </c>
      <c r="C322" s="2" t="n">
        <v>0.0864375</v>
      </c>
    </row>
    <row r="323" customFormat="false" ht="13.8" hidden="false" customHeight="false" outlineLevel="0" collapsed="false">
      <c r="B323" s="1" t="n">
        <v>322</v>
      </c>
      <c r="C323" s="2" t="n">
        <v>0.09504375</v>
      </c>
    </row>
    <row r="324" customFormat="false" ht="13.8" hidden="false" customHeight="false" outlineLevel="0" collapsed="false">
      <c r="B324" s="1" t="n">
        <v>323</v>
      </c>
      <c r="C324" s="2" t="n">
        <v>0.10365</v>
      </c>
    </row>
    <row r="325" customFormat="false" ht="13.8" hidden="false" customHeight="false" outlineLevel="0" collapsed="false">
      <c r="B325" s="1" t="n">
        <v>324</v>
      </c>
      <c r="C325" s="2" t="n">
        <v>0.11225625</v>
      </c>
    </row>
    <row r="326" customFormat="false" ht="13.8" hidden="false" customHeight="false" outlineLevel="0" collapsed="false">
      <c r="B326" s="1" t="n">
        <v>325</v>
      </c>
      <c r="C326" s="2" t="n">
        <v>0.1208625</v>
      </c>
    </row>
    <row r="327" customFormat="false" ht="13.8" hidden="false" customHeight="false" outlineLevel="0" collapsed="false">
      <c r="B327" s="1" t="n">
        <v>326</v>
      </c>
      <c r="C327" s="2" t="n">
        <v>0.130099375</v>
      </c>
    </row>
    <row r="328" customFormat="false" ht="13.8" hidden="false" customHeight="false" outlineLevel="0" collapsed="false">
      <c r="B328" s="1" t="n">
        <v>327</v>
      </c>
      <c r="C328" s="2" t="n">
        <v>0.13933625</v>
      </c>
    </row>
    <row r="329" customFormat="false" ht="13.8" hidden="false" customHeight="false" outlineLevel="0" collapsed="false">
      <c r="B329" s="1" t="n">
        <v>328</v>
      </c>
      <c r="C329" s="2" t="n">
        <v>0.148573125</v>
      </c>
    </row>
    <row r="330" customFormat="false" ht="13.8" hidden="false" customHeight="false" outlineLevel="0" collapsed="false">
      <c r="B330" s="1" t="n">
        <v>329</v>
      </c>
      <c r="C330" s="2" t="n">
        <v>0.15781</v>
      </c>
    </row>
    <row r="331" customFormat="false" ht="13.8" hidden="false" customHeight="false" outlineLevel="0" collapsed="false">
      <c r="B331" s="1" t="n">
        <v>330</v>
      </c>
      <c r="C331" s="2" t="n">
        <v>0.159374375</v>
      </c>
    </row>
    <row r="332" customFormat="false" ht="13.8" hidden="false" customHeight="false" outlineLevel="0" collapsed="false">
      <c r="B332" s="1" t="n">
        <v>331</v>
      </c>
      <c r="C332" s="2" t="n">
        <v>0.16093875</v>
      </c>
    </row>
    <row r="333" customFormat="false" ht="13.8" hidden="false" customHeight="false" outlineLevel="0" collapsed="false">
      <c r="B333" s="1" t="n">
        <v>332</v>
      </c>
      <c r="C333" s="2" t="n">
        <v>0.162503125</v>
      </c>
    </row>
    <row r="334" customFormat="false" ht="13.8" hidden="false" customHeight="false" outlineLevel="0" collapsed="false">
      <c r="B334" s="1" t="n">
        <v>333</v>
      </c>
      <c r="C334" s="2" t="n">
        <v>0.1640675</v>
      </c>
    </row>
    <row r="335" customFormat="false" ht="13.8" hidden="false" customHeight="false" outlineLevel="0" collapsed="false">
      <c r="B335" s="1" t="n">
        <v>334</v>
      </c>
      <c r="C335" s="2" t="n">
        <v>0.16484125</v>
      </c>
    </row>
    <row r="336" customFormat="false" ht="13.8" hidden="false" customHeight="false" outlineLevel="0" collapsed="false">
      <c r="B336" s="1" t="n">
        <v>335</v>
      </c>
      <c r="C336" s="2" t="n">
        <v>0.165615</v>
      </c>
    </row>
    <row r="337" customFormat="false" ht="13.8" hidden="false" customHeight="false" outlineLevel="0" collapsed="false">
      <c r="B337" s="1" t="n">
        <v>336</v>
      </c>
      <c r="C337" s="2" t="n">
        <v>0.16638875</v>
      </c>
    </row>
    <row r="338" customFormat="false" ht="13.8" hidden="false" customHeight="false" outlineLevel="0" collapsed="false">
      <c r="B338" s="1" t="n">
        <v>337</v>
      </c>
      <c r="C338" s="2" t="n">
        <v>0.1671625</v>
      </c>
    </row>
    <row r="339" customFormat="false" ht="13.8" hidden="false" customHeight="false" outlineLevel="0" collapsed="false">
      <c r="B339" s="1" t="n">
        <v>338</v>
      </c>
      <c r="C339" s="2" t="n">
        <v>0.16444125</v>
      </c>
    </row>
    <row r="340" customFormat="false" ht="13.8" hidden="false" customHeight="false" outlineLevel="0" collapsed="false">
      <c r="B340" s="1" t="n">
        <v>339</v>
      </c>
      <c r="C340" s="2" t="n">
        <v>0.16172</v>
      </c>
    </row>
    <row r="341" customFormat="false" ht="13.8" hidden="false" customHeight="false" outlineLevel="0" collapsed="false">
      <c r="B341" s="1" t="n">
        <v>340</v>
      </c>
      <c r="C341" s="2" t="n">
        <v>0.15899875</v>
      </c>
    </row>
    <row r="342" customFormat="false" ht="13.8" hidden="false" customHeight="false" outlineLevel="0" collapsed="false">
      <c r="B342" s="1" t="n">
        <v>341</v>
      </c>
      <c r="C342" s="2" t="n">
        <v>0.1562775</v>
      </c>
    </row>
    <row r="343" customFormat="false" ht="13.8" hidden="false" customHeight="false" outlineLevel="0" collapsed="false">
      <c r="B343" s="1" t="n">
        <v>342</v>
      </c>
      <c r="C343" s="2" t="n">
        <v>0.1407975</v>
      </c>
    </row>
    <row r="344" customFormat="false" ht="13.8" hidden="false" customHeight="false" outlineLevel="0" collapsed="false">
      <c r="B344" s="1" t="n">
        <v>343</v>
      </c>
      <c r="C344" s="2" t="n">
        <v>0.1253175</v>
      </c>
    </row>
    <row r="345" customFormat="false" ht="13.8" hidden="false" customHeight="false" outlineLevel="0" collapsed="false">
      <c r="B345" s="1" t="n">
        <v>344</v>
      </c>
      <c r="C345" s="2" t="n">
        <v>0.1098375</v>
      </c>
    </row>
    <row r="346" customFormat="false" ht="13.8" hidden="false" customHeight="false" outlineLevel="0" collapsed="false">
      <c r="B346" s="1" t="n">
        <v>345</v>
      </c>
      <c r="C346" s="2" t="n">
        <v>0.0943575</v>
      </c>
    </row>
    <row r="347" customFormat="false" ht="13.8" hidden="false" customHeight="false" outlineLevel="0" collapsed="false">
      <c r="B347" s="1" t="n">
        <v>346</v>
      </c>
      <c r="C347" s="2" t="n">
        <v>0.0870375</v>
      </c>
    </row>
    <row r="348" customFormat="false" ht="13.8" hidden="false" customHeight="false" outlineLevel="0" collapsed="false">
      <c r="B348" s="1" t="n">
        <v>347</v>
      </c>
      <c r="C348" s="2" t="n">
        <v>0.0797175</v>
      </c>
    </row>
    <row r="349" customFormat="false" ht="13.8" hidden="false" customHeight="false" outlineLevel="0" collapsed="false">
      <c r="B349" s="1" t="n">
        <v>348</v>
      </c>
      <c r="C349" s="2" t="n">
        <v>0.0723975</v>
      </c>
    </row>
    <row r="350" customFormat="false" ht="13.8" hidden="false" customHeight="false" outlineLevel="0" collapsed="false">
      <c r="B350" s="1" t="n">
        <v>349</v>
      </c>
      <c r="C350" s="2" t="n">
        <v>0.0650775</v>
      </c>
    </row>
    <row r="351" customFormat="false" ht="13.8" hidden="false" customHeight="false" outlineLevel="0" collapsed="false">
      <c r="B351" s="1" t="n">
        <v>350</v>
      </c>
      <c r="C351" s="2" t="n">
        <v>0.052574375</v>
      </c>
    </row>
    <row r="352" customFormat="false" ht="13.8" hidden="false" customHeight="false" outlineLevel="0" collapsed="false">
      <c r="B352" s="1" t="n">
        <v>351</v>
      </c>
      <c r="C352" s="2" t="n">
        <v>0.04007125</v>
      </c>
    </row>
    <row r="353" customFormat="false" ht="13.8" hidden="false" customHeight="false" outlineLevel="0" collapsed="false">
      <c r="B353" s="1" t="n">
        <v>352</v>
      </c>
      <c r="C353" s="2" t="n">
        <v>0.027568125</v>
      </c>
    </row>
    <row r="354" customFormat="false" ht="13.8" hidden="false" customHeight="false" outlineLevel="0" collapsed="false">
      <c r="B354" s="1" t="n">
        <v>353</v>
      </c>
      <c r="C354" s="2" t="n">
        <v>0.015065</v>
      </c>
    </row>
    <row r="355" customFormat="false" ht="13.8" hidden="false" customHeight="false" outlineLevel="0" collapsed="false">
      <c r="B355" s="1" t="n">
        <v>354</v>
      </c>
      <c r="C355" s="2" t="n">
        <v>0.012766875</v>
      </c>
    </row>
    <row r="356" customFormat="false" ht="13.8" hidden="false" customHeight="false" outlineLevel="0" collapsed="false">
      <c r="B356" s="1" t="n">
        <v>355</v>
      </c>
      <c r="C356" s="2" t="n">
        <v>0.01046875</v>
      </c>
    </row>
    <row r="357" customFormat="false" ht="13.8" hidden="false" customHeight="false" outlineLevel="0" collapsed="false">
      <c r="B357" s="1" t="n">
        <v>356</v>
      </c>
      <c r="C357" s="2" t="n">
        <v>0.008170625</v>
      </c>
    </row>
    <row r="358" customFormat="false" ht="13.8" hidden="false" customHeight="false" outlineLevel="0" collapsed="false">
      <c r="B358" s="1" t="n">
        <v>357</v>
      </c>
      <c r="C358" s="2" t="n">
        <v>0.0058725</v>
      </c>
    </row>
    <row r="359" customFormat="false" ht="13.8" hidden="false" customHeight="false" outlineLevel="0" collapsed="false">
      <c r="B359" s="1" t="n">
        <v>358</v>
      </c>
      <c r="C359" s="2" t="n">
        <v>0.004404375</v>
      </c>
    </row>
    <row r="360" customFormat="false" ht="13.8" hidden="false" customHeight="false" outlineLevel="0" collapsed="false">
      <c r="B360" s="1" t="n">
        <v>359</v>
      </c>
      <c r="C360" s="2" t="n">
        <v>0.00293625</v>
      </c>
    </row>
    <row r="361" customFormat="false" ht="13.8" hidden="false" customHeight="false" outlineLevel="0" collapsed="false">
      <c r="B361" s="1" t="n">
        <v>360</v>
      </c>
      <c r="C361" s="2" t="n">
        <v>0.001468125</v>
      </c>
    </row>
    <row r="362" customFormat="false" ht="13.8" hidden="false" customHeight="false" outlineLevel="0" collapsed="false">
      <c r="B362" s="1" t="n">
        <v>361</v>
      </c>
      <c r="C362" s="2" t="n">
        <v>0</v>
      </c>
    </row>
    <row r="363" customFormat="false" ht="13.8" hidden="false" customHeight="false" outlineLevel="0" collapsed="false">
      <c r="B363" s="1" t="n">
        <v>362</v>
      </c>
      <c r="C363" s="2" t="n">
        <v>0</v>
      </c>
    </row>
    <row r="364" customFormat="false" ht="13.8" hidden="false" customHeight="false" outlineLevel="0" collapsed="false">
      <c r="B364" s="1" t="n">
        <v>363</v>
      </c>
      <c r="C364" s="2" t="n">
        <v>0</v>
      </c>
    </row>
    <row r="365" customFormat="false" ht="13.8" hidden="false" customHeight="false" outlineLevel="0" collapsed="false">
      <c r="B365" s="1" t="n">
        <v>364</v>
      </c>
      <c r="C365" s="2" t="n">
        <v>0</v>
      </c>
    </row>
    <row r="366" customFormat="false" ht="13.8" hidden="false" customHeight="false" outlineLevel="0" collapsed="false">
      <c r="B366" s="1" t="n">
        <v>365</v>
      </c>
      <c r="C366" s="2" t="n">
        <v>0</v>
      </c>
    </row>
    <row r="367" customFormat="false" ht="13.8" hidden="false" customHeight="false" outlineLevel="0" collapsed="false">
      <c r="B367" s="1" t="n">
        <v>366</v>
      </c>
      <c r="C367" s="2" t="n">
        <v>0</v>
      </c>
    </row>
    <row r="368" customFormat="false" ht="13.8" hidden="false" customHeight="false" outlineLevel="0" collapsed="false">
      <c r="B368" s="1" t="n">
        <v>367</v>
      </c>
      <c r="C368" s="2" t="n">
        <v>0</v>
      </c>
    </row>
    <row r="369" customFormat="false" ht="13.8" hidden="false" customHeight="false" outlineLevel="0" collapsed="false">
      <c r="B369" s="1" t="n">
        <v>368</v>
      </c>
      <c r="C369" s="2" t="n">
        <v>0</v>
      </c>
    </row>
    <row r="370" customFormat="false" ht="13.8" hidden="false" customHeight="false" outlineLevel="0" collapsed="false">
      <c r="B370" s="1" t="n">
        <v>369</v>
      </c>
      <c r="C370" s="2" t="n">
        <v>0</v>
      </c>
    </row>
    <row r="371" customFormat="false" ht="13.8" hidden="false" customHeight="false" outlineLevel="0" collapsed="false">
      <c r="B371" s="1" t="n">
        <v>370</v>
      </c>
      <c r="C371" s="2" t="n">
        <v>0</v>
      </c>
    </row>
    <row r="372" customFormat="false" ht="13.8" hidden="false" customHeight="false" outlineLevel="0" collapsed="false">
      <c r="B372" s="1" t="n">
        <v>371</v>
      </c>
      <c r="C372" s="2" t="n">
        <v>0</v>
      </c>
    </row>
    <row r="373" customFormat="false" ht="13.8" hidden="false" customHeight="false" outlineLevel="0" collapsed="false">
      <c r="B373" s="1" t="n">
        <v>372</v>
      </c>
      <c r="C373" s="2" t="n">
        <v>0</v>
      </c>
    </row>
    <row r="374" customFormat="false" ht="13.8" hidden="false" customHeight="false" outlineLevel="0" collapsed="false">
      <c r="B374" s="1" t="n">
        <v>373</v>
      </c>
      <c r="C374" s="2" t="n">
        <v>0</v>
      </c>
    </row>
    <row r="375" customFormat="false" ht="13.8" hidden="false" customHeight="false" outlineLevel="0" collapsed="false">
      <c r="B375" s="1" t="n">
        <v>374</v>
      </c>
      <c r="C375" s="2" t="n">
        <v>0</v>
      </c>
    </row>
    <row r="376" customFormat="false" ht="13.8" hidden="false" customHeight="false" outlineLevel="0" collapsed="false">
      <c r="B376" s="1" t="n">
        <v>375</v>
      </c>
      <c r="C376" s="2" t="n">
        <v>0</v>
      </c>
    </row>
    <row r="377" customFormat="false" ht="13.8" hidden="false" customHeight="false" outlineLevel="0" collapsed="false">
      <c r="B377" s="1" t="n">
        <v>376</v>
      </c>
      <c r="C377" s="2" t="n">
        <v>0</v>
      </c>
    </row>
    <row r="378" customFormat="false" ht="13.8" hidden="false" customHeight="false" outlineLevel="0" collapsed="false">
      <c r="B378" s="1" t="n">
        <v>377</v>
      </c>
      <c r="C378" s="2" t="n">
        <v>0</v>
      </c>
    </row>
    <row r="379" customFormat="false" ht="13.8" hidden="false" customHeight="false" outlineLevel="0" collapsed="false">
      <c r="B379" s="1" t="n">
        <v>378</v>
      </c>
      <c r="C379" s="2" t="n">
        <v>0</v>
      </c>
    </row>
    <row r="380" customFormat="false" ht="13.8" hidden="false" customHeight="false" outlineLevel="0" collapsed="false">
      <c r="B380" s="1" t="n">
        <v>379</v>
      </c>
      <c r="C380" s="2" t="n">
        <v>0</v>
      </c>
    </row>
    <row r="381" customFormat="false" ht="13.8" hidden="false" customHeight="false" outlineLevel="0" collapsed="false">
      <c r="B381" s="1" t="n">
        <v>380</v>
      </c>
      <c r="C381" s="2" t="n">
        <v>0</v>
      </c>
    </row>
    <row r="382" customFormat="false" ht="13.8" hidden="false" customHeight="false" outlineLevel="0" collapsed="false">
      <c r="B382" s="1" t="n">
        <v>381</v>
      </c>
      <c r="C382" s="2" t="n">
        <v>0</v>
      </c>
    </row>
    <row r="383" customFormat="false" ht="13.8" hidden="false" customHeight="false" outlineLevel="0" collapsed="false">
      <c r="B383" s="1" t="n">
        <v>382</v>
      </c>
      <c r="C383" s="2" t="n">
        <v>0</v>
      </c>
    </row>
    <row r="384" customFormat="false" ht="13.8" hidden="false" customHeight="false" outlineLevel="0" collapsed="false">
      <c r="B384" s="1" t="n">
        <v>383</v>
      </c>
      <c r="C384" s="2" t="n">
        <v>0</v>
      </c>
    </row>
    <row r="385" customFormat="false" ht="13.8" hidden="false" customHeight="false" outlineLevel="0" collapsed="false">
      <c r="B385" s="1" t="n">
        <v>384</v>
      </c>
      <c r="C385" s="2" t="n">
        <v>0</v>
      </c>
    </row>
    <row r="386" customFormat="false" ht="13.8" hidden="false" customHeight="false" outlineLevel="0" collapsed="false">
      <c r="B386" s="1" t="n">
        <v>385</v>
      </c>
      <c r="C386" s="2" t="n">
        <v>0</v>
      </c>
    </row>
    <row r="387" customFormat="false" ht="13.8" hidden="false" customHeight="false" outlineLevel="0" collapsed="false">
      <c r="B387" s="1" t="n">
        <v>386</v>
      </c>
      <c r="C387" s="2" t="n">
        <v>0</v>
      </c>
    </row>
    <row r="388" customFormat="false" ht="13.8" hidden="false" customHeight="false" outlineLevel="0" collapsed="false">
      <c r="B388" s="1" t="n">
        <v>387</v>
      </c>
      <c r="C388" s="2" t="n">
        <v>0</v>
      </c>
    </row>
    <row r="389" customFormat="false" ht="13.8" hidden="false" customHeight="false" outlineLevel="0" collapsed="false">
      <c r="B389" s="1" t="n">
        <v>388</v>
      </c>
      <c r="C389" s="2" t="n">
        <v>0</v>
      </c>
    </row>
    <row r="390" customFormat="false" ht="13.8" hidden="false" customHeight="false" outlineLevel="0" collapsed="false">
      <c r="B390" s="1" t="n">
        <v>389</v>
      </c>
      <c r="C390" s="2" t="n">
        <v>0</v>
      </c>
    </row>
    <row r="391" customFormat="false" ht="13.8" hidden="false" customHeight="false" outlineLevel="0" collapsed="false">
      <c r="B391" s="1" t="n">
        <v>390</v>
      </c>
      <c r="C391" s="2" t="n">
        <v>0</v>
      </c>
    </row>
    <row r="392" customFormat="false" ht="13.8" hidden="false" customHeight="false" outlineLevel="0" collapsed="false">
      <c r="B392" s="1" t="n">
        <v>391</v>
      </c>
      <c r="C392" s="2" t="n">
        <v>0</v>
      </c>
    </row>
    <row r="393" customFormat="false" ht="13.8" hidden="false" customHeight="false" outlineLevel="0" collapsed="false">
      <c r="B393" s="1" t="n">
        <v>392</v>
      </c>
      <c r="C393" s="2" t="n">
        <v>0</v>
      </c>
    </row>
    <row r="394" customFormat="false" ht="13.8" hidden="false" customHeight="false" outlineLevel="0" collapsed="false">
      <c r="B394" s="1" t="n">
        <v>393</v>
      </c>
      <c r="C394" s="2" t="n">
        <v>0</v>
      </c>
    </row>
    <row r="395" customFormat="false" ht="13.8" hidden="false" customHeight="false" outlineLevel="0" collapsed="false">
      <c r="B395" s="1" t="n">
        <v>394</v>
      </c>
      <c r="C395" s="2" t="n">
        <v>0</v>
      </c>
    </row>
    <row r="396" customFormat="false" ht="13.8" hidden="false" customHeight="false" outlineLevel="0" collapsed="false">
      <c r="B396" s="1" t="n">
        <v>395</v>
      </c>
      <c r="C396" s="2" t="n">
        <v>0</v>
      </c>
    </row>
    <row r="397" customFormat="false" ht="13.8" hidden="false" customHeight="false" outlineLevel="0" collapsed="false">
      <c r="B397" s="1" t="n">
        <v>396</v>
      </c>
      <c r="C397" s="2" t="n">
        <v>0</v>
      </c>
    </row>
    <row r="398" customFormat="false" ht="13.8" hidden="false" customHeight="false" outlineLevel="0" collapsed="false">
      <c r="B398" s="1" t="n">
        <v>397</v>
      </c>
      <c r="C398" s="2" t="n">
        <v>0</v>
      </c>
    </row>
    <row r="399" customFormat="false" ht="13.8" hidden="false" customHeight="false" outlineLevel="0" collapsed="false">
      <c r="B399" s="1" t="n">
        <v>398</v>
      </c>
      <c r="C399" s="2" t="n">
        <v>0</v>
      </c>
    </row>
    <row r="400" customFormat="false" ht="13.8" hidden="false" customHeight="false" outlineLevel="0" collapsed="false">
      <c r="B400" s="1" t="n">
        <v>399</v>
      </c>
      <c r="C400" s="2" t="n">
        <v>0</v>
      </c>
    </row>
    <row r="401" customFormat="false" ht="13.8" hidden="false" customHeight="false" outlineLevel="0" collapsed="false">
      <c r="B401" s="1" t="n">
        <v>400</v>
      </c>
      <c r="C401" s="2" t="n">
        <v>0</v>
      </c>
    </row>
    <row r="402" customFormat="false" ht="13.8" hidden="false" customHeight="false" outlineLevel="0" collapsed="false">
      <c r="B402" s="1" t="n">
        <v>401</v>
      </c>
      <c r="C402" s="2" t="n">
        <v>0</v>
      </c>
    </row>
    <row r="403" customFormat="false" ht="13.8" hidden="false" customHeight="false" outlineLevel="0" collapsed="false">
      <c r="B403" s="1" t="n">
        <v>402</v>
      </c>
      <c r="C403" s="2" t="n">
        <v>0</v>
      </c>
    </row>
    <row r="404" customFormat="false" ht="13.8" hidden="false" customHeight="false" outlineLevel="0" collapsed="false">
      <c r="B404" s="1" t="n">
        <v>403</v>
      </c>
      <c r="C404" s="2" t="n">
        <v>0</v>
      </c>
    </row>
    <row r="405" customFormat="false" ht="13.8" hidden="false" customHeight="false" outlineLevel="0" collapsed="false">
      <c r="B405" s="1" t="n">
        <v>404</v>
      </c>
      <c r="C405" s="2" t="n">
        <v>0</v>
      </c>
    </row>
    <row r="406" customFormat="false" ht="13.8" hidden="false" customHeight="false" outlineLevel="0" collapsed="false">
      <c r="B406" s="1" t="n">
        <v>405</v>
      </c>
      <c r="C406" s="2" t="n">
        <v>0</v>
      </c>
    </row>
    <row r="407" customFormat="false" ht="13.8" hidden="false" customHeight="false" outlineLevel="0" collapsed="false">
      <c r="B407" s="1" t="n">
        <v>406</v>
      </c>
      <c r="C407" s="2" t="n">
        <v>0.001686875</v>
      </c>
    </row>
    <row r="408" customFormat="false" ht="13.8" hidden="false" customHeight="false" outlineLevel="0" collapsed="false">
      <c r="B408" s="1" t="n">
        <v>407</v>
      </c>
      <c r="C408" s="2" t="n">
        <v>0.00337375</v>
      </c>
    </row>
    <row r="409" customFormat="false" ht="13.8" hidden="false" customHeight="false" outlineLevel="0" collapsed="false">
      <c r="B409" s="1" t="n">
        <v>408</v>
      </c>
      <c r="C409" s="2" t="n">
        <v>0.005060625</v>
      </c>
    </row>
    <row r="410" customFormat="false" ht="13.8" hidden="false" customHeight="false" outlineLevel="0" collapsed="false">
      <c r="B410" s="1" t="n">
        <v>409</v>
      </c>
      <c r="C410" s="2" t="n">
        <v>0.0067475</v>
      </c>
    </row>
    <row r="411" customFormat="false" ht="13.8" hidden="false" customHeight="false" outlineLevel="0" collapsed="false">
      <c r="B411" s="1" t="n">
        <v>410</v>
      </c>
      <c r="C411" s="2" t="n">
        <v>0.01373625</v>
      </c>
    </row>
    <row r="412" customFormat="false" ht="13.8" hidden="false" customHeight="false" outlineLevel="0" collapsed="false">
      <c r="B412" s="1" t="n">
        <v>411</v>
      </c>
      <c r="C412" s="2" t="n">
        <v>0.020725</v>
      </c>
    </row>
    <row r="413" customFormat="false" ht="13.8" hidden="false" customHeight="false" outlineLevel="0" collapsed="false">
      <c r="B413" s="1" t="n">
        <v>412</v>
      </c>
      <c r="C413" s="2" t="n">
        <v>0.02771375</v>
      </c>
    </row>
    <row r="414" customFormat="false" ht="13.8" hidden="false" customHeight="false" outlineLevel="0" collapsed="false">
      <c r="B414" s="1" t="n">
        <v>413</v>
      </c>
      <c r="C414" s="2" t="n">
        <v>0.0347025</v>
      </c>
    </row>
    <row r="415" customFormat="false" ht="13.8" hidden="false" customHeight="false" outlineLevel="0" collapsed="false">
      <c r="B415" s="1" t="n">
        <v>414</v>
      </c>
      <c r="C415" s="2" t="n">
        <v>0.04805125</v>
      </c>
    </row>
    <row r="416" customFormat="false" ht="13.8" hidden="false" customHeight="false" outlineLevel="0" collapsed="false">
      <c r="B416" s="1" t="n">
        <v>415</v>
      </c>
      <c r="C416" s="2" t="n">
        <v>0.0614</v>
      </c>
    </row>
    <row r="417" customFormat="false" ht="13.8" hidden="false" customHeight="false" outlineLevel="0" collapsed="false">
      <c r="B417" s="1" t="n">
        <v>416</v>
      </c>
      <c r="C417" s="2" t="n">
        <v>0.07474875</v>
      </c>
    </row>
    <row r="418" customFormat="false" ht="13.8" hidden="false" customHeight="false" outlineLevel="0" collapsed="false">
      <c r="B418" s="1" t="n">
        <v>417</v>
      </c>
      <c r="C418" s="2" t="n">
        <v>0.0880975</v>
      </c>
    </row>
    <row r="419" customFormat="false" ht="13.8" hidden="false" customHeight="false" outlineLevel="0" collapsed="false">
      <c r="B419" s="1" t="n">
        <v>418</v>
      </c>
      <c r="C419" s="2" t="n">
        <v>0.097803125</v>
      </c>
    </row>
    <row r="420" customFormat="false" ht="13.8" hidden="false" customHeight="false" outlineLevel="0" collapsed="false">
      <c r="B420" s="1" t="n">
        <v>419</v>
      </c>
      <c r="C420" s="2" t="n">
        <v>0.10750875</v>
      </c>
    </row>
    <row r="421" customFormat="false" ht="13.8" hidden="false" customHeight="false" outlineLevel="0" collapsed="false">
      <c r="B421" s="1" t="n">
        <v>420</v>
      </c>
      <c r="C421" s="2" t="n">
        <v>0.117214375</v>
      </c>
    </row>
    <row r="422" customFormat="false" ht="13.8" hidden="false" customHeight="false" outlineLevel="0" collapsed="false">
      <c r="B422" s="1" t="n">
        <v>421</v>
      </c>
      <c r="C422" s="2" t="n">
        <v>0.12692</v>
      </c>
    </row>
    <row r="423" customFormat="false" ht="13.8" hidden="false" customHeight="false" outlineLevel="0" collapsed="false">
      <c r="B423" s="1" t="n">
        <v>422</v>
      </c>
      <c r="C423" s="2" t="n">
        <v>0.1334675</v>
      </c>
    </row>
    <row r="424" customFormat="false" ht="13.8" hidden="false" customHeight="false" outlineLevel="0" collapsed="false">
      <c r="B424" s="1" t="n">
        <v>423</v>
      </c>
      <c r="C424" s="2" t="n">
        <v>0.140015</v>
      </c>
    </row>
    <row r="425" customFormat="false" ht="13.8" hidden="false" customHeight="false" outlineLevel="0" collapsed="false">
      <c r="B425" s="1" t="n">
        <v>424</v>
      </c>
      <c r="C425" s="2" t="n">
        <v>0.1465625</v>
      </c>
    </row>
    <row r="426" customFormat="false" ht="13.8" hidden="false" customHeight="false" outlineLevel="0" collapsed="false">
      <c r="B426" s="1" t="n">
        <v>425</v>
      </c>
      <c r="C426" s="2" t="n">
        <v>0.15311</v>
      </c>
    </row>
    <row r="427" customFormat="false" ht="13.8" hidden="false" customHeight="false" outlineLevel="0" collapsed="false">
      <c r="B427" s="1" t="n">
        <v>426</v>
      </c>
      <c r="C427" s="2" t="n">
        <v>0.155935625</v>
      </c>
    </row>
    <row r="428" customFormat="false" ht="13.8" hidden="false" customHeight="false" outlineLevel="0" collapsed="false">
      <c r="B428" s="1" t="n">
        <v>427</v>
      </c>
      <c r="C428" s="2" t="n">
        <v>0.15876125</v>
      </c>
    </row>
    <row r="429" customFormat="false" ht="13.8" hidden="false" customHeight="false" outlineLevel="0" collapsed="false">
      <c r="B429" s="1" t="n">
        <v>428</v>
      </c>
      <c r="C429" s="2" t="n">
        <v>0.161586875</v>
      </c>
    </row>
    <row r="430" customFormat="false" ht="13.8" hidden="false" customHeight="false" outlineLevel="0" collapsed="false">
      <c r="B430" s="1" t="n">
        <v>429</v>
      </c>
      <c r="C430" s="2" t="n">
        <v>0.1644125</v>
      </c>
    </row>
    <row r="431" customFormat="false" ht="13.8" hidden="false" customHeight="false" outlineLevel="0" collapsed="false">
      <c r="B431" s="1" t="n">
        <v>430</v>
      </c>
      <c r="C431" s="2" t="n">
        <v>0.168485</v>
      </c>
    </row>
    <row r="432" customFormat="false" ht="13.8" hidden="false" customHeight="false" outlineLevel="0" collapsed="false">
      <c r="B432" s="1" t="n">
        <v>431</v>
      </c>
      <c r="C432" s="2" t="n">
        <v>0.1725575</v>
      </c>
    </row>
    <row r="433" customFormat="false" ht="13.8" hidden="false" customHeight="false" outlineLevel="0" collapsed="false">
      <c r="B433" s="1" t="n">
        <v>432</v>
      </c>
      <c r="C433" s="2" t="n">
        <v>0.17663</v>
      </c>
    </row>
    <row r="434" customFormat="false" ht="13.8" hidden="false" customHeight="false" outlineLevel="0" collapsed="false">
      <c r="B434" s="1" t="n">
        <v>433</v>
      </c>
      <c r="C434" s="2" t="n">
        <v>0.1807025</v>
      </c>
    </row>
    <row r="435" customFormat="false" ht="13.8" hidden="false" customHeight="false" outlineLevel="0" collapsed="false">
      <c r="B435" s="1" t="n">
        <v>434</v>
      </c>
      <c r="C435" s="2" t="n">
        <v>0.1793175</v>
      </c>
    </row>
    <row r="436" customFormat="false" ht="13.8" hidden="false" customHeight="false" outlineLevel="0" collapsed="false">
      <c r="B436" s="1" t="n">
        <v>435</v>
      </c>
      <c r="C436" s="2" t="n">
        <v>0.1779325</v>
      </c>
    </row>
    <row r="437" customFormat="false" ht="13.8" hidden="false" customHeight="false" outlineLevel="0" collapsed="false">
      <c r="B437" s="1" t="n">
        <v>436</v>
      </c>
      <c r="C437" s="2" t="n">
        <v>0.1765475</v>
      </c>
    </row>
    <row r="438" customFormat="false" ht="13.8" hidden="false" customHeight="false" outlineLevel="0" collapsed="false">
      <c r="B438" s="1" t="n">
        <v>437</v>
      </c>
      <c r="C438" s="2" t="n">
        <v>0.1751625</v>
      </c>
    </row>
    <row r="439" customFormat="false" ht="13.8" hidden="false" customHeight="false" outlineLevel="0" collapsed="false">
      <c r="B439" s="1" t="n">
        <v>438</v>
      </c>
      <c r="C439" s="2" t="n">
        <v>0.14384</v>
      </c>
    </row>
    <row r="440" customFormat="false" ht="13.8" hidden="false" customHeight="false" outlineLevel="0" collapsed="false">
      <c r="B440" s="1" t="n">
        <v>439</v>
      </c>
      <c r="C440" s="2" t="n">
        <v>0.1125175</v>
      </c>
    </row>
    <row r="441" customFormat="false" ht="13.8" hidden="false" customHeight="false" outlineLevel="0" collapsed="false">
      <c r="B441" s="1" t="n">
        <v>440</v>
      </c>
      <c r="C441" s="2" t="n">
        <v>0.081195</v>
      </c>
    </row>
    <row r="442" customFormat="false" ht="13.8" hidden="false" customHeight="false" outlineLevel="0" collapsed="false">
      <c r="B442" s="1" t="n">
        <v>441</v>
      </c>
      <c r="C442" s="2" t="n">
        <v>0.0498725</v>
      </c>
    </row>
    <row r="443" customFormat="false" ht="13.8" hidden="false" customHeight="false" outlineLevel="0" collapsed="false">
      <c r="B443" s="1" t="n">
        <v>442</v>
      </c>
      <c r="C443" s="2" t="n">
        <v>0.05494375</v>
      </c>
    </row>
    <row r="444" customFormat="false" ht="13.8" hidden="false" customHeight="false" outlineLevel="0" collapsed="false">
      <c r="B444" s="1" t="n">
        <v>443</v>
      </c>
      <c r="C444" s="2" t="n">
        <v>0.060015</v>
      </c>
    </row>
    <row r="445" customFormat="false" ht="13.8" hidden="false" customHeight="false" outlineLevel="0" collapsed="false">
      <c r="B445" s="1" t="n">
        <v>444</v>
      </c>
      <c r="C445" s="2" t="n">
        <v>0.06508625</v>
      </c>
    </row>
    <row r="446" customFormat="false" ht="13.8" hidden="false" customHeight="false" outlineLevel="0" collapsed="false">
      <c r="B446" s="1" t="n">
        <v>445</v>
      </c>
      <c r="C446" s="2" t="n">
        <v>0.0701575</v>
      </c>
    </row>
    <row r="447" customFormat="false" ht="13.8" hidden="false" customHeight="false" outlineLevel="0" collapsed="false">
      <c r="B447" s="1" t="n">
        <v>446</v>
      </c>
      <c r="C447" s="2" t="n">
        <v>0.06392</v>
      </c>
    </row>
    <row r="448" customFormat="false" ht="13.8" hidden="false" customHeight="false" outlineLevel="0" collapsed="false">
      <c r="B448" s="1" t="n">
        <v>447</v>
      </c>
      <c r="C448" s="2" t="n">
        <v>0.0576825</v>
      </c>
    </row>
    <row r="449" customFormat="false" ht="13.8" hidden="false" customHeight="false" outlineLevel="0" collapsed="false">
      <c r="B449" s="1" t="n">
        <v>448</v>
      </c>
      <c r="C449" s="2" t="n">
        <v>0.051445</v>
      </c>
    </row>
    <row r="450" customFormat="false" ht="13.8" hidden="false" customHeight="false" outlineLevel="0" collapsed="false">
      <c r="B450" s="1" t="n">
        <v>449</v>
      </c>
      <c r="C450" s="2" t="n">
        <v>0.0452075</v>
      </c>
    </row>
    <row r="451" customFormat="false" ht="13.8" hidden="false" customHeight="false" outlineLevel="0" collapsed="false">
      <c r="B451" s="1" t="n">
        <v>450</v>
      </c>
      <c r="C451" s="2" t="n">
        <v>0.039648125</v>
      </c>
    </row>
    <row r="452" customFormat="false" ht="13.8" hidden="false" customHeight="false" outlineLevel="0" collapsed="false">
      <c r="B452" s="1" t="n">
        <v>451</v>
      </c>
      <c r="C452" s="2" t="n">
        <v>0.03408875</v>
      </c>
    </row>
    <row r="453" customFormat="false" ht="13.8" hidden="false" customHeight="false" outlineLevel="0" collapsed="false">
      <c r="B453" s="1" t="n">
        <v>452</v>
      </c>
      <c r="C453" s="2" t="n">
        <v>0.028529375</v>
      </c>
    </row>
    <row r="454" customFormat="false" ht="13.8" hidden="false" customHeight="false" outlineLevel="0" collapsed="false">
      <c r="B454" s="1" t="n">
        <v>453</v>
      </c>
      <c r="C454" s="2" t="n">
        <v>0.02297</v>
      </c>
    </row>
    <row r="455" customFormat="false" ht="13.8" hidden="false" customHeight="false" outlineLevel="0" collapsed="false">
      <c r="B455" s="1" t="n">
        <v>454</v>
      </c>
      <c r="C455" s="2" t="n">
        <v>0.017274375</v>
      </c>
    </row>
    <row r="456" customFormat="false" ht="13.8" hidden="false" customHeight="false" outlineLevel="0" collapsed="false">
      <c r="B456" s="1" t="n">
        <v>455</v>
      </c>
      <c r="C456" s="2" t="n">
        <v>0.01157875</v>
      </c>
    </row>
    <row r="457" customFormat="false" ht="13.8" hidden="false" customHeight="false" outlineLevel="0" collapsed="false">
      <c r="B457" s="1" t="n">
        <v>456</v>
      </c>
      <c r="C457" s="2" t="n">
        <v>0.005883125</v>
      </c>
    </row>
    <row r="458" customFormat="false" ht="13.8" hidden="false" customHeight="false" outlineLevel="0" collapsed="false">
      <c r="B458" s="1" t="n">
        <v>457</v>
      </c>
      <c r="C458" s="2" t="n">
        <v>0.0001875</v>
      </c>
    </row>
    <row r="459" customFormat="false" ht="13.8" hidden="false" customHeight="false" outlineLevel="0" collapsed="false">
      <c r="B459" s="1" t="n">
        <v>458</v>
      </c>
      <c r="C459" s="2" t="n">
        <v>0.000140625</v>
      </c>
    </row>
    <row r="460" customFormat="false" ht="13.8" hidden="false" customHeight="false" outlineLevel="0" collapsed="false">
      <c r="B460" s="1" t="n">
        <v>459</v>
      </c>
      <c r="C460" s="2" t="n">
        <v>9.375E-005</v>
      </c>
    </row>
    <row r="461" customFormat="false" ht="13.8" hidden="false" customHeight="false" outlineLevel="0" collapsed="false">
      <c r="B461" s="1" t="n">
        <v>460</v>
      </c>
      <c r="C461" s="2" t="n">
        <v>4.6875E-005</v>
      </c>
    </row>
    <row r="462" customFormat="false" ht="13.8" hidden="false" customHeight="false" outlineLevel="0" collapsed="false">
      <c r="B462" s="1" t="n">
        <v>461</v>
      </c>
      <c r="C462" s="2" t="n">
        <v>0</v>
      </c>
    </row>
    <row r="463" customFormat="false" ht="13.8" hidden="false" customHeight="false" outlineLevel="0" collapsed="false">
      <c r="B463" s="1" t="n">
        <v>462</v>
      </c>
      <c r="C463" s="2" t="n">
        <v>0</v>
      </c>
    </row>
    <row r="464" customFormat="false" ht="13.8" hidden="false" customHeight="false" outlineLevel="0" collapsed="false">
      <c r="B464" s="1" t="n">
        <v>463</v>
      </c>
      <c r="C464" s="2" t="n">
        <v>0</v>
      </c>
    </row>
    <row r="465" customFormat="false" ht="13.8" hidden="false" customHeight="false" outlineLevel="0" collapsed="false">
      <c r="B465" s="1" t="n">
        <v>464</v>
      </c>
      <c r="C465" s="2" t="n">
        <v>0</v>
      </c>
    </row>
    <row r="466" customFormat="false" ht="13.8" hidden="false" customHeight="false" outlineLevel="0" collapsed="false">
      <c r="B466" s="1" t="n">
        <v>465</v>
      </c>
      <c r="C466" s="2" t="n">
        <v>0</v>
      </c>
    </row>
    <row r="467" customFormat="false" ht="13.8" hidden="false" customHeight="false" outlineLevel="0" collapsed="false">
      <c r="B467" s="1" t="n">
        <v>466</v>
      </c>
      <c r="C467" s="2" t="n">
        <v>0</v>
      </c>
    </row>
    <row r="468" customFormat="false" ht="13.8" hidden="false" customHeight="false" outlineLevel="0" collapsed="false">
      <c r="B468" s="1" t="n">
        <v>467</v>
      </c>
      <c r="C468" s="2" t="n">
        <v>0</v>
      </c>
    </row>
    <row r="469" customFormat="false" ht="13.8" hidden="false" customHeight="false" outlineLevel="0" collapsed="false">
      <c r="B469" s="1" t="n">
        <v>468</v>
      </c>
      <c r="C469" s="2" t="n">
        <v>0</v>
      </c>
    </row>
    <row r="470" customFormat="false" ht="13.8" hidden="false" customHeight="false" outlineLevel="0" collapsed="false">
      <c r="B470" s="1" t="n">
        <v>469</v>
      </c>
      <c r="C470" s="2" t="n">
        <v>0</v>
      </c>
    </row>
    <row r="471" customFormat="false" ht="13.8" hidden="false" customHeight="false" outlineLevel="0" collapsed="false">
      <c r="B471" s="1" t="n">
        <v>470</v>
      </c>
      <c r="C471" s="2" t="n">
        <v>0</v>
      </c>
    </row>
    <row r="472" customFormat="false" ht="13.8" hidden="false" customHeight="false" outlineLevel="0" collapsed="false">
      <c r="B472" s="1" t="n">
        <v>471</v>
      </c>
      <c r="C472" s="2" t="n">
        <v>0</v>
      </c>
    </row>
    <row r="473" customFormat="false" ht="13.8" hidden="false" customHeight="false" outlineLevel="0" collapsed="false">
      <c r="B473" s="1" t="n">
        <v>472</v>
      </c>
      <c r="C473" s="2" t="n">
        <v>0</v>
      </c>
    </row>
    <row r="474" customFormat="false" ht="13.8" hidden="false" customHeight="false" outlineLevel="0" collapsed="false">
      <c r="B474" s="1" t="n">
        <v>473</v>
      </c>
      <c r="C474" s="2" t="n">
        <v>0</v>
      </c>
    </row>
    <row r="475" customFormat="false" ht="13.8" hidden="false" customHeight="false" outlineLevel="0" collapsed="false">
      <c r="B475" s="1" t="n">
        <v>474</v>
      </c>
      <c r="C475" s="2" t="n">
        <v>0</v>
      </c>
    </row>
    <row r="476" customFormat="false" ht="13.8" hidden="false" customHeight="false" outlineLevel="0" collapsed="false">
      <c r="B476" s="1" t="n">
        <v>475</v>
      </c>
      <c r="C476" s="2" t="n">
        <v>0</v>
      </c>
    </row>
    <row r="477" customFormat="false" ht="13.8" hidden="false" customHeight="false" outlineLevel="0" collapsed="false">
      <c r="B477" s="1" t="n">
        <v>476</v>
      </c>
      <c r="C477" s="2" t="n">
        <v>0</v>
      </c>
    </row>
    <row r="478" customFormat="false" ht="13.8" hidden="false" customHeight="false" outlineLevel="0" collapsed="false">
      <c r="B478" s="1" t="n">
        <v>477</v>
      </c>
      <c r="C478" s="2" t="n">
        <v>0</v>
      </c>
    </row>
    <row r="479" customFormat="false" ht="13.8" hidden="false" customHeight="false" outlineLevel="0" collapsed="false">
      <c r="B479" s="1" t="n">
        <v>478</v>
      </c>
      <c r="C479" s="2" t="n">
        <v>0</v>
      </c>
    </row>
    <row r="480" customFormat="false" ht="13.8" hidden="false" customHeight="false" outlineLevel="0" collapsed="false">
      <c r="B480" s="1" t="n">
        <v>479</v>
      </c>
      <c r="C480" s="2" t="n">
        <v>0</v>
      </c>
    </row>
    <row r="481" customFormat="false" ht="13.8" hidden="false" customHeight="false" outlineLevel="0" collapsed="false">
      <c r="B481" s="1" t="n">
        <v>480</v>
      </c>
      <c r="C481" s="2" t="n">
        <v>0</v>
      </c>
    </row>
    <row r="482" customFormat="false" ht="13.8" hidden="false" customHeight="false" outlineLevel="0" collapsed="false">
      <c r="B482" s="1" t="n">
        <v>481</v>
      </c>
      <c r="C482" s="2" t="n">
        <v>0</v>
      </c>
    </row>
    <row r="483" customFormat="false" ht="13.8" hidden="false" customHeight="false" outlineLevel="0" collapsed="false">
      <c r="B483" s="1" t="n">
        <v>482</v>
      </c>
      <c r="C483" s="2" t="n">
        <v>0</v>
      </c>
    </row>
    <row r="484" customFormat="false" ht="13.8" hidden="false" customHeight="false" outlineLevel="0" collapsed="false">
      <c r="B484" s="1" t="n">
        <v>483</v>
      </c>
      <c r="C484" s="2" t="n">
        <v>0</v>
      </c>
    </row>
    <row r="485" customFormat="false" ht="13.8" hidden="false" customHeight="false" outlineLevel="0" collapsed="false">
      <c r="B485" s="1" t="n">
        <v>484</v>
      </c>
      <c r="C485" s="2" t="n">
        <v>0</v>
      </c>
    </row>
    <row r="486" customFormat="false" ht="13.8" hidden="false" customHeight="false" outlineLevel="0" collapsed="false">
      <c r="B486" s="1" t="n">
        <v>485</v>
      </c>
      <c r="C486" s="2" t="n">
        <v>0</v>
      </c>
    </row>
    <row r="487" customFormat="false" ht="13.8" hidden="false" customHeight="false" outlineLevel="0" collapsed="false">
      <c r="B487" s="1" t="n">
        <v>486</v>
      </c>
      <c r="C487" s="2" t="n">
        <v>0</v>
      </c>
    </row>
    <row r="488" customFormat="false" ht="13.8" hidden="false" customHeight="false" outlineLevel="0" collapsed="false">
      <c r="B488" s="1" t="n">
        <v>487</v>
      </c>
      <c r="C488" s="2" t="n">
        <v>0</v>
      </c>
    </row>
    <row r="489" customFormat="false" ht="13.8" hidden="false" customHeight="false" outlineLevel="0" collapsed="false">
      <c r="B489" s="1" t="n">
        <v>488</v>
      </c>
      <c r="C489" s="2" t="n">
        <v>0</v>
      </c>
    </row>
    <row r="490" customFormat="false" ht="13.8" hidden="false" customHeight="false" outlineLevel="0" collapsed="false">
      <c r="B490" s="1" t="n">
        <v>489</v>
      </c>
      <c r="C490" s="2" t="n">
        <v>0</v>
      </c>
    </row>
    <row r="491" customFormat="false" ht="13.8" hidden="false" customHeight="false" outlineLevel="0" collapsed="false">
      <c r="B491" s="1" t="n">
        <v>490</v>
      </c>
      <c r="C491" s="2" t="n">
        <v>0</v>
      </c>
    </row>
    <row r="492" customFormat="false" ht="13.8" hidden="false" customHeight="false" outlineLevel="0" collapsed="false">
      <c r="B492" s="1" t="n">
        <v>491</v>
      </c>
      <c r="C492" s="2" t="n">
        <v>0</v>
      </c>
    </row>
    <row r="493" customFormat="false" ht="13.8" hidden="false" customHeight="false" outlineLevel="0" collapsed="false">
      <c r="B493" s="1" t="n">
        <v>492</v>
      </c>
      <c r="C493" s="2" t="n">
        <v>0</v>
      </c>
    </row>
    <row r="494" customFormat="false" ht="13.8" hidden="false" customHeight="false" outlineLevel="0" collapsed="false">
      <c r="B494" s="1" t="n">
        <v>493</v>
      </c>
      <c r="C494" s="2" t="n">
        <v>0</v>
      </c>
    </row>
    <row r="495" customFormat="false" ht="13.8" hidden="false" customHeight="false" outlineLevel="0" collapsed="false">
      <c r="B495" s="1" t="n">
        <v>494</v>
      </c>
      <c r="C495" s="2" t="n">
        <v>0</v>
      </c>
    </row>
    <row r="496" customFormat="false" ht="13.8" hidden="false" customHeight="false" outlineLevel="0" collapsed="false">
      <c r="B496" s="1" t="n">
        <v>495</v>
      </c>
      <c r="C496" s="2" t="n">
        <v>0</v>
      </c>
    </row>
    <row r="497" customFormat="false" ht="13.8" hidden="false" customHeight="false" outlineLevel="0" collapsed="false">
      <c r="B497" s="1" t="n">
        <v>496</v>
      </c>
      <c r="C497" s="2" t="n">
        <v>0</v>
      </c>
    </row>
    <row r="498" customFormat="false" ht="13.8" hidden="false" customHeight="false" outlineLevel="0" collapsed="false">
      <c r="B498" s="1" t="n">
        <v>497</v>
      </c>
      <c r="C498" s="2" t="n">
        <v>0</v>
      </c>
    </row>
    <row r="499" customFormat="false" ht="13.8" hidden="false" customHeight="false" outlineLevel="0" collapsed="false">
      <c r="B499" s="1" t="n">
        <v>498</v>
      </c>
      <c r="C499" s="2" t="n">
        <v>0</v>
      </c>
    </row>
    <row r="500" customFormat="false" ht="13.8" hidden="false" customHeight="false" outlineLevel="0" collapsed="false">
      <c r="B500" s="1" t="n">
        <v>499</v>
      </c>
      <c r="C500" s="2" t="n">
        <v>0</v>
      </c>
    </row>
    <row r="501" customFormat="false" ht="13.8" hidden="false" customHeight="false" outlineLevel="0" collapsed="false">
      <c r="B501" s="1" t="n">
        <v>500</v>
      </c>
      <c r="C501" s="2" t="n">
        <v>0</v>
      </c>
    </row>
    <row r="502" customFormat="false" ht="13.8" hidden="false" customHeight="false" outlineLevel="0" collapsed="false">
      <c r="B502" s="1" t="n">
        <v>501</v>
      </c>
      <c r="C502" s="2" t="n">
        <v>0</v>
      </c>
    </row>
    <row r="503" customFormat="false" ht="13.8" hidden="false" customHeight="false" outlineLevel="0" collapsed="false">
      <c r="B503" s="1" t="n">
        <v>502</v>
      </c>
      <c r="C503" s="2" t="n">
        <v>7.1875E-005</v>
      </c>
    </row>
    <row r="504" customFormat="false" ht="13.8" hidden="false" customHeight="false" outlineLevel="0" collapsed="false">
      <c r="B504" s="1" t="n">
        <v>503</v>
      </c>
      <c r="C504" s="2" t="n">
        <v>0.00014375</v>
      </c>
    </row>
    <row r="505" customFormat="false" ht="13.8" hidden="false" customHeight="false" outlineLevel="0" collapsed="false">
      <c r="B505" s="1" t="n">
        <v>504</v>
      </c>
      <c r="C505" s="2" t="n">
        <v>0.000215625</v>
      </c>
    </row>
    <row r="506" customFormat="false" ht="13.8" hidden="false" customHeight="false" outlineLevel="0" collapsed="false">
      <c r="B506" s="1" t="n">
        <v>505</v>
      </c>
      <c r="C506" s="2" t="n">
        <v>0.0002875</v>
      </c>
    </row>
    <row r="507" customFormat="false" ht="13.8" hidden="false" customHeight="false" outlineLevel="0" collapsed="false">
      <c r="B507" s="1" t="n">
        <v>506</v>
      </c>
      <c r="C507" s="2" t="n">
        <v>0.001044375</v>
      </c>
    </row>
    <row r="508" customFormat="false" ht="13.8" hidden="false" customHeight="false" outlineLevel="0" collapsed="false">
      <c r="B508" s="1" t="n">
        <v>507</v>
      </c>
      <c r="C508" s="2" t="n">
        <v>0.00180125</v>
      </c>
    </row>
    <row r="509" customFormat="false" ht="13.8" hidden="false" customHeight="false" outlineLevel="0" collapsed="false">
      <c r="B509" s="1" t="n">
        <v>508</v>
      </c>
      <c r="C509" s="2" t="n">
        <v>0.002558125</v>
      </c>
    </row>
    <row r="510" customFormat="false" ht="13.8" hidden="false" customHeight="false" outlineLevel="0" collapsed="false">
      <c r="B510" s="1" t="n">
        <v>509</v>
      </c>
      <c r="C510" s="2" t="n">
        <v>0.003315</v>
      </c>
    </row>
    <row r="511" customFormat="false" ht="13.8" hidden="false" customHeight="false" outlineLevel="0" collapsed="false">
      <c r="B511" s="1" t="n">
        <v>510</v>
      </c>
      <c r="C511" s="2" t="n">
        <v>0.013855625</v>
      </c>
    </row>
    <row r="512" customFormat="false" ht="13.8" hidden="false" customHeight="false" outlineLevel="0" collapsed="false">
      <c r="B512" s="1" t="n">
        <v>511</v>
      </c>
      <c r="C512" s="2" t="n">
        <v>0.02439625</v>
      </c>
    </row>
    <row r="513" customFormat="false" ht="13.8" hidden="false" customHeight="false" outlineLevel="0" collapsed="false">
      <c r="B513" s="1" t="n">
        <v>512</v>
      </c>
      <c r="C513" s="2" t="n">
        <v>0.034936875</v>
      </c>
    </row>
    <row r="514" customFormat="false" ht="13.8" hidden="false" customHeight="false" outlineLevel="0" collapsed="false">
      <c r="B514" s="1" t="n">
        <v>513</v>
      </c>
      <c r="C514" s="2" t="n">
        <v>0.0454775</v>
      </c>
    </row>
    <row r="515" customFormat="false" ht="13.8" hidden="false" customHeight="false" outlineLevel="0" collapsed="false">
      <c r="B515" s="1" t="n">
        <v>514</v>
      </c>
      <c r="C515" s="2" t="n">
        <v>0.0545375</v>
      </c>
    </row>
    <row r="516" customFormat="false" ht="13.8" hidden="false" customHeight="false" outlineLevel="0" collapsed="false">
      <c r="B516" s="1" t="n">
        <v>515</v>
      </c>
      <c r="C516" s="2" t="n">
        <v>0.0635975</v>
      </c>
    </row>
    <row r="517" customFormat="false" ht="13.8" hidden="false" customHeight="false" outlineLevel="0" collapsed="false">
      <c r="B517" s="1" t="n">
        <v>516</v>
      </c>
      <c r="C517" s="2" t="n">
        <v>0.0726575</v>
      </c>
    </row>
    <row r="518" customFormat="false" ht="13.8" hidden="false" customHeight="false" outlineLevel="0" collapsed="false">
      <c r="B518" s="1" t="n">
        <v>517</v>
      </c>
      <c r="C518" s="2" t="n">
        <v>0.0817175</v>
      </c>
    </row>
    <row r="519" customFormat="false" ht="13.8" hidden="false" customHeight="false" outlineLevel="0" collapsed="false">
      <c r="B519" s="1" t="n">
        <v>518</v>
      </c>
      <c r="C519" s="2" t="n">
        <v>0.085335</v>
      </c>
    </row>
    <row r="520" customFormat="false" ht="13.8" hidden="false" customHeight="false" outlineLevel="0" collapsed="false">
      <c r="B520" s="1" t="n">
        <v>519</v>
      </c>
      <c r="C520" s="2" t="n">
        <v>0.0889525</v>
      </c>
    </row>
    <row r="521" customFormat="false" ht="13.8" hidden="false" customHeight="false" outlineLevel="0" collapsed="false">
      <c r="B521" s="1" t="n">
        <v>520</v>
      </c>
      <c r="C521" s="2" t="n">
        <v>0.09257</v>
      </c>
    </row>
    <row r="522" customFormat="false" ht="13.8" hidden="false" customHeight="false" outlineLevel="0" collapsed="false">
      <c r="B522" s="1" t="n">
        <v>521</v>
      </c>
      <c r="C522" s="2" t="n">
        <v>0.0961875</v>
      </c>
    </row>
    <row r="523" customFormat="false" ht="13.8" hidden="false" customHeight="false" outlineLevel="0" collapsed="false">
      <c r="B523" s="1" t="n">
        <v>522</v>
      </c>
      <c r="C523" s="2" t="n">
        <v>0.108524375</v>
      </c>
    </row>
    <row r="524" customFormat="false" ht="13.8" hidden="false" customHeight="false" outlineLevel="0" collapsed="false">
      <c r="B524" s="1" t="n">
        <v>523</v>
      </c>
      <c r="C524" s="2" t="n">
        <v>0.12086125</v>
      </c>
    </row>
    <row r="525" customFormat="false" ht="13.8" hidden="false" customHeight="false" outlineLevel="0" collapsed="false">
      <c r="B525" s="1" t="n">
        <v>524</v>
      </c>
      <c r="C525" s="2" t="n">
        <v>0.133198125</v>
      </c>
    </row>
    <row r="526" customFormat="false" ht="13.8" hidden="false" customHeight="false" outlineLevel="0" collapsed="false">
      <c r="B526" s="1" t="n">
        <v>525</v>
      </c>
      <c r="C526" s="2" t="n">
        <v>0.145535</v>
      </c>
    </row>
    <row r="527" customFormat="false" ht="13.8" hidden="false" customHeight="false" outlineLevel="0" collapsed="false">
      <c r="B527" s="1" t="n">
        <v>526</v>
      </c>
      <c r="C527" s="2" t="n">
        <v>0.13894625</v>
      </c>
    </row>
    <row r="528" customFormat="false" ht="13.8" hidden="false" customHeight="false" outlineLevel="0" collapsed="false">
      <c r="B528" s="1" t="n">
        <v>527</v>
      </c>
      <c r="C528" s="2" t="n">
        <v>0.1323575</v>
      </c>
    </row>
    <row r="529" customFormat="false" ht="13.8" hidden="false" customHeight="false" outlineLevel="0" collapsed="false">
      <c r="B529" s="1" t="n">
        <v>528</v>
      </c>
      <c r="C529" s="2" t="n">
        <v>0.12576875</v>
      </c>
    </row>
    <row r="530" customFormat="false" ht="13.8" hidden="false" customHeight="false" outlineLevel="0" collapsed="false">
      <c r="B530" s="1" t="n">
        <v>529</v>
      </c>
      <c r="C530" s="2" t="n">
        <v>0.11918</v>
      </c>
    </row>
    <row r="531" customFormat="false" ht="13.8" hidden="false" customHeight="false" outlineLevel="0" collapsed="false">
      <c r="B531" s="1" t="n">
        <v>530</v>
      </c>
      <c r="C531" s="2" t="n">
        <v>0.116291875</v>
      </c>
    </row>
    <row r="532" customFormat="false" ht="13.8" hidden="false" customHeight="false" outlineLevel="0" collapsed="false">
      <c r="B532" s="1" t="n">
        <v>531</v>
      </c>
      <c r="C532" s="2" t="n">
        <v>0.11340375</v>
      </c>
    </row>
    <row r="533" customFormat="false" ht="13.8" hidden="false" customHeight="false" outlineLevel="0" collapsed="false">
      <c r="B533" s="1" t="n">
        <v>532</v>
      </c>
      <c r="C533" s="2" t="n">
        <v>0.110515625</v>
      </c>
    </row>
    <row r="534" customFormat="false" ht="13.8" hidden="false" customHeight="false" outlineLevel="0" collapsed="false">
      <c r="B534" s="1" t="n">
        <v>533</v>
      </c>
      <c r="C534" s="2" t="n">
        <v>0.1076275</v>
      </c>
    </row>
    <row r="535" customFormat="false" ht="13.8" hidden="false" customHeight="false" outlineLevel="0" collapsed="false">
      <c r="B535" s="1" t="n">
        <v>534</v>
      </c>
      <c r="C535" s="2" t="n">
        <v>0.089943125</v>
      </c>
    </row>
    <row r="536" customFormat="false" ht="13.8" hidden="false" customHeight="false" outlineLevel="0" collapsed="false">
      <c r="B536" s="1" t="n">
        <v>535</v>
      </c>
      <c r="C536" s="2" t="n">
        <v>0.07225875</v>
      </c>
    </row>
    <row r="537" customFormat="false" ht="13.8" hidden="false" customHeight="false" outlineLevel="0" collapsed="false">
      <c r="B537" s="1" t="n">
        <v>536</v>
      </c>
      <c r="C537" s="2" t="n">
        <v>0.054574375</v>
      </c>
    </row>
    <row r="538" customFormat="false" ht="13.8" hidden="false" customHeight="false" outlineLevel="0" collapsed="false">
      <c r="B538" s="1" t="n">
        <v>537</v>
      </c>
      <c r="C538" s="2" t="n">
        <v>0.03689</v>
      </c>
    </row>
    <row r="539" customFormat="false" ht="13.8" hidden="false" customHeight="false" outlineLevel="0" collapsed="false">
      <c r="B539" s="1" t="n">
        <v>538</v>
      </c>
      <c r="C539" s="2" t="n">
        <v>0.029913125</v>
      </c>
    </row>
    <row r="540" customFormat="false" ht="13.8" hidden="false" customHeight="false" outlineLevel="0" collapsed="false">
      <c r="B540" s="1" t="n">
        <v>539</v>
      </c>
      <c r="C540" s="2" t="n">
        <v>0.02293625</v>
      </c>
    </row>
    <row r="541" customFormat="false" ht="13.8" hidden="false" customHeight="false" outlineLevel="0" collapsed="false">
      <c r="B541" s="1" t="n">
        <v>540</v>
      </c>
      <c r="C541" s="2" t="n">
        <v>0.015959375</v>
      </c>
    </row>
    <row r="542" customFormat="false" ht="13.8" hidden="false" customHeight="false" outlineLevel="0" collapsed="false">
      <c r="B542" s="1" t="n">
        <v>541</v>
      </c>
      <c r="C542" s="2" t="n">
        <v>0.0089825</v>
      </c>
    </row>
    <row r="543" customFormat="false" ht="13.8" hidden="false" customHeight="false" outlineLevel="0" collapsed="false">
      <c r="B543" s="1" t="n">
        <v>542</v>
      </c>
      <c r="C543" s="2" t="n">
        <v>0.0080775</v>
      </c>
    </row>
    <row r="544" customFormat="false" ht="13.8" hidden="false" customHeight="false" outlineLevel="0" collapsed="false">
      <c r="B544" s="1" t="n">
        <v>543</v>
      </c>
      <c r="C544" s="2" t="n">
        <v>0.0071725</v>
      </c>
    </row>
    <row r="545" customFormat="false" ht="13.8" hidden="false" customHeight="false" outlineLevel="0" collapsed="false">
      <c r="B545" s="1" t="n">
        <v>544</v>
      </c>
      <c r="C545" s="2" t="n">
        <v>0.0062675</v>
      </c>
    </row>
    <row r="546" customFormat="false" ht="13.8" hidden="false" customHeight="false" outlineLevel="0" collapsed="false">
      <c r="B546" s="1" t="n">
        <v>545</v>
      </c>
      <c r="C546" s="2" t="n">
        <v>0.0053625</v>
      </c>
    </row>
    <row r="547" customFormat="false" ht="13.8" hidden="false" customHeight="false" outlineLevel="0" collapsed="false">
      <c r="B547" s="1" t="n">
        <v>546</v>
      </c>
      <c r="C547" s="2" t="n">
        <v>0.004891875</v>
      </c>
    </row>
    <row r="548" customFormat="false" ht="13.8" hidden="false" customHeight="false" outlineLevel="0" collapsed="false">
      <c r="B548" s="1" t="n">
        <v>547</v>
      </c>
      <c r="C548" s="2" t="n">
        <v>0.00442125</v>
      </c>
    </row>
    <row r="549" customFormat="false" ht="13.8" hidden="false" customHeight="false" outlineLevel="0" collapsed="false">
      <c r="B549" s="1" t="n">
        <v>548</v>
      </c>
      <c r="C549" s="2" t="n">
        <v>0.003950625</v>
      </c>
    </row>
    <row r="550" customFormat="false" ht="13.8" hidden="false" customHeight="false" outlineLevel="0" collapsed="false">
      <c r="B550" s="1" t="n">
        <v>549</v>
      </c>
      <c r="C550" s="2" t="n">
        <v>0.00348</v>
      </c>
    </row>
    <row r="551" customFormat="false" ht="13.8" hidden="false" customHeight="false" outlineLevel="0" collapsed="false">
      <c r="B551" s="1" t="n">
        <v>550</v>
      </c>
      <c r="C551" s="2" t="n">
        <v>0.00261</v>
      </c>
    </row>
    <row r="552" customFormat="false" ht="13.8" hidden="false" customHeight="false" outlineLevel="0" collapsed="false">
      <c r="B552" s="1" t="n">
        <v>551</v>
      </c>
      <c r="C552" s="2" t="n">
        <v>0.00174</v>
      </c>
    </row>
    <row r="553" customFormat="false" ht="13.8" hidden="false" customHeight="false" outlineLevel="0" collapsed="false">
      <c r="B553" s="1" t="n">
        <v>552</v>
      </c>
      <c r="C553" s="2" t="n">
        <v>0.00087</v>
      </c>
    </row>
    <row r="554" customFormat="false" ht="13.8" hidden="false" customHeight="false" outlineLevel="0" collapsed="false">
      <c r="B554" s="1" t="n">
        <v>553</v>
      </c>
      <c r="C554" s="2" t="n">
        <v>0</v>
      </c>
    </row>
    <row r="555" customFormat="false" ht="13.8" hidden="false" customHeight="false" outlineLevel="0" collapsed="false">
      <c r="B555" s="1" t="n">
        <v>554</v>
      </c>
      <c r="C555" s="2" t="n">
        <v>0</v>
      </c>
    </row>
    <row r="556" customFormat="false" ht="13.8" hidden="false" customHeight="false" outlineLevel="0" collapsed="false">
      <c r="B556" s="1" t="n">
        <v>555</v>
      </c>
      <c r="C556" s="2" t="n">
        <v>0</v>
      </c>
    </row>
    <row r="557" customFormat="false" ht="13.8" hidden="false" customHeight="false" outlineLevel="0" collapsed="false">
      <c r="B557" s="1" t="n">
        <v>556</v>
      </c>
      <c r="C557" s="2" t="n">
        <v>0</v>
      </c>
    </row>
    <row r="558" customFormat="false" ht="13.8" hidden="false" customHeight="false" outlineLevel="0" collapsed="false">
      <c r="B558" s="1" t="n">
        <v>557</v>
      </c>
      <c r="C558" s="2" t="n">
        <v>0</v>
      </c>
    </row>
    <row r="559" customFormat="false" ht="13.8" hidden="false" customHeight="false" outlineLevel="0" collapsed="false">
      <c r="B559" s="1" t="n">
        <v>558</v>
      </c>
      <c r="C559" s="2" t="n">
        <v>0</v>
      </c>
    </row>
    <row r="560" customFormat="false" ht="13.8" hidden="false" customHeight="false" outlineLevel="0" collapsed="false">
      <c r="B560" s="1" t="n">
        <v>559</v>
      </c>
      <c r="C560" s="2" t="n">
        <v>0</v>
      </c>
    </row>
    <row r="561" customFormat="false" ht="13.8" hidden="false" customHeight="false" outlineLevel="0" collapsed="false">
      <c r="B561" s="1" t="n">
        <v>560</v>
      </c>
      <c r="C561" s="2" t="n">
        <v>0</v>
      </c>
    </row>
    <row r="562" customFormat="false" ht="13.8" hidden="false" customHeight="false" outlineLevel="0" collapsed="false">
      <c r="B562" s="1" t="n">
        <v>561</v>
      </c>
      <c r="C562" s="2" t="n">
        <v>0</v>
      </c>
    </row>
    <row r="563" customFormat="false" ht="13.8" hidden="false" customHeight="false" outlineLevel="0" collapsed="false">
      <c r="B563" s="1" t="n">
        <v>562</v>
      </c>
      <c r="C563" s="2" t="n">
        <v>0</v>
      </c>
    </row>
    <row r="564" customFormat="false" ht="13.8" hidden="false" customHeight="false" outlineLevel="0" collapsed="false">
      <c r="B564" s="1" t="n">
        <v>563</v>
      </c>
      <c r="C564" s="2" t="n">
        <v>0</v>
      </c>
    </row>
    <row r="565" customFormat="false" ht="13.8" hidden="false" customHeight="false" outlineLevel="0" collapsed="false">
      <c r="B565" s="1" t="n">
        <v>564</v>
      </c>
      <c r="C565" s="2" t="n">
        <v>0</v>
      </c>
    </row>
    <row r="566" customFormat="false" ht="13.8" hidden="false" customHeight="false" outlineLevel="0" collapsed="false">
      <c r="B566" s="1" t="n">
        <v>565</v>
      </c>
      <c r="C566" s="2" t="n">
        <v>0</v>
      </c>
    </row>
    <row r="567" customFormat="false" ht="13.8" hidden="false" customHeight="false" outlineLevel="0" collapsed="false">
      <c r="B567" s="1" t="n">
        <v>566</v>
      </c>
      <c r="C567" s="2" t="n">
        <v>0</v>
      </c>
    </row>
    <row r="568" customFormat="false" ht="13.8" hidden="false" customHeight="false" outlineLevel="0" collapsed="false">
      <c r="B568" s="1" t="n">
        <v>567</v>
      </c>
      <c r="C568" s="2" t="n">
        <v>0</v>
      </c>
    </row>
    <row r="569" customFormat="false" ht="13.8" hidden="false" customHeight="false" outlineLevel="0" collapsed="false">
      <c r="B569" s="1" t="n">
        <v>568</v>
      </c>
      <c r="C569" s="2" t="n">
        <v>0</v>
      </c>
    </row>
    <row r="570" customFormat="false" ht="13.8" hidden="false" customHeight="false" outlineLevel="0" collapsed="false">
      <c r="B570" s="1" t="n">
        <v>569</v>
      </c>
      <c r="C570" s="2" t="n">
        <v>0</v>
      </c>
    </row>
    <row r="571" customFormat="false" ht="13.8" hidden="false" customHeight="false" outlineLevel="0" collapsed="false">
      <c r="B571" s="1" t="n">
        <v>570</v>
      </c>
      <c r="C571" s="2" t="n">
        <v>0</v>
      </c>
    </row>
    <row r="572" customFormat="false" ht="13.8" hidden="false" customHeight="false" outlineLevel="0" collapsed="false">
      <c r="B572" s="1" t="n">
        <v>571</v>
      </c>
      <c r="C572" s="2" t="n">
        <v>0</v>
      </c>
    </row>
    <row r="573" customFormat="false" ht="13.8" hidden="false" customHeight="false" outlineLevel="0" collapsed="false">
      <c r="B573" s="1" t="n">
        <v>572</v>
      </c>
      <c r="C573" s="2" t="n">
        <v>0</v>
      </c>
    </row>
    <row r="574" customFormat="false" ht="13.8" hidden="false" customHeight="false" outlineLevel="0" collapsed="false">
      <c r="B574" s="1" t="n">
        <v>573</v>
      </c>
      <c r="C574" s="2" t="n">
        <v>0</v>
      </c>
    </row>
    <row r="575" customFormat="false" ht="13.8" hidden="false" customHeight="false" outlineLevel="0" collapsed="false">
      <c r="B575" s="1" t="n">
        <v>574</v>
      </c>
      <c r="C575" s="2" t="n">
        <v>0</v>
      </c>
    </row>
    <row r="576" customFormat="false" ht="13.8" hidden="false" customHeight="false" outlineLevel="0" collapsed="false">
      <c r="B576" s="1" t="n">
        <v>575</v>
      </c>
      <c r="C576" s="2" t="n">
        <v>0</v>
      </c>
    </row>
    <row r="577" customFormat="false" ht="13.8" hidden="false" customHeight="false" outlineLevel="0" collapsed="false">
      <c r="B577" s="1" t="n">
        <v>576</v>
      </c>
      <c r="C577" s="2" t="n">
        <v>0</v>
      </c>
    </row>
    <row r="578" customFormat="false" ht="13.8" hidden="false" customHeight="false" outlineLevel="0" collapsed="false">
      <c r="B578" s="1" t="n">
        <v>577</v>
      </c>
      <c r="C578" s="2" t="n">
        <v>0</v>
      </c>
    </row>
    <row r="579" customFormat="false" ht="13.8" hidden="false" customHeight="false" outlineLevel="0" collapsed="false">
      <c r="B579" s="1" t="n">
        <v>578</v>
      </c>
      <c r="C579" s="2" t="n">
        <v>0</v>
      </c>
    </row>
    <row r="580" customFormat="false" ht="13.8" hidden="false" customHeight="false" outlineLevel="0" collapsed="false">
      <c r="B580" s="1" t="n">
        <v>579</v>
      </c>
      <c r="C580" s="2" t="n">
        <v>0</v>
      </c>
    </row>
    <row r="581" customFormat="false" ht="13.8" hidden="false" customHeight="false" outlineLevel="0" collapsed="false">
      <c r="B581" s="1" t="n">
        <v>580</v>
      </c>
      <c r="C581" s="2" t="n">
        <v>0</v>
      </c>
    </row>
    <row r="582" customFormat="false" ht="13.8" hidden="false" customHeight="false" outlineLevel="0" collapsed="false">
      <c r="B582" s="1" t="n">
        <v>581</v>
      </c>
      <c r="C582" s="2" t="n">
        <v>0</v>
      </c>
    </row>
    <row r="583" customFormat="false" ht="13.8" hidden="false" customHeight="false" outlineLevel="0" collapsed="false">
      <c r="B583" s="1" t="n">
        <v>582</v>
      </c>
      <c r="C583" s="2" t="n">
        <v>0</v>
      </c>
    </row>
    <row r="584" customFormat="false" ht="13.8" hidden="false" customHeight="false" outlineLevel="0" collapsed="false">
      <c r="B584" s="1" t="n">
        <v>583</v>
      </c>
      <c r="C584" s="2" t="n">
        <v>0</v>
      </c>
    </row>
    <row r="585" customFormat="false" ht="13.8" hidden="false" customHeight="false" outlineLevel="0" collapsed="false">
      <c r="B585" s="1" t="n">
        <v>584</v>
      </c>
      <c r="C585" s="2" t="n">
        <v>0</v>
      </c>
    </row>
    <row r="586" customFormat="false" ht="13.8" hidden="false" customHeight="false" outlineLevel="0" collapsed="false">
      <c r="B586" s="1" t="n">
        <v>585</v>
      </c>
      <c r="C586" s="2" t="n">
        <v>0</v>
      </c>
    </row>
    <row r="587" customFormat="false" ht="13.8" hidden="false" customHeight="false" outlineLevel="0" collapsed="false">
      <c r="B587" s="1" t="n">
        <v>586</v>
      </c>
      <c r="C587" s="2" t="n">
        <v>0</v>
      </c>
    </row>
    <row r="588" customFormat="false" ht="13.8" hidden="false" customHeight="false" outlineLevel="0" collapsed="false">
      <c r="B588" s="1" t="n">
        <v>587</v>
      </c>
      <c r="C588" s="2" t="n">
        <v>0</v>
      </c>
    </row>
    <row r="589" customFormat="false" ht="13.8" hidden="false" customHeight="false" outlineLevel="0" collapsed="false">
      <c r="B589" s="1" t="n">
        <v>588</v>
      </c>
      <c r="C589" s="2" t="n">
        <v>0</v>
      </c>
    </row>
    <row r="590" customFormat="false" ht="13.8" hidden="false" customHeight="false" outlineLevel="0" collapsed="false">
      <c r="B590" s="1" t="n">
        <v>589</v>
      </c>
      <c r="C590" s="2" t="n">
        <v>0</v>
      </c>
    </row>
    <row r="591" customFormat="false" ht="13.8" hidden="false" customHeight="false" outlineLevel="0" collapsed="false">
      <c r="B591" s="1" t="n">
        <v>590</v>
      </c>
      <c r="C591" s="2" t="n">
        <v>0</v>
      </c>
    </row>
    <row r="592" customFormat="false" ht="13.8" hidden="false" customHeight="false" outlineLevel="0" collapsed="false">
      <c r="B592" s="1" t="n">
        <v>591</v>
      </c>
      <c r="C592" s="2" t="n">
        <v>0</v>
      </c>
    </row>
    <row r="593" customFormat="false" ht="13.8" hidden="false" customHeight="false" outlineLevel="0" collapsed="false">
      <c r="B593" s="1" t="n">
        <v>592</v>
      </c>
      <c r="C593" s="2" t="n">
        <v>0</v>
      </c>
    </row>
    <row r="594" customFormat="false" ht="13.8" hidden="false" customHeight="false" outlineLevel="0" collapsed="false">
      <c r="B594" s="1" t="n">
        <v>593</v>
      </c>
      <c r="C594" s="2" t="n">
        <v>0</v>
      </c>
    </row>
    <row r="595" customFormat="false" ht="13.8" hidden="false" customHeight="false" outlineLevel="0" collapsed="false">
      <c r="B595" s="1" t="n">
        <v>594</v>
      </c>
      <c r="C595" s="2" t="n">
        <v>0</v>
      </c>
    </row>
    <row r="596" customFormat="false" ht="13.8" hidden="false" customHeight="false" outlineLevel="0" collapsed="false">
      <c r="B596" s="1" t="n">
        <v>595</v>
      </c>
      <c r="C596" s="2" t="n">
        <v>0</v>
      </c>
    </row>
    <row r="597" customFormat="false" ht="13.8" hidden="false" customHeight="false" outlineLevel="0" collapsed="false">
      <c r="B597" s="1" t="n">
        <v>596</v>
      </c>
      <c r="C597" s="2" t="n">
        <v>0</v>
      </c>
    </row>
    <row r="598" customFormat="false" ht="13.8" hidden="false" customHeight="false" outlineLevel="0" collapsed="false">
      <c r="B598" s="1" t="n">
        <v>597</v>
      </c>
      <c r="C598" s="2" t="n">
        <v>0</v>
      </c>
    </row>
    <row r="599" customFormat="false" ht="13.8" hidden="false" customHeight="false" outlineLevel="0" collapsed="false">
      <c r="B599" s="1" t="n">
        <v>598</v>
      </c>
      <c r="C599" s="2" t="n">
        <v>0.001459375</v>
      </c>
    </row>
    <row r="600" customFormat="false" ht="13.8" hidden="false" customHeight="false" outlineLevel="0" collapsed="false">
      <c r="B600" s="1" t="n">
        <v>599</v>
      </c>
      <c r="C600" s="2" t="n">
        <v>0.00291875</v>
      </c>
    </row>
    <row r="601" customFormat="false" ht="13.8" hidden="false" customHeight="false" outlineLevel="0" collapsed="false">
      <c r="B601" s="1" t="n">
        <v>600</v>
      </c>
      <c r="C601" s="2" t="n">
        <v>0.004378125</v>
      </c>
    </row>
    <row r="602" customFormat="false" ht="13.8" hidden="false" customHeight="false" outlineLevel="0" collapsed="false">
      <c r="B602" s="1" t="n">
        <v>601</v>
      </c>
      <c r="C602" s="2" t="n">
        <v>0.0058375</v>
      </c>
    </row>
    <row r="603" customFormat="false" ht="13.8" hidden="false" customHeight="false" outlineLevel="0" collapsed="false">
      <c r="B603" s="1" t="n">
        <v>602</v>
      </c>
      <c r="C603" s="2" t="n">
        <v>0.0131025</v>
      </c>
    </row>
    <row r="604" customFormat="false" ht="13.8" hidden="false" customHeight="false" outlineLevel="0" collapsed="false">
      <c r="B604" s="1" t="n">
        <v>603</v>
      </c>
      <c r="C604" s="2" t="n">
        <v>0.0203675</v>
      </c>
    </row>
    <row r="605" customFormat="false" ht="13.8" hidden="false" customHeight="false" outlineLevel="0" collapsed="false">
      <c r="B605" s="1" t="n">
        <v>604</v>
      </c>
      <c r="C605" s="2" t="n">
        <v>0.0276325</v>
      </c>
    </row>
    <row r="606" customFormat="false" ht="13.8" hidden="false" customHeight="false" outlineLevel="0" collapsed="false">
      <c r="B606" s="1" t="n">
        <v>605</v>
      </c>
      <c r="C606" s="2" t="n">
        <v>0.0348975</v>
      </c>
    </row>
    <row r="607" customFormat="false" ht="13.8" hidden="false" customHeight="false" outlineLevel="0" collapsed="false">
      <c r="B607" s="1" t="n">
        <v>606</v>
      </c>
      <c r="C607" s="2" t="n">
        <v>0.047335625</v>
      </c>
    </row>
    <row r="608" customFormat="false" ht="13.8" hidden="false" customHeight="false" outlineLevel="0" collapsed="false">
      <c r="B608" s="1" t="n">
        <v>607</v>
      </c>
      <c r="C608" s="2" t="n">
        <v>0.05977375</v>
      </c>
    </row>
    <row r="609" customFormat="false" ht="13.8" hidden="false" customHeight="false" outlineLevel="0" collapsed="false">
      <c r="B609" s="1" t="n">
        <v>608</v>
      </c>
      <c r="C609" s="2" t="n">
        <v>0.072211875</v>
      </c>
    </row>
    <row r="610" customFormat="false" ht="13.8" hidden="false" customHeight="false" outlineLevel="0" collapsed="false">
      <c r="B610" s="1" t="n">
        <v>609</v>
      </c>
      <c r="C610" s="2" t="n">
        <v>0.08465</v>
      </c>
    </row>
    <row r="611" customFormat="false" ht="13.8" hidden="false" customHeight="false" outlineLevel="0" collapsed="false">
      <c r="B611" s="1" t="n">
        <v>610</v>
      </c>
      <c r="C611" s="2" t="n">
        <v>0.09511875</v>
      </c>
    </row>
    <row r="612" customFormat="false" ht="13.8" hidden="false" customHeight="false" outlineLevel="0" collapsed="false">
      <c r="B612" s="1" t="n">
        <v>611</v>
      </c>
      <c r="C612" s="2" t="n">
        <v>0.1055875</v>
      </c>
    </row>
    <row r="613" customFormat="false" ht="13.8" hidden="false" customHeight="false" outlineLevel="0" collapsed="false">
      <c r="B613" s="1" t="n">
        <v>612</v>
      </c>
      <c r="C613" s="2" t="n">
        <v>0.11605625</v>
      </c>
    </row>
    <row r="614" customFormat="false" ht="13.8" hidden="false" customHeight="false" outlineLevel="0" collapsed="false">
      <c r="B614" s="1" t="n">
        <v>613</v>
      </c>
      <c r="C614" s="2" t="n">
        <v>0.126525</v>
      </c>
    </row>
    <row r="615" customFormat="false" ht="13.8" hidden="false" customHeight="false" outlineLevel="0" collapsed="false">
      <c r="B615" s="1" t="n">
        <v>614</v>
      </c>
      <c r="C615" s="2" t="n">
        <v>0.1344325</v>
      </c>
    </row>
    <row r="616" customFormat="false" ht="13.8" hidden="false" customHeight="false" outlineLevel="0" collapsed="false">
      <c r="B616" s="1" t="n">
        <v>615</v>
      </c>
      <c r="C616" s="2" t="n">
        <v>0.14234</v>
      </c>
    </row>
    <row r="617" customFormat="false" ht="13.8" hidden="false" customHeight="false" outlineLevel="0" collapsed="false">
      <c r="B617" s="1" t="n">
        <v>616</v>
      </c>
      <c r="C617" s="2" t="n">
        <v>0.1502475</v>
      </c>
    </row>
    <row r="618" customFormat="false" ht="13.8" hidden="false" customHeight="false" outlineLevel="0" collapsed="false">
      <c r="B618" s="1" t="n">
        <v>617</v>
      </c>
      <c r="C618" s="2" t="n">
        <v>0.158155</v>
      </c>
    </row>
    <row r="619" customFormat="false" ht="13.8" hidden="false" customHeight="false" outlineLevel="0" collapsed="false">
      <c r="B619" s="1" t="n">
        <v>618</v>
      </c>
      <c r="C619" s="2" t="n">
        <v>0.162835</v>
      </c>
    </row>
    <row r="620" customFormat="false" ht="13.8" hidden="false" customHeight="false" outlineLevel="0" collapsed="false">
      <c r="B620" s="1" t="n">
        <v>619</v>
      </c>
      <c r="C620" s="2" t="n">
        <v>0.167515</v>
      </c>
    </row>
    <row r="621" customFormat="false" ht="13.8" hidden="false" customHeight="false" outlineLevel="0" collapsed="false">
      <c r="B621" s="1" t="n">
        <v>620</v>
      </c>
      <c r="C621" s="2" t="n">
        <v>0.172195</v>
      </c>
    </row>
    <row r="622" customFormat="false" ht="13.8" hidden="false" customHeight="false" outlineLevel="0" collapsed="false">
      <c r="B622" s="1" t="n">
        <v>621</v>
      </c>
      <c r="C622" s="2" t="n">
        <v>0.176875</v>
      </c>
    </row>
    <row r="623" customFormat="false" ht="13.8" hidden="false" customHeight="false" outlineLevel="0" collapsed="false">
      <c r="B623" s="1" t="n">
        <v>622</v>
      </c>
      <c r="C623" s="2" t="n">
        <v>0.17365125</v>
      </c>
    </row>
    <row r="624" customFormat="false" ht="13.8" hidden="false" customHeight="false" outlineLevel="0" collapsed="false">
      <c r="B624" s="1" t="n">
        <v>623</v>
      </c>
      <c r="C624" s="2" t="n">
        <v>0.1704275</v>
      </c>
    </row>
    <row r="625" customFormat="false" ht="13.8" hidden="false" customHeight="false" outlineLevel="0" collapsed="false">
      <c r="B625" s="1" t="n">
        <v>624</v>
      </c>
      <c r="C625" s="2" t="n">
        <v>0.16720375</v>
      </c>
    </row>
    <row r="626" customFormat="false" ht="13.8" hidden="false" customHeight="false" outlineLevel="0" collapsed="false">
      <c r="B626" s="1" t="n">
        <v>625</v>
      </c>
      <c r="C626" s="2" t="n">
        <v>0.16398</v>
      </c>
    </row>
    <row r="627" customFormat="false" ht="13.8" hidden="false" customHeight="false" outlineLevel="0" collapsed="false">
      <c r="B627" s="1" t="n">
        <v>626</v>
      </c>
      <c r="C627" s="2" t="n">
        <v>0.1457525</v>
      </c>
    </row>
    <row r="628" customFormat="false" ht="13.8" hidden="false" customHeight="false" outlineLevel="0" collapsed="false">
      <c r="B628" s="1" t="n">
        <v>627</v>
      </c>
      <c r="C628" s="2" t="n">
        <v>0.127525</v>
      </c>
    </row>
    <row r="629" customFormat="false" ht="13.8" hidden="false" customHeight="false" outlineLevel="0" collapsed="false">
      <c r="B629" s="1" t="n">
        <v>628</v>
      </c>
      <c r="C629" s="2" t="n">
        <v>0.1092975</v>
      </c>
    </row>
    <row r="630" customFormat="false" ht="13.8" hidden="false" customHeight="false" outlineLevel="0" collapsed="false">
      <c r="B630" s="1" t="n">
        <v>629</v>
      </c>
      <c r="C630" s="2" t="n">
        <v>0.09107</v>
      </c>
    </row>
    <row r="631" customFormat="false" ht="13.8" hidden="false" customHeight="false" outlineLevel="0" collapsed="false">
      <c r="B631" s="1" t="n">
        <v>630</v>
      </c>
      <c r="C631" s="2" t="n">
        <v>0.08901375</v>
      </c>
    </row>
    <row r="632" customFormat="false" ht="13.8" hidden="false" customHeight="false" outlineLevel="0" collapsed="false">
      <c r="B632" s="1" t="n">
        <v>631</v>
      </c>
      <c r="C632" s="2" t="n">
        <v>0.0869575</v>
      </c>
    </row>
    <row r="633" customFormat="false" ht="13.8" hidden="false" customHeight="false" outlineLevel="0" collapsed="false">
      <c r="B633" s="1" t="n">
        <v>632</v>
      </c>
      <c r="C633" s="2" t="n">
        <v>0.08490125</v>
      </c>
    </row>
    <row r="634" customFormat="false" ht="13.8" hidden="false" customHeight="false" outlineLevel="0" collapsed="false">
      <c r="B634" s="1" t="n">
        <v>633</v>
      </c>
      <c r="C634" s="2" t="n">
        <v>0.082845</v>
      </c>
    </row>
    <row r="635" customFormat="false" ht="13.8" hidden="false" customHeight="false" outlineLevel="0" collapsed="false">
      <c r="B635" s="1" t="n">
        <v>634</v>
      </c>
      <c r="C635" s="2" t="n">
        <v>0.07641375</v>
      </c>
    </row>
    <row r="636" customFormat="false" ht="13.8" hidden="false" customHeight="false" outlineLevel="0" collapsed="false">
      <c r="B636" s="1" t="n">
        <v>635</v>
      </c>
      <c r="C636" s="2" t="n">
        <v>0.0699825</v>
      </c>
    </row>
    <row r="637" customFormat="false" ht="13.8" hidden="false" customHeight="false" outlineLevel="0" collapsed="false">
      <c r="B637" s="1" t="n">
        <v>636</v>
      </c>
      <c r="C637" s="2" t="n">
        <v>0.06355125</v>
      </c>
    </row>
    <row r="638" customFormat="false" ht="13.8" hidden="false" customHeight="false" outlineLevel="0" collapsed="false">
      <c r="B638" s="1" t="n">
        <v>637</v>
      </c>
      <c r="C638" s="2" t="n">
        <v>0.05712</v>
      </c>
    </row>
    <row r="639" customFormat="false" ht="13.8" hidden="false" customHeight="false" outlineLevel="0" collapsed="false">
      <c r="B639" s="1" t="n">
        <v>638</v>
      </c>
      <c r="C639" s="2" t="n">
        <v>0.045080625</v>
      </c>
    </row>
    <row r="640" customFormat="false" ht="13.8" hidden="false" customHeight="false" outlineLevel="0" collapsed="false">
      <c r="B640" s="1" t="n">
        <v>639</v>
      </c>
      <c r="C640" s="2" t="n">
        <v>0.03304125</v>
      </c>
    </row>
    <row r="641" customFormat="false" ht="13.8" hidden="false" customHeight="false" outlineLevel="0" collapsed="false">
      <c r="B641" s="1" t="n">
        <v>640</v>
      </c>
      <c r="C641" s="2" t="n">
        <v>0.021001875</v>
      </c>
    </row>
    <row r="642" customFormat="false" ht="13.8" hidden="false" customHeight="false" outlineLevel="0" collapsed="false">
      <c r="B642" s="1" t="n">
        <v>641</v>
      </c>
      <c r="C642" s="2" t="n">
        <v>0.0089625</v>
      </c>
    </row>
    <row r="643" customFormat="false" ht="13.8" hidden="false" customHeight="false" outlineLevel="0" collapsed="false">
      <c r="B643" s="1" t="n">
        <v>642</v>
      </c>
      <c r="C643" s="2" t="n">
        <v>0.00814375</v>
      </c>
    </row>
    <row r="644" customFormat="false" ht="13.8" hidden="false" customHeight="false" outlineLevel="0" collapsed="false">
      <c r="B644" s="1" t="n">
        <v>643</v>
      </c>
      <c r="C644" s="2" t="n">
        <v>0.007325</v>
      </c>
    </row>
    <row r="645" customFormat="false" ht="13.8" hidden="false" customHeight="false" outlineLevel="0" collapsed="false">
      <c r="B645" s="1" t="n">
        <v>644</v>
      </c>
      <c r="C645" s="2" t="n">
        <v>0.00650625</v>
      </c>
    </row>
    <row r="646" customFormat="false" ht="13.8" hidden="false" customHeight="false" outlineLevel="0" collapsed="false">
      <c r="B646" s="1" t="n">
        <v>645</v>
      </c>
      <c r="C646" s="2" t="n">
        <v>0.0056875</v>
      </c>
    </row>
    <row r="647" customFormat="false" ht="13.8" hidden="false" customHeight="false" outlineLevel="0" collapsed="false">
      <c r="B647" s="1" t="n">
        <v>646</v>
      </c>
      <c r="C647" s="2" t="n">
        <v>0.004265625</v>
      </c>
    </row>
    <row r="648" customFormat="false" ht="13.8" hidden="false" customHeight="false" outlineLevel="0" collapsed="false">
      <c r="B648" s="1" t="n">
        <v>647</v>
      </c>
      <c r="C648" s="2" t="n">
        <v>0.00284375</v>
      </c>
    </row>
    <row r="649" customFormat="false" ht="13.8" hidden="false" customHeight="false" outlineLevel="0" collapsed="false">
      <c r="B649" s="1" t="n">
        <v>648</v>
      </c>
      <c r="C649" s="2" t="n">
        <v>0.001421875</v>
      </c>
    </row>
    <row r="650" customFormat="false" ht="13.8" hidden="false" customHeight="false" outlineLevel="0" collapsed="false">
      <c r="B650" s="1" t="n">
        <v>649</v>
      </c>
      <c r="C650" s="2" t="n">
        <v>0</v>
      </c>
    </row>
    <row r="651" customFormat="false" ht="13.8" hidden="false" customHeight="false" outlineLevel="0" collapsed="false">
      <c r="B651" s="1" t="n">
        <v>650</v>
      </c>
      <c r="C651" s="2" t="n">
        <v>0</v>
      </c>
    </row>
    <row r="652" customFormat="false" ht="13.8" hidden="false" customHeight="false" outlineLevel="0" collapsed="false">
      <c r="B652" s="1" t="n">
        <v>651</v>
      </c>
      <c r="C652" s="2" t="n">
        <v>0</v>
      </c>
    </row>
    <row r="653" customFormat="false" ht="13.8" hidden="false" customHeight="false" outlineLevel="0" collapsed="false">
      <c r="B653" s="1" t="n">
        <v>652</v>
      </c>
      <c r="C653" s="2" t="n">
        <v>0</v>
      </c>
    </row>
    <row r="654" customFormat="false" ht="13.8" hidden="false" customHeight="false" outlineLevel="0" collapsed="false">
      <c r="B654" s="1" t="n">
        <v>653</v>
      </c>
      <c r="C654" s="2" t="n">
        <v>0</v>
      </c>
    </row>
    <row r="655" customFormat="false" ht="13.8" hidden="false" customHeight="false" outlineLevel="0" collapsed="false">
      <c r="B655" s="1" t="n">
        <v>654</v>
      </c>
      <c r="C655" s="2" t="n">
        <v>0</v>
      </c>
    </row>
    <row r="656" customFormat="false" ht="13.8" hidden="false" customHeight="false" outlineLevel="0" collapsed="false">
      <c r="B656" s="1" t="n">
        <v>655</v>
      </c>
      <c r="C656" s="2" t="n">
        <v>0</v>
      </c>
    </row>
    <row r="657" customFormat="false" ht="13.8" hidden="false" customHeight="false" outlineLevel="0" collapsed="false">
      <c r="B657" s="1" t="n">
        <v>656</v>
      </c>
      <c r="C657" s="2" t="n">
        <v>0</v>
      </c>
    </row>
    <row r="658" customFormat="false" ht="13.8" hidden="false" customHeight="false" outlineLevel="0" collapsed="false">
      <c r="B658" s="1" t="n">
        <v>657</v>
      </c>
      <c r="C658" s="2" t="n">
        <v>0</v>
      </c>
    </row>
    <row r="659" customFormat="false" ht="13.8" hidden="false" customHeight="false" outlineLevel="0" collapsed="false">
      <c r="B659" s="1" t="n">
        <v>658</v>
      </c>
      <c r="C659" s="2" t="n">
        <v>0</v>
      </c>
    </row>
    <row r="660" customFormat="false" ht="13.8" hidden="false" customHeight="false" outlineLevel="0" collapsed="false">
      <c r="B660" s="1" t="n">
        <v>659</v>
      </c>
      <c r="C660" s="2" t="n">
        <v>0</v>
      </c>
    </row>
    <row r="661" customFormat="false" ht="13.8" hidden="false" customHeight="false" outlineLevel="0" collapsed="false">
      <c r="B661" s="1" t="n">
        <v>660</v>
      </c>
      <c r="C661" s="2" t="n">
        <v>0</v>
      </c>
    </row>
    <row r="662" customFormat="false" ht="13.8" hidden="false" customHeight="false" outlineLevel="0" collapsed="false">
      <c r="B662" s="1" t="n">
        <v>661</v>
      </c>
      <c r="C662" s="2" t="n">
        <v>0</v>
      </c>
    </row>
    <row r="663" customFormat="false" ht="13.8" hidden="false" customHeight="false" outlineLevel="0" collapsed="false">
      <c r="B663" s="1" t="n">
        <v>662</v>
      </c>
      <c r="C663" s="2" t="n">
        <v>0</v>
      </c>
    </row>
    <row r="664" customFormat="false" ht="13.8" hidden="false" customHeight="false" outlineLevel="0" collapsed="false">
      <c r="B664" s="1" t="n">
        <v>663</v>
      </c>
      <c r="C664" s="2" t="n">
        <v>0</v>
      </c>
    </row>
    <row r="665" customFormat="false" ht="13.8" hidden="false" customHeight="false" outlineLevel="0" collapsed="false">
      <c r="B665" s="1" t="n">
        <v>664</v>
      </c>
      <c r="C665" s="2" t="n">
        <v>0</v>
      </c>
    </row>
    <row r="666" customFormat="false" ht="13.8" hidden="false" customHeight="false" outlineLevel="0" collapsed="false">
      <c r="B666" s="1" t="n">
        <v>665</v>
      </c>
      <c r="C666" s="2" t="n">
        <v>0</v>
      </c>
    </row>
    <row r="667" customFormat="false" ht="13.8" hidden="false" customHeight="false" outlineLevel="0" collapsed="false">
      <c r="B667" s="1" t="n">
        <v>666</v>
      </c>
      <c r="C667" s="2" t="n">
        <v>0</v>
      </c>
    </row>
    <row r="668" customFormat="false" ht="13.8" hidden="false" customHeight="false" outlineLevel="0" collapsed="false">
      <c r="B668" s="1" t="n">
        <v>667</v>
      </c>
      <c r="C668" s="2" t="n">
        <v>0</v>
      </c>
    </row>
    <row r="669" customFormat="false" ht="13.8" hidden="false" customHeight="false" outlineLevel="0" collapsed="false">
      <c r="B669" s="1" t="n">
        <v>668</v>
      </c>
      <c r="C669" s="2" t="n">
        <v>0</v>
      </c>
    </row>
    <row r="670" customFormat="false" ht="13.8" hidden="false" customHeight="false" outlineLevel="0" collapsed="false">
      <c r="B670" s="1" t="n">
        <v>669</v>
      </c>
      <c r="C670" s="2" t="n">
        <v>0</v>
      </c>
    </row>
    <row r="671" customFormat="false" ht="13.8" hidden="false" customHeight="false" outlineLevel="0" collapsed="false">
      <c r="B671" s="1" t="n">
        <v>670</v>
      </c>
      <c r="C671" s="2" t="n">
        <v>0</v>
      </c>
    </row>
    <row r="672" customFormat="false" ht="13.8" hidden="false" customHeight="false" outlineLevel="0" collapsed="false">
      <c r="B672" s="1" t="n">
        <v>671</v>
      </c>
      <c r="C672" s="2" t="n">
        <v>0</v>
      </c>
    </row>
    <row r="673" customFormat="false" ht="13.8" hidden="false" customHeight="false" outlineLevel="0" collapsed="false">
      <c r="B673" s="1" t="n">
        <v>672</v>
      </c>
      <c r="C67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I2:I4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0.0480098666666667</v>
      </c>
      <c r="D3" s="2" t="n">
        <v>0</v>
      </c>
      <c r="E3" s="2" t="n">
        <v>0.0933338666666667</v>
      </c>
    </row>
    <row r="4" customFormat="false" ht="13.8" hidden="false" customHeight="false" outlineLevel="0" collapsed="false">
      <c r="B4" s="2" t="n">
        <v>2</v>
      </c>
      <c r="C4" s="2" t="n">
        <v>0.193541933333333</v>
      </c>
      <c r="D4" s="2" t="n">
        <v>0</v>
      </c>
      <c r="E4" s="2" t="n">
        <v>0.044</v>
      </c>
    </row>
    <row r="5" customFormat="false" ht="13.8" hidden="false" customHeight="false" outlineLevel="0" collapsed="false">
      <c r="B5" s="2" t="n">
        <v>3</v>
      </c>
      <c r="C5" s="2" t="n">
        <v>0.220741066666667</v>
      </c>
      <c r="D5" s="2" t="n">
        <v>0</v>
      </c>
      <c r="E5" s="2" t="n">
        <v>0.0560002</v>
      </c>
    </row>
    <row r="6" customFormat="false" ht="13.8" hidden="false" customHeight="false" outlineLevel="0" collapsed="false">
      <c r="B6" s="2" t="n">
        <v>4</v>
      </c>
      <c r="C6" s="2" t="n">
        <v>0.2126704</v>
      </c>
      <c r="D6" s="2" t="n">
        <v>0.133333333333333</v>
      </c>
      <c r="E6" s="2" t="n">
        <v>0.0400008</v>
      </c>
    </row>
    <row r="7" customFormat="false" ht="13.8" hidden="false" customHeight="false" outlineLevel="0" collapsed="false">
      <c r="B7" s="2" t="n">
        <v>5</v>
      </c>
      <c r="C7" s="2" t="n">
        <v>0.217001733333333</v>
      </c>
      <c r="D7" s="2" t="n">
        <v>0.4</v>
      </c>
      <c r="E7" s="2" t="n">
        <v>0.096</v>
      </c>
    </row>
    <row r="8" customFormat="false" ht="13.8" hidden="false" customHeight="false" outlineLevel="0" collapsed="false">
      <c r="B8" s="2" t="n">
        <v>6</v>
      </c>
      <c r="C8" s="2" t="n">
        <v>0.1589342</v>
      </c>
      <c r="D8" s="2" t="n">
        <v>0.4</v>
      </c>
      <c r="E8" s="2" t="n">
        <v>0.044</v>
      </c>
    </row>
    <row r="9" customFormat="false" ht="13.8" hidden="false" customHeight="false" outlineLevel="0" collapsed="false">
      <c r="B9" s="2" t="n">
        <v>7</v>
      </c>
      <c r="C9" s="2" t="n">
        <v>0.216133866666667</v>
      </c>
      <c r="D9" s="2" t="n">
        <v>0.4</v>
      </c>
      <c r="E9" s="2" t="n">
        <v>0.096</v>
      </c>
    </row>
    <row r="10" customFormat="false" ht="13.8" hidden="false" customHeight="false" outlineLevel="0" collapsed="false">
      <c r="B10" s="2" t="n">
        <v>8</v>
      </c>
      <c r="C10" s="2" t="n">
        <v>0.164467333333333</v>
      </c>
      <c r="D10" s="2" t="n">
        <v>0.4</v>
      </c>
      <c r="E10" s="2" t="n">
        <v>0.044</v>
      </c>
    </row>
    <row r="11" customFormat="false" ht="13.8" hidden="false" customHeight="false" outlineLevel="0" collapsed="false">
      <c r="B11" s="2" t="n">
        <v>9</v>
      </c>
      <c r="C11" s="2" t="n">
        <v>0.221000466666667</v>
      </c>
      <c r="D11" s="2" t="n">
        <v>0.4</v>
      </c>
      <c r="E11" s="2" t="n">
        <v>0.096</v>
      </c>
    </row>
    <row r="12" customFormat="false" ht="13.8" hidden="false" customHeight="false" outlineLevel="0" collapsed="false">
      <c r="B12" s="2" t="n">
        <v>10</v>
      </c>
      <c r="C12" s="2" t="n">
        <v>0.160201066666667</v>
      </c>
      <c r="D12" s="2" t="n">
        <v>0.4</v>
      </c>
      <c r="E12" s="2" t="n">
        <v>0.044</v>
      </c>
    </row>
    <row r="13" customFormat="false" ht="13.8" hidden="false" customHeight="false" outlineLevel="0" collapsed="false">
      <c r="B13" s="2" t="n">
        <v>11</v>
      </c>
      <c r="C13" s="2" t="n">
        <v>0.0846671333333333</v>
      </c>
      <c r="D13" s="2" t="n">
        <v>0.4</v>
      </c>
      <c r="E13" s="2" t="n">
        <v>0.0533340666666667</v>
      </c>
    </row>
    <row r="14" customFormat="false" ht="13.8" hidden="false" customHeight="false" outlineLevel="0" collapsed="false">
      <c r="B14" s="2" t="n">
        <v>12</v>
      </c>
      <c r="C14" s="2" t="n">
        <v>0.2064</v>
      </c>
      <c r="D14" s="2" t="n">
        <v>0.4</v>
      </c>
      <c r="E14" s="2" t="n">
        <v>0.0666673333333333</v>
      </c>
    </row>
    <row r="15" customFormat="false" ht="13.8" hidden="false" customHeight="false" outlineLevel="0" collapsed="false">
      <c r="B15" s="2" t="n">
        <v>13</v>
      </c>
      <c r="C15" s="2" t="n">
        <v>0.292200466666667</v>
      </c>
      <c r="D15" s="2" t="n">
        <v>0.4</v>
      </c>
      <c r="E15" s="2" t="n">
        <v>0.07</v>
      </c>
    </row>
    <row r="16" customFormat="false" ht="13.8" hidden="false" customHeight="false" outlineLevel="0" collapsed="false">
      <c r="B16" s="2" t="n">
        <v>14</v>
      </c>
      <c r="C16" s="2" t="n">
        <v>0.335866733333333</v>
      </c>
      <c r="D16" s="2" t="n">
        <v>0.4</v>
      </c>
      <c r="E16" s="2" t="n">
        <v>0.0566667333333333</v>
      </c>
    </row>
    <row r="17" customFormat="false" ht="13.8" hidden="false" customHeight="false" outlineLevel="0" collapsed="false">
      <c r="B17" s="2" t="n">
        <v>15</v>
      </c>
      <c r="C17" s="2" t="n">
        <v>0.189266733333333</v>
      </c>
      <c r="D17" s="2" t="n">
        <v>0.4</v>
      </c>
      <c r="E17" s="2" t="n">
        <v>0.083</v>
      </c>
    </row>
    <row r="18" customFormat="false" ht="13.8" hidden="false" customHeight="false" outlineLevel="0" collapsed="false">
      <c r="B18" s="2" t="n">
        <v>16</v>
      </c>
      <c r="C18" s="2" t="n">
        <v>0.307600533333333</v>
      </c>
      <c r="D18" s="2" t="n">
        <v>0.4</v>
      </c>
      <c r="E18" s="2" t="n">
        <v>0.0303334666666667</v>
      </c>
    </row>
    <row r="19" customFormat="false" ht="13.8" hidden="false" customHeight="false" outlineLevel="0" collapsed="false">
      <c r="B19" s="2" t="n">
        <v>17</v>
      </c>
      <c r="C19" s="2" t="n">
        <v>0.172800866666667</v>
      </c>
      <c r="D19" s="2" t="n">
        <v>0.4</v>
      </c>
      <c r="E19" s="2" t="n">
        <v>1E-006</v>
      </c>
    </row>
    <row r="20" customFormat="false" ht="13.8" hidden="false" customHeight="false" outlineLevel="0" collapsed="false">
      <c r="B20" s="2" t="n">
        <v>18</v>
      </c>
      <c r="C20" s="2" t="n">
        <v>0.2914676</v>
      </c>
      <c r="D20" s="2" t="n">
        <v>0.4</v>
      </c>
      <c r="E20" s="2" t="n">
        <v>0.135</v>
      </c>
    </row>
    <row r="21" customFormat="false" ht="13.8" hidden="false" customHeight="false" outlineLevel="0" collapsed="false">
      <c r="B21" s="2" t="n">
        <v>19</v>
      </c>
      <c r="C21" s="2" t="n">
        <v>0.163934066666667</v>
      </c>
      <c r="D21" s="2" t="n">
        <v>0.4</v>
      </c>
      <c r="E21" s="2" t="n">
        <v>0.005</v>
      </c>
    </row>
    <row r="22" customFormat="false" ht="13.8" hidden="false" customHeight="false" outlineLevel="0" collapsed="false">
      <c r="B22" s="2" t="n">
        <v>20</v>
      </c>
      <c r="C22" s="2" t="n">
        <v>0.2147346</v>
      </c>
      <c r="D22" s="2" t="n">
        <v>0.4</v>
      </c>
      <c r="E22" s="2" t="n">
        <v>0.106667133333333</v>
      </c>
    </row>
    <row r="23" customFormat="false" ht="13.8" hidden="false" customHeight="false" outlineLevel="0" collapsed="false">
      <c r="B23" s="2" t="n">
        <v>21</v>
      </c>
      <c r="C23" s="2" t="n">
        <v>0.257201733333333</v>
      </c>
      <c r="D23" s="2" t="n">
        <v>0.4</v>
      </c>
      <c r="E23" s="2" t="n">
        <v>0.044</v>
      </c>
    </row>
    <row r="24" customFormat="false" ht="13.8" hidden="false" customHeight="false" outlineLevel="0" collapsed="false">
      <c r="B24" s="2" t="n">
        <v>22</v>
      </c>
      <c r="C24" s="2" t="n">
        <v>0.281133466666667</v>
      </c>
      <c r="D24" s="2" t="n">
        <v>0</v>
      </c>
      <c r="E24" s="2" t="n">
        <v>0.096</v>
      </c>
    </row>
    <row r="25" customFormat="false" ht="13.8" hidden="false" customHeight="false" outlineLevel="0" collapsed="false">
      <c r="B25" s="2" t="n">
        <v>23</v>
      </c>
      <c r="C25" s="2" t="n">
        <v>0.152267466666667</v>
      </c>
      <c r="D25" s="2" t="n">
        <v>0</v>
      </c>
      <c r="E25" s="2" t="n">
        <v>0.044</v>
      </c>
    </row>
    <row r="26" customFormat="false" ht="13.8" hidden="false" customHeight="false" outlineLevel="0" collapsed="false">
      <c r="B26" s="2" t="n">
        <v>24</v>
      </c>
      <c r="C26" s="2" t="n">
        <v>0.382734133333333</v>
      </c>
      <c r="D26" s="2" t="n">
        <v>0</v>
      </c>
      <c r="E26" s="2" t="n">
        <v>0.0560002</v>
      </c>
    </row>
    <row r="27" customFormat="false" ht="13.8" hidden="false" customHeight="false" outlineLevel="0" collapsed="false">
      <c r="B27" s="2" t="n">
        <v>25</v>
      </c>
      <c r="C27" s="2" t="n">
        <v>0.1504674</v>
      </c>
      <c r="D27" s="2" t="n">
        <v>0</v>
      </c>
      <c r="E27" s="2" t="n">
        <v>0.109</v>
      </c>
    </row>
    <row r="28" customFormat="false" ht="13.8" hidden="false" customHeight="false" outlineLevel="0" collapsed="false">
      <c r="B28" s="2" t="n">
        <v>26</v>
      </c>
      <c r="C28" s="2" t="n">
        <v>0.407667866666667</v>
      </c>
      <c r="D28" s="2" t="n">
        <v>0</v>
      </c>
      <c r="E28" s="2" t="n">
        <v>0.031</v>
      </c>
    </row>
    <row r="29" customFormat="false" ht="13.8" hidden="false" customHeight="false" outlineLevel="0" collapsed="false">
      <c r="B29" s="2" t="n">
        <v>27</v>
      </c>
      <c r="C29" s="2" t="n">
        <v>0.160868666666667</v>
      </c>
      <c r="D29" s="2" t="n">
        <v>0</v>
      </c>
      <c r="E29" s="2" t="n">
        <v>0.109</v>
      </c>
    </row>
    <row r="30" customFormat="false" ht="13.8" hidden="false" customHeight="false" outlineLevel="0" collapsed="false">
      <c r="B30" s="2" t="n">
        <v>28</v>
      </c>
      <c r="C30" s="2" t="n">
        <v>0.3845374</v>
      </c>
      <c r="D30" s="2" t="n">
        <v>0</v>
      </c>
      <c r="E30" s="2" t="n">
        <v>0.031</v>
      </c>
    </row>
    <row r="31" customFormat="false" ht="13.8" hidden="false" customHeight="false" outlineLevel="0" collapsed="false">
      <c r="B31" s="2" t="n">
        <v>29</v>
      </c>
      <c r="C31" s="2" t="n">
        <v>0.1332708</v>
      </c>
      <c r="D31" s="2" t="n">
        <v>0</v>
      </c>
      <c r="E31" s="2" t="n">
        <v>0.109</v>
      </c>
    </row>
    <row r="32" customFormat="false" ht="13.8" hidden="false" customHeight="false" outlineLevel="0" collapsed="false">
      <c r="B32" s="2" t="n">
        <v>30</v>
      </c>
      <c r="C32" s="2" t="n">
        <v>0.378405533333333</v>
      </c>
      <c r="D32" s="2" t="n">
        <v>0</v>
      </c>
      <c r="E32" s="2" t="n">
        <v>0.0310001333333333</v>
      </c>
    </row>
    <row r="33" customFormat="false" ht="13.8" hidden="false" customHeight="false" outlineLevel="0" collapsed="false">
      <c r="B33" s="2" t="n">
        <v>31</v>
      </c>
      <c r="C33" s="2" t="n">
        <v>0.141004133333333</v>
      </c>
      <c r="D33" s="2" t="n">
        <v>0</v>
      </c>
      <c r="E33" s="2" t="n">
        <v>0.109001</v>
      </c>
    </row>
    <row r="34" customFormat="false" ht="13.8" hidden="false" customHeight="false" outlineLevel="0" collapsed="false">
      <c r="B34" s="2" t="n">
        <v>32</v>
      </c>
      <c r="C34" s="2" t="n">
        <v>0.282673066666667</v>
      </c>
      <c r="D34" s="2" t="n">
        <v>0</v>
      </c>
      <c r="E34" s="2" t="n">
        <v>0.031001</v>
      </c>
    </row>
    <row r="35" customFormat="false" ht="13.8" hidden="false" customHeight="false" outlineLevel="0" collapsed="false">
      <c r="B35" s="2" t="n">
        <v>33</v>
      </c>
      <c r="C35" s="2" t="n">
        <v>0.1280074</v>
      </c>
      <c r="D35" s="2" t="n">
        <v>0</v>
      </c>
      <c r="E35" s="2" t="n">
        <v>0.109001</v>
      </c>
    </row>
    <row r="36" customFormat="false" ht="13.8" hidden="false" customHeight="false" outlineLevel="0" collapsed="false">
      <c r="B36" s="2" t="n">
        <v>34</v>
      </c>
      <c r="C36" s="2" t="n">
        <v>0.369007</v>
      </c>
      <c r="D36" s="2" t="n">
        <v>0</v>
      </c>
      <c r="E36" s="2" t="n">
        <v>0.031001</v>
      </c>
    </row>
    <row r="37" customFormat="false" ht="13.8" hidden="false" customHeight="false" outlineLevel="0" collapsed="false">
      <c r="B37" s="2" t="n">
        <v>35</v>
      </c>
      <c r="C37" s="2" t="n">
        <v>0.1822076</v>
      </c>
      <c r="D37" s="2" t="n">
        <v>0</v>
      </c>
      <c r="E37" s="2" t="n">
        <v>0.109001</v>
      </c>
    </row>
    <row r="38" customFormat="false" ht="13.8" hidden="false" customHeight="false" outlineLevel="0" collapsed="false">
      <c r="B38" s="2" t="n">
        <v>36</v>
      </c>
      <c r="C38" s="2" t="n">
        <v>0.291008333333333</v>
      </c>
      <c r="D38" s="2" t="n">
        <v>0</v>
      </c>
      <c r="E38" s="2" t="n">
        <v>0.031001</v>
      </c>
    </row>
    <row r="39" customFormat="false" ht="13.8" hidden="false" customHeight="false" outlineLevel="0" collapsed="false">
      <c r="B39" s="2" t="n">
        <v>37</v>
      </c>
      <c r="C39" s="2" t="n">
        <v>0.298008</v>
      </c>
      <c r="D39" s="2" t="n">
        <v>0</v>
      </c>
      <c r="E39" s="2" t="n">
        <v>0.109001</v>
      </c>
    </row>
    <row r="40" customFormat="false" ht="13.8" hidden="false" customHeight="false" outlineLevel="0" collapsed="false">
      <c r="B40" s="2" t="n">
        <v>38</v>
      </c>
      <c r="C40" s="2" t="n">
        <v>0.273673933333333</v>
      </c>
      <c r="D40" s="2" t="n">
        <v>0</v>
      </c>
      <c r="E40" s="2" t="n">
        <v>2.2E-006</v>
      </c>
    </row>
    <row r="41" customFormat="false" ht="13.8" hidden="false" customHeight="false" outlineLevel="0" collapsed="false">
      <c r="B41" s="2" t="n">
        <v>39</v>
      </c>
      <c r="C41" s="2" t="n">
        <v>0.3010068</v>
      </c>
      <c r="D41" s="2" t="n">
        <v>0</v>
      </c>
      <c r="E41" s="2" t="n">
        <v>0.0566687333333333</v>
      </c>
    </row>
    <row r="42" customFormat="false" ht="13.8" hidden="false" customHeight="false" outlineLevel="0" collapsed="false">
      <c r="B42" s="2" t="n">
        <v>40</v>
      </c>
      <c r="C42" s="2" t="n">
        <v>0.265008</v>
      </c>
      <c r="D42" s="2" t="n">
        <v>0</v>
      </c>
      <c r="E42" s="2" t="n">
        <v>0.2005352</v>
      </c>
    </row>
    <row r="43" customFormat="false" ht="13.8" hidden="false" customHeight="false" outlineLevel="0" collapsed="false">
      <c r="B43" s="2" t="n">
        <v>41</v>
      </c>
      <c r="C43" s="2" t="n">
        <v>0.184341866666667</v>
      </c>
      <c r="D43" s="2" t="n">
        <v>0</v>
      </c>
      <c r="E43" s="2" t="n">
        <v>0.074001</v>
      </c>
    </row>
    <row r="44" customFormat="false" ht="13.8" hidden="false" customHeight="false" outlineLevel="0" collapsed="false">
      <c r="B44" s="2" t="n">
        <v>42</v>
      </c>
      <c r="C44" s="2" t="n">
        <v>0.1658084</v>
      </c>
      <c r="D44" s="2" t="n">
        <v>0</v>
      </c>
      <c r="E44" s="2" t="n">
        <v>0.2034678</v>
      </c>
    </row>
    <row r="45" customFormat="false" ht="13.8" hidden="false" customHeight="false" outlineLevel="0" collapsed="false">
      <c r="B45" s="2" t="n">
        <v>43</v>
      </c>
      <c r="C45" s="2" t="n">
        <v>0.311140933333333</v>
      </c>
      <c r="D45" s="2" t="n">
        <v>0</v>
      </c>
      <c r="E45" s="2" t="n">
        <v>0.1500016</v>
      </c>
    </row>
    <row r="46" customFormat="false" ht="13.8" hidden="false" customHeight="false" outlineLevel="0" collapsed="false">
      <c r="B46" s="2" t="n">
        <v>44</v>
      </c>
      <c r="C46" s="2" t="n">
        <v>0.244739666666667</v>
      </c>
      <c r="D46" s="2" t="n">
        <v>0</v>
      </c>
      <c r="E46" s="2" t="n">
        <v>0.400001</v>
      </c>
    </row>
    <row r="47" customFormat="false" ht="13.8" hidden="false" customHeight="false" outlineLevel="0" collapsed="false">
      <c r="B47" s="2" t="n">
        <v>45</v>
      </c>
      <c r="C47" s="2" t="n">
        <v>0.367004733333333</v>
      </c>
      <c r="D47" s="2" t="n">
        <v>0</v>
      </c>
      <c r="E47" s="2" t="n">
        <v>0.164001466666667</v>
      </c>
    </row>
    <row r="48" customFormat="false" ht="13.8" hidden="false" customHeight="false" outlineLevel="0" collapsed="false">
      <c r="B48" s="2" t="n">
        <v>46</v>
      </c>
      <c r="C48" s="2" t="n">
        <v>0.2610054</v>
      </c>
      <c r="D48" s="2" t="n">
        <v>0</v>
      </c>
      <c r="E48" s="2" t="n">
        <v>0.210001</v>
      </c>
    </row>
    <row r="49" customFormat="false" ht="13.8" hidden="false" customHeight="false" outlineLevel="0" collapsed="false">
      <c r="B49" s="2" t="n">
        <v>47</v>
      </c>
      <c r="C49" s="2" t="n">
        <v>0.196006533333333</v>
      </c>
      <c r="D49" s="2" t="n">
        <v>0</v>
      </c>
      <c r="E49" s="2" t="n">
        <v>0.080001</v>
      </c>
    </row>
    <row r="50" customFormat="false" ht="13.8" hidden="false" customHeight="false" outlineLevel="0" collapsed="false">
      <c r="B50" s="2" t="n">
        <v>48</v>
      </c>
      <c r="C50" s="2" t="n">
        <v>0.1662068</v>
      </c>
      <c r="D50" s="2" t="n">
        <v>0</v>
      </c>
      <c r="E50" s="2" t="n">
        <v>0.2040016</v>
      </c>
    </row>
    <row r="51" customFormat="false" ht="13.8" hidden="false" customHeight="false" outlineLevel="0" collapsed="false">
      <c r="B51" s="2" t="n">
        <v>49</v>
      </c>
      <c r="C51" s="2" t="n">
        <v>0.2823404</v>
      </c>
      <c r="D51" s="2" t="n">
        <v>0</v>
      </c>
      <c r="E51" s="2" t="n">
        <v>0.0700010666666667</v>
      </c>
    </row>
    <row r="52" customFormat="false" ht="13.8" hidden="false" customHeight="false" outlineLevel="0" collapsed="false">
      <c r="B52" s="2" t="n">
        <v>50</v>
      </c>
      <c r="C52" s="2" t="n">
        <v>0.2570072</v>
      </c>
      <c r="D52" s="2" t="n">
        <v>0</v>
      </c>
      <c r="E52" s="2" t="n">
        <v>0.200001</v>
      </c>
    </row>
    <row r="53" customFormat="false" ht="13.8" hidden="false" customHeight="false" outlineLevel="0" collapsed="false">
      <c r="B53" s="2" t="n">
        <v>51</v>
      </c>
      <c r="C53" s="2" t="n">
        <v>0.295674333333333</v>
      </c>
      <c r="D53" s="2" t="n">
        <v>0</v>
      </c>
      <c r="E53" s="2" t="n">
        <v>0.070001</v>
      </c>
    </row>
    <row r="54" customFormat="false" ht="13.8" hidden="false" customHeight="false" outlineLevel="0" collapsed="false">
      <c r="B54" s="2" t="n">
        <v>52</v>
      </c>
      <c r="C54" s="2" t="n">
        <v>0.292872666666667</v>
      </c>
      <c r="D54" s="2" t="n">
        <v>0</v>
      </c>
      <c r="E54" s="2" t="n">
        <v>0.200001</v>
      </c>
    </row>
    <row r="55" customFormat="false" ht="13.8" hidden="false" customHeight="false" outlineLevel="0" collapsed="false">
      <c r="B55" s="2" t="n">
        <v>53</v>
      </c>
      <c r="C55" s="2" t="n">
        <v>0.310673666666667</v>
      </c>
      <c r="D55" s="2" t="n">
        <v>0</v>
      </c>
      <c r="E55" s="2" t="n">
        <v>0.070001</v>
      </c>
    </row>
    <row r="56" customFormat="false" ht="13.8" hidden="false" customHeight="false" outlineLevel="0" collapsed="false">
      <c r="B56" s="2" t="n">
        <v>54</v>
      </c>
      <c r="C56" s="2" t="n">
        <v>0.257008266666667</v>
      </c>
      <c r="D56" s="2" t="n">
        <v>0</v>
      </c>
      <c r="E56" s="2" t="n">
        <v>0.480000333333333</v>
      </c>
    </row>
    <row r="57" customFormat="false" ht="13.8" hidden="false" customHeight="false" outlineLevel="0" collapsed="false">
      <c r="B57" s="2" t="n">
        <v>55</v>
      </c>
      <c r="C57" s="2" t="n">
        <v>0.283006733333333</v>
      </c>
      <c r="D57" s="2" t="n">
        <v>0</v>
      </c>
      <c r="E57" s="2" t="n">
        <v>0.0010018</v>
      </c>
    </row>
    <row r="58" customFormat="false" ht="13.8" hidden="false" customHeight="false" outlineLevel="0" collapsed="false">
      <c r="B58" s="2" t="n">
        <v>56</v>
      </c>
      <c r="C58" s="2" t="n">
        <v>0.257004933333333</v>
      </c>
      <c r="D58" s="2" t="n">
        <v>0</v>
      </c>
      <c r="E58" s="2" t="n">
        <v>0.109667466666667</v>
      </c>
    </row>
    <row r="59" customFormat="false" ht="13.8" hidden="false" customHeight="false" outlineLevel="0" collapsed="false">
      <c r="B59" s="2" t="n">
        <v>57</v>
      </c>
      <c r="C59" s="2" t="n">
        <v>0.202337666666667</v>
      </c>
      <c r="D59" s="2" t="n">
        <v>0</v>
      </c>
      <c r="E59" s="2" t="n">
        <v>0.1634006</v>
      </c>
    </row>
    <row r="60" customFormat="false" ht="13.8" hidden="false" customHeight="false" outlineLevel="0" collapsed="false">
      <c r="B60" s="2" t="n">
        <v>58</v>
      </c>
      <c r="C60" s="2" t="n">
        <v>0.296002933333333</v>
      </c>
      <c r="D60" s="2" t="n">
        <v>0</v>
      </c>
      <c r="E60" s="2" t="n">
        <v>0.00480113333333333</v>
      </c>
    </row>
    <row r="61" customFormat="false" ht="13.8" hidden="false" customHeight="false" outlineLevel="0" collapsed="false">
      <c r="B61" s="2" t="n">
        <v>59</v>
      </c>
      <c r="C61" s="2" t="n">
        <v>0.244001266666667</v>
      </c>
      <c r="D61" s="2" t="n">
        <v>0</v>
      </c>
      <c r="E61" s="2" t="n">
        <v>0.148001</v>
      </c>
    </row>
    <row r="62" customFormat="false" ht="13.8" hidden="false" customHeight="false" outlineLevel="0" collapsed="false">
      <c r="B62" s="2" t="n">
        <v>60</v>
      </c>
      <c r="C62" s="2" t="n">
        <v>0.296</v>
      </c>
      <c r="D62" s="2" t="n">
        <v>0</v>
      </c>
      <c r="E62" s="2" t="n">
        <v>0.128400733333333</v>
      </c>
    </row>
    <row r="63" customFormat="false" ht="13.8" hidden="false" customHeight="false" outlineLevel="0" collapsed="false">
      <c r="B63" s="2" t="n">
        <v>61</v>
      </c>
      <c r="C63" s="2" t="n">
        <v>0.244000666666667</v>
      </c>
      <c r="D63" s="2" t="n">
        <v>0</v>
      </c>
      <c r="E63" s="2" t="n">
        <v>0.156001</v>
      </c>
    </row>
    <row r="64" customFormat="false" ht="13.8" hidden="false" customHeight="false" outlineLevel="0" collapsed="false">
      <c r="B64" s="2" t="n">
        <v>62</v>
      </c>
      <c r="C64" s="2" t="n">
        <v>0.299666933333333</v>
      </c>
      <c r="D64" s="2" t="n">
        <v>0</v>
      </c>
      <c r="E64" s="2" t="n">
        <v>0.130001</v>
      </c>
    </row>
    <row r="65" customFormat="false" ht="13.8" hidden="false" customHeight="false" outlineLevel="0" collapsed="false">
      <c r="B65" s="2" t="n">
        <v>63</v>
      </c>
      <c r="C65" s="2" t="n">
        <v>0.249</v>
      </c>
      <c r="D65" s="2" t="n">
        <v>0</v>
      </c>
      <c r="E65" s="2" t="n">
        <v>0.482666733333333</v>
      </c>
    </row>
    <row r="66" customFormat="false" ht="13.8" hidden="false" customHeight="false" outlineLevel="0" collapsed="false">
      <c r="B66" s="2" t="n">
        <v>64</v>
      </c>
      <c r="C66" s="2" t="n">
        <v>0.301</v>
      </c>
      <c r="D66" s="2" t="n">
        <v>0</v>
      </c>
      <c r="E66" s="2" t="n">
        <v>0.48</v>
      </c>
    </row>
    <row r="67" customFormat="false" ht="13.8" hidden="false" customHeight="false" outlineLevel="0" collapsed="false">
      <c r="B67" s="2" t="n">
        <v>65</v>
      </c>
      <c r="C67" s="2" t="n">
        <v>0.249</v>
      </c>
      <c r="D67" s="2" t="n">
        <v>0</v>
      </c>
      <c r="E67" s="2" t="n">
        <v>0.506</v>
      </c>
    </row>
    <row r="68" customFormat="false" ht="13.8" hidden="false" customHeight="false" outlineLevel="0" collapsed="false">
      <c r="B68" s="2" t="n">
        <v>66</v>
      </c>
      <c r="C68" s="2" t="n">
        <v>0.296001</v>
      </c>
      <c r="D68" s="2" t="n">
        <v>0</v>
      </c>
      <c r="E68" s="2" t="n">
        <v>0.176667533333333</v>
      </c>
    </row>
    <row r="69" customFormat="false" ht="13.8" hidden="false" customHeight="false" outlineLevel="0" collapsed="false">
      <c r="B69" s="2" t="n">
        <v>67</v>
      </c>
      <c r="C69" s="2" t="n">
        <v>0.244001</v>
      </c>
      <c r="D69" s="2" t="n">
        <v>0</v>
      </c>
      <c r="E69" s="2" t="n">
        <v>0.008002</v>
      </c>
    </row>
    <row r="70" customFormat="false" ht="13.8" hidden="false" customHeight="false" outlineLevel="0" collapsed="false">
      <c r="B70" s="2" t="n">
        <v>68</v>
      </c>
      <c r="C70" s="2" t="n">
        <v>0.296001</v>
      </c>
      <c r="D70" s="2" t="n">
        <v>0</v>
      </c>
      <c r="E70" s="2" t="n">
        <v>0.3286686</v>
      </c>
    </row>
    <row r="71" customFormat="false" ht="13.8" hidden="false" customHeight="false" outlineLevel="0" collapsed="false">
      <c r="B71" s="2" t="n">
        <v>69</v>
      </c>
      <c r="C71" s="2" t="n">
        <v>0.244001</v>
      </c>
      <c r="D71" s="2" t="n">
        <v>0</v>
      </c>
      <c r="E71" s="2" t="n">
        <v>0.3466682</v>
      </c>
    </row>
    <row r="72" customFormat="false" ht="13.8" hidden="false" customHeight="false" outlineLevel="0" collapsed="false">
      <c r="B72" s="2" t="n">
        <v>70</v>
      </c>
      <c r="C72" s="2" t="n">
        <v>0.296001333333333</v>
      </c>
      <c r="D72" s="2" t="n">
        <v>0</v>
      </c>
      <c r="E72" s="2" t="n">
        <v>0.4675348</v>
      </c>
    </row>
    <row r="73" customFormat="false" ht="13.8" hidden="false" customHeight="false" outlineLevel="0" collapsed="false">
      <c r="B73" s="2" t="n">
        <v>71</v>
      </c>
      <c r="C73" s="2" t="n">
        <v>0.244002</v>
      </c>
      <c r="D73" s="2" t="n">
        <v>0</v>
      </c>
      <c r="E73" s="2" t="n">
        <v>0.535001</v>
      </c>
    </row>
    <row r="74" customFormat="false" ht="13.8" hidden="false" customHeight="false" outlineLevel="0" collapsed="false">
      <c r="B74" s="2" t="n">
        <v>72</v>
      </c>
      <c r="C74" s="2" t="n">
        <v>0.296002</v>
      </c>
      <c r="D74" s="2" t="n">
        <v>0</v>
      </c>
      <c r="E74" s="2" t="n">
        <v>0.5314016</v>
      </c>
    </row>
    <row r="75" customFormat="false" ht="13.8" hidden="false" customHeight="false" outlineLevel="0" collapsed="false">
      <c r="B75" s="2" t="n">
        <v>73</v>
      </c>
      <c r="C75" s="2" t="n">
        <v>0.282335666666667</v>
      </c>
      <c r="D75" s="2" t="n">
        <v>0</v>
      </c>
      <c r="E75" s="2" t="n">
        <v>0.456668533333333</v>
      </c>
    </row>
    <row r="76" customFormat="false" ht="13.8" hidden="false" customHeight="false" outlineLevel="0" collapsed="false">
      <c r="B76" s="2" t="n">
        <v>74</v>
      </c>
      <c r="C76" s="2" t="n">
        <v>0.347671266666667</v>
      </c>
      <c r="D76" s="2" t="n">
        <v>0</v>
      </c>
      <c r="E76" s="2" t="n">
        <v>0.4480006</v>
      </c>
    </row>
    <row r="77" customFormat="false" ht="13.8" hidden="false" customHeight="false" outlineLevel="0" collapsed="false">
      <c r="B77" s="2" t="n">
        <v>75</v>
      </c>
      <c r="C77" s="2" t="n">
        <v>0.311340733333333</v>
      </c>
      <c r="D77" s="2" t="n">
        <v>0</v>
      </c>
      <c r="E77" s="2" t="n">
        <v>0.422</v>
      </c>
    </row>
    <row r="78" customFormat="false" ht="13.8" hidden="false" customHeight="false" outlineLevel="0" collapsed="false">
      <c r="B78" s="2" t="n">
        <v>76</v>
      </c>
      <c r="C78" s="2" t="n">
        <v>0.1818114</v>
      </c>
      <c r="D78" s="2" t="n">
        <v>0</v>
      </c>
      <c r="E78" s="2" t="n">
        <v>0.368000266666667</v>
      </c>
    </row>
    <row r="79" customFormat="false" ht="13.8" hidden="false" customHeight="false" outlineLevel="0" collapsed="false">
      <c r="B79" s="2" t="n">
        <v>77</v>
      </c>
      <c r="C79" s="2" t="n">
        <v>0.4102792</v>
      </c>
      <c r="D79" s="2" t="n">
        <v>0</v>
      </c>
      <c r="E79" s="2" t="n">
        <v>0.222000133333333</v>
      </c>
    </row>
    <row r="80" customFormat="false" ht="13.8" hidden="false" customHeight="false" outlineLevel="0" collapsed="false">
      <c r="B80" s="2" t="n">
        <v>78</v>
      </c>
      <c r="C80" s="2" t="n">
        <v>0.258812133333333</v>
      </c>
      <c r="D80" s="2" t="n">
        <v>0.133333333333333</v>
      </c>
      <c r="E80" s="2" t="n">
        <v>0.148</v>
      </c>
    </row>
    <row r="81" customFormat="false" ht="13.8" hidden="false" customHeight="false" outlineLevel="0" collapsed="false">
      <c r="B81" s="2" t="n">
        <v>79</v>
      </c>
      <c r="C81" s="2" t="n">
        <v>0.526013333333333</v>
      </c>
      <c r="D81" s="2" t="n">
        <v>0.4</v>
      </c>
      <c r="E81" s="2" t="n">
        <v>0.122</v>
      </c>
    </row>
    <row r="82" customFormat="false" ht="13.8" hidden="false" customHeight="false" outlineLevel="0" collapsed="false">
      <c r="B82" s="2" t="n">
        <v>80</v>
      </c>
      <c r="C82" s="2" t="n">
        <v>0.2032846</v>
      </c>
      <c r="D82" s="2" t="n">
        <v>0.4</v>
      </c>
      <c r="E82" s="2" t="n">
        <v>0.148</v>
      </c>
    </row>
    <row r="83" customFormat="false" ht="13.8" hidden="false" customHeight="false" outlineLevel="0" collapsed="false">
      <c r="B83" s="2" t="n">
        <v>81</v>
      </c>
      <c r="C83" s="2" t="n">
        <v>0.428150266666667</v>
      </c>
      <c r="D83" s="2" t="n">
        <v>0.4</v>
      </c>
      <c r="E83" s="2" t="n">
        <v>0.122</v>
      </c>
    </row>
    <row r="84" customFormat="false" ht="13.8" hidden="false" customHeight="false" outlineLevel="0" collapsed="false">
      <c r="B84" s="2" t="n">
        <v>82</v>
      </c>
      <c r="C84" s="2" t="n">
        <v>0.254882733333333</v>
      </c>
      <c r="D84" s="2" t="n">
        <v>0.4</v>
      </c>
      <c r="E84" s="2" t="n">
        <v>0.148</v>
      </c>
    </row>
    <row r="85" customFormat="false" ht="13.8" hidden="false" customHeight="false" outlineLevel="0" collapsed="false">
      <c r="B85" s="2" t="n">
        <v>83</v>
      </c>
      <c r="C85" s="2" t="n">
        <v>0.398214466666667</v>
      </c>
      <c r="D85" s="2" t="n">
        <v>0.4</v>
      </c>
      <c r="E85" s="2" t="n">
        <v>0.122</v>
      </c>
    </row>
    <row r="86" customFormat="false" ht="13.8" hidden="false" customHeight="false" outlineLevel="0" collapsed="false">
      <c r="B86" s="2" t="n">
        <v>84</v>
      </c>
      <c r="C86" s="2" t="n">
        <v>0.423347666666667</v>
      </c>
      <c r="D86" s="2" t="n">
        <v>0.4</v>
      </c>
      <c r="E86" s="2" t="n">
        <v>0.148</v>
      </c>
    </row>
    <row r="87" customFormat="false" ht="13.8" hidden="false" customHeight="false" outlineLevel="0" collapsed="false">
      <c r="B87" s="2" t="n">
        <v>85</v>
      </c>
      <c r="C87" s="2" t="n">
        <v>0.360882933333333</v>
      </c>
      <c r="D87" s="2" t="n">
        <v>0.4</v>
      </c>
      <c r="E87" s="2" t="n">
        <v>0.122</v>
      </c>
    </row>
    <row r="88" customFormat="false" ht="13.8" hidden="false" customHeight="false" outlineLevel="0" collapsed="false">
      <c r="B88" s="2" t="n">
        <v>86</v>
      </c>
      <c r="C88" s="2" t="n">
        <v>0.3121492</v>
      </c>
      <c r="D88" s="2" t="n">
        <v>0.4</v>
      </c>
      <c r="E88" s="2" t="n">
        <v>0.148</v>
      </c>
    </row>
    <row r="89" customFormat="false" ht="13.8" hidden="false" customHeight="false" outlineLevel="0" collapsed="false">
      <c r="B89" s="2" t="n">
        <v>87</v>
      </c>
      <c r="C89" s="2" t="n">
        <v>0.288680533333333</v>
      </c>
      <c r="D89" s="2" t="n">
        <v>0.4</v>
      </c>
      <c r="E89" s="2" t="n">
        <v>0.122</v>
      </c>
    </row>
    <row r="90" customFormat="false" ht="13.8" hidden="false" customHeight="false" outlineLevel="0" collapsed="false">
      <c r="B90" s="2" t="n">
        <v>88</v>
      </c>
      <c r="C90" s="2" t="n">
        <v>0.3787456</v>
      </c>
      <c r="D90" s="2" t="n">
        <v>0.4</v>
      </c>
      <c r="E90" s="2" t="n">
        <v>0.148</v>
      </c>
    </row>
    <row r="91" customFormat="false" ht="13.8" hidden="false" customHeight="false" outlineLevel="0" collapsed="false">
      <c r="B91" s="2" t="n">
        <v>89</v>
      </c>
      <c r="C91" s="2" t="n">
        <v>0.3160794</v>
      </c>
      <c r="D91" s="2" t="n">
        <v>0.4</v>
      </c>
      <c r="E91" s="2" t="n">
        <v>0.0673338666666667</v>
      </c>
    </row>
    <row r="92" customFormat="false" ht="13.8" hidden="false" customHeight="false" outlineLevel="0" collapsed="false">
      <c r="B92" s="2" t="n">
        <v>90</v>
      </c>
      <c r="C92" s="2" t="n">
        <v>0.168082466666667</v>
      </c>
      <c r="D92" s="2" t="n">
        <v>0.4</v>
      </c>
      <c r="E92" s="2" t="n">
        <v>0.07</v>
      </c>
    </row>
    <row r="93" customFormat="false" ht="13.8" hidden="false" customHeight="false" outlineLevel="0" collapsed="false">
      <c r="B93" s="2" t="n">
        <v>91</v>
      </c>
      <c r="C93" s="2" t="n">
        <v>0.152014333333333</v>
      </c>
      <c r="D93" s="2" t="n">
        <v>0.4</v>
      </c>
      <c r="E93" s="2" t="n">
        <v>0.07</v>
      </c>
    </row>
    <row r="94" customFormat="false" ht="13.8" hidden="false" customHeight="false" outlineLevel="0" collapsed="false">
      <c r="B94" s="2" t="n">
        <v>92</v>
      </c>
      <c r="C94" s="2" t="n">
        <v>0.3966794</v>
      </c>
      <c r="D94" s="2" t="n">
        <v>0.4</v>
      </c>
      <c r="E94" s="2" t="n">
        <v>0.07</v>
      </c>
    </row>
    <row r="95" customFormat="false" ht="13.8" hidden="false" customHeight="false" outlineLevel="0" collapsed="false">
      <c r="B95" s="2" t="n">
        <v>93</v>
      </c>
      <c r="C95" s="2" t="n">
        <v>0.215207866666667</v>
      </c>
      <c r="D95" s="2" t="n">
        <v>0.4</v>
      </c>
      <c r="E95" s="2" t="n">
        <v>0.0020006</v>
      </c>
    </row>
    <row r="96" customFormat="false" ht="13.8" hidden="false" customHeight="false" outlineLevel="0" collapsed="false">
      <c r="B96" s="2" t="n">
        <v>94</v>
      </c>
      <c r="C96" s="2" t="n">
        <v>0.4427408</v>
      </c>
      <c r="D96" s="2" t="n">
        <v>0.4</v>
      </c>
      <c r="E96" s="2" t="n">
        <v>0.133666933333333</v>
      </c>
    </row>
    <row r="97" customFormat="false" ht="13.8" hidden="false" customHeight="false" outlineLevel="0" collapsed="false">
      <c r="B97" s="2" t="n">
        <v>95</v>
      </c>
      <c r="C97" s="2" t="n">
        <v>0.160209733333333</v>
      </c>
      <c r="D97" s="2" t="n">
        <v>0.4</v>
      </c>
      <c r="E97" s="2" t="n">
        <v>0.005</v>
      </c>
    </row>
    <row r="98" customFormat="false" ht="13.8" hidden="false" customHeight="false" outlineLevel="0" collapsed="false">
      <c r="B98" s="2" t="n">
        <v>96</v>
      </c>
      <c r="C98" s="2" t="n">
        <v>0.141677333333333</v>
      </c>
      <c r="D98" s="2" t="n">
        <v>0.373333333333333</v>
      </c>
      <c r="E98" s="2" t="n">
        <v>0.00133406666666667</v>
      </c>
    </row>
    <row r="99" customFormat="false" ht="13.8" hidden="false" customHeight="false" outlineLevel="0" collapsed="false">
      <c r="B99" s="2" t="n">
        <v>97</v>
      </c>
      <c r="C99" s="2" t="n">
        <v>0.124078933333333</v>
      </c>
      <c r="D99" s="2" t="n">
        <v>0.4</v>
      </c>
      <c r="E99" s="2" t="n">
        <v>0.0533340666666667</v>
      </c>
    </row>
    <row r="100" customFormat="false" ht="13.8" hidden="false" customHeight="false" outlineLevel="0" collapsed="false">
      <c r="B100" s="2" t="n">
        <v>98</v>
      </c>
      <c r="C100" s="2" t="n">
        <v>0.44234</v>
      </c>
      <c r="D100" s="2" t="n">
        <v>0.4</v>
      </c>
      <c r="E100" s="2" t="n">
        <v>0.083</v>
      </c>
    </row>
    <row r="101" customFormat="false" ht="13.8" hidden="false" customHeight="false" outlineLevel="0" collapsed="false">
      <c r="B101" s="2" t="n">
        <v>99</v>
      </c>
      <c r="C101" s="2" t="n">
        <v>0.159005466666667</v>
      </c>
      <c r="D101" s="2" t="n">
        <v>0.4</v>
      </c>
      <c r="E101" s="2" t="n">
        <v>0.057</v>
      </c>
    </row>
    <row r="102" customFormat="false" ht="13.8" hidden="false" customHeight="false" outlineLevel="0" collapsed="false">
      <c r="B102" s="2" t="n">
        <v>100</v>
      </c>
      <c r="C102" s="2" t="n">
        <v>0.1664714</v>
      </c>
      <c r="D102" s="2" t="n">
        <v>0.4</v>
      </c>
      <c r="E102" s="2" t="n">
        <v>0.160333466666667</v>
      </c>
    </row>
    <row r="103" customFormat="false" ht="13.8" hidden="false" customHeight="false" outlineLevel="0" collapsed="false">
      <c r="B103" s="2" t="n">
        <v>101</v>
      </c>
      <c r="C103" s="2" t="n">
        <v>0.211933933333333</v>
      </c>
      <c r="D103" s="2" t="n">
        <v>0.4</v>
      </c>
      <c r="E103" s="2" t="n">
        <v>0.005</v>
      </c>
    </row>
    <row r="104" customFormat="false" ht="13.8" hidden="false" customHeight="false" outlineLevel="0" collapsed="false">
      <c r="B104" s="2" t="n">
        <v>102</v>
      </c>
      <c r="C104" s="2" t="n">
        <v>0.0707345333333333</v>
      </c>
      <c r="D104" s="2" t="n">
        <v>0.4</v>
      </c>
      <c r="E104" s="2" t="n">
        <v>0.121333466666667</v>
      </c>
    </row>
    <row r="105" customFormat="false" ht="13.8" hidden="false" customHeight="false" outlineLevel="0" collapsed="false">
      <c r="B105" s="2" t="n">
        <v>103</v>
      </c>
      <c r="C105" s="2" t="n">
        <v>0.3085336</v>
      </c>
      <c r="D105" s="2" t="n">
        <v>0.4</v>
      </c>
      <c r="E105" s="2" t="n">
        <v>0.018</v>
      </c>
    </row>
    <row r="106" customFormat="false" ht="13.8" hidden="false" customHeight="false" outlineLevel="0" collapsed="false">
      <c r="B106" s="2" t="n">
        <v>104</v>
      </c>
      <c r="C106" s="2" t="n">
        <v>0.0482007333333333</v>
      </c>
      <c r="D106" s="2" t="n">
        <v>0.4</v>
      </c>
      <c r="E106" s="2" t="n">
        <v>0.122</v>
      </c>
    </row>
    <row r="107" customFormat="false" ht="13.8" hidden="false" customHeight="false" outlineLevel="0" collapsed="false">
      <c r="B107" s="2" t="n">
        <v>105</v>
      </c>
      <c r="C107" s="2" t="n">
        <v>0.1990016</v>
      </c>
      <c r="D107" s="2" t="n">
        <v>0.4</v>
      </c>
      <c r="E107" s="2" t="n">
        <v>0.018</v>
      </c>
    </row>
    <row r="108" customFormat="false" ht="13.8" hidden="false" customHeight="false" outlineLevel="0" collapsed="false">
      <c r="B108" s="2" t="n">
        <v>106</v>
      </c>
      <c r="C108" s="2" t="n">
        <v>0.0556667333333333</v>
      </c>
      <c r="D108" s="2" t="n">
        <v>0.4</v>
      </c>
      <c r="E108" s="2" t="n">
        <v>0.122</v>
      </c>
    </row>
    <row r="109" customFormat="false" ht="13.8" hidden="false" customHeight="false" outlineLevel="0" collapsed="false">
      <c r="B109" s="2" t="n">
        <v>107</v>
      </c>
      <c r="C109" s="2" t="n">
        <v>0.298200533333333</v>
      </c>
      <c r="D109" s="2" t="n">
        <v>0.4</v>
      </c>
      <c r="E109" s="2" t="n">
        <v>0.018</v>
      </c>
    </row>
    <row r="110" customFormat="false" ht="13.8" hidden="false" customHeight="false" outlineLevel="0" collapsed="false">
      <c r="B110" s="2" t="n">
        <v>108</v>
      </c>
      <c r="C110" s="2" t="n">
        <v>0.0646678666666667</v>
      </c>
      <c r="D110" s="2" t="n">
        <v>0.4</v>
      </c>
      <c r="E110" s="2" t="n">
        <v>0.122</v>
      </c>
    </row>
    <row r="111" customFormat="false" ht="13.8" hidden="false" customHeight="false" outlineLevel="0" collapsed="false">
      <c r="B111" s="2" t="n">
        <v>109</v>
      </c>
      <c r="C111" s="2" t="n">
        <v>0.256001</v>
      </c>
      <c r="D111" s="2" t="n">
        <v>0.4</v>
      </c>
      <c r="E111" s="2" t="n">
        <v>0.018</v>
      </c>
    </row>
    <row r="112" customFormat="false" ht="13.8" hidden="false" customHeight="false" outlineLevel="0" collapsed="false">
      <c r="B112" s="2" t="n">
        <v>110</v>
      </c>
      <c r="C112" s="2" t="n">
        <v>0.125534266666667</v>
      </c>
      <c r="D112" s="2" t="n">
        <v>0.4</v>
      </c>
      <c r="E112" s="2" t="n">
        <v>0.122</v>
      </c>
    </row>
    <row r="113" customFormat="false" ht="13.8" hidden="false" customHeight="false" outlineLevel="0" collapsed="false">
      <c r="B113" s="2" t="n">
        <v>111</v>
      </c>
      <c r="C113" s="2" t="n">
        <v>0.179534066666667</v>
      </c>
      <c r="D113" s="2" t="n">
        <v>0.4</v>
      </c>
      <c r="E113" s="2" t="n">
        <v>0.018</v>
      </c>
    </row>
    <row r="114" customFormat="false" ht="13.8" hidden="false" customHeight="false" outlineLevel="0" collapsed="false">
      <c r="B114" s="2" t="n">
        <v>112</v>
      </c>
      <c r="C114" s="2" t="n">
        <v>0.162934333333333</v>
      </c>
      <c r="D114" s="2" t="n">
        <v>0.4</v>
      </c>
      <c r="E114" s="2" t="n">
        <v>0.122</v>
      </c>
    </row>
    <row r="115" customFormat="false" ht="13.8" hidden="false" customHeight="false" outlineLevel="0" collapsed="false">
      <c r="B115" s="2" t="n">
        <v>113</v>
      </c>
      <c r="C115" s="2" t="n">
        <v>0.156</v>
      </c>
      <c r="D115" s="2" t="n">
        <v>0.4</v>
      </c>
      <c r="E115" s="2" t="n">
        <v>0.018</v>
      </c>
    </row>
    <row r="116" customFormat="false" ht="13.8" hidden="false" customHeight="false" outlineLevel="0" collapsed="false">
      <c r="B116" s="2" t="n">
        <v>114</v>
      </c>
      <c r="C116" s="2" t="n">
        <v>0.1522006</v>
      </c>
      <c r="D116" s="2" t="n">
        <v>0.4</v>
      </c>
      <c r="E116" s="2" t="n">
        <v>0.122</v>
      </c>
    </row>
    <row r="117" customFormat="false" ht="13.8" hidden="false" customHeight="false" outlineLevel="0" collapsed="false">
      <c r="B117" s="2" t="n">
        <v>115</v>
      </c>
      <c r="C117" s="2" t="n">
        <v>0.219333666666667</v>
      </c>
      <c r="D117" s="2" t="n">
        <v>0.4</v>
      </c>
      <c r="E117" s="2" t="n">
        <v>0.018</v>
      </c>
    </row>
    <row r="118" customFormat="false" ht="13.8" hidden="false" customHeight="false" outlineLevel="0" collapsed="false">
      <c r="B118" s="2" t="n">
        <v>116</v>
      </c>
      <c r="C118" s="2" t="n">
        <v>0.089667</v>
      </c>
      <c r="D118" s="2" t="n">
        <v>0.4</v>
      </c>
      <c r="E118" s="2" t="n">
        <v>0.0140008</v>
      </c>
    </row>
    <row r="119" customFormat="false" ht="13.8" hidden="false" customHeight="false" outlineLevel="0" collapsed="false">
      <c r="B119" s="2" t="n">
        <v>117</v>
      </c>
      <c r="C119" s="2" t="n">
        <v>0.221800066666667</v>
      </c>
      <c r="D119" s="2" t="n">
        <v>0.4</v>
      </c>
      <c r="E119" s="2" t="n">
        <v>0.122</v>
      </c>
    </row>
    <row r="120" customFormat="false" ht="13.8" hidden="false" customHeight="false" outlineLevel="0" collapsed="false">
      <c r="B120" s="2" t="n">
        <v>118</v>
      </c>
      <c r="C120" s="2" t="n">
        <v>0.085068</v>
      </c>
      <c r="D120" s="2" t="n">
        <v>0.4</v>
      </c>
      <c r="E120" s="2" t="n">
        <v>0.018</v>
      </c>
    </row>
    <row r="121" customFormat="false" ht="13.8" hidden="false" customHeight="false" outlineLevel="0" collapsed="false">
      <c r="B121" s="2" t="n">
        <v>119</v>
      </c>
      <c r="C121" s="2" t="n">
        <v>0.121134</v>
      </c>
      <c r="D121" s="2" t="n">
        <v>0.4</v>
      </c>
      <c r="E121" s="2" t="n">
        <v>0.1210002</v>
      </c>
    </row>
    <row r="122" customFormat="false" ht="13.8" hidden="false" customHeight="false" outlineLevel="0" collapsed="false">
      <c r="B122" s="2" t="n">
        <v>120</v>
      </c>
      <c r="C122" s="2" t="n">
        <v>0.2865342</v>
      </c>
      <c r="D122" s="2" t="n">
        <v>0.4</v>
      </c>
      <c r="E122" s="2" t="n">
        <v>0.134666733333333</v>
      </c>
    </row>
    <row r="123" customFormat="false" ht="13.8" hidden="false" customHeight="false" outlineLevel="0" collapsed="false">
      <c r="B123" s="2" t="n">
        <v>121</v>
      </c>
      <c r="C123" s="2" t="n">
        <v>0.04</v>
      </c>
      <c r="D123" s="2" t="n">
        <v>0.106666666666667</v>
      </c>
      <c r="E123" s="2" t="n">
        <v>0.005</v>
      </c>
    </row>
    <row r="124" customFormat="false" ht="13.8" hidden="false" customHeight="false" outlineLevel="0" collapsed="false">
      <c r="B124" s="2" t="n">
        <v>122</v>
      </c>
      <c r="C124" s="2" t="n">
        <v>0.377468266666667</v>
      </c>
      <c r="D124" s="2" t="n">
        <v>0</v>
      </c>
      <c r="E124" s="2" t="n">
        <v>0.134666733333333</v>
      </c>
    </row>
    <row r="125" customFormat="false" ht="13.8" hidden="false" customHeight="false" outlineLevel="0" collapsed="false">
      <c r="B125" s="2" t="n">
        <v>123</v>
      </c>
      <c r="C125" s="2" t="n">
        <v>0.0216707333333333</v>
      </c>
      <c r="D125" s="2" t="n">
        <v>0</v>
      </c>
      <c r="E125" s="2" t="n">
        <v>0.005</v>
      </c>
    </row>
    <row r="126" customFormat="false" ht="13.8" hidden="false" customHeight="false" outlineLevel="0" collapsed="false">
      <c r="B126" s="2" t="n">
        <v>124</v>
      </c>
      <c r="C126" s="2" t="n">
        <v>0.321004133333333</v>
      </c>
      <c r="D126" s="2" t="n">
        <v>0</v>
      </c>
      <c r="E126" s="2" t="n">
        <v>0.174</v>
      </c>
    </row>
    <row r="127" customFormat="false" ht="13.8" hidden="false" customHeight="false" outlineLevel="0" collapsed="false">
      <c r="B127" s="2" t="n">
        <v>125</v>
      </c>
      <c r="C127" s="2" t="n">
        <v>0.101005</v>
      </c>
      <c r="D127" s="2" t="n">
        <v>0</v>
      </c>
      <c r="E127" s="2" t="n">
        <v>0.018</v>
      </c>
    </row>
    <row r="128" customFormat="false" ht="13.8" hidden="false" customHeight="false" outlineLevel="0" collapsed="false">
      <c r="B128" s="2" t="n">
        <v>126</v>
      </c>
      <c r="C128" s="2" t="n">
        <v>0.3428714</v>
      </c>
      <c r="D128" s="2" t="n">
        <v>0</v>
      </c>
      <c r="E128" s="2" t="n">
        <v>0.0953348666666667</v>
      </c>
    </row>
    <row r="129" customFormat="false" ht="13.8" hidden="false" customHeight="false" outlineLevel="0" collapsed="false">
      <c r="B129" s="2" t="n">
        <v>127</v>
      </c>
      <c r="C129" s="2" t="n">
        <v>0.125672866666667</v>
      </c>
      <c r="D129" s="2" t="n">
        <v>0</v>
      </c>
      <c r="E129" s="2" t="n">
        <v>0.1340028</v>
      </c>
    </row>
    <row r="130" customFormat="false" ht="13.8" hidden="false" customHeight="false" outlineLevel="0" collapsed="false">
      <c r="B130" s="2" t="n">
        <v>128</v>
      </c>
      <c r="C130" s="2" t="n">
        <v>0.203207866666667</v>
      </c>
      <c r="D130" s="2" t="n">
        <v>0</v>
      </c>
      <c r="E130" s="2" t="n">
        <v>0.005003</v>
      </c>
    </row>
    <row r="131" customFormat="false" ht="13.8" hidden="false" customHeight="false" outlineLevel="0" collapsed="false">
      <c r="B131" s="2" t="n">
        <v>129</v>
      </c>
      <c r="C131" s="2" t="n">
        <v>0.3008074</v>
      </c>
      <c r="D131" s="2" t="n">
        <v>0</v>
      </c>
      <c r="E131" s="2" t="n">
        <v>0.135003</v>
      </c>
    </row>
    <row r="132" customFormat="false" ht="13.8" hidden="false" customHeight="false" outlineLevel="0" collapsed="false">
      <c r="B132" s="2" t="n">
        <v>130</v>
      </c>
      <c r="C132" s="2" t="n">
        <v>0.244541266666667</v>
      </c>
      <c r="D132" s="2" t="n">
        <v>0</v>
      </c>
      <c r="E132" s="2" t="n">
        <v>0.3063366</v>
      </c>
    </row>
    <row r="133" customFormat="false" ht="13.8" hidden="false" customHeight="false" outlineLevel="0" collapsed="false">
      <c r="B133" s="2" t="n">
        <v>131</v>
      </c>
      <c r="C133" s="2" t="n">
        <v>0.157341266666667</v>
      </c>
      <c r="D133" s="2" t="n">
        <v>0</v>
      </c>
      <c r="E133" s="2" t="n">
        <v>0.3540032</v>
      </c>
    </row>
    <row r="134" customFormat="false" ht="13.8" hidden="false" customHeight="false" outlineLevel="0" collapsed="false">
      <c r="B134" s="2" t="n">
        <v>132</v>
      </c>
      <c r="C134" s="2" t="n">
        <v>0.379874933333333</v>
      </c>
      <c r="D134" s="2" t="n">
        <v>0</v>
      </c>
      <c r="E134" s="2" t="n">
        <v>0.513669333333333</v>
      </c>
    </row>
    <row r="135" customFormat="false" ht="13.8" hidden="false" customHeight="false" outlineLevel="0" collapsed="false">
      <c r="B135" s="2" t="n">
        <v>133</v>
      </c>
      <c r="C135" s="2" t="n">
        <v>0.166009</v>
      </c>
      <c r="D135" s="2" t="n">
        <v>0</v>
      </c>
      <c r="E135" s="2" t="n">
        <v>0.400669533333333</v>
      </c>
    </row>
    <row r="136" customFormat="false" ht="13.8" hidden="false" customHeight="false" outlineLevel="0" collapsed="false">
      <c r="B136" s="2" t="n">
        <v>134</v>
      </c>
      <c r="C136" s="2" t="n">
        <v>0.374009</v>
      </c>
      <c r="D136" s="2" t="n">
        <v>0</v>
      </c>
      <c r="E136" s="2" t="n">
        <v>0.369003</v>
      </c>
    </row>
    <row r="137" customFormat="false" ht="13.8" hidden="false" customHeight="false" outlineLevel="0" collapsed="false">
      <c r="B137" s="2" t="n">
        <v>135</v>
      </c>
      <c r="C137" s="2" t="n">
        <v>0.166009</v>
      </c>
      <c r="D137" s="2" t="n">
        <v>0</v>
      </c>
      <c r="E137" s="2" t="n">
        <v>0.233669733333333</v>
      </c>
    </row>
    <row r="138" customFormat="false" ht="13.8" hidden="false" customHeight="false" outlineLevel="0" collapsed="false">
      <c r="B138" s="2" t="n">
        <v>136</v>
      </c>
      <c r="C138" s="2" t="n">
        <v>0.374009</v>
      </c>
      <c r="D138" s="2" t="n">
        <v>0</v>
      </c>
      <c r="E138" s="2" t="n">
        <v>0.1894034</v>
      </c>
    </row>
    <row r="139" customFormat="false" ht="13.8" hidden="false" customHeight="false" outlineLevel="0" collapsed="false">
      <c r="B139" s="2" t="n">
        <v>137</v>
      </c>
      <c r="C139" s="2" t="n">
        <v>0.171874933333333</v>
      </c>
      <c r="D139" s="2" t="n">
        <v>0</v>
      </c>
      <c r="E139" s="2" t="n">
        <v>0.087003</v>
      </c>
    </row>
    <row r="140" customFormat="false" ht="13.8" hidden="false" customHeight="false" outlineLevel="0" collapsed="false">
      <c r="B140" s="2" t="n">
        <v>138</v>
      </c>
      <c r="C140" s="2" t="n">
        <v>0.382007</v>
      </c>
      <c r="D140" s="2" t="n">
        <v>0</v>
      </c>
      <c r="E140" s="2" t="n">
        <v>0.4710022</v>
      </c>
    </row>
    <row r="141" customFormat="false" ht="13.8" hidden="false" customHeight="false" outlineLevel="0" collapsed="false">
      <c r="B141" s="2" t="n">
        <v>139</v>
      </c>
      <c r="C141" s="2" t="n">
        <v>0.1578738</v>
      </c>
      <c r="D141" s="2" t="n">
        <v>0</v>
      </c>
      <c r="E141" s="2" t="n">
        <v>0.410335466666667</v>
      </c>
    </row>
    <row r="142" customFormat="false" ht="13.8" hidden="false" customHeight="false" outlineLevel="0" collapsed="false">
      <c r="B142" s="2" t="n">
        <v>140</v>
      </c>
      <c r="C142" s="2" t="n">
        <v>0.415005</v>
      </c>
      <c r="D142" s="2" t="n">
        <v>0</v>
      </c>
      <c r="E142" s="2" t="n">
        <v>0.354669666666667</v>
      </c>
    </row>
    <row r="143" customFormat="false" ht="13.8" hidden="false" customHeight="false" outlineLevel="0" collapsed="false">
      <c r="B143" s="2" t="n">
        <v>141</v>
      </c>
      <c r="C143" s="2" t="n">
        <v>0.1576718</v>
      </c>
      <c r="D143" s="2" t="n">
        <v>0</v>
      </c>
      <c r="E143" s="2" t="n">
        <v>0.1448036</v>
      </c>
    </row>
    <row r="144" customFormat="false" ht="13.8" hidden="false" customHeight="false" outlineLevel="0" collapsed="false">
      <c r="B144" s="2" t="n">
        <v>142</v>
      </c>
      <c r="C144" s="2" t="n">
        <v>0.366672333333333</v>
      </c>
      <c r="D144" s="2" t="n">
        <v>0</v>
      </c>
      <c r="E144" s="2" t="n">
        <v>0.1740032</v>
      </c>
    </row>
    <row r="145" customFormat="false" ht="13.8" hidden="false" customHeight="false" outlineLevel="0" collapsed="false">
      <c r="B145" s="2" t="n">
        <v>143</v>
      </c>
      <c r="C145" s="2" t="n">
        <v>0.372005</v>
      </c>
      <c r="D145" s="2" t="n">
        <v>0</v>
      </c>
      <c r="E145" s="2" t="n">
        <v>0.096003</v>
      </c>
    </row>
    <row r="146" customFormat="false" ht="13.8" hidden="false" customHeight="false" outlineLevel="0" collapsed="false">
      <c r="B146" s="2" t="n">
        <v>144</v>
      </c>
      <c r="C146" s="2" t="n">
        <v>0.234673066666667</v>
      </c>
      <c r="D146" s="2" t="n">
        <v>0</v>
      </c>
      <c r="E146" s="2" t="n">
        <v>0.1756026</v>
      </c>
    </row>
    <row r="147" customFormat="false" ht="13.8" hidden="false" customHeight="false" outlineLevel="0" collapsed="false">
      <c r="B147" s="2" t="n">
        <v>145</v>
      </c>
      <c r="C147" s="2" t="n">
        <v>0.2020088</v>
      </c>
      <c r="D147" s="2" t="n">
        <v>0</v>
      </c>
      <c r="E147" s="2" t="n">
        <v>0.00633586666666667</v>
      </c>
    </row>
    <row r="148" customFormat="false" ht="13.8" hidden="false" customHeight="false" outlineLevel="0" collapsed="false">
      <c r="B148" s="2" t="n">
        <v>146</v>
      </c>
      <c r="C148" s="2" t="n">
        <v>0.164409</v>
      </c>
      <c r="D148" s="2" t="n">
        <v>0</v>
      </c>
      <c r="E148" s="2" t="n">
        <v>0.3615358</v>
      </c>
    </row>
    <row r="149" customFormat="false" ht="13.8" hidden="false" customHeight="false" outlineLevel="0" collapsed="false">
      <c r="B149" s="2" t="n">
        <v>147</v>
      </c>
      <c r="C149" s="2" t="n">
        <v>0.1766096</v>
      </c>
      <c r="D149" s="2" t="n">
        <v>0</v>
      </c>
      <c r="E149" s="2" t="n">
        <v>0.611668333333333</v>
      </c>
    </row>
    <row r="150" customFormat="false" ht="13.8" hidden="false" customHeight="false" outlineLevel="0" collapsed="false">
      <c r="B150" s="2" t="n">
        <v>148</v>
      </c>
      <c r="C150" s="2" t="n">
        <v>0.386873133333333</v>
      </c>
      <c r="D150" s="2" t="n">
        <v>0</v>
      </c>
      <c r="E150" s="2" t="n">
        <v>0.627668733333333</v>
      </c>
    </row>
    <row r="151" customFormat="false" ht="13.8" hidden="false" customHeight="false" outlineLevel="0" collapsed="false">
      <c r="B151" s="2" t="n">
        <v>149</v>
      </c>
      <c r="C151" s="2" t="n">
        <v>0.2036068</v>
      </c>
      <c r="D151" s="2" t="n">
        <v>0</v>
      </c>
      <c r="E151" s="2" t="n">
        <v>0.109003</v>
      </c>
    </row>
    <row r="152" customFormat="false" ht="13.8" hidden="false" customHeight="false" outlineLevel="0" collapsed="false">
      <c r="B152" s="2" t="n">
        <v>150</v>
      </c>
      <c r="C152" s="2" t="n">
        <v>0.385073533333333</v>
      </c>
      <c r="D152" s="2" t="n">
        <v>0</v>
      </c>
      <c r="E152" s="2" t="n">
        <v>0.161003133333333</v>
      </c>
    </row>
    <row r="153" customFormat="false" ht="13.8" hidden="false" customHeight="false" outlineLevel="0" collapsed="false">
      <c r="B153" s="2" t="n">
        <v>151</v>
      </c>
      <c r="C153" s="2" t="n">
        <v>0.1885402</v>
      </c>
      <c r="D153" s="2" t="n">
        <v>0</v>
      </c>
      <c r="E153" s="2" t="n">
        <v>0.109003533333333</v>
      </c>
    </row>
    <row r="154" customFormat="false" ht="13.8" hidden="false" customHeight="false" outlineLevel="0" collapsed="false">
      <c r="B154" s="2" t="n">
        <v>152</v>
      </c>
      <c r="C154" s="2" t="n">
        <v>0.402205066666667</v>
      </c>
      <c r="D154" s="2" t="n">
        <v>0</v>
      </c>
      <c r="E154" s="2" t="n">
        <v>0.161002866666667</v>
      </c>
    </row>
    <row r="155" customFormat="false" ht="13.8" hidden="false" customHeight="false" outlineLevel="0" collapsed="false">
      <c r="B155" s="2" t="n">
        <v>153</v>
      </c>
      <c r="C155" s="2" t="n">
        <v>0.127336866666667</v>
      </c>
      <c r="D155" s="2" t="n">
        <v>0</v>
      </c>
      <c r="E155" s="2" t="n">
        <v>0.1100694</v>
      </c>
    </row>
    <row r="156" customFormat="false" ht="13.8" hidden="false" customHeight="false" outlineLevel="0" collapsed="false">
      <c r="B156" s="2" t="n">
        <v>154</v>
      </c>
      <c r="C156" s="2" t="n">
        <v>0.258669</v>
      </c>
      <c r="D156" s="2" t="n">
        <v>0</v>
      </c>
      <c r="E156" s="2" t="n">
        <v>0.0346687333333333</v>
      </c>
    </row>
    <row r="157" customFormat="false" ht="13.8" hidden="false" customHeight="false" outlineLevel="0" collapsed="false">
      <c r="B157" s="2" t="n">
        <v>155</v>
      </c>
      <c r="C157" s="2" t="n">
        <v>0.298001</v>
      </c>
      <c r="D157" s="2" t="n">
        <v>0</v>
      </c>
      <c r="E157" s="2" t="n">
        <v>0.204002</v>
      </c>
    </row>
    <row r="158" customFormat="false" ht="13.8" hidden="false" customHeight="false" outlineLevel="0" collapsed="false">
      <c r="B158" s="2" t="n">
        <v>156</v>
      </c>
      <c r="C158" s="2" t="n">
        <v>0.2600008</v>
      </c>
      <c r="D158" s="2" t="n">
        <v>0</v>
      </c>
      <c r="E158" s="2" t="n">
        <v>0.0737359333333333</v>
      </c>
    </row>
    <row r="159" customFormat="false" ht="13.8" hidden="false" customHeight="false" outlineLevel="0" collapsed="false">
      <c r="B159" s="2" t="n">
        <v>157</v>
      </c>
      <c r="C159" s="2" t="n">
        <v>0.283</v>
      </c>
      <c r="D159" s="2" t="n">
        <v>0</v>
      </c>
      <c r="E159" s="2" t="n">
        <v>0.200004</v>
      </c>
    </row>
    <row r="160" customFormat="false" ht="13.8" hidden="false" customHeight="false" outlineLevel="0" collapsed="false">
      <c r="B160" s="2" t="n">
        <v>158</v>
      </c>
      <c r="C160" s="2" t="n">
        <v>0.387</v>
      </c>
      <c r="D160" s="2" t="n">
        <v>0</v>
      </c>
      <c r="E160" s="2" t="n">
        <v>0.0410046</v>
      </c>
    </row>
    <row r="161" customFormat="false" ht="13.8" hidden="false" customHeight="false" outlineLevel="0" collapsed="false">
      <c r="B161" s="2" t="n">
        <v>159</v>
      </c>
      <c r="C161" s="2" t="n">
        <v>0.203333666666667</v>
      </c>
      <c r="D161" s="2" t="n">
        <v>0</v>
      </c>
      <c r="E161" s="2" t="n">
        <v>0.00747053333333333</v>
      </c>
    </row>
    <row r="162" customFormat="false" ht="13.8" hidden="false" customHeight="false" outlineLevel="0" collapsed="false">
      <c r="B162" s="2" t="n">
        <v>160</v>
      </c>
      <c r="C162" s="2" t="n">
        <v>0.361</v>
      </c>
      <c r="D162" s="2" t="n">
        <v>0</v>
      </c>
      <c r="E162" s="2" t="n">
        <v>0.1868022</v>
      </c>
    </row>
    <row r="163" customFormat="false" ht="13.8" hidden="false" customHeight="false" outlineLevel="0" collapsed="false">
      <c r="B163" s="2" t="n">
        <v>161</v>
      </c>
      <c r="C163" s="2" t="n">
        <v>0.152333466666667</v>
      </c>
      <c r="D163" s="2" t="n">
        <v>0</v>
      </c>
      <c r="E163" s="2" t="n">
        <v>0.176668533333333</v>
      </c>
    </row>
    <row r="164" customFormat="false" ht="13.8" hidden="false" customHeight="false" outlineLevel="0" collapsed="false">
      <c r="B164" s="2" t="n">
        <v>162</v>
      </c>
      <c r="C164" s="2" t="n">
        <v>0.226667533333333</v>
      </c>
      <c r="D164" s="2" t="n">
        <v>0</v>
      </c>
      <c r="E164" s="2" t="n">
        <v>0.687601066666667</v>
      </c>
    </row>
    <row r="165" customFormat="false" ht="13.8" hidden="false" customHeight="false" outlineLevel="0" collapsed="false">
      <c r="B165" s="2" t="n">
        <v>163</v>
      </c>
      <c r="C165" s="2" t="n">
        <v>0.2740002</v>
      </c>
      <c r="D165" s="2" t="n">
        <v>0</v>
      </c>
      <c r="E165" s="2" t="n">
        <v>0.604002</v>
      </c>
    </row>
    <row r="166" customFormat="false" ht="13.8" hidden="false" customHeight="false" outlineLevel="0" collapsed="false">
      <c r="B166" s="2" t="n">
        <v>164</v>
      </c>
      <c r="C166" s="2" t="n">
        <v>0.275667266666667</v>
      </c>
      <c r="D166" s="2" t="n">
        <v>0</v>
      </c>
      <c r="E166" s="2" t="n">
        <v>0.696935466666667</v>
      </c>
    </row>
    <row r="167" customFormat="false" ht="13.8" hidden="false" customHeight="false" outlineLevel="0" collapsed="false">
      <c r="B167" s="2" t="n">
        <v>165</v>
      </c>
      <c r="C167" s="2" t="n">
        <v>0.277333466666667</v>
      </c>
      <c r="D167" s="2" t="n">
        <v>0</v>
      </c>
      <c r="E167" s="2" t="n">
        <v>0.258137</v>
      </c>
    </row>
    <row r="168" customFormat="false" ht="13.8" hidden="false" customHeight="false" outlineLevel="0" collapsed="false">
      <c r="B168" s="2" t="n">
        <v>166</v>
      </c>
      <c r="C168" s="2" t="n">
        <v>0.248334</v>
      </c>
      <c r="D168" s="2" t="n">
        <v>0</v>
      </c>
      <c r="E168" s="2" t="n">
        <v>0.2422036</v>
      </c>
    </row>
    <row r="169" customFormat="false" ht="13.8" hidden="false" customHeight="false" outlineLevel="0" collapsed="false">
      <c r="B169" s="2" t="n">
        <v>167</v>
      </c>
      <c r="C169" s="2" t="n">
        <v>0.246668933333333</v>
      </c>
      <c r="D169" s="2" t="n">
        <v>0</v>
      </c>
      <c r="E169" s="2" t="n">
        <v>0.151671</v>
      </c>
    </row>
    <row r="170" customFormat="false" ht="13.8" hidden="false" customHeight="false" outlineLevel="0" collapsed="false">
      <c r="B170" s="2" t="n">
        <v>168</v>
      </c>
      <c r="C170" s="2" t="n">
        <v>0.3523348</v>
      </c>
      <c r="D170" s="2" t="n">
        <v>0</v>
      </c>
      <c r="E170" s="2" t="n">
        <v>0.195004066666667</v>
      </c>
    </row>
    <row r="171" customFormat="false" ht="13.8" hidden="false" customHeight="false" outlineLevel="0" collapsed="false">
      <c r="B171" s="2" t="n">
        <v>169</v>
      </c>
      <c r="C171" s="2" t="n">
        <v>0.222002266666667</v>
      </c>
      <c r="D171" s="2" t="n">
        <v>0</v>
      </c>
      <c r="E171" s="2" t="n">
        <v>0.098803</v>
      </c>
    </row>
    <row r="172" customFormat="false" ht="13.8" hidden="false" customHeight="false" outlineLevel="0" collapsed="false">
      <c r="B172" s="2" t="n">
        <v>170</v>
      </c>
      <c r="C172" s="2" t="n">
        <v>0.378005266666667</v>
      </c>
      <c r="D172" s="2" t="n">
        <v>0</v>
      </c>
      <c r="E172" s="2" t="n">
        <v>0.0003354</v>
      </c>
    </row>
    <row r="173" customFormat="false" ht="13.8" hidden="false" customHeight="false" outlineLevel="0" collapsed="false">
      <c r="B173" s="2" t="n">
        <v>171</v>
      </c>
      <c r="C173" s="2" t="n">
        <v>0.176940533333333</v>
      </c>
      <c r="D173" s="2" t="n">
        <v>0</v>
      </c>
      <c r="E173" s="2" t="n">
        <v>1.8E-006</v>
      </c>
    </row>
    <row r="174" customFormat="false" ht="13.8" hidden="false" customHeight="false" outlineLevel="0" collapsed="false">
      <c r="B174" s="2" t="n">
        <v>172</v>
      </c>
      <c r="C174" s="2" t="n">
        <v>0.287210866666667</v>
      </c>
      <c r="D174" s="2" t="n">
        <v>0</v>
      </c>
      <c r="E174" s="2" t="n">
        <v>0.07</v>
      </c>
    </row>
    <row r="175" customFormat="false" ht="13.8" hidden="false" customHeight="false" outlineLevel="0" collapsed="false">
      <c r="B175" s="2" t="n">
        <v>173</v>
      </c>
      <c r="C175" s="2" t="n">
        <v>0.2924808</v>
      </c>
      <c r="D175" s="2" t="n">
        <v>0</v>
      </c>
      <c r="E175" s="2" t="n">
        <v>0.2</v>
      </c>
    </row>
    <row r="176" customFormat="false" ht="13.8" hidden="false" customHeight="false" outlineLevel="0" collapsed="false">
      <c r="B176" s="2" t="n">
        <v>174</v>
      </c>
      <c r="C176" s="2" t="n">
        <v>0.409147666666667</v>
      </c>
      <c r="D176" s="2" t="n">
        <v>0.293333333333333</v>
      </c>
      <c r="E176" s="2" t="n">
        <v>0.07</v>
      </c>
    </row>
    <row r="177" customFormat="false" ht="13.8" hidden="false" customHeight="false" outlineLevel="0" collapsed="false">
      <c r="B177" s="2" t="n">
        <v>175</v>
      </c>
      <c r="C177" s="2" t="n">
        <v>0.302816733333333</v>
      </c>
      <c r="D177" s="2" t="n">
        <v>0.4</v>
      </c>
      <c r="E177" s="2" t="n">
        <v>0.2</v>
      </c>
    </row>
    <row r="178" customFormat="false" ht="13.8" hidden="false" customHeight="false" outlineLevel="0" collapsed="false">
      <c r="B178" s="2" t="n">
        <v>176</v>
      </c>
      <c r="C178" s="2" t="n">
        <v>0.4285474</v>
      </c>
      <c r="D178" s="2" t="n">
        <v>0.4</v>
      </c>
      <c r="E178" s="2" t="n">
        <v>1E-006</v>
      </c>
    </row>
    <row r="179" customFormat="false" ht="13.8" hidden="false" customHeight="false" outlineLevel="0" collapsed="false">
      <c r="B179" s="2" t="n">
        <v>177</v>
      </c>
      <c r="C179" s="2" t="n">
        <v>0.358749666666667</v>
      </c>
      <c r="D179" s="2" t="n">
        <v>0.4</v>
      </c>
      <c r="E179" s="2" t="n">
        <v>0.1340002</v>
      </c>
    </row>
    <row r="180" customFormat="false" ht="13.8" hidden="false" customHeight="false" outlineLevel="0" collapsed="false">
      <c r="B180" s="2" t="n">
        <v>178</v>
      </c>
      <c r="C180" s="2" t="n">
        <v>0.4338178</v>
      </c>
      <c r="D180" s="2" t="n">
        <v>0.4</v>
      </c>
      <c r="E180" s="2" t="n">
        <v>0.005</v>
      </c>
    </row>
    <row r="181" customFormat="false" ht="13.8" hidden="false" customHeight="false" outlineLevel="0" collapsed="false">
      <c r="B181" s="2" t="n">
        <v>179</v>
      </c>
      <c r="C181" s="2" t="n">
        <v>0.348617466666667</v>
      </c>
      <c r="D181" s="2" t="n">
        <v>0.4</v>
      </c>
      <c r="E181" s="2" t="n">
        <v>0.135</v>
      </c>
    </row>
    <row r="182" customFormat="false" ht="13.8" hidden="false" customHeight="false" outlineLevel="0" collapsed="false">
      <c r="B182" s="2" t="n">
        <v>180</v>
      </c>
      <c r="C182" s="2" t="n">
        <v>0.387684333333333</v>
      </c>
      <c r="D182" s="2" t="n">
        <v>0.4</v>
      </c>
      <c r="E182" s="2" t="n">
        <v>0.005</v>
      </c>
    </row>
    <row r="183" customFormat="false" ht="13.8" hidden="false" customHeight="false" outlineLevel="0" collapsed="false">
      <c r="B183" s="2" t="n">
        <v>181</v>
      </c>
      <c r="C183" s="2" t="n">
        <v>0.307949466666667</v>
      </c>
      <c r="D183" s="2" t="n">
        <v>0.4</v>
      </c>
      <c r="E183" s="2" t="n">
        <v>0.135</v>
      </c>
    </row>
    <row r="184" customFormat="false" ht="13.8" hidden="false" customHeight="false" outlineLevel="0" collapsed="false">
      <c r="B184" s="2" t="n">
        <v>182</v>
      </c>
      <c r="C184" s="2" t="n">
        <v>0.302682066666667</v>
      </c>
      <c r="D184" s="2" t="n">
        <v>0.4</v>
      </c>
      <c r="E184" s="2" t="n">
        <v>0.0936671333333334</v>
      </c>
    </row>
    <row r="185" customFormat="false" ht="13.8" hidden="false" customHeight="false" outlineLevel="0" collapsed="false">
      <c r="B185" s="2" t="n">
        <v>183</v>
      </c>
      <c r="C185" s="2" t="n">
        <v>0.251146866666667</v>
      </c>
      <c r="D185" s="2" t="n">
        <v>0.4</v>
      </c>
      <c r="E185" s="2" t="n">
        <v>0.044</v>
      </c>
    </row>
    <row r="186" customFormat="false" ht="13.8" hidden="false" customHeight="false" outlineLevel="0" collapsed="false">
      <c r="B186" s="2" t="n">
        <v>184</v>
      </c>
      <c r="C186" s="2" t="n">
        <v>0.1769492</v>
      </c>
      <c r="D186" s="2" t="n">
        <v>0.4</v>
      </c>
      <c r="E186" s="2" t="n">
        <v>0.0560002</v>
      </c>
    </row>
    <row r="187" customFormat="false" ht="13.8" hidden="false" customHeight="false" outlineLevel="0" collapsed="false">
      <c r="B187" s="2" t="n">
        <v>185</v>
      </c>
      <c r="C187" s="2" t="n">
        <v>0.431882333333333</v>
      </c>
      <c r="D187" s="2" t="n">
        <v>0.4</v>
      </c>
      <c r="E187" s="2" t="n">
        <v>0.1340002</v>
      </c>
    </row>
    <row r="188" customFormat="false" ht="13.8" hidden="false" customHeight="false" outlineLevel="0" collapsed="false">
      <c r="B188" s="2" t="n">
        <v>186</v>
      </c>
      <c r="C188" s="2" t="n">
        <v>0.194150133333333</v>
      </c>
      <c r="D188" s="2" t="n">
        <v>0.4</v>
      </c>
      <c r="E188" s="2" t="n">
        <v>0.005</v>
      </c>
    </row>
    <row r="189" customFormat="false" ht="13.8" hidden="false" customHeight="false" outlineLevel="0" collapsed="false">
      <c r="B189" s="2" t="n">
        <v>187</v>
      </c>
      <c r="C189" s="2" t="n">
        <v>0.2950132</v>
      </c>
      <c r="D189" s="2" t="n">
        <v>0.4</v>
      </c>
      <c r="E189" s="2" t="n">
        <v>0.135</v>
      </c>
    </row>
    <row r="190" customFormat="false" ht="13.8" hidden="false" customHeight="false" outlineLevel="0" collapsed="false">
      <c r="B190" s="2" t="n">
        <v>188</v>
      </c>
      <c r="C190" s="2" t="n">
        <v>0.379345466666667</v>
      </c>
      <c r="D190" s="2" t="n">
        <v>0.4</v>
      </c>
      <c r="E190" s="2" t="n">
        <v>0.005</v>
      </c>
    </row>
    <row r="191" customFormat="false" ht="13.8" hidden="false" customHeight="false" outlineLevel="0" collapsed="false">
      <c r="B191" s="2" t="n">
        <v>189</v>
      </c>
      <c r="C191" s="2" t="n">
        <v>0.274612133333333</v>
      </c>
      <c r="D191" s="2" t="n">
        <v>0.4</v>
      </c>
      <c r="E191" s="2" t="n">
        <v>0.134666733333333</v>
      </c>
    </row>
    <row r="192" customFormat="false" ht="13.8" hidden="false" customHeight="false" outlineLevel="0" collapsed="false">
      <c r="B192" s="2" t="n">
        <v>190</v>
      </c>
      <c r="C192" s="2" t="n">
        <v>0.2364802</v>
      </c>
      <c r="D192" s="2" t="n">
        <v>0.4</v>
      </c>
      <c r="E192" s="2" t="n">
        <v>0.133333666666667</v>
      </c>
    </row>
    <row r="193" customFormat="false" ht="13.8" hidden="false" customHeight="false" outlineLevel="0" collapsed="false">
      <c r="B193" s="2" t="n">
        <v>191</v>
      </c>
      <c r="C193" s="2" t="n">
        <v>0.0742753333333333</v>
      </c>
      <c r="D193" s="2" t="n">
        <v>0.32</v>
      </c>
      <c r="E193" s="2" t="n">
        <v>0.005</v>
      </c>
    </row>
    <row r="194" customFormat="false" ht="13.8" hidden="false" customHeight="false" outlineLevel="0" collapsed="false">
      <c r="B194" s="2" t="n">
        <v>192</v>
      </c>
      <c r="C194" s="2" t="n">
        <v>0.178009933333333</v>
      </c>
      <c r="D194" s="2" t="n">
        <v>0</v>
      </c>
      <c r="E194" s="2" t="n">
        <v>0.0283338666666667</v>
      </c>
    </row>
    <row r="195" customFormat="false" ht="13.8" hidden="false" customHeight="false" outlineLevel="0" collapsed="false">
      <c r="B195" s="2" t="n">
        <v>193</v>
      </c>
      <c r="C195" s="2" t="n">
        <v>0.0370768</v>
      </c>
      <c r="D195" s="2" t="n">
        <v>0</v>
      </c>
      <c r="E195" s="2" t="n">
        <v>0.00433346666666667</v>
      </c>
    </row>
    <row r="196" customFormat="false" ht="13.8" hidden="false" customHeight="false" outlineLevel="0" collapsed="false">
      <c r="B196" s="2" t="n">
        <v>194</v>
      </c>
      <c r="C196" s="2" t="n">
        <v>0.115809533333333</v>
      </c>
      <c r="D196" s="2" t="n">
        <v>0</v>
      </c>
      <c r="E196" s="2" t="n">
        <v>0.109</v>
      </c>
    </row>
    <row r="197" customFormat="false" ht="13.8" hidden="false" customHeight="false" outlineLevel="0" collapsed="false">
      <c r="B197" s="2" t="n">
        <v>195</v>
      </c>
      <c r="C197" s="2" t="n">
        <v>0.3270722</v>
      </c>
      <c r="D197" s="2" t="n">
        <v>0.373333333333333</v>
      </c>
      <c r="E197" s="2" t="n">
        <v>0.031</v>
      </c>
    </row>
    <row r="198" customFormat="false" ht="13.8" hidden="false" customHeight="false" outlineLevel="0" collapsed="false">
      <c r="B198" s="2" t="n">
        <v>196</v>
      </c>
      <c r="C198" s="2" t="n">
        <v>0.0530019333333333</v>
      </c>
      <c r="D198" s="2" t="n">
        <v>0.4</v>
      </c>
      <c r="E198" s="2" t="n">
        <v>0.109</v>
      </c>
    </row>
    <row r="199" customFormat="false" ht="13.8" hidden="false" customHeight="false" outlineLevel="0" collapsed="false">
      <c r="B199" s="2" t="n">
        <v>197</v>
      </c>
      <c r="C199" s="2" t="n">
        <v>0.310467533333333</v>
      </c>
      <c r="D199" s="2" t="n">
        <v>0.4</v>
      </c>
      <c r="E199" s="2" t="n">
        <v>0.031</v>
      </c>
    </row>
    <row r="200" customFormat="false" ht="13.8" hidden="false" customHeight="false" outlineLevel="0" collapsed="false">
      <c r="B200" s="2" t="n">
        <v>198</v>
      </c>
      <c r="C200" s="2" t="n">
        <v>0.0550004666666667</v>
      </c>
      <c r="D200" s="2" t="n">
        <v>0.4</v>
      </c>
      <c r="E200" s="2" t="n">
        <v>0.109</v>
      </c>
    </row>
    <row r="201" customFormat="false" ht="13.8" hidden="false" customHeight="false" outlineLevel="0" collapsed="false">
      <c r="B201" s="2" t="n">
        <v>199</v>
      </c>
      <c r="C201" s="2" t="n">
        <v>0.186334333333333</v>
      </c>
      <c r="D201" s="2" t="n">
        <v>0.4</v>
      </c>
      <c r="E201" s="2" t="n">
        <v>0.031</v>
      </c>
    </row>
    <row r="202" customFormat="false" ht="13.8" hidden="false" customHeight="false" outlineLevel="0" collapsed="false">
      <c r="B202" s="2" t="n">
        <v>200</v>
      </c>
      <c r="C202" s="2" t="n">
        <v>0.061</v>
      </c>
      <c r="D202" s="2" t="n">
        <v>0.4</v>
      </c>
      <c r="E202" s="2" t="n">
        <v>0.109</v>
      </c>
    </row>
    <row r="203" customFormat="false" ht="13.8" hidden="false" customHeight="false" outlineLevel="0" collapsed="false">
      <c r="B203" s="2" t="n">
        <v>201</v>
      </c>
      <c r="C203" s="2" t="n">
        <v>0.319667</v>
      </c>
      <c r="D203" s="2" t="n">
        <v>0.4</v>
      </c>
      <c r="E203" s="2" t="n">
        <v>0.031</v>
      </c>
    </row>
    <row r="204" customFormat="false" ht="13.8" hidden="false" customHeight="false" outlineLevel="0" collapsed="false">
      <c r="B204" s="2" t="n">
        <v>202</v>
      </c>
      <c r="C204" s="2" t="n">
        <v>0.0586009333333333</v>
      </c>
      <c r="D204" s="2" t="n">
        <v>0.4</v>
      </c>
      <c r="E204" s="2" t="n">
        <v>0.005</v>
      </c>
    </row>
    <row r="205" customFormat="false" ht="13.8" hidden="false" customHeight="false" outlineLevel="0" collapsed="false">
      <c r="B205" s="2" t="n">
        <v>203</v>
      </c>
      <c r="C205" s="2" t="n">
        <v>0.0568676666666667</v>
      </c>
      <c r="D205" s="2" t="n">
        <v>0.4</v>
      </c>
      <c r="E205" s="2" t="n">
        <v>0.083</v>
      </c>
    </row>
    <row r="206" customFormat="false" ht="13.8" hidden="false" customHeight="false" outlineLevel="0" collapsed="false">
      <c r="B206" s="2" t="n">
        <v>204</v>
      </c>
      <c r="C206" s="2" t="n">
        <v>0.280000533333333</v>
      </c>
      <c r="D206" s="2" t="n">
        <v>0.4</v>
      </c>
      <c r="E206" s="2" t="n">
        <v>0.057</v>
      </c>
    </row>
    <row r="207" customFormat="false" ht="13.8" hidden="false" customHeight="false" outlineLevel="0" collapsed="false">
      <c r="B207" s="2" t="n">
        <v>205</v>
      </c>
      <c r="C207" s="2" t="n">
        <v>0.0878001333333333</v>
      </c>
      <c r="D207" s="2" t="n">
        <v>0.4</v>
      </c>
      <c r="E207" s="2" t="n">
        <v>0.083</v>
      </c>
    </row>
    <row r="208" customFormat="false" ht="13.8" hidden="false" customHeight="false" outlineLevel="0" collapsed="false">
      <c r="B208" s="2" t="n">
        <v>206</v>
      </c>
      <c r="C208" s="2" t="n">
        <v>0.281000533333333</v>
      </c>
      <c r="D208" s="2" t="n">
        <v>0.4</v>
      </c>
      <c r="E208" s="2" t="n">
        <v>0.057</v>
      </c>
    </row>
    <row r="209" customFormat="false" ht="13.8" hidden="false" customHeight="false" outlineLevel="0" collapsed="false">
      <c r="B209" s="2" t="n">
        <v>207</v>
      </c>
      <c r="C209" s="2" t="n">
        <v>0.0763336</v>
      </c>
      <c r="D209" s="2" t="n">
        <v>0.4</v>
      </c>
      <c r="E209" s="2" t="n">
        <v>0.0163336666666667</v>
      </c>
    </row>
    <row r="210" customFormat="false" ht="13.8" hidden="false" customHeight="false" outlineLevel="0" collapsed="false">
      <c r="B210" s="2" t="n">
        <v>208</v>
      </c>
      <c r="C210" s="2" t="n">
        <v>0.2855336</v>
      </c>
      <c r="D210" s="2" t="n">
        <v>0.4</v>
      </c>
      <c r="E210" s="2" t="n">
        <v>0.000334266666666667</v>
      </c>
    </row>
    <row r="211" customFormat="false" ht="13.8" hidden="false" customHeight="false" outlineLevel="0" collapsed="false">
      <c r="B211" s="2" t="n">
        <v>209</v>
      </c>
      <c r="C211" s="2" t="n">
        <v>0.0741348666666667</v>
      </c>
      <c r="D211" s="2" t="n">
        <v>0.4</v>
      </c>
      <c r="E211" s="2" t="n">
        <v>0.005</v>
      </c>
    </row>
    <row r="212" customFormat="false" ht="13.8" hidden="false" customHeight="false" outlineLevel="0" collapsed="false">
      <c r="B212" s="2" t="n">
        <v>210</v>
      </c>
      <c r="C212" s="2" t="n">
        <v>0.176734333333333</v>
      </c>
      <c r="D212" s="2" t="n">
        <v>0.4</v>
      </c>
      <c r="E212" s="2" t="n">
        <v>0.135</v>
      </c>
    </row>
    <row r="213" customFormat="false" ht="13.8" hidden="false" customHeight="false" outlineLevel="0" collapsed="false">
      <c r="B213" s="2" t="n">
        <v>211</v>
      </c>
      <c r="C213" s="2" t="n">
        <v>0.1640002</v>
      </c>
      <c r="D213" s="2" t="n">
        <v>0.4</v>
      </c>
      <c r="E213" s="2" t="n">
        <v>0.00433346666666667</v>
      </c>
    </row>
    <row r="214" customFormat="false" ht="13.8" hidden="false" customHeight="false" outlineLevel="0" collapsed="false">
      <c r="B214" s="2" t="n">
        <v>212</v>
      </c>
      <c r="C214" s="2" t="n">
        <v>0.268666733333333</v>
      </c>
      <c r="D214" s="2" t="n">
        <v>0.4</v>
      </c>
      <c r="E214" s="2" t="n">
        <v>1E-006</v>
      </c>
    </row>
    <row r="215" customFormat="false" ht="13.8" hidden="false" customHeight="false" outlineLevel="0" collapsed="false">
      <c r="B215" s="2" t="n">
        <v>213</v>
      </c>
      <c r="C215" s="2" t="n">
        <v>0.334</v>
      </c>
      <c r="D215" s="2" t="n">
        <v>0.4</v>
      </c>
      <c r="E215" s="2" t="n">
        <v>0.00166733333333333</v>
      </c>
    </row>
    <row r="216" customFormat="false" ht="13.8" hidden="false" customHeight="false" outlineLevel="0" collapsed="false">
      <c r="B216" s="2" t="n">
        <v>214</v>
      </c>
      <c r="C216" s="2" t="n">
        <v>0.2291336</v>
      </c>
      <c r="D216" s="2" t="n">
        <v>0.4</v>
      </c>
      <c r="E216" s="2" t="n">
        <v>0.135</v>
      </c>
    </row>
    <row r="217" customFormat="false" ht="13.8" hidden="false" customHeight="false" outlineLevel="0" collapsed="false">
      <c r="B217" s="2" t="n">
        <v>215</v>
      </c>
      <c r="C217" s="2" t="n">
        <v>0.306334133333333</v>
      </c>
      <c r="D217" s="2" t="n">
        <v>0.4</v>
      </c>
      <c r="E217" s="2" t="n">
        <v>0.135</v>
      </c>
    </row>
    <row r="218" customFormat="false" ht="13.8" hidden="false" customHeight="false" outlineLevel="0" collapsed="false">
      <c r="B218" s="2" t="n">
        <v>216</v>
      </c>
      <c r="C218" s="2" t="n">
        <v>0.213933466666667</v>
      </c>
      <c r="D218" s="2" t="n">
        <v>0.4</v>
      </c>
      <c r="E218" s="2" t="n">
        <v>0.135</v>
      </c>
    </row>
    <row r="219" customFormat="false" ht="13.8" hidden="false" customHeight="false" outlineLevel="0" collapsed="false">
      <c r="B219" s="2" t="n">
        <v>217</v>
      </c>
      <c r="C219" s="2" t="n">
        <v>0.299267866666667</v>
      </c>
      <c r="D219" s="2" t="n">
        <v>0.4</v>
      </c>
      <c r="E219" s="2" t="n">
        <v>0.135</v>
      </c>
    </row>
    <row r="220" customFormat="false" ht="13.8" hidden="false" customHeight="false" outlineLevel="0" collapsed="false">
      <c r="B220" s="2" t="n">
        <v>218</v>
      </c>
      <c r="C220" s="2" t="n">
        <v>0.194935666666667</v>
      </c>
      <c r="D220" s="2" t="n">
        <v>0.4</v>
      </c>
      <c r="E220" s="2" t="n">
        <v>0.135</v>
      </c>
    </row>
    <row r="221" customFormat="false" ht="13.8" hidden="false" customHeight="false" outlineLevel="0" collapsed="false">
      <c r="B221" s="2" t="n">
        <v>219</v>
      </c>
      <c r="C221" s="2" t="n">
        <v>0.294402933333333</v>
      </c>
      <c r="D221" s="2" t="n">
        <v>0.32</v>
      </c>
      <c r="E221" s="2" t="n">
        <v>0.135</v>
      </c>
    </row>
    <row r="222" customFormat="false" ht="13.8" hidden="false" customHeight="false" outlineLevel="0" collapsed="false">
      <c r="B222" s="2" t="n">
        <v>220</v>
      </c>
      <c r="C222" s="2" t="n">
        <v>0.229537133333333</v>
      </c>
      <c r="D222" s="2" t="n">
        <v>0</v>
      </c>
      <c r="E222" s="2" t="n">
        <v>0.135</v>
      </c>
    </row>
    <row r="223" customFormat="false" ht="13.8" hidden="false" customHeight="false" outlineLevel="0" collapsed="false">
      <c r="B223" s="2" t="n">
        <v>221</v>
      </c>
      <c r="C223" s="2" t="n">
        <v>0.3022062</v>
      </c>
      <c r="D223" s="2" t="n">
        <v>0</v>
      </c>
      <c r="E223" s="2" t="n">
        <v>0.135</v>
      </c>
    </row>
    <row r="224" customFormat="false" ht="13.8" hidden="false" customHeight="false" outlineLevel="0" collapsed="false">
      <c r="B224" s="2" t="n">
        <v>222</v>
      </c>
      <c r="C224" s="2" t="n">
        <v>0.2220054</v>
      </c>
      <c r="D224" s="2" t="n">
        <v>0</v>
      </c>
      <c r="E224" s="2" t="n">
        <v>0.135</v>
      </c>
    </row>
    <row r="225" customFormat="false" ht="13.8" hidden="false" customHeight="false" outlineLevel="0" collapsed="false">
      <c r="B225" s="2" t="n">
        <v>223</v>
      </c>
      <c r="C225" s="2" t="n">
        <v>0.293005133333333</v>
      </c>
      <c r="D225" s="2" t="n">
        <v>0</v>
      </c>
      <c r="E225" s="2" t="n">
        <v>0.135000133333333</v>
      </c>
    </row>
    <row r="226" customFormat="false" ht="13.8" hidden="false" customHeight="false" outlineLevel="0" collapsed="false">
      <c r="B226" s="2" t="n">
        <v>224</v>
      </c>
      <c r="C226" s="2" t="n">
        <v>0.200004933333333</v>
      </c>
      <c r="D226" s="2" t="n">
        <v>0</v>
      </c>
      <c r="E226" s="2" t="n">
        <v>0.135001</v>
      </c>
    </row>
    <row r="227" customFormat="false" ht="13.8" hidden="false" customHeight="false" outlineLevel="0" collapsed="false">
      <c r="B227" s="2" t="n">
        <v>225</v>
      </c>
      <c r="C227" s="2" t="n">
        <v>0.300139533333333</v>
      </c>
      <c r="D227" s="2" t="n">
        <v>0</v>
      </c>
      <c r="E227" s="2" t="n">
        <v>0.135001</v>
      </c>
    </row>
    <row r="228" customFormat="false" ht="13.8" hidden="false" customHeight="false" outlineLevel="0" collapsed="false">
      <c r="B228" s="2" t="n">
        <v>226</v>
      </c>
      <c r="C228" s="2" t="n">
        <v>0.212406733333333</v>
      </c>
      <c r="D228" s="2" t="n">
        <v>0</v>
      </c>
      <c r="E228" s="2" t="n">
        <v>0.335000333333333</v>
      </c>
    </row>
    <row r="229" customFormat="false" ht="13.8" hidden="false" customHeight="false" outlineLevel="0" collapsed="false">
      <c r="B229" s="2" t="n">
        <v>227</v>
      </c>
      <c r="C229" s="2" t="n">
        <v>0.285008866666667</v>
      </c>
      <c r="D229" s="2" t="n">
        <v>0</v>
      </c>
      <c r="E229" s="2" t="n">
        <v>0.335000333333333</v>
      </c>
    </row>
    <row r="230" customFormat="false" ht="13.8" hidden="false" customHeight="false" outlineLevel="0" collapsed="false">
      <c r="B230" s="2" t="n">
        <v>228</v>
      </c>
      <c r="C230" s="2" t="n">
        <v>0.1120094</v>
      </c>
      <c r="D230" s="2" t="n">
        <v>0</v>
      </c>
      <c r="E230" s="2" t="n">
        <v>0.1483342</v>
      </c>
    </row>
    <row r="231" customFormat="false" ht="13.8" hidden="false" customHeight="false" outlineLevel="0" collapsed="false">
      <c r="B231" s="2" t="n">
        <v>229</v>
      </c>
      <c r="C231" s="2" t="n">
        <v>0.200343266666667</v>
      </c>
      <c r="D231" s="2" t="n">
        <v>0</v>
      </c>
      <c r="E231" s="2" t="n">
        <v>0.235</v>
      </c>
    </row>
    <row r="232" customFormat="false" ht="13.8" hidden="false" customHeight="false" outlineLevel="0" collapsed="false">
      <c r="B232" s="2" t="n">
        <v>230</v>
      </c>
      <c r="C232" s="2" t="n">
        <v>0.285675333333333</v>
      </c>
      <c r="D232" s="2" t="n">
        <v>0</v>
      </c>
      <c r="E232" s="2" t="n">
        <v>0.235001266666667</v>
      </c>
    </row>
    <row r="233" customFormat="false" ht="13.8" hidden="false" customHeight="false" outlineLevel="0" collapsed="false">
      <c r="B233" s="2" t="n">
        <v>231</v>
      </c>
      <c r="C233" s="2" t="n">
        <v>0.265008</v>
      </c>
      <c r="D233" s="2" t="n">
        <v>0</v>
      </c>
      <c r="E233" s="2" t="n">
        <v>0.235002</v>
      </c>
    </row>
    <row r="234" customFormat="false" ht="13.8" hidden="false" customHeight="false" outlineLevel="0" collapsed="false">
      <c r="B234" s="2" t="n">
        <v>232</v>
      </c>
      <c r="C234" s="2" t="n">
        <v>0.2935416</v>
      </c>
      <c r="D234" s="2" t="n">
        <v>0</v>
      </c>
      <c r="E234" s="2" t="n">
        <v>0.235002</v>
      </c>
    </row>
    <row r="235" customFormat="false" ht="13.8" hidden="false" customHeight="false" outlineLevel="0" collapsed="false">
      <c r="B235" s="2" t="n">
        <v>233</v>
      </c>
      <c r="C235" s="2" t="n">
        <v>0.2720072</v>
      </c>
      <c r="D235" s="2" t="n">
        <v>0</v>
      </c>
      <c r="E235" s="2" t="n">
        <v>0.241934466666667</v>
      </c>
    </row>
    <row r="236" customFormat="false" ht="13.8" hidden="false" customHeight="false" outlineLevel="0" collapsed="false">
      <c r="B236" s="2" t="n">
        <v>234</v>
      </c>
      <c r="C236" s="2" t="n">
        <v>0.2908072</v>
      </c>
      <c r="D236" s="2" t="n">
        <v>0</v>
      </c>
      <c r="E236" s="2" t="n">
        <v>0.238734866666667</v>
      </c>
    </row>
    <row r="237" customFormat="false" ht="13.8" hidden="false" customHeight="false" outlineLevel="0" collapsed="false">
      <c r="B237" s="2" t="n">
        <v>235</v>
      </c>
      <c r="C237" s="2" t="n">
        <v>0.257007733333333</v>
      </c>
      <c r="D237" s="2" t="n">
        <v>0</v>
      </c>
      <c r="E237" s="2" t="n">
        <v>0.240201133333333</v>
      </c>
    </row>
    <row r="238" customFormat="false" ht="13.8" hidden="false" customHeight="false" outlineLevel="0" collapsed="false">
      <c r="B238" s="2" t="n">
        <v>236</v>
      </c>
      <c r="C238" s="2" t="n">
        <v>0.289939133333333</v>
      </c>
      <c r="D238" s="2" t="n">
        <v>0</v>
      </c>
      <c r="E238" s="2" t="n">
        <v>0.241001</v>
      </c>
    </row>
    <row r="239" customFormat="false" ht="13.8" hidden="false" customHeight="false" outlineLevel="0" collapsed="false">
      <c r="B239" s="2" t="n">
        <v>237</v>
      </c>
      <c r="C239" s="2" t="n">
        <v>0.2612716</v>
      </c>
      <c r="D239" s="2" t="n">
        <v>0</v>
      </c>
      <c r="E239" s="2" t="n">
        <v>0.241001</v>
      </c>
    </row>
    <row r="240" customFormat="false" ht="13.8" hidden="false" customHeight="false" outlineLevel="0" collapsed="false">
      <c r="B240" s="2" t="n">
        <v>238</v>
      </c>
      <c r="C240" s="2" t="n">
        <v>0.287406</v>
      </c>
      <c r="D240" s="2" t="n">
        <v>0</v>
      </c>
      <c r="E240" s="2" t="n">
        <v>0.241001</v>
      </c>
    </row>
    <row r="241" customFormat="false" ht="13.8" hidden="false" customHeight="false" outlineLevel="0" collapsed="false">
      <c r="B241" s="2" t="n">
        <v>239</v>
      </c>
      <c r="C241" s="2" t="n">
        <v>0.265140666666667</v>
      </c>
      <c r="D241" s="2" t="n">
        <v>0</v>
      </c>
      <c r="E241" s="2" t="n">
        <v>0.241001</v>
      </c>
    </row>
    <row r="242" customFormat="false" ht="13.8" hidden="false" customHeight="false" outlineLevel="0" collapsed="false">
      <c r="B242" s="2" t="n">
        <v>240</v>
      </c>
      <c r="C242" s="2" t="n">
        <v>0.1730094</v>
      </c>
      <c r="D242" s="2" t="n">
        <v>0</v>
      </c>
      <c r="E242" s="2" t="n">
        <v>0.1922016</v>
      </c>
    </row>
    <row r="243" customFormat="false" ht="13.8" hidden="false" customHeight="false" outlineLevel="0" collapsed="false">
      <c r="B243" s="2" t="n">
        <v>241</v>
      </c>
      <c r="C243" s="2" t="n">
        <v>0.379874333333333</v>
      </c>
      <c r="D243" s="2" t="n">
        <v>0</v>
      </c>
      <c r="E243" s="2" t="n">
        <v>0.1390016</v>
      </c>
    </row>
    <row r="244" customFormat="false" ht="13.8" hidden="false" customHeight="false" outlineLevel="0" collapsed="false">
      <c r="B244" s="2" t="n">
        <v>242</v>
      </c>
      <c r="C244" s="2" t="n">
        <v>0.141476333333333</v>
      </c>
      <c r="D244" s="2" t="n">
        <v>0</v>
      </c>
      <c r="E244" s="2" t="n">
        <v>0.1371348</v>
      </c>
    </row>
    <row r="245" customFormat="false" ht="13.8" hidden="false" customHeight="false" outlineLevel="0" collapsed="false">
      <c r="B245" s="2" t="n">
        <v>243</v>
      </c>
      <c r="C245" s="2" t="n">
        <v>0.387009</v>
      </c>
      <c r="D245" s="2" t="n">
        <v>0</v>
      </c>
      <c r="E245" s="2" t="n">
        <v>0.135002</v>
      </c>
    </row>
    <row r="246" customFormat="false" ht="13.8" hidden="false" customHeight="false" outlineLevel="0" collapsed="false">
      <c r="B246" s="2" t="n">
        <v>244</v>
      </c>
      <c r="C246" s="2" t="n">
        <v>0.126342466666667</v>
      </c>
      <c r="D246" s="2" t="n">
        <v>0</v>
      </c>
      <c r="E246" s="2" t="n">
        <v>0.135002</v>
      </c>
    </row>
    <row r="247" customFormat="false" ht="13.8" hidden="false" customHeight="false" outlineLevel="0" collapsed="false">
      <c r="B247" s="2" t="n">
        <v>245</v>
      </c>
      <c r="C247" s="2" t="n">
        <v>0.392874333333333</v>
      </c>
      <c r="D247" s="2" t="n">
        <v>0</v>
      </c>
      <c r="E247" s="2" t="n">
        <v>0.135002</v>
      </c>
    </row>
    <row r="248" customFormat="false" ht="13.8" hidden="false" customHeight="false" outlineLevel="0" collapsed="false">
      <c r="B248" s="2" t="n">
        <v>246</v>
      </c>
      <c r="C248" s="2" t="n">
        <v>0.156207133333333</v>
      </c>
      <c r="D248" s="2" t="n">
        <v>0</v>
      </c>
      <c r="E248" s="2" t="n">
        <v>0.135002</v>
      </c>
    </row>
    <row r="249" customFormat="false" ht="13.8" hidden="false" customHeight="false" outlineLevel="0" collapsed="false">
      <c r="B249" s="2" t="n">
        <v>247</v>
      </c>
      <c r="C249" s="2" t="n">
        <v>0.360337733333333</v>
      </c>
      <c r="D249" s="2" t="n">
        <v>0</v>
      </c>
      <c r="E249" s="2" t="n">
        <v>0.135002</v>
      </c>
    </row>
    <row r="250" customFormat="false" ht="13.8" hidden="false" customHeight="false" outlineLevel="0" collapsed="false">
      <c r="B250" s="2" t="n">
        <v>248</v>
      </c>
      <c r="C250" s="2" t="n">
        <v>0.218002466666667</v>
      </c>
      <c r="D250" s="2" t="n">
        <v>0</v>
      </c>
      <c r="E250" s="2" t="n">
        <v>0.135002</v>
      </c>
    </row>
    <row r="251" customFormat="false" ht="13.8" hidden="false" customHeight="false" outlineLevel="0" collapsed="false">
      <c r="B251" s="2" t="n">
        <v>249</v>
      </c>
      <c r="C251" s="2" t="n">
        <v>0.303333533333333</v>
      </c>
      <c r="D251" s="2" t="n">
        <v>0</v>
      </c>
      <c r="E251" s="2" t="n">
        <v>0.138201466666667</v>
      </c>
    </row>
    <row r="252" customFormat="false" ht="13.8" hidden="false" customHeight="false" outlineLevel="0" collapsed="false">
      <c r="B252" s="2" t="n">
        <v>250</v>
      </c>
      <c r="C252" s="2" t="n">
        <v>0.2846008</v>
      </c>
      <c r="D252" s="2" t="n">
        <v>0</v>
      </c>
      <c r="E252" s="2" t="n">
        <v>0.139401266666667</v>
      </c>
    </row>
    <row r="253" customFormat="false" ht="13.8" hidden="false" customHeight="false" outlineLevel="0" collapsed="false">
      <c r="B253" s="2" t="n">
        <v>251</v>
      </c>
      <c r="C253" s="2" t="n">
        <v>0.243667</v>
      </c>
      <c r="D253" s="2" t="n">
        <v>0</v>
      </c>
      <c r="E253" s="2" t="n">
        <v>0.135002466666667</v>
      </c>
    </row>
    <row r="254" customFormat="false" ht="13.8" hidden="false" customHeight="false" outlineLevel="0" collapsed="false">
      <c r="B254" s="2" t="n">
        <v>252</v>
      </c>
      <c r="C254" s="2" t="n">
        <v>0.283</v>
      </c>
      <c r="D254" s="2" t="n">
        <v>0</v>
      </c>
      <c r="E254" s="2" t="n">
        <v>0.143668333333333</v>
      </c>
    </row>
    <row r="255" customFormat="false" ht="13.8" hidden="false" customHeight="false" outlineLevel="0" collapsed="false">
      <c r="B255" s="2" t="n">
        <v>253</v>
      </c>
      <c r="C255" s="2" t="n">
        <v>0.2300002</v>
      </c>
      <c r="D255" s="2" t="n">
        <v>0</v>
      </c>
      <c r="E255" s="2" t="n">
        <v>0.2236674</v>
      </c>
    </row>
    <row r="256" customFormat="false" ht="13.8" hidden="false" customHeight="false" outlineLevel="0" collapsed="false">
      <c r="B256" s="2" t="n">
        <v>254</v>
      </c>
      <c r="C256" s="2" t="n">
        <v>0.2020006</v>
      </c>
      <c r="D256" s="2" t="n">
        <v>0</v>
      </c>
      <c r="E256" s="2" t="n">
        <v>0.300334066666667</v>
      </c>
    </row>
    <row r="257" customFormat="false" ht="13.8" hidden="false" customHeight="false" outlineLevel="0" collapsed="false">
      <c r="B257" s="2" t="n">
        <v>255</v>
      </c>
      <c r="C257" s="2" t="n">
        <v>0.218</v>
      </c>
      <c r="D257" s="2" t="n">
        <v>0</v>
      </c>
      <c r="E257" s="2" t="n">
        <v>0.1370026</v>
      </c>
    </row>
    <row r="258" customFormat="false" ht="13.8" hidden="false" customHeight="false" outlineLevel="0" collapsed="false">
      <c r="B258" s="2" t="n">
        <v>256</v>
      </c>
      <c r="C258" s="2" t="n">
        <v>0.322</v>
      </c>
      <c r="D258" s="2" t="n">
        <v>0</v>
      </c>
      <c r="E258" s="2" t="n">
        <v>0.135003</v>
      </c>
    </row>
    <row r="259" customFormat="false" ht="13.8" hidden="false" customHeight="false" outlineLevel="0" collapsed="false">
      <c r="B259" s="2" t="n">
        <v>257</v>
      </c>
      <c r="C259" s="2" t="n">
        <v>0.218</v>
      </c>
      <c r="D259" s="2" t="n">
        <v>0</v>
      </c>
      <c r="E259" s="2" t="n">
        <v>0.135003</v>
      </c>
    </row>
    <row r="260" customFormat="false" ht="13.8" hidden="false" customHeight="false" outlineLevel="0" collapsed="false">
      <c r="B260" s="2" t="n">
        <v>258</v>
      </c>
      <c r="C260" s="2" t="n">
        <v>0.322000933333333</v>
      </c>
      <c r="D260" s="2" t="n">
        <v>0</v>
      </c>
      <c r="E260" s="2" t="n">
        <v>0.135003</v>
      </c>
    </row>
    <row r="261" customFormat="false" ht="13.8" hidden="false" customHeight="false" outlineLevel="0" collapsed="false">
      <c r="B261" s="2" t="n">
        <v>259</v>
      </c>
      <c r="C261" s="2" t="n">
        <v>0.218001</v>
      </c>
      <c r="D261" s="2" t="n">
        <v>0</v>
      </c>
      <c r="E261" s="2" t="n">
        <v>0.1080032</v>
      </c>
    </row>
    <row r="262" customFormat="false" ht="13.8" hidden="false" customHeight="false" outlineLevel="0" collapsed="false">
      <c r="B262" s="2" t="n">
        <v>260</v>
      </c>
      <c r="C262" s="2" t="n">
        <v>0.294667933333333</v>
      </c>
      <c r="D262" s="2" t="n">
        <v>0</v>
      </c>
      <c r="E262" s="2" t="n">
        <v>0.122002066666667</v>
      </c>
    </row>
    <row r="263" customFormat="false" ht="13.8" hidden="false" customHeight="false" outlineLevel="0" collapsed="false">
      <c r="B263" s="2" t="n">
        <v>261</v>
      </c>
      <c r="C263" s="2" t="n">
        <v>0.192001</v>
      </c>
      <c r="D263" s="2" t="n">
        <v>0</v>
      </c>
      <c r="E263" s="2" t="n">
        <v>0.1544678</v>
      </c>
    </row>
    <row r="264" customFormat="false" ht="13.8" hidden="false" customHeight="false" outlineLevel="0" collapsed="false">
      <c r="B264" s="2" t="n">
        <v>262</v>
      </c>
      <c r="C264" s="2" t="n">
        <v>0.3480016</v>
      </c>
      <c r="D264" s="2" t="n">
        <v>0</v>
      </c>
      <c r="E264" s="2" t="n">
        <v>0.177601</v>
      </c>
    </row>
    <row r="265" customFormat="false" ht="13.8" hidden="false" customHeight="false" outlineLevel="0" collapsed="false">
      <c r="B265" s="2" t="n">
        <v>263</v>
      </c>
      <c r="C265" s="2" t="n">
        <v>0.232001533333333</v>
      </c>
      <c r="D265" s="2" t="n">
        <v>0</v>
      </c>
      <c r="E265" s="2" t="n">
        <v>0.158335133333333</v>
      </c>
    </row>
    <row r="266" customFormat="false" ht="13.8" hidden="false" customHeight="false" outlineLevel="0" collapsed="false">
      <c r="B266" s="2" t="n">
        <v>264</v>
      </c>
      <c r="C266" s="2" t="n">
        <v>0.360535666666667</v>
      </c>
      <c r="D266" s="2" t="n">
        <v>0.266666666666667</v>
      </c>
      <c r="E266" s="2" t="n">
        <v>0.0672021333333333</v>
      </c>
    </row>
    <row r="267" customFormat="false" ht="13.8" hidden="false" customHeight="false" outlineLevel="0" collapsed="false">
      <c r="B267" s="2" t="n">
        <v>265</v>
      </c>
      <c r="C267" s="2" t="n">
        <v>0.200339266666667</v>
      </c>
      <c r="D267" s="2" t="n">
        <v>0.4</v>
      </c>
      <c r="E267" s="2" t="n">
        <v>0.165201666666667</v>
      </c>
    </row>
    <row r="268" customFormat="false" ht="13.8" hidden="false" customHeight="false" outlineLevel="0" collapsed="false">
      <c r="B268" s="2" t="n">
        <v>266</v>
      </c>
      <c r="C268" s="2" t="n">
        <v>0.3715416</v>
      </c>
      <c r="D268" s="2" t="n">
        <v>0.4</v>
      </c>
      <c r="E268" s="2" t="n">
        <v>0.1480014</v>
      </c>
    </row>
    <row r="269" customFormat="false" ht="13.8" hidden="false" customHeight="false" outlineLevel="0" collapsed="false">
      <c r="B269" s="2" t="n">
        <v>267</v>
      </c>
      <c r="C269" s="2" t="n">
        <v>0.2216118</v>
      </c>
      <c r="D269" s="2" t="n">
        <v>0.4</v>
      </c>
      <c r="E269" s="2" t="n">
        <v>0.0553346666666667</v>
      </c>
    </row>
    <row r="270" customFormat="false" ht="13.8" hidden="false" customHeight="false" outlineLevel="0" collapsed="false">
      <c r="B270" s="2" t="n">
        <v>268</v>
      </c>
      <c r="C270" s="2" t="n">
        <v>0.424946266666667</v>
      </c>
      <c r="D270" s="2" t="n">
        <v>0.4</v>
      </c>
      <c r="E270" s="2" t="n">
        <v>0.0433344666666667</v>
      </c>
    </row>
    <row r="271" customFormat="false" ht="13.8" hidden="false" customHeight="false" outlineLevel="0" collapsed="false">
      <c r="B271" s="2" t="n">
        <v>269</v>
      </c>
      <c r="C271" s="2" t="n">
        <v>0.329010933333333</v>
      </c>
      <c r="D271" s="2" t="n">
        <v>0.4</v>
      </c>
      <c r="E271" s="2" t="n">
        <v>0.200001</v>
      </c>
    </row>
    <row r="272" customFormat="false" ht="13.8" hidden="false" customHeight="false" outlineLevel="0" collapsed="false">
      <c r="B272" s="2" t="n">
        <v>270</v>
      </c>
      <c r="C272" s="2" t="n">
        <v>0.542341333333333</v>
      </c>
      <c r="D272" s="2" t="n">
        <v>0.4</v>
      </c>
      <c r="E272" s="2" t="n">
        <v>0.07</v>
      </c>
    </row>
    <row r="273" customFormat="false" ht="13.8" hidden="false" customHeight="false" outlineLevel="0" collapsed="false">
      <c r="B273" s="2" t="n">
        <v>271</v>
      </c>
      <c r="C273" s="2" t="n">
        <v>0.299811933333333</v>
      </c>
      <c r="D273" s="2" t="n">
        <v>0.4</v>
      </c>
      <c r="E273" s="2" t="n">
        <v>0.2</v>
      </c>
    </row>
    <row r="274" customFormat="false" ht="13.8" hidden="false" customHeight="false" outlineLevel="0" collapsed="false">
      <c r="B274" s="2" t="n">
        <v>272</v>
      </c>
      <c r="C274" s="2" t="n">
        <v>0.517081</v>
      </c>
      <c r="D274" s="2" t="n">
        <v>0.4</v>
      </c>
      <c r="E274" s="2" t="n">
        <v>0.07</v>
      </c>
    </row>
    <row r="275" customFormat="false" ht="13.8" hidden="false" customHeight="false" outlineLevel="0" collapsed="false">
      <c r="B275" s="2" t="n">
        <v>273</v>
      </c>
      <c r="C275" s="2" t="n">
        <v>0.392215933333333</v>
      </c>
      <c r="D275" s="2" t="n">
        <v>0.4</v>
      </c>
      <c r="E275" s="2" t="n">
        <v>0.2</v>
      </c>
    </row>
    <row r="276" customFormat="false" ht="13.8" hidden="false" customHeight="false" outlineLevel="0" collapsed="false">
      <c r="B276" s="2" t="n">
        <v>274</v>
      </c>
      <c r="C276" s="2" t="n">
        <v>0.5263478</v>
      </c>
      <c r="D276" s="2" t="n">
        <v>0.4</v>
      </c>
      <c r="E276" s="2" t="n">
        <v>0.07</v>
      </c>
    </row>
    <row r="277" customFormat="false" ht="13.8" hidden="false" customHeight="false" outlineLevel="0" collapsed="false">
      <c r="B277" s="2" t="n">
        <v>275</v>
      </c>
      <c r="C277" s="2" t="n">
        <v>0.334548466666667</v>
      </c>
      <c r="D277" s="2" t="n">
        <v>0.4</v>
      </c>
      <c r="E277" s="2" t="n">
        <v>0.2</v>
      </c>
    </row>
    <row r="278" customFormat="false" ht="13.8" hidden="false" customHeight="false" outlineLevel="0" collapsed="false">
      <c r="B278" s="2" t="n">
        <v>276</v>
      </c>
      <c r="C278" s="2" t="n">
        <v>0.439280866666667</v>
      </c>
      <c r="D278" s="2" t="n">
        <v>0.4</v>
      </c>
      <c r="E278" s="2" t="n">
        <v>0.07</v>
      </c>
    </row>
    <row r="279" customFormat="false" ht="13.8" hidden="false" customHeight="false" outlineLevel="0" collapsed="false">
      <c r="B279" s="2" t="n">
        <v>277</v>
      </c>
      <c r="C279" s="2" t="n">
        <v>0.447682866666667</v>
      </c>
      <c r="D279" s="2" t="n">
        <v>0.4</v>
      </c>
      <c r="E279" s="2" t="n">
        <v>0.0556669333333333</v>
      </c>
    </row>
    <row r="280" customFormat="false" ht="13.8" hidden="false" customHeight="false" outlineLevel="0" collapsed="false">
      <c r="B280" s="2" t="n">
        <v>278</v>
      </c>
      <c r="C280" s="2" t="n">
        <v>0.493147</v>
      </c>
      <c r="D280" s="2" t="n">
        <v>0.4</v>
      </c>
      <c r="E280" s="2" t="n">
        <v>0.031</v>
      </c>
    </row>
    <row r="281" customFormat="false" ht="13.8" hidden="false" customHeight="false" outlineLevel="0" collapsed="false">
      <c r="B281" s="2" t="n">
        <v>279</v>
      </c>
      <c r="C281" s="2" t="n">
        <v>0.502412133333333</v>
      </c>
      <c r="D281" s="2" t="n">
        <v>0.4</v>
      </c>
      <c r="E281" s="2" t="n">
        <v>0.1070004</v>
      </c>
    </row>
    <row r="282" customFormat="false" ht="13.8" hidden="false" customHeight="false" outlineLevel="0" collapsed="false">
      <c r="B282" s="2" t="n">
        <v>280</v>
      </c>
      <c r="C282" s="2" t="n">
        <v>0.510012133333333</v>
      </c>
      <c r="D282" s="2" t="n">
        <v>0.4</v>
      </c>
      <c r="E282" s="2" t="n">
        <v>1E-006</v>
      </c>
    </row>
    <row r="283" customFormat="false" ht="13.8" hidden="false" customHeight="false" outlineLevel="0" collapsed="false">
      <c r="B283" s="2" t="n">
        <v>281</v>
      </c>
      <c r="C283" s="2" t="n">
        <v>0.400948133333333</v>
      </c>
      <c r="D283" s="2" t="n">
        <v>0.4</v>
      </c>
      <c r="E283" s="2" t="n">
        <v>0.00433346666666667</v>
      </c>
    </row>
    <row r="284" customFormat="false" ht="13.8" hidden="false" customHeight="false" outlineLevel="0" collapsed="false">
      <c r="B284" s="2" t="n">
        <v>282</v>
      </c>
      <c r="C284" s="2" t="n">
        <v>0.329883333333333</v>
      </c>
      <c r="D284" s="2" t="n">
        <v>0.4</v>
      </c>
      <c r="E284" s="2" t="n">
        <v>0.109</v>
      </c>
    </row>
    <row r="285" customFormat="false" ht="13.8" hidden="false" customHeight="false" outlineLevel="0" collapsed="false">
      <c r="B285" s="2" t="n">
        <v>283</v>
      </c>
      <c r="C285" s="2" t="n">
        <v>0.117017866666667</v>
      </c>
      <c r="D285" s="2" t="n">
        <v>0.4</v>
      </c>
      <c r="E285" s="2" t="n">
        <v>0.0306667333333333</v>
      </c>
    </row>
    <row r="286" customFormat="false" ht="13.8" hidden="false" customHeight="false" outlineLevel="0" collapsed="false">
      <c r="B286" s="2" t="n">
        <v>284</v>
      </c>
      <c r="C286" s="2" t="n">
        <v>0.165082333333333</v>
      </c>
      <c r="D286" s="2" t="n">
        <v>0.4</v>
      </c>
      <c r="E286" s="2" t="n">
        <v>0.096</v>
      </c>
    </row>
    <row r="287" customFormat="false" ht="13.8" hidden="false" customHeight="false" outlineLevel="0" collapsed="false">
      <c r="B287" s="2" t="n">
        <v>285</v>
      </c>
      <c r="C287" s="2" t="n">
        <v>0.2253482</v>
      </c>
      <c r="D287" s="2" t="n">
        <v>0.4</v>
      </c>
      <c r="E287" s="2" t="n">
        <v>0.044</v>
      </c>
    </row>
    <row r="288" customFormat="false" ht="13.8" hidden="false" customHeight="false" outlineLevel="0" collapsed="false">
      <c r="B288" s="2" t="n">
        <v>286</v>
      </c>
      <c r="C288" s="2" t="n">
        <v>0.205812666666667</v>
      </c>
      <c r="D288" s="2" t="n">
        <v>0.4</v>
      </c>
      <c r="E288" s="2" t="n">
        <v>0.096</v>
      </c>
    </row>
    <row r="289" customFormat="false" ht="13.8" hidden="false" customHeight="false" outlineLevel="0" collapsed="false">
      <c r="B289" s="2" t="n">
        <v>287</v>
      </c>
      <c r="C289" s="2" t="n">
        <v>0.189942266666667</v>
      </c>
      <c r="D289" s="2" t="n">
        <v>0.4</v>
      </c>
      <c r="E289" s="2" t="n">
        <v>0.044</v>
      </c>
    </row>
    <row r="290" customFormat="false" ht="13.8" hidden="false" customHeight="false" outlineLevel="0" collapsed="false">
      <c r="B290" s="2" t="n">
        <v>288</v>
      </c>
      <c r="C290" s="2" t="n">
        <v>0.337078733333333</v>
      </c>
      <c r="D290" s="2" t="n">
        <v>0.4</v>
      </c>
      <c r="E290" s="2" t="n">
        <v>0.00266713333333333</v>
      </c>
    </row>
    <row r="291" customFormat="false" ht="13.8" hidden="false" customHeight="false" outlineLevel="0" collapsed="false">
      <c r="B291" s="2" t="n">
        <v>289</v>
      </c>
      <c r="C291" s="2" t="n">
        <v>0.0575448</v>
      </c>
      <c r="D291" s="2" t="n">
        <v>0</v>
      </c>
      <c r="E291" s="2" t="n">
        <v>0.00333366666666667</v>
      </c>
    </row>
    <row r="292" customFormat="false" ht="13.8" hidden="false" customHeight="false" outlineLevel="0" collapsed="false">
      <c r="B292" s="2" t="n">
        <v>290</v>
      </c>
      <c r="C292" s="2" t="n">
        <v>0.106542</v>
      </c>
      <c r="D292" s="2" t="n">
        <v>0.133333333333333</v>
      </c>
      <c r="E292" s="2" t="n">
        <v>0.07</v>
      </c>
    </row>
    <row r="293" customFormat="false" ht="13.8" hidden="false" customHeight="false" outlineLevel="0" collapsed="false">
      <c r="B293" s="2" t="n">
        <v>291</v>
      </c>
      <c r="C293" s="2" t="n">
        <v>0.1984722</v>
      </c>
      <c r="D293" s="2" t="n">
        <v>0.4</v>
      </c>
      <c r="E293" s="2" t="n">
        <v>0.0686669333333334</v>
      </c>
    </row>
    <row r="294" customFormat="false" ht="13.8" hidden="false" customHeight="false" outlineLevel="0" collapsed="false">
      <c r="B294" s="2" t="n">
        <v>292</v>
      </c>
      <c r="C294" s="2" t="n">
        <v>0.1608686</v>
      </c>
      <c r="D294" s="2" t="n">
        <v>0.4</v>
      </c>
      <c r="E294" s="2" t="n">
        <v>0.018</v>
      </c>
    </row>
    <row r="295" customFormat="false" ht="13.8" hidden="false" customHeight="false" outlineLevel="0" collapsed="false">
      <c r="B295" s="2" t="n">
        <v>293</v>
      </c>
      <c r="C295" s="2" t="n">
        <v>0.167400666666667</v>
      </c>
      <c r="D295" s="2" t="n">
        <v>0.4</v>
      </c>
      <c r="E295" s="2" t="n">
        <v>0.122</v>
      </c>
    </row>
    <row r="296" customFormat="false" ht="13.8" hidden="false" customHeight="false" outlineLevel="0" collapsed="false">
      <c r="B296" s="2" t="n">
        <v>294</v>
      </c>
      <c r="C296" s="2" t="n">
        <v>0.176601</v>
      </c>
      <c r="D296" s="2" t="n">
        <v>0.4</v>
      </c>
      <c r="E296" s="2" t="n">
        <v>0.018</v>
      </c>
    </row>
    <row r="297" customFormat="false" ht="13.8" hidden="false" customHeight="false" outlineLevel="0" collapsed="false">
      <c r="B297" s="2" t="n">
        <v>295</v>
      </c>
      <c r="C297" s="2" t="n">
        <v>0.0984016666666667</v>
      </c>
      <c r="D297" s="2" t="n">
        <v>0.4</v>
      </c>
      <c r="E297" s="2" t="n">
        <v>0.122</v>
      </c>
    </row>
    <row r="298" customFormat="false" ht="13.8" hidden="false" customHeight="false" outlineLevel="0" collapsed="false">
      <c r="B298" s="2" t="n">
        <v>296</v>
      </c>
      <c r="C298" s="2" t="n">
        <v>0.1476014</v>
      </c>
      <c r="D298" s="2" t="n">
        <v>0.4</v>
      </c>
      <c r="E298" s="2" t="n">
        <v>0.018</v>
      </c>
    </row>
    <row r="299" customFormat="false" ht="13.8" hidden="false" customHeight="false" outlineLevel="0" collapsed="false">
      <c r="B299" s="2" t="n">
        <v>297</v>
      </c>
      <c r="C299" s="2" t="n">
        <v>0.0989336</v>
      </c>
      <c r="D299" s="2" t="n">
        <v>0.4</v>
      </c>
      <c r="E299" s="2" t="n">
        <v>0.122</v>
      </c>
    </row>
    <row r="300" customFormat="false" ht="13.8" hidden="false" customHeight="false" outlineLevel="0" collapsed="false">
      <c r="B300" s="2" t="n">
        <v>298</v>
      </c>
      <c r="C300" s="2" t="n">
        <v>0.193200666666667</v>
      </c>
      <c r="D300" s="2" t="n">
        <v>0.4</v>
      </c>
      <c r="E300" s="2" t="n">
        <v>0.018</v>
      </c>
    </row>
    <row r="301" customFormat="false" ht="13.8" hidden="false" customHeight="false" outlineLevel="0" collapsed="false">
      <c r="B301" s="2" t="n">
        <v>299</v>
      </c>
      <c r="C301" s="2" t="n">
        <v>0.0545344</v>
      </c>
      <c r="D301" s="2" t="n">
        <v>0.4</v>
      </c>
      <c r="E301" s="2" t="n">
        <v>0.122</v>
      </c>
    </row>
    <row r="302" customFormat="false" ht="13.8" hidden="false" customHeight="false" outlineLevel="0" collapsed="false">
      <c r="B302" s="2" t="n">
        <v>300</v>
      </c>
      <c r="C302" s="2" t="n">
        <v>0.166735</v>
      </c>
      <c r="D302" s="2" t="n">
        <v>0.4</v>
      </c>
      <c r="E302" s="2" t="n">
        <v>0.018</v>
      </c>
    </row>
    <row r="303" customFormat="false" ht="13.8" hidden="false" customHeight="false" outlineLevel="0" collapsed="false">
      <c r="B303" s="2" t="n">
        <v>301</v>
      </c>
      <c r="C303" s="2" t="n">
        <v>0.0486010666666667</v>
      </c>
      <c r="D303" s="2" t="n">
        <v>0.4</v>
      </c>
      <c r="E303" s="2" t="n">
        <v>0.122</v>
      </c>
    </row>
    <row r="304" customFormat="false" ht="13.8" hidden="false" customHeight="false" outlineLevel="0" collapsed="false">
      <c r="B304" s="2" t="n">
        <v>302</v>
      </c>
      <c r="C304" s="2" t="n">
        <v>0.111667</v>
      </c>
      <c r="D304" s="2" t="n">
        <v>0.4</v>
      </c>
      <c r="E304" s="2" t="n">
        <v>0.018</v>
      </c>
    </row>
    <row r="305" customFormat="false" ht="13.8" hidden="false" customHeight="false" outlineLevel="0" collapsed="false">
      <c r="B305" s="2" t="n">
        <v>303</v>
      </c>
      <c r="C305" s="2" t="n">
        <v>0.1904668</v>
      </c>
      <c r="D305" s="2" t="n">
        <v>0.4</v>
      </c>
      <c r="E305" s="2" t="n">
        <v>0.122</v>
      </c>
    </row>
    <row r="306" customFormat="false" ht="13.8" hidden="false" customHeight="false" outlineLevel="0" collapsed="false">
      <c r="B306" s="2" t="n">
        <v>304</v>
      </c>
      <c r="C306" s="2" t="n">
        <v>0.1529344</v>
      </c>
      <c r="D306" s="2" t="n">
        <v>0.4</v>
      </c>
      <c r="E306" s="2" t="n">
        <v>0.018</v>
      </c>
    </row>
    <row r="307" customFormat="false" ht="13.8" hidden="false" customHeight="false" outlineLevel="0" collapsed="false">
      <c r="B307" s="2" t="n">
        <v>305</v>
      </c>
      <c r="C307" s="2" t="n">
        <v>0.197467</v>
      </c>
      <c r="D307" s="2" t="n">
        <v>0.4</v>
      </c>
      <c r="E307" s="2" t="n">
        <v>0.122</v>
      </c>
    </row>
    <row r="308" customFormat="false" ht="13.8" hidden="false" customHeight="false" outlineLevel="0" collapsed="false">
      <c r="B308" s="2" t="n">
        <v>306</v>
      </c>
      <c r="C308" s="2" t="n">
        <v>0.1543342</v>
      </c>
      <c r="D308" s="2" t="n">
        <v>0.4</v>
      </c>
      <c r="E308" s="2" t="n">
        <v>0.018</v>
      </c>
    </row>
    <row r="309" customFormat="false" ht="13.8" hidden="false" customHeight="false" outlineLevel="0" collapsed="false">
      <c r="B309" s="2" t="n">
        <v>307</v>
      </c>
      <c r="C309" s="2" t="n">
        <v>0.177534133333333</v>
      </c>
      <c r="D309" s="2" t="n">
        <v>0.4</v>
      </c>
      <c r="E309" s="2" t="n">
        <v>0.122</v>
      </c>
    </row>
    <row r="310" customFormat="false" ht="13.8" hidden="false" customHeight="false" outlineLevel="0" collapsed="false">
      <c r="B310" s="2" t="n">
        <v>308</v>
      </c>
      <c r="C310" s="2" t="n">
        <v>0.152</v>
      </c>
      <c r="D310" s="2" t="n">
        <v>0.4</v>
      </c>
      <c r="E310" s="2" t="n">
        <v>0.018</v>
      </c>
    </row>
    <row r="311" customFormat="false" ht="13.8" hidden="false" customHeight="false" outlineLevel="0" collapsed="false">
      <c r="B311" s="2" t="n">
        <v>309</v>
      </c>
      <c r="C311" s="2" t="n">
        <v>0.184067066666667</v>
      </c>
      <c r="D311" s="2" t="n">
        <v>0.266666666666667</v>
      </c>
      <c r="E311" s="2" t="n">
        <v>0.122</v>
      </c>
    </row>
    <row r="312" customFormat="false" ht="13.8" hidden="false" customHeight="false" outlineLevel="0" collapsed="false">
      <c r="B312" s="2" t="n">
        <v>310</v>
      </c>
      <c r="C312" s="2" t="n">
        <v>0.0475351333333333</v>
      </c>
      <c r="D312" s="2" t="n">
        <v>0</v>
      </c>
      <c r="E312" s="2" t="n">
        <v>0.018</v>
      </c>
    </row>
    <row r="313" customFormat="false" ht="13.8" hidden="false" customHeight="false" outlineLevel="0" collapsed="false">
      <c r="B313" s="2" t="n">
        <v>311</v>
      </c>
      <c r="C313" s="2" t="n">
        <v>0.156067666666667</v>
      </c>
      <c r="D313" s="2" t="n">
        <v>0</v>
      </c>
      <c r="E313" s="2" t="n">
        <v>0.122</v>
      </c>
    </row>
    <row r="314" customFormat="false" ht="13.8" hidden="false" customHeight="false" outlineLevel="0" collapsed="false">
      <c r="B314" s="2" t="n">
        <v>312</v>
      </c>
      <c r="C314" s="2" t="n">
        <v>0.1729336</v>
      </c>
      <c r="D314" s="2" t="n">
        <v>0</v>
      </c>
      <c r="E314" s="2" t="n">
        <v>0.00366693333333333</v>
      </c>
    </row>
    <row r="315" customFormat="false" ht="13.8" hidden="false" customHeight="false" outlineLevel="0" collapsed="false">
      <c r="B315" s="2" t="n">
        <v>313</v>
      </c>
      <c r="C315" s="2" t="n">
        <v>0.280000733333333</v>
      </c>
      <c r="D315" s="2" t="n">
        <v>0</v>
      </c>
      <c r="E315" s="2" t="n">
        <v>0.005</v>
      </c>
    </row>
    <row r="316" customFormat="false" ht="13.8" hidden="false" customHeight="false" outlineLevel="0" collapsed="false">
      <c r="B316" s="2" t="n">
        <v>314</v>
      </c>
      <c r="C316" s="2" t="n">
        <v>0.224601333333333</v>
      </c>
      <c r="D316" s="2" t="n">
        <v>0</v>
      </c>
      <c r="E316" s="2" t="n">
        <v>0.135</v>
      </c>
    </row>
    <row r="317" customFormat="false" ht="13.8" hidden="false" customHeight="false" outlineLevel="0" collapsed="false">
      <c r="B317" s="2" t="n">
        <v>315</v>
      </c>
      <c r="C317" s="2" t="n">
        <v>0.292602733333333</v>
      </c>
      <c r="D317" s="2" t="n">
        <v>0</v>
      </c>
      <c r="E317" s="2" t="n">
        <v>0.00233386666666667</v>
      </c>
    </row>
    <row r="318" customFormat="false" ht="13.8" hidden="false" customHeight="false" outlineLevel="0" collapsed="false">
      <c r="B318" s="2" t="n">
        <v>316</v>
      </c>
      <c r="C318" s="2" t="n">
        <v>0.168335933333333</v>
      </c>
      <c r="D318" s="2" t="n">
        <v>0</v>
      </c>
      <c r="E318" s="2" t="n">
        <v>0.005</v>
      </c>
    </row>
    <row r="319" customFormat="false" ht="13.8" hidden="false" customHeight="false" outlineLevel="0" collapsed="false">
      <c r="B319" s="2" t="n">
        <v>317</v>
      </c>
      <c r="C319" s="2" t="n">
        <v>0.268671</v>
      </c>
      <c r="D319" s="2" t="n">
        <v>0</v>
      </c>
      <c r="E319" s="2" t="n">
        <v>0.135</v>
      </c>
    </row>
    <row r="320" customFormat="false" ht="13.8" hidden="false" customHeight="false" outlineLevel="0" collapsed="false">
      <c r="B320" s="2" t="n">
        <v>318</v>
      </c>
      <c r="C320" s="2" t="n">
        <v>0.257003466666667</v>
      </c>
      <c r="D320" s="2" t="n">
        <v>0</v>
      </c>
      <c r="E320" s="2" t="n">
        <v>0.005</v>
      </c>
    </row>
    <row r="321" customFormat="false" ht="13.8" hidden="false" customHeight="false" outlineLevel="0" collapsed="false">
      <c r="B321" s="2" t="n">
        <v>319</v>
      </c>
      <c r="C321" s="2" t="n">
        <v>0.151337066666667</v>
      </c>
      <c r="D321" s="2" t="n">
        <v>0</v>
      </c>
      <c r="E321" s="2" t="n">
        <v>0.0143340666666667</v>
      </c>
    </row>
    <row r="322" customFormat="false" ht="13.8" hidden="false" customHeight="false" outlineLevel="0" collapsed="false">
      <c r="B322" s="2" t="n">
        <v>320</v>
      </c>
      <c r="C322" s="2" t="n">
        <v>0.151204666666667</v>
      </c>
      <c r="D322" s="2" t="n">
        <v>0</v>
      </c>
      <c r="E322" s="2" t="n">
        <v>0.000667533333333333</v>
      </c>
    </row>
    <row r="323" customFormat="false" ht="13.8" hidden="false" customHeight="false" outlineLevel="0" collapsed="false">
      <c r="B323" s="2" t="n">
        <v>321</v>
      </c>
      <c r="C323" s="2" t="n">
        <v>0.263872333333333</v>
      </c>
      <c r="D323" s="2" t="n">
        <v>0</v>
      </c>
      <c r="E323" s="2" t="n">
        <v>0.005</v>
      </c>
    </row>
    <row r="324" customFormat="false" ht="13.8" hidden="false" customHeight="false" outlineLevel="0" collapsed="false">
      <c r="B324" s="2" t="n">
        <v>322</v>
      </c>
      <c r="C324" s="2" t="n">
        <v>0.2830078</v>
      </c>
      <c r="D324" s="2" t="n">
        <v>0</v>
      </c>
      <c r="E324" s="2" t="n">
        <v>0.135</v>
      </c>
    </row>
    <row r="325" customFormat="false" ht="13.8" hidden="false" customHeight="false" outlineLevel="0" collapsed="false">
      <c r="B325" s="2" t="n">
        <v>323</v>
      </c>
      <c r="C325" s="2" t="n">
        <v>0.257008</v>
      </c>
      <c r="D325" s="2" t="n">
        <v>0</v>
      </c>
      <c r="E325" s="2" t="n">
        <v>0.000667533333333333</v>
      </c>
    </row>
    <row r="326" customFormat="false" ht="13.8" hidden="false" customHeight="false" outlineLevel="0" collapsed="false">
      <c r="B326" s="2" t="n">
        <v>324</v>
      </c>
      <c r="C326" s="2" t="n">
        <v>0.241341866666667</v>
      </c>
      <c r="D326" s="2" t="n">
        <v>0</v>
      </c>
      <c r="E326" s="2" t="n">
        <v>0.2</v>
      </c>
    </row>
    <row r="327" customFormat="false" ht="13.8" hidden="false" customHeight="false" outlineLevel="0" collapsed="false">
      <c r="B327" s="2" t="n">
        <v>325</v>
      </c>
      <c r="C327" s="2" t="n">
        <v>0.140675733333333</v>
      </c>
      <c r="D327" s="2" t="n">
        <v>0</v>
      </c>
      <c r="E327" s="2" t="n">
        <v>0.07</v>
      </c>
    </row>
    <row r="328" customFormat="false" ht="13.8" hidden="false" customHeight="false" outlineLevel="0" collapsed="false">
      <c r="B328" s="2" t="n">
        <v>326</v>
      </c>
      <c r="C328" s="2" t="n">
        <v>0.357407733333333</v>
      </c>
      <c r="D328" s="2" t="n">
        <v>0</v>
      </c>
      <c r="E328" s="2" t="n">
        <v>0.2</v>
      </c>
    </row>
    <row r="329" customFormat="false" ht="13.8" hidden="false" customHeight="false" outlineLevel="0" collapsed="false">
      <c r="B329" s="2" t="n">
        <v>327</v>
      </c>
      <c r="C329" s="2" t="n">
        <v>0.197671933333333</v>
      </c>
      <c r="D329" s="2" t="n">
        <v>0</v>
      </c>
      <c r="E329" s="2" t="n">
        <v>0.07</v>
      </c>
    </row>
    <row r="330" customFormat="false" ht="13.8" hidden="false" customHeight="false" outlineLevel="0" collapsed="false">
      <c r="B330" s="2" t="n">
        <v>328</v>
      </c>
      <c r="C330" s="2" t="n">
        <v>0.340738333333333</v>
      </c>
      <c r="D330" s="2" t="n">
        <v>0</v>
      </c>
      <c r="E330" s="2" t="n">
        <v>0.2</v>
      </c>
    </row>
    <row r="331" customFormat="false" ht="13.8" hidden="false" customHeight="false" outlineLevel="0" collapsed="false">
      <c r="B331" s="2" t="n">
        <v>329</v>
      </c>
      <c r="C331" s="2" t="n">
        <v>0.228671066666667</v>
      </c>
      <c r="D331" s="2" t="n">
        <v>0</v>
      </c>
      <c r="E331" s="2" t="n">
        <v>0.07</v>
      </c>
    </row>
    <row r="332" customFormat="false" ht="13.8" hidden="false" customHeight="false" outlineLevel="0" collapsed="false">
      <c r="B332" s="2" t="n">
        <v>330</v>
      </c>
      <c r="C332" s="2" t="n">
        <v>0.3268044</v>
      </c>
      <c r="D332" s="2" t="n">
        <v>0</v>
      </c>
      <c r="E332" s="2" t="n">
        <v>0.2</v>
      </c>
    </row>
    <row r="333" customFormat="false" ht="13.8" hidden="false" customHeight="false" outlineLevel="0" collapsed="false">
      <c r="B333" s="2" t="n">
        <v>331</v>
      </c>
      <c r="C333" s="2" t="n">
        <v>0.218003</v>
      </c>
      <c r="D333" s="2" t="n">
        <v>0</v>
      </c>
      <c r="E333" s="2" t="n">
        <v>0.07</v>
      </c>
    </row>
    <row r="334" customFormat="false" ht="13.8" hidden="false" customHeight="false" outlineLevel="0" collapsed="false">
      <c r="B334" s="2" t="n">
        <v>332</v>
      </c>
      <c r="C334" s="2" t="n">
        <v>0.3220024</v>
      </c>
      <c r="D334" s="2" t="n">
        <v>0</v>
      </c>
      <c r="E334" s="2" t="n">
        <v>0.2</v>
      </c>
    </row>
    <row r="335" customFormat="false" ht="13.8" hidden="false" customHeight="false" outlineLevel="0" collapsed="false">
      <c r="B335" s="2" t="n">
        <v>333</v>
      </c>
      <c r="C335" s="2" t="n">
        <v>0.218001266666667</v>
      </c>
      <c r="D335" s="2" t="n">
        <v>0</v>
      </c>
      <c r="E335" s="2" t="n">
        <v>0.07</v>
      </c>
    </row>
    <row r="336" customFormat="false" ht="13.8" hidden="false" customHeight="false" outlineLevel="0" collapsed="false">
      <c r="B336" s="2" t="n">
        <v>334</v>
      </c>
      <c r="C336" s="2" t="n">
        <v>0.335335466666667</v>
      </c>
      <c r="D336" s="2" t="n">
        <v>0</v>
      </c>
      <c r="E336" s="2" t="n">
        <v>0.2</v>
      </c>
    </row>
    <row r="337" customFormat="false" ht="13.8" hidden="false" customHeight="false" outlineLevel="0" collapsed="false">
      <c r="B337" s="2" t="n">
        <v>335</v>
      </c>
      <c r="C337" s="2" t="n">
        <v>0.2453386</v>
      </c>
      <c r="D337" s="2" t="n">
        <v>0</v>
      </c>
      <c r="E337" s="2" t="n">
        <v>0.07</v>
      </c>
    </row>
    <row r="338" customFormat="false" ht="13.8" hidden="false" customHeight="false" outlineLevel="0" collapsed="false">
      <c r="B338" s="2" t="n">
        <v>336</v>
      </c>
      <c r="C338" s="2" t="n">
        <v>0.371337866666667</v>
      </c>
      <c r="D338" s="2" t="n">
        <v>0</v>
      </c>
      <c r="E338" s="2" t="n">
        <v>0.2</v>
      </c>
    </row>
    <row r="339" customFormat="false" ht="13.8" hidden="false" customHeight="false" outlineLevel="0" collapsed="false">
      <c r="B339" s="2" t="n">
        <v>337</v>
      </c>
      <c r="C339" s="2" t="n">
        <v>0.198005133333333</v>
      </c>
      <c r="D339" s="2" t="n">
        <v>0</v>
      </c>
      <c r="E339" s="2" t="n">
        <v>0.07</v>
      </c>
    </row>
    <row r="340" customFormat="false" ht="13.8" hidden="false" customHeight="false" outlineLevel="0" collapsed="false">
      <c r="B340" s="2" t="n">
        <v>338</v>
      </c>
      <c r="C340" s="2" t="n">
        <v>0.2946734</v>
      </c>
      <c r="D340" s="2" t="n">
        <v>0</v>
      </c>
      <c r="E340" s="2" t="n">
        <v>0.2</v>
      </c>
    </row>
    <row r="341" customFormat="false" ht="13.8" hidden="false" customHeight="false" outlineLevel="0" collapsed="false">
      <c r="B341" s="2" t="n">
        <v>339</v>
      </c>
      <c r="C341" s="2" t="n">
        <v>0.0700094666666667</v>
      </c>
      <c r="D341" s="2" t="n">
        <v>0</v>
      </c>
      <c r="E341" s="2" t="n">
        <v>0.07</v>
      </c>
    </row>
    <row r="342" customFormat="false" ht="13.8" hidden="false" customHeight="false" outlineLevel="0" collapsed="false">
      <c r="B342" s="2" t="n">
        <v>340</v>
      </c>
      <c r="C342" s="2" t="n">
        <v>0.2776084</v>
      </c>
      <c r="D342" s="2" t="n">
        <v>0</v>
      </c>
      <c r="E342" s="2" t="n">
        <v>0.2</v>
      </c>
    </row>
    <row r="343" customFormat="false" ht="13.8" hidden="false" customHeight="false" outlineLevel="0" collapsed="false">
      <c r="B343" s="2" t="n">
        <v>341</v>
      </c>
      <c r="C343" s="2" t="n">
        <v>0.295140066666667</v>
      </c>
      <c r="D343" s="2" t="n">
        <v>0</v>
      </c>
      <c r="E343" s="2" t="n">
        <v>0.07</v>
      </c>
    </row>
    <row r="344" customFormat="false" ht="13.8" hidden="false" customHeight="false" outlineLevel="0" collapsed="false">
      <c r="B344" s="2" t="n">
        <v>342</v>
      </c>
      <c r="C344" s="2" t="n">
        <v>0.293006266666667</v>
      </c>
      <c r="D344" s="2" t="n">
        <v>0</v>
      </c>
      <c r="E344" s="2" t="n">
        <v>0.2</v>
      </c>
    </row>
    <row r="345" customFormat="false" ht="13.8" hidden="false" customHeight="false" outlineLevel="0" collapsed="false">
      <c r="B345" s="2" t="n">
        <v>343</v>
      </c>
      <c r="C345" s="2" t="n">
        <v>0.288738533333333</v>
      </c>
      <c r="D345" s="2" t="n">
        <v>0</v>
      </c>
      <c r="E345" s="2" t="n">
        <v>0.07</v>
      </c>
    </row>
    <row r="346" customFormat="false" ht="13.8" hidden="false" customHeight="false" outlineLevel="0" collapsed="false">
      <c r="B346" s="2" t="n">
        <v>344</v>
      </c>
      <c r="C346" s="2" t="n">
        <v>0.270005133333333</v>
      </c>
      <c r="D346" s="2" t="n">
        <v>0</v>
      </c>
      <c r="E346" s="2" t="n">
        <v>0.2</v>
      </c>
    </row>
    <row r="347" customFormat="false" ht="13.8" hidden="false" customHeight="false" outlineLevel="0" collapsed="false">
      <c r="B347" s="2" t="n">
        <v>345</v>
      </c>
      <c r="C347" s="2" t="n">
        <v>0.2700048</v>
      </c>
      <c r="D347" s="2" t="n">
        <v>0</v>
      </c>
      <c r="E347" s="2" t="n">
        <v>0.07</v>
      </c>
    </row>
    <row r="348" customFormat="false" ht="13.8" hidden="false" customHeight="false" outlineLevel="0" collapsed="false">
      <c r="B348" s="2" t="n">
        <v>346</v>
      </c>
      <c r="C348" s="2" t="n">
        <v>0.271602533333333</v>
      </c>
      <c r="D348" s="2" t="n">
        <v>0</v>
      </c>
      <c r="E348" s="2" t="n">
        <v>0.2</v>
      </c>
    </row>
    <row r="349" customFormat="false" ht="13.8" hidden="false" customHeight="false" outlineLevel="0" collapsed="false">
      <c r="B349" s="2" t="n">
        <v>347</v>
      </c>
      <c r="C349" s="2" t="n">
        <v>0.2710674</v>
      </c>
      <c r="D349" s="2" t="n">
        <v>0</v>
      </c>
      <c r="E349" s="2" t="n">
        <v>0.07</v>
      </c>
    </row>
    <row r="350" customFormat="false" ht="13.8" hidden="false" customHeight="false" outlineLevel="0" collapsed="false">
      <c r="B350" s="2" t="n">
        <v>348</v>
      </c>
      <c r="C350" s="2" t="n">
        <v>0.27</v>
      </c>
      <c r="D350" s="2" t="n">
        <v>0</v>
      </c>
      <c r="E350" s="2" t="n">
        <v>0.2</v>
      </c>
    </row>
    <row r="351" customFormat="false" ht="13.8" hidden="false" customHeight="false" outlineLevel="0" collapsed="false">
      <c r="B351" s="2" t="n">
        <v>349</v>
      </c>
      <c r="C351" s="2" t="n">
        <v>0.27</v>
      </c>
      <c r="D351" s="2" t="n">
        <v>0</v>
      </c>
      <c r="E351" s="2" t="n">
        <v>0.07</v>
      </c>
    </row>
    <row r="352" customFormat="false" ht="13.8" hidden="false" customHeight="false" outlineLevel="0" collapsed="false">
      <c r="B352" s="2" t="n">
        <v>350</v>
      </c>
      <c r="C352" s="2" t="n">
        <v>0.2300002</v>
      </c>
      <c r="D352" s="2" t="n">
        <v>0</v>
      </c>
      <c r="E352" s="2" t="n">
        <v>0.2</v>
      </c>
    </row>
    <row r="353" customFormat="false" ht="13.8" hidden="false" customHeight="false" outlineLevel="0" collapsed="false">
      <c r="B353" s="2" t="n">
        <v>351</v>
      </c>
      <c r="C353" s="2" t="n">
        <v>0.27</v>
      </c>
      <c r="D353" s="2" t="n">
        <v>0</v>
      </c>
      <c r="E353" s="2" t="n">
        <v>0.07</v>
      </c>
    </row>
    <row r="354" customFormat="false" ht="13.8" hidden="false" customHeight="false" outlineLevel="0" collapsed="false">
      <c r="B354" s="2" t="n">
        <v>352</v>
      </c>
      <c r="C354" s="2" t="n">
        <v>0.27</v>
      </c>
      <c r="D354" s="2" t="n">
        <v>0</v>
      </c>
      <c r="E354" s="2" t="n">
        <v>0.2</v>
      </c>
    </row>
    <row r="355" customFormat="false" ht="13.8" hidden="false" customHeight="false" outlineLevel="0" collapsed="false">
      <c r="B355" s="2" t="n">
        <v>353</v>
      </c>
      <c r="C355" s="2" t="n">
        <v>0.270000133333333</v>
      </c>
      <c r="D355" s="2" t="n">
        <v>0</v>
      </c>
      <c r="E355" s="2" t="n">
        <v>0.07</v>
      </c>
    </row>
    <row r="356" customFormat="false" ht="13.8" hidden="false" customHeight="false" outlineLevel="0" collapsed="false">
      <c r="B356" s="2" t="n">
        <v>354</v>
      </c>
      <c r="C356" s="2" t="n">
        <v>0.276333866666667</v>
      </c>
      <c r="D356" s="2" t="n">
        <v>0</v>
      </c>
      <c r="E356" s="2" t="n">
        <v>0.2</v>
      </c>
    </row>
    <row r="357" customFormat="false" ht="13.8" hidden="false" customHeight="false" outlineLevel="0" collapsed="false">
      <c r="B357" s="2" t="n">
        <v>355</v>
      </c>
      <c r="C357" s="2" t="n">
        <v>0.218001</v>
      </c>
      <c r="D357" s="2" t="n">
        <v>0</v>
      </c>
      <c r="E357" s="2" t="n">
        <v>0.07</v>
      </c>
    </row>
    <row r="358" customFormat="false" ht="13.8" hidden="false" customHeight="false" outlineLevel="0" collapsed="false">
      <c r="B358" s="2" t="n">
        <v>356</v>
      </c>
      <c r="C358" s="2" t="n">
        <v>0.321334466666667</v>
      </c>
      <c r="D358" s="2" t="n">
        <v>0</v>
      </c>
      <c r="E358" s="2" t="n">
        <v>0.2</v>
      </c>
    </row>
    <row r="359" customFormat="false" ht="13.8" hidden="false" customHeight="false" outlineLevel="0" collapsed="false">
      <c r="B359" s="2" t="n">
        <v>357</v>
      </c>
      <c r="C359" s="2" t="n">
        <v>0.192801133333333</v>
      </c>
      <c r="D359" s="2" t="n">
        <v>0</v>
      </c>
      <c r="E359" s="2" t="n">
        <v>0.07</v>
      </c>
    </row>
    <row r="360" customFormat="false" ht="13.8" hidden="false" customHeight="false" outlineLevel="0" collapsed="false">
      <c r="B360" s="2" t="n">
        <v>358</v>
      </c>
      <c r="C360" s="2" t="n">
        <v>0.350668</v>
      </c>
      <c r="D360" s="2" t="n">
        <v>0</v>
      </c>
      <c r="E360" s="2" t="n">
        <v>0.224266666666667</v>
      </c>
    </row>
    <row r="361" customFormat="false" ht="13.8" hidden="false" customHeight="false" outlineLevel="0" collapsed="false">
      <c r="B361" s="2" t="n">
        <v>359</v>
      </c>
      <c r="C361" s="2" t="n">
        <v>0.218000866666667</v>
      </c>
      <c r="D361" s="2" t="n">
        <v>0</v>
      </c>
      <c r="E361" s="2" t="n">
        <v>0.122</v>
      </c>
    </row>
    <row r="362" customFormat="false" ht="13.8" hidden="false" customHeight="false" outlineLevel="0" collapsed="false">
      <c r="B362" s="2" t="n">
        <v>360</v>
      </c>
      <c r="C362" s="2" t="n">
        <v>0.373334333333333</v>
      </c>
      <c r="D362" s="2" t="n">
        <v>0</v>
      </c>
      <c r="E362" s="2" t="n">
        <v>0.224267066666667</v>
      </c>
    </row>
    <row r="363" customFormat="false" ht="13.8" hidden="false" customHeight="false" outlineLevel="0" collapsed="false">
      <c r="B363" s="2" t="n">
        <v>361</v>
      </c>
      <c r="C363" s="2" t="n">
        <v>0.2040028</v>
      </c>
      <c r="D363" s="2" t="n">
        <v>0</v>
      </c>
      <c r="E363" s="2" t="n">
        <v>0.07</v>
      </c>
    </row>
    <row r="364" customFormat="false" ht="13.8" hidden="false" customHeight="false" outlineLevel="0" collapsed="false">
      <c r="B364" s="2" t="n">
        <v>362</v>
      </c>
      <c r="C364" s="2" t="n">
        <v>0.3600048</v>
      </c>
      <c r="D364" s="2" t="n">
        <v>0</v>
      </c>
      <c r="E364" s="2" t="n">
        <v>0.2</v>
      </c>
    </row>
    <row r="365" customFormat="false" ht="13.8" hidden="false" customHeight="false" outlineLevel="0" collapsed="false">
      <c r="B365" s="2" t="n">
        <v>363</v>
      </c>
      <c r="C365" s="2" t="n">
        <v>0.2520726</v>
      </c>
      <c r="D365" s="2" t="n">
        <v>0</v>
      </c>
      <c r="E365" s="2" t="n">
        <v>0.07</v>
      </c>
    </row>
    <row r="366" customFormat="false" ht="13.8" hidden="false" customHeight="false" outlineLevel="0" collapsed="false">
      <c r="B366" s="2" t="n">
        <v>364</v>
      </c>
      <c r="C366" s="2" t="n">
        <v>0.468608266666667</v>
      </c>
      <c r="D366" s="2" t="n">
        <v>0</v>
      </c>
      <c r="E366" s="2" t="n">
        <v>0.2</v>
      </c>
    </row>
    <row r="367" customFormat="false" ht="13.8" hidden="false" customHeight="false" outlineLevel="0" collapsed="false">
      <c r="B367" s="2" t="n">
        <v>365</v>
      </c>
      <c r="C367" s="2" t="n">
        <v>0.3649454</v>
      </c>
      <c r="D367" s="2" t="n">
        <v>0.4</v>
      </c>
      <c r="E367" s="2" t="n">
        <v>0.0933338666666667</v>
      </c>
    </row>
    <row r="368" customFormat="false" ht="13.8" hidden="false" customHeight="false" outlineLevel="0" collapsed="false">
      <c r="B368" s="2" t="n">
        <v>366</v>
      </c>
      <c r="C368" s="2" t="n">
        <v>0.4950166</v>
      </c>
      <c r="D368" s="2" t="n">
        <v>0.4</v>
      </c>
      <c r="E368" s="2" t="n">
        <v>0.2</v>
      </c>
    </row>
    <row r="369" customFormat="false" ht="13.8" hidden="false" customHeight="false" outlineLevel="0" collapsed="false">
      <c r="B369" s="2" t="n">
        <v>367</v>
      </c>
      <c r="C369" s="2" t="n">
        <v>0.364082866666667</v>
      </c>
      <c r="D369" s="2" t="n">
        <v>0.4</v>
      </c>
      <c r="E369" s="2" t="n">
        <v>0.00333366666666667</v>
      </c>
    </row>
    <row r="370" customFormat="false" ht="13.8" hidden="false" customHeight="false" outlineLevel="0" collapsed="false">
      <c r="B370" s="2" t="n">
        <v>368</v>
      </c>
      <c r="C370" s="2" t="n">
        <v>0.530083533333333</v>
      </c>
      <c r="D370" s="2" t="n">
        <v>0.4</v>
      </c>
      <c r="E370" s="2" t="n">
        <v>0.0040002</v>
      </c>
    </row>
    <row r="371" customFormat="false" ht="13.8" hidden="false" customHeight="false" outlineLevel="0" collapsed="false">
      <c r="B371" s="2" t="n">
        <v>369</v>
      </c>
      <c r="C371" s="2" t="n">
        <v>0.428015466666667</v>
      </c>
      <c r="D371" s="2" t="n">
        <v>0.4</v>
      </c>
      <c r="E371" s="2" t="n">
        <v>0.096</v>
      </c>
    </row>
    <row r="372" customFormat="false" ht="13.8" hidden="false" customHeight="false" outlineLevel="0" collapsed="false">
      <c r="B372" s="2" t="n">
        <v>370</v>
      </c>
      <c r="C372" s="2" t="n">
        <v>0.600813133333333</v>
      </c>
      <c r="D372" s="2" t="n">
        <v>0.4</v>
      </c>
      <c r="E372" s="2" t="n">
        <v>0.044</v>
      </c>
    </row>
    <row r="373" customFormat="false" ht="13.8" hidden="false" customHeight="false" outlineLevel="0" collapsed="false">
      <c r="B373" s="2" t="n">
        <v>371</v>
      </c>
      <c r="C373" s="2" t="n">
        <v>0.442946533333333</v>
      </c>
      <c r="D373" s="2" t="n">
        <v>0.4</v>
      </c>
      <c r="E373" s="2" t="n">
        <v>0.005</v>
      </c>
    </row>
    <row r="374" customFormat="false" ht="13.8" hidden="false" customHeight="false" outlineLevel="0" collapsed="false">
      <c r="B374" s="2" t="n">
        <v>372</v>
      </c>
      <c r="C374" s="2" t="n">
        <v>0.582949133333333</v>
      </c>
      <c r="D374" s="2" t="n">
        <v>0.4</v>
      </c>
      <c r="E374" s="2" t="n">
        <v>0.109</v>
      </c>
    </row>
    <row r="375" customFormat="false" ht="13.8" hidden="false" customHeight="false" outlineLevel="0" collapsed="false">
      <c r="B375" s="2" t="n">
        <v>373</v>
      </c>
      <c r="C375" s="2" t="n">
        <v>0.357817666666667</v>
      </c>
      <c r="D375" s="2" t="n">
        <v>0.4</v>
      </c>
      <c r="E375" s="2" t="n">
        <v>0.031</v>
      </c>
    </row>
    <row r="376" customFormat="false" ht="13.8" hidden="false" customHeight="false" outlineLevel="0" collapsed="false">
      <c r="B376" s="2" t="n">
        <v>374</v>
      </c>
      <c r="C376" s="2" t="n">
        <v>0.316953066666667</v>
      </c>
      <c r="D376" s="2" t="n">
        <v>0.4</v>
      </c>
      <c r="E376" s="2" t="n">
        <v>0.109</v>
      </c>
    </row>
    <row r="377" customFormat="false" ht="13.8" hidden="false" customHeight="false" outlineLevel="0" collapsed="false">
      <c r="B377" s="2" t="n">
        <v>375</v>
      </c>
      <c r="C377" s="2" t="n">
        <v>0.333016733333333</v>
      </c>
      <c r="D377" s="2" t="n">
        <v>0.4</v>
      </c>
      <c r="E377" s="2" t="n">
        <v>0.031</v>
      </c>
    </row>
    <row r="378" customFormat="false" ht="13.8" hidden="false" customHeight="false" outlineLevel="0" collapsed="false">
      <c r="B378" s="2" t="n">
        <v>376</v>
      </c>
      <c r="C378" s="2" t="n">
        <v>0.270283133333333</v>
      </c>
      <c r="D378" s="2" t="n">
        <v>0.4</v>
      </c>
      <c r="E378" s="2" t="n">
        <v>0.0423336666666667</v>
      </c>
    </row>
    <row r="379" customFormat="false" ht="13.8" hidden="false" customHeight="false" outlineLevel="0" collapsed="false">
      <c r="B379" s="2" t="n">
        <v>377</v>
      </c>
      <c r="C379" s="2" t="n">
        <v>0.186284666666667</v>
      </c>
      <c r="D379" s="2" t="n">
        <v>0.4</v>
      </c>
      <c r="E379" s="2" t="n">
        <v>0.00166733333333333</v>
      </c>
    </row>
    <row r="380" customFormat="false" ht="13.8" hidden="false" customHeight="false" outlineLevel="0" collapsed="false">
      <c r="B380" s="2" t="n">
        <v>378</v>
      </c>
      <c r="C380" s="2" t="n">
        <v>0.175416333333333</v>
      </c>
      <c r="D380" s="2" t="n">
        <v>0.4</v>
      </c>
      <c r="E380" s="2" t="n">
        <v>0.005</v>
      </c>
    </row>
    <row r="381" customFormat="false" ht="13.8" hidden="false" customHeight="false" outlineLevel="0" collapsed="false">
      <c r="B381" s="2" t="n">
        <v>379</v>
      </c>
      <c r="C381" s="2" t="n">
        <v>0.318348133333333</v>
      </c>
      <c r="D381" s="2" t="n">
        <v>0.4</v>
      </c>
      <c r="E381" s="2" t="n">
        <v>0.135</v>
      </c>
    </row>
    <row r="382" customFormat="false" ht="13.8" hidden="false" customHeight="false" outlineLevel="0" collapsed="false">
      <c r="B382" s="2" t="n">
        <v>380</v>
      </c>
      <c r="C382" s="2" t="n">
        <v>0.2867452</v>
      </c>
      <c r="D382" s="2" t="n">
        <v>0.4</v>
      </c>
      <c r="E382" s="2" t="n">
        <v>0.005</v>
      </c>
    </row>
    <row r="383" customFormat="false" ht="13.8" hidden="false" customHeight="false" outlineLevel="0" collapsed="false">
      <c r="B383" s="2" t="n">
        <v>381</v>
      </c>
      <c r="C383" s="2" t="n">
        <v>0.311012866666667</v>
      </c>
      <c r="D383" s="2" t="n">
        <v>0.4</v>
      </c>
      <c r="E383" s="2" t="n">
        <v>0.109</v>
      </c>
    </row>
    <row r="384" customFormat="false" ht="13.8" hidden="false" customHeight="false" outlineLevel="0" collapsed="false">
      <c r="B384" s="2" t="n">
        <v>382</v>
      </c>
      <c r="C384" s="2" t="n">
        <v>0.238349</v>
      </c>
      <c r="D384" s="2" t="n">
        <v>0.0533333333333333</v>
      </c>
      <c r="E384" s="2" t="n">
        <v>0.0306667333333333</v>
      </c>
    </row>
    <row r="385" customFormat="false" ht="13.8" hidden="false" customHeight="false" outlineLevel="0" collapsed="false">
      <c r="B385" s="2" t="n">
        <v>383</v>
      </c>
      <c r="C385" s="2" t="n">
        <v>0.114677066666667</v>
      </c>
      <c r="D385" s="2" t="n">
        <v>0</v>
      </c>
      <c r="E385" s="2" t="n">
        <v>0.083</v>
      </c>
    </row>
    <row r="386" customFormat="false" ht="13.8" hidden="false" customHeight="false" outlineLevel="0" collapsed="false">
      <c r="B386" s="2" t="n">
        <v>384</v>
      </c>
      <c r="C386" s="2" t="n">
        <v>0.305544866666667</v>
      </c>
      <c r="D386" s="2" t="n">
        <v>0</v>
      </c>
      <c r="E386" s="2" t="n">
        <v>0.0566667333333333</v>
      </c>
    </row>
    <row r="387" customFormat="false" ht="13.8" hidden="false" customHeight="false" outlineLevel="0" collapsed="false">
      <c r="B387" s="2" t="n">
        <v>385</v>
      </c>
      <c r="C387" s="2" t="n">
        <v>0.300745466666667</v>
      </c>
      <c r="D387" s="2" t="n">
        <v>0</v>
      </c>
      <c r="E387" s="2" t="n">
        <v>1E-006</v>
      </c>
    </row>
    <row r="388" customFormat="false" ht="13.8" hidden="false" customHeight="false" outlineLevel="0" collapsed="false">
      <c r="B388" s="2" t="n">
        <v>386</v>
      </c>
      <c r="C388" s="2" t="n">
        <v>0.0537436666666667</v>
      </c>
      <c r="D388" s="2" t="n">
        <v>0.266666666666667</v>
      </c>
      <c r="E388" s="2" t="n">
        <v>0.1340002</v>
      </c>
    </row>
    <row r="389" customFormat="false" ht="13.8" hidden="false" customHeight="false" outlineLevel="0" collapsed="false">
      <c r="B389" s="2" t="n">
        <v>387</v>
      </c>
      <c r="C389" s="2" t="n">
        <v>0.3622722</v>
      </c>
      <c r="D389" s="2" t="n">
        <v>0.4</v>
      </c>
      <c r="E389" s="2" t="n">
        <v>0.005</v>
      </c>
    </row>
    <row r="390" customFormat="false" ht="13.8" hidden="false" customHeight="false" outlineLevel="0" collapsed="false">
      <c r="B390" s="2" t="n">
        <v>388</v>
      </c>
      <c r="C390" s="2" t="n">
        <v>0.0966038</v>
      </c>
      <c r="D390" s="2" t="n">
        <v>0.4</v>
      </c>
      <c r="E390" s="2" t="n">
        <v>0.135</v>
      </c>
    </row>
    <row r="391" customFormat="false" ht="13.8" hidden="false" customHeight="false" outlineLevel="0" collapsed="false">
      <c r="B391" s="2" t="n">
        <v>389</v>
      </c>
      <c r="C391" s="2" t="n">
        <v>0.282867933333333</v>
      </c>
      <c r="D391" s="2" t="n">
        <v>0.4</v>
      </c>
      <c r="E391" s="2" t="n">
        <v>0.134333466666667</v>
      </c>
    </row>
    <row r="392" customFormat="false" ht="13.8" hidden="false" customHeight="false" outlineLevel="0" collapsed="false">
      <c r="B392" s="2" t="n">
        <v>390</v>
      </c>
      <c r="C392" s="2" t="n">
        <v>0.0920005333333333</v>
      </c>
      <c r="D392" s="2" t="n">
        <v>0.4</v>
      </c>
      <c r="E392" s="2" t="n">
        <v>0.005</v>
      </c>
    </row>
    <row r="393" customFormat="false" ht="13.8" hidden="false" customHeight="false" outlineLevel="0" collapsed="false">
      <c r="B393" s="2" t="n">
        <v>391</v>
      </c>
      <c r="C393" s="2" t="n">
        <v>0.1740008</v>
      </c>
      <c r="D393" s="2" t="n">
        <v>0.4</v>
      </c>
      <c r="E393" s="2" t="n">
        <v>0.0950002</v>
      </c>
    </row>
    <row r="394" customFormat="false" ht="13.8" hidden="false" customHeight="false" outlineLevel="0" collapsed="false">
      <c r="B394" s="2" t="n">
        <v>392</v>
      </c>
      <c r="C394" s="2" t="n">
        <v>0.218067866666667</v>
      </c>
      <c r="D394" s="2" t="n">
        <v>0.4</v>
      </c>
      <c r="E394" s="2" t="n">
        <v>0.0666673333333333</v>
      </c>
    </row>
    <row r="395" customFormat="false" ht="13.8" hidden="false" customHeight="false" outlineLevel="0" collapsed="false">
      <c r="B395" s="2" t="n">
        <v>393</v>
      </c>
      <c r="C395" s="2" t="n">
        <v>0.1353338</v>
      </c>
      <c r="D395" s="2" t="n">
        <v>0.4</v>
      </c>
      <c r="E395" s="2" t="n">
        <v>0.07</v>
      </c>
    </row>
    <row r="396" customFormat="false" ht="13.8" hidden="false" customHeight="false" outlineLevel="0" collapsed="false">
      <c r="B396" s="2" t="n">
        <v>394</v>
      </c>
      <c r="C396" s="2" t="n">
        <v>0.207601</v>
      </c>
      <c r="D396" s="2" t="n">
        <v>0.4</v>
      </c>
      <c r="E396" s="2" t="n">
        <v>0.07</v>
      </c>
    </row>
    <row r="397" customFormat="false" ht="13.8" hidden="false" customHeight="false" outlineLevel="0" collapsed="false">
      <c r="B397" s="2" t="n">
        <v>395</v>
      </c>
      <c r="C397" s="2" t="n">
        <v>0.133734066666667</v>
      </c>
      <c r="D397" s="2" t="n">
        <v>0.4</v>
      </c>
      <c r="E397" s="2" t="n">
        <v>0.07</v>
      </c>
    </row>
    <row r="398" customFormat="false" ht="13.8" hidden="false" customHeight="false" outlineLevel="0" collapsed="false">
      <c r="B398" s="2" t="n">
        <v>396</v>
      </c>
      <c r="C398" s="2" t="n">
        <v>0.0904036</v>
      </c>
      <c r="D398" s="2" t="n">
        <v>0.4</v>
      </c>
      <c r="E398" s="2" t="n">
        <v>0.07</v>
      </c>
    </row>
    <row r="399" customFormat="false" ht="13.8" hidden="false" customHeight="false" outlineLevel="0" collapsed="false">
      <c r="B399" s="2" t="n">
        <v>397</v>
      </c>
      <c r="C399" s="2" t="n">
        <v>0.2734682</v>
      </c>
      <c r="D399" s="2" t="n">
        <v>0.4</v>
      </c>
      <c r="E399" s="2" t="n">
        <v>0.07</v>
      </c>
    </row>
    <row r="400" customFormat="false" ht="13.8" hidden="false" customHeight="false" outlineLevel="0" collapsed="false">
      <c r="B400" s="2" t="n">
        <v>398</v>
      </c>
      <c r="C400" s="2" t="n">
        <v>0.0682672</v>
      </c>
      <c r="D400" s="2" t="n">
        <v>0.4</v>
      </c>
      <c r="E400" s="2" t="n">
        <v>0.07</v>
      </c>
    </row>
    <row r="401" customFormat="false" ht="13.8" hidden="false" customHeight="false" outlineLevel="0" collapsed="false">
      <c r="B401" s="2" t="n">
        <v>399</v>
      </c>
      <c r="C401" s="2" t="n">
        <v>0.264467733333333</v>
      </c>
      <c r="D401" s="2" t="n">
        <v>0.4</v>
      </c>
      <c r="E401" s="2" t="n">
        <v>0.07</v>
      </c>
    </row>
    <row r="402" customFormat="false" ht="13.8" hidden="false" customHeight="false" outlineLevel="0" collapsed="false">
      <c r="B402" s="2" t="n">
        <v>400</v>
      </c>
      <c r="C402" s="2" t="n">
        <v>0.020669</v>
      </c>
      <c r="D402" s="2" t="n">
        <v>0.4</v>
      </c>
      <c r="E402" s="2" t="n">
        <v>0.07</v>
      </c>
    </row>
    <row r="403" customFormat="false" ht="13.8" hidden="false" customHeight="false" outlineLevel="0" collapsed="false">
      <c r="B403" s="2" t="n">
        <v>401</v>
      </c>
      <c r="C403" s="2" t="n">
        <v>0.247867733333333</v>
      </c>
      <c r="D403" s="2" t="n">
        <v>0.4</v>
      </c>
      <c r="E403" s="2" t="n">
        <v>0.07</v>
      </c>
    </row>
    <row r="404" customFormat="false" ht="13.8" hidden="false" customHeight="false" outlineLevel="0" collapsed="false">
      <c r="B404" s="2" t="n">
        <v>402</v>
      </c>
      <c r="C404" s="2" t="n">
        <v>0.0879336666666667</v>
      </c>
      <c r="D404" s="2" t="n">
        <v>0.4</v>
      </c>
      <c r="E404" s="2" t="n">
        <v>0.07</v>
      </c>
    </row>
    <row r="405" customFormat="false" ht="13.8" hidden="false" customHeight="false" outlineLevel="0" collapsed="false">
      <c r="B405" s="2" t="n">
        <v>403</v>
      </c>
      <c r="C405" s="2" t="n">
        <v>0.2364016</v>
      </c>
      <c r="D405" s="2" t="n">
        <v>0.4</v>
      </c>
      <c r="E405" s="2" t="n">
        <v>0.07</v>
      </c>
    </row>
    <row r="406" customFormat="false" ht="13.8" hidden="false" customHeight="false" outlineLevel="0" collapsed="false">
      <c r="B406" s="2" t="n">
        <v>404</v>
      </c>
      <c r="C406" s="2" t="n">
        <v>0.0844677333333333</v>
      </c>
      <c r="D406" s="2" t="n">
        <v>0.4</v>
      </c>
      <c r="E406" s="2" t="n">
        <v>0.07</v>
      </c>
    </row>
    <row r="407" customFormat="false" ht="13.8" hidden="false" customHeight="false" outlineLevel="0" collapsed="false">
      <c r="B407" s="2" t="n">
        <v>405</v>
      </c>
      <c r="C407" s="2" t="n">
        <v>0.193667266666667</v>
      </c>
      <c r="D407" s="2" t="n">
        <v>0.08</v>
      </c>
      <c r="E407" s="2" t="n">
        <v>0.07</v>
      </c>
    </row>
    <row r="408" customFormat="false" ht="13.8" hidden="false" customHeight="false" outlineLevel="0" collapsed="false">
      <c r="B408" s="2" t="n">
        <v>406</v>
      </c>
      <c r="C408" s="2" t="n">
        <v>0.183468733333333</v>
      </c>
      <c r="D408" s="2" t="n">
        <v>0</v>
      </c>
      <c r="E408" s="2" t="n">
        <v>0.07</v>
      </c>
    </row>
    <row r="409" customFormat="false" ht="13.8" hidden="false" customHeight="false" outlineLevel="0" collapsed="false">
      <c r="B409" s="2" t="n">
        <v>407</v>
      </c>
      <c r="C409" s="2" t="n">
        <v>0.280266933333333</v>
      </c>
      <c r="D409" s="2" t="n">
        <v>0</v>
      </c>
      <c r="E409" s="2" t="n">
        <v>0.07</v>
      </c>
    </row>
    <row r="410" customFormat="false" ht="13.8" hidden="false" customHeight="false" outlineLevel="0" collapsed="false">
      <c r="B410" s="2" t="n">
        <v>408</v>
      </c>
      <c r="C410" s="2" t="n">
        <v>0.2021338</v>
      </c>
      <c r="D410" s="2" t="n">
        <v>0</v>
      </c>
      <c r="E410" s="2" t="n">
        <v>0.07</v>
      </c>
    </row>
    <row r="411" customFormat="false" ht="13.8" hidden="false" customHeight="false" outlineLevel="0" collapsed="false">
      <c r="B411" s="2" t="n">
        <v>409</v>
      </c>
      <c r="C411" s="2" t="n">
        <v>0.233268466666667</v>
      </c>
      <c r="D411" s="2" t="n">
        <v>0</v>
      </c>
      <c r="E411" s="2" t="n">
        <v>0.07</v>
      </c>
    </row>
    <row r="412" customFormat="false" ht="13.8" hidden="false" customHeight="false" outlineLevel="0" collapsed="false">
      <c r="B412" s="2" t="n">
        <v>410</v>
      </c>
      <c r="C412" s="2" t="n">
        <v>0.178271066666667</v>
      </c>
      <c r="D412" s="2" t="n">
        <v>0</v>
      </c>
      <c r="E412" s="2" t="n">
        <v>0.07</v>
      </c>
    </row>
    <row r="413" customFormat="false" ht="13.8" hidden="false" customHeight="false" outlineLevel="0" collapsed="false">
      <c r="B413" s="2" t="n">
        <v>411</v>
      </c>
      <c r="C413" s="2" t="n">
        <v>0.2714038</v>
      </c>
      <c r="D413" s="2" t="n">
        <v>0</v>
      </c>
      <c r="E413" s="2" t="n">
        <v>0.07</v>
      </c>
    </row>
    <row r="414" customFormat="false" ht="13.8" hidden="false" customHeight="false" outlineLevel="0" collapsed="false">
      <c r="B414" s="2" t="n">
        <v>412</v>
      </c>
      <c r="C414" s="2" t="n">
        <v>0.163939066666667</v>
      </c>
      <c r="D414" s="2" t="n">
        <v>0</v>
      </c>
      <c r="E414" s="2" t="n">
        <v>0.07</v>
      </c>
    </row>
    <row r="415" customFormat="false" ht="13.8" hidden="false" customHeight="false" outlineLevel="0" collapsed="false">
      <c r="B415" s="2" t="n">
        <v>413</v>
      </c>
      <c r="C415" s="2" t="n">
        <v>0.3156074</v>
      </c>
      <c r="D415" s="2" t="n">
        <v>0</v>
      </c>
      <c r="E415" s="2" t="n">
        <v>0.07</v>
      </c>
    </row>
    <row r="416" customFormat="false" ht="13.8" hidden="false" customHeight="false" outlineLevel="0" collapsed="false">
      <c r="B416" s="2" t="n">
        <v>414</v>
      </c>
      <c r="C416" s="2" t="n">
        <v>0.1314082</v>
      </c>
      <c r="D416" s="2" t="n">
        <v>0</v>
      </c>
      <c r="E416" s="2" t="n">
        <v>0.07</v>
      </c>
    </row>
    <row r="417" customFormat="false" ht="13.8" hidden="false" customHeight="false" outlineLevel="0" collapsed="false">
      <c r="B417" s="2" t="n">
        <v>415</v>
      </c>
      <c r="C417" s="2" t="n">
        <v>0.3553376</v>
      </c>
      <c r="D417" s="2" t="n">
        <v>0</v>
      </c>
      <c r="E417" s="2" t="n">
        <v>0.07</v>
      </c>
    </row>
    <row r="418" customFormat="false" ht="13.8" hidden="false" customHeight="false" outlineLevel="0" collapsed="false">
      <c r="B418" s="2" t="n">
        <v>416</v>
      </c>
      <c r="C418" s="2" t="n">
        <v>0.113672133333333</v>
      </c>
      <c r="D418" s="2" t="n">
        <v>0</v>
      </c>
      <c r="E418" s="2" t="n">
        <v>0.07</v>
      </c>
    </row>
    <row r="419" customFormat="false" ht="13.8" hidden="false" customHeight="false" outlineLevel="0" collapsed="false">
      <c r="B419" s="2" t="n">
        <v>417</v>
      </c>
      <c r="C419" s="2" t="n">
        <v>0.325340466666667</v>
      </c>
      <c r="D419" s="2" t="n">
        <v>0</v>
      </c>
      <c r="E419" s="2" t="n">
        <v>0.07</v>
      </c>
    </row>
    <row r="420" customFormat="false" ht="13.8" hidden="false" customHeight="false" outlineLevel="0" collapsed="false">
      <c r="B420" s="2" t="n">
        <v>418</v>
      </c>
      <c r="C420" s="2" t="n">
        <v>0.1970078</v>
      </c>
      <c r="D420" s="2" t="n">
        <v>0</v>
      </c>
      <c r="E420" s="2" t="n">
        <v>0.07</v>
      </c>
    </row>
    <row r="421" customFormat="false" ht="13.8" hidden="false" customHeight="false" outlineLevel="0" collapsed="false">
      <c r="B421" s="2" t="n">
        <v>419</v>
      </c>
      <c r="C421" s="2" t="n">
        <v>0.205475733333333</v>
      </c>
      <c r="D421" s="2" t="n">
        <v>0</v>
      </c>
      <c r="E421" s="2" t="n">
        <v>0.07</v>
      </c>
    </row>
    <row r="422" customFormat="false" ht="13.8" hidden="false" customHeight="false" outlineLevel="0" collapsed="false">
      <c r="B422" s="2" t="n">
        <v>420</v>
      </c>
      <c r="C422" s="2" t="n">
        <v>0.381474733333333</v>
      </c>
      <c r="D422" s="2" t="n">
        <v>0</v>
      </c>
      <c r="E422" s="2" t="n">
        <v>0.07</v>
      </c>
    </row>
    <row r="423" customFormat="false" ht="13.8" hidden="false" customHeight="false" outlineLevel="0" collapsed="false">
      <c r="B423" s="2" t="n">
        <v>421</v>
      </c>
      <c r="C423" s="2" t="n">
        <v>0.0803418666666667</v>
      </c>
      <c r="D423" s="2" t="n">
        <v>0</v>
      </c>
      <c r="E423" s="2" t="n">
        <v>0.07</v>
      </c>
    </row>
    <row r="424" customFormat="false" ht="13.8" hidden="false" customHeight="false" outlineLevel="0" collapsed="false">
      <c r="B424" s="2" t="n">
        <v>422</v>
      </c>
      <c r="C424" s="2" t="n">
        <v>0.317541266666667</v>
      </c>
      <c r="D424" s="2" t="n">
        <v>0</v>
      </c>
      <c r="E424" s="2" t="n">
        <v>0.07</v>
      </c>
    </row>
    <row r="425" customFormat="false" ht="13.8" hidden="false" customHeight="false" outlineLevel="0" collapsed="false">
      <c r="B425" s="2" t="n">
        <v>423</v>
      </c>
      <c r="C425" s="2" t="n">
        <v>0.252206933333333</v>
      </c>
      <c r="D425" s="2" t="n">
        <v>0</v>
      </c>
      <c r="E425" s="2" t="n">
        <v>0.07</v>
      </c>
    </row>
    <row r="426" customFormat="false" ht="13.8" hidden="false" customHeight="false" outlineLevel="0" collapsed="false">
      <c r="B426" s="2" t="n">
        <v>424</v>
      </c>
      <c r="C426" s="2" t="n">
        <v>0.329007666666667</v>
      </c>
      <c r="D426" s="2" t="n">
        <v>0</v>
      </c>
      <c r="E426" s="2" t="n">
        <v>0.07</v>
      </c>
    </row>
    <row r="427" customFormat="false" ht="13.8" hidden="false" customHeight="false" outlineLevel="0" collapsed="false">
      <c r="B427" s="2" t="n">
        <v>425</v>
      </c>
      <c r="C427" s="2" t="n">
        <v>0.235008266666667</v>
      </c>
      <c r="D427" s="2" t="n">
        <v>0</v>
      </c>
      <c r="E427" s="2" t="n">
        <v>0.07</v>
      </c>
    </row>
    <row r="428" customFormat="false" ht="13.8" hidden="false" customHeight="false" outlineLevel="0" collapsed="false">
      <c r="B428" s="2" t="n">
        <v>426</v>
      </c>
      <c r="C428" s="2" t="n">
        <v>0.109009</v>
      </c>
      <c r="D428" s="2" t="n">
        <v>0</v>
      </c>
      <c r="E428" s="2" t="n">
        <v>0.0040002</v>
      </c>
    </row>
    <row r="429" customFormat="false" ht="13.8" hidden="false" customHeight="false" outlineLevel="0" collapsed="false">
      <c r="B429" s="2" t="n">
        <v>427</v>
      </c>
      <c r="C429" s="2" t="n">
        <v>0.347674333333333</v>
      </c>
      <c r="D429" s="2" t="n">
        <v>0</v>
      </c>
      <c r="E429" s="2" t="n">
        <v>0.135</v>
      </c>
    </row>
    <row r="430" customFormat="false" ht="13.8" hidden="false" customHeight="false" outlineLevel="0" collapsed="false">
      <c r="B430" s="2" t="n">
        <v>428</v>
      </c>
      <c r="C430" s="2" t="n">
        <v>0.192005666666667</v>
      </c>
      <c r="D430" s="2" t="n">
        <v>0</v>
      </c>
      <c r="E430" s="2" t="n">
        <v>0.135</v>
      </c>
    </row>
    <row r="431" customFormat="false" ht="13.8" hidden="false" customHeight="false" outlineLevel="0" collapsed="false">
      <c r="B431" s="2" t="n">
        <v>429</v>
      </c>
      <c r="C431" s="2" t="n">
        <v>0.353870933333333</v>
      </c>
      <c r="D431" s="2" t="n">
        <v>0</v>
      </c>
      <c r="E431" s="2" t="n">
        <v>0.135</v>
      </c>
    </row>
    <row r="432" customFormat="false" ht="13.8" hidden="false" customHeight="false" outlineLevel="0" collapsed="false">
      <c r="B432" s="2" t="n">
        <v>430</v>
      </c>
      <c r="C432" s="2" t="n">
        <v>0.199471133333333</v>
      </c>
      <c r="D432" s="2" t="n">
        <v>0</v>
      </c>
      <c r="E432" s="2" t="n">
        <v>0.135</v>
      </c>
    </row>
    <row r="433" customFormat="false" ht="13.8" hidden="false" customHeight="false" outlineLevel="0" collapsed="false">
      <c r="B433" s="2" t="n">
        <v>431</v>
      </c>
      <c r="C433" s="2" t="n">
        <v>0.3480038</v>
      </c>
      <c r="D433" s="2" t="n">
        <v>0</v>
      </c>
      <c r="E433" s="2" t="n">
        <v>0.000667533333333333</v>
      </c>
    </row>
    <row r="434" customFormat="false" ht="13.8" hidden="false" customHeight="false" outlineLevel="0" collapsed="false">
      <c r="B434" s="2" t="n">
        <v>432</v>
      </c>
      <c r="C434" s="2" t="n">
        <v>0.193004</v>
      </c>
      <c r="D434" s="2" t="n">
        <v>0</v>
      </c>
      <c r="E434" s="2" t="n">
        <v>0.0010008</v>
      </c>
    </row>
    <row r="435" customFormat="false" ht="13.8" hidden="false" customHeight="false" outlineLevel="0" collapsed="false">
      <c r="B435" s="2" t="n">
        <v>433</v>
      </c>
      <c r="C435" s="2" t="n">
        <v>0.250472466666667</v>
      </c>
      <c r="D435" s="2" t="n">
        <v>0</v>
      </c>
      <c r="E435" s="2" t="n">
        <v>0.109</v>
      </c>
    </row>
    <row r="436" customFormat="false" ht="13.8" hidden="false" customHeight="false" outlineLevel="0" collapsed="false">
      <c r="B436" s="2" t="n">
        <v>434</v>
      </c>
      <c r="C436" s="2" t="n">
        <v>0.281006666666667</v>
      </c>
      <c r="D436" s="2" t="n">
        <v>0</v>
      </c>
      <c r="E436" s="2" t="n">
        <v>0.161</v>
      </c>
    </row>
    <row r="437" customFormat="false" ht="13.8" hidden="false" customHeight="false" outlineLevel="0" collapsed="false">
      <c r="B437" s="2" t="n">
        <v>435</v>
      </c>
      <c r="C437" s="2" t="n">
        <v>0.300808333333333</v>
      </c>
      <c r="D437" s="2" t="n">
        <v>0</v>
      </c>
      <c r="E437" s="2" t="n">
        <v>0.109</v>
      </c>
    </row>
    <row r="438" customFormat="false" ht="13.8" hidden="false" customHeight="false" outlineLevel="0" collapsed="false">
      <c r="B438" s="2" t="n">
        <v>436</v>
      </c>
      <c r="C438" s="2" t="n">
        <v>0.244009</v>
      </c>
      <c r="D438" s="2" t="n">
        <v>0</v>
      </c>
      <c r="E438" s="2" t="n">
        <v>0.161</v>
      </c>
    </row>
    <row r="439" customFormat="false" ht="13.8" hidden="false" customHeight="false" outlineLevel="0" collapsed="false">
      <c r="B439" s="2" t="n">
        <v>437</v>
      </c>
      <c r="C439" s="2" t="n">
        <v>0.296009</v>
      </c>
      <c r="D439" s="2" t="n">
        <v>0</v>
      </c>
      <c r="E439" s="2" t="n">
        <v>0.109</v>
      </c>
    </row>
    <row r="440" customFormat="false" ht="13.8" hidden="false" customHeight="false" outlineLevel="0" collapsed="false">
      <c r="B440" s="2" t="n">
        <v>438</v>
      </c>
      <c r="C440" s="2" t="n">
        <v>0.2466752</v>
      </c>
      <c r="D440" s="2" t="n">
        <v>0</v>
      </c>
      <c r="E440" s="2" t="n">
        <v>0.0140008</v>
      </c>
    </row>
    <row r="441" customFormat="false" ht="13.8" hidden="false" customHeight="false" outlineLevel="0" collapsed="false">
      <c r="B441" s="2" t="n">
        <v>439</v>
      </c>
      <c r="C441" s="2" t="n">
        <v>0.302404466666667</v>
      </c>
      <c r="D441" s="2" t="n">
        <v>0</v>
      </c>
      <c r="E441" s="2" t="n">
        <v>0.096</v>
      </c>
    </row>
    <row r="442" customFormat="false" ht="13.8" hidden="false" customHeight="false" outlineLevel="0" collapsed="false">
      <c r="B442" s="2" t="n">
        <v>440</v>
      </c>
      <c r="C442" s="2" t="n">
        <v>0.2440048</v>
      </c>
      <c r="D442" s="2" t="n">
        <v>0</v>
      </c>
      <c r="E442" s="2" t="n">
        <v>0.173666733333333</v>
      </c>
    </row>
    <row r="443" customFormat="false" ht="13.8" hidden="false" customHeight="false" outlineLevel="0" collapsed="false">
      <c r="B443" s="2" t="n">
        <v>441</v>
      </c>
      <c r="C443" s="2" t="n">
        <v>0.303003533333333</v>
      </c>
      <c r="D443" s="2" t="n">
        <v>0</v>
      </c>
      <c r="E443" s="2" t="n">
        <v>0.07</v>
      </c>
    </row>
    <row r="444" customFormat="false" ht="13.8" hidden="false" customHeight="false" outlineLevel="0" collapsed="false">
      <c r="B444" s="2" t="n">
        <v>442</v>
      </c>
      <c r="C444" s="2" t="n">
        <v>0.251070133333333</v>
      </c>
      <c r="D444" s="2" t="n">
        <v>0</v>
      </c>
      <c r="E444" s="2" t="n">
        <v>0.2</v>
      </c>
    </row>
    <row r="445" customFormat="false" ht="13.8" hidden="false" customHeight="false" outlineLevel="0" collapsed="false">
      <c r="B445" s="2" t="n">
        <v>443</v>
      </c>
      <c r="C445" s="2" t="n">
        <v>0.269269866666667</v>
      </c>
      <c r="D445" s="2" t="n">
        <v>0</v>
      </c>
      <c r="E445" s="2" t="n">
        <v>0.00233386666666667</v>
      </c>
    </row>
    <row r="446" customFormat="false" ht="13.8" hidden="false" customHeight="false" outlineLevel="0" collapsed="false">
      <c r="B446" s="2" t="n">
        <v>444</v>
      </c>
      <c r="C446" s="2" t="n">
        <v>0.162335866666667</v>
      </c>
      <c r="D446" s="2" t="n">
        <v>0</v>
      </c>
      <c r="E446" s="2" t="n">
        <v>0.0433334666666667</v>
      </c>
    </row>
    <row r="447" customFormat="false" ht="13.8" hidden="false" customHeight="false" outlineLevel="0" collapsed="false">
      <c r="B447" s="2" t="n">
        <v>445</v>
      </c>
      <c r="C447" s="2" t="n">
        <v>0.362667333333333</v>
      </c>
      <c r="D447" s="2" t="n">
        <v>0</v>
      </c>
      <c r="E447" s="2" t="n">
        <v>0.2</v>
      </c>
    </row>
    <row r="448" customFormat="false" ht="13.8" hidden="false" customHeight="false" outlineLevel="0" collapsed="false">
      <c r="B448" s="2" t="n">
        <v>446</v>
      </c>
      <c r="C448" s="2" t="n">
        <v>0.179001</v>
      </c>
      <c r="D448" s="2" t="n">
        <v>0</v>
      </c>
      <c r="E448" s="2" t="n">
        <v>0.07</v>
      </c>
    </row>
    <row r="449" customFormat="false" ht="13.8" hidden="false" customHeight="false" outlineLevel="0" collapsed="false">
      <c r="B449" s="2" t="n">
        <v>447</v>
      </c>
      <c r="C449" s="2" t="n">
        <v>0.364333666666667</v>
      </c>
      <c r="D449" s="2" t="n">
        <v>0</v>
      </c>
      <c r="E449" s="2" t="n">
        <v>0.2</v>
      </c>
    </row>
    <row r="450" customFormat="false" ht="13.8" hidden="false" customHeight="false" outlineLevel="0" collapsed="false">
      <c r="B450" s="2" t="n">
        <v>448</v>
      </c>
      <c r="C450" s="2" t="n">
        <v>0.128334066666667</v>
      </c>
      <c r="D450" s="2" t="n">
        <v>0</v>
      </c>
      <c r="E450" s="2" t="n">
        <v>0.07</v>
      </c>
    </row>
    <row r="451" customFormat="false" ht="13.8" hidden="false" customHeight="false" outlineLevel="0" collapsed="false">
      <c r="B451" s="2" t="n">
        <v>449</v>
      </c>
      <c r="C451" s="2" t="n">
        <v>0.3650002</v>
      </c>
      <c r="D451" s="2" t="n">
        <v>0</v>
      </c>
      <c r="E451" s="2" t="n">
        <v>0.2</v>
      </c>
    </row>
    <row r="452" customFormat="false" ht="13.8" hidden="false" customHeight="false" outlineLevel="0" collapsed="false">
      <c r="B452" s="2" t="n">
        <v>450</v>
      </c>
      <c r="C452" s="2" t="n">
        <v>0.209001266666667</v>
      </c>
      <c r="D452" s="2" t="n">
        <v>0</v>
      </c>
      <c r="E452" s="2" t="n">
        <v>0.07</v>
      </c>
    </row>
    <row r="453" customFormat="false" ht="13.8" hidden="false" customHeight="false" outlineLevel="0" collapsed="false">
      <c r="B453" s="2" t="n">
        <v>451</v>
      </c>
      <c r="C453" s="2" t="n">
        <v>0.4010012</v>
      </c>
      <c r="D453" s="2" t="n">
        <v>0</v>
      </c>
      <c r="E453" s="2" t="n">
        <v>0.2</v>
      </c>
    </row>
    <row r="454" customFormat="false" ht="13.8" hidden="false" customHeight="false" outlineLevel="0" collapsed="false">
      <c r="B454" s="2" t="n">
        <v>452</v>
      </c>
      <c r="C454" s="2" t="n">
        <v>0.179002</v>
      </c>
      <c r="D454" s="2" t="n">
        <v>0</v>
      </c>
      <c r="E454" s="2" t="n">
        <v>0.07</v>
      </c>
    </row>
    <row r="455" customFormat="false" ht="13.8" hidden="false" customHeight="false" outlineLevel="0" collapsed="false">
      <c r="B455" s="2" t="n">
        <v>453</v>
      </c>
      <c r="C455" s="2" t="n">
        <v>0.361002</v>
      </c>
      <c r="D455" s="2" t="n">
        <v>0</v>
      </c>
      <c r="E455" s="2" t="n">
        <v>0.200000266666667</v>
      </c>
    </row>
    <row r="456" customFormat="false" ht="13.8" hidden="false" customHeight="false" outlineLevel="0" collapsed="false">
      <c r="B456" s="2" t="n">
        <v>454</v>
      </c>
      <c r="C456" s="2" t="n">
        <v>0.188334866666667</v>
      </c>
      <c r="D456" s="2" t="n">
        <v>0</v>
      </c>
      <c r="E456" s="2" t="n">
        <v>0.0908002</v>
      </c>
    </row>
    <row r="457" customFormat="false" ht="13.8" hidden="false" customHeight="false" outlineLevel="0" collapsed="false">
      <c r="B457" s="2" t="n">
        <v>455</v>
      </c>
      <c r="C457" s="2" t="n">
        <v>0.354335</v>
      </c>
      <c r="D457" s="2" t="n">
        <v>0</v>
      </c>
      <c r="E457" s="2" t="n">
        <v>0.2520002</v>
      </c>
    </row>
    <row r="458" customFormat="false" ht="13.8" hidden="false" customHeight="false" outlineLevel="0" collapsed="false">
      <c r="B458" s="2" t="n">
        <v>456</v>
      </c>
      <c r="C458" s="2" t="n">
        <v>0.193803133333333</v>
      </c>
      <c r="D458" s="2" t="n">
        <v>0</v>
      </c>
      <c r="E458" s="2" t="n">
        <v>0.0700004666666667</v>
      </c>
    </row>
    <row r="459" customFormat="false" ht="13.8" hidden="false" customHeight="false" outlineLevel="0" collapsed="false">
      <c r="B459" s="2" t="n">
        <v>457</v>
      </c>
      <c r="C459" s="2" t="n">
        <v>0.235006066666667</v>
      </c>
      <c r="D459" s="2" t="n">
        <v>0.32</v>
      </c>
      <c r="E459" s="2" t="n">
        <v>0.2</v>
      </c>
    </row>
    <row r="460" customFormat="false" ht="13.8" hidden="false" customHeight="false" outlineLevel="0" collapsed="false">
      <c r="B460" s="2" t="n">
        <v>458</v>
      </c>
      <c r="C460" s="2" t="n">
        <v>0.197942</v>
      </c>
      <c r="D460" s="2" t="n">
        <v>0.4</v>
      </c>
      <c r="E460" s="2" t="n">
        <v>0.07</v>
      </c>
    </row>
    <row r="461" customFormat="false" ht="13.8" hidden="false" customHeight="false" outlineLevel="0" collapsed="false">
      <c r="B461" s="2" t="n">
        <v>459</v>
      </c>
      <c r="C461" s="2" t="n">
        <v>0.316074733333333</v>
      </c>
      <c r="D461" s="2" t="n">
        <v>0.4</v>
      </c>
      <c r="E461" s="2" t="n">
        <v>0.2</v>
      </c>
    </row>
    <row r="462" customFormat="false" ht="13.8" hidden="false" customHeight="false" outlineLevel="0" collapsed="false">
      <c r="B462" s="2" t="n">
        <v>460</v>
      </c>
      <c r="C462" s="2" t="n">
        <v>0.2840106</v>
      </c>
      <c r="D462" s="2" t="n">
        <v>0.4</v>
      </c>
      <c r="E462" s="2" t="n">
        <v>0.07</v>
      </c>
    </row>
    <row r="463" customFormat="false" ht="13.8" hidden="false" customHeight="false" outlineLevel="0" collapsed="false">
      <c r="B463" s="2" t="n">
        <v>461</v>
      </c>
      <c r="C463" s="2" t="n">
        <v>0.344210133333333</v>
      </c>
      <c r="D463" s="2" t="n">
        <v>0.4</v>
      </c>
      <c r="E463" s="2" t="n">
        <v>0.2</v>
      </c>
    </row>
    <row r="464" customFormat="false" ht="13.8" hidden="false" customHeight="false" outlineLevel="0" collapsed="false">
      <c r="B464" s="2" t="n">
        <v>462</v>
      </c>
      <c r="C464" s="2" t="n">
        <v>0.284479533333333</v>
      </c>
      <c r="D464" s="2" t="n">
        <v>0.4</v>
      </c>
      <c r="E464" s="2" t="n">
        <v>0.07</v>
      </c>
    </row>
    <row r="465" customFormat="false" ht="13.8" hidden="false" customHeight="false" outlineLevel="0" collapsed="false">
      <c r="B465" s="2" t="n">
        <v>463</v>
      </c>
      <c r="C465" s="2" t="n">
        <v>0.4180786</v>
      </c>
      <c r="D465" s="2" t="n">
        <v>0.4</v>
      </c>
      <c r="E465" s="2" t="n">
        <v>0.2</v>
      </c>
    </row>
    <row r="466" customFormat="false" ht="13.8" hidden="false" customHeight="false" outlineLevel="0" collapsed="false">
      <c r="B466" s="2" t="n">
        <v>464</v>
      </c>
      <c r="C466" s="2" t="n">
        <v>0.410611533333333</v>
      </c>
      <c r="D466" s="2" t="n">
        <v>0.4</v>
      </c>
      <c r="E466" s="2" t="n">
        <v>0.07</v>
      </c>
    </row>
    <row r="467" customFormat="false" ht="13.8" hidden="false" customHeight="false" outlineLevel="0" collapsed="false">
      <c r="B467" s="2" t="n">
        <v>465</v>
      </c>
      <c r="C467" s="2" t="n">
        <v>0.4696804</v>
      </c>
      <c r="D467" s="2" t="n">
        <v>0.4</v>
      </c>
      <c r="E467" s="2" t="n">
        <v>0.2</v>
      </c>
    </row>
    <row r="468" customFormat="false" ht="13.8" hidden="false" customHeight="false" outlineLevel="0" collapsed="false">
      <c r="B468" s="2" t="n">
        <v>466</v>
      </c>
      <c r="C468" s="2" t="n">
        <v>0.309616733333333</v>
      </c>
      <c r="D468" s="2" t="n">
        <v>0.4</v>
      </c>
      <c r="E468" s="2" t="n">
        <v>0.0276673333333333</v>
      </c>
    </row>
    <row r="469" customFormat="false" ht="13.8" hidden="false" customHeight="false" outlineLevel="0" collapsed="false">
      <c r="B469" s="2" t="n">
        <v>467</v>
      </c>
      <c r="C469" s="2" t="n">
        <v>0.4038838</v>
      </c>
      <c r="D469" s="2" t="n">
        <v>0.4</v>
      </c>
      <c r="E469" s="2" t="n">
        <v>0.0266675333333333</v>
      </c>
    </row>
    <row r="470" customFormat="false" ht="13.8" hidden="false" customHeight="false" outlineLevel="0" collapsed="false">
      <c r="B470" s="2" t="n">
        <v>468</v>
      </c>
      <c r="C470" s="2" t="n">
        <v>0.3110816</v>
      </c>
      <c r="D470" s="2" t="n">
        <v>0.4</v>
      </c>
      <c r="E470" s="2" t="n">
        <v>0.109</v>
      </c>
    </row>
    <row r="471" customFormat="false" ht="13.8" hidden="false" customHeight="false" outlineLevel="0" collapsed="false">
      <c r="B471" s="2" t="n">
        <v>469</v>
      </c>
      <c r="C471" s="2" t="n">
        <v>0.3575508</v>
      </c>
      <c r="D471" s="2" t="n">
        <v>0.4</v>
      </c>
      <c r="E471" s="2" t="n">
        <v>0.031</v>
      </c>
    </row>
    <row r="472" customFormat="false" ht="13.8" hidden="false" customHeight="false" outlineLevel="0" collapsed="false">
      <c r="B472" s="2" t="n">
        <v>470</v>
      </c>
      <c r="C472" s="2" t="n">
        <v>0.3988148</v>
      </c>
      <c r="D472" s="2" t="n">
        <v>0.4</v>
      </c>
      <c r="E472" s="2" t="n">
        <v>0.109</v>
      </c>
    </row>
    <row r="473" customFormat="false" ht="13.8" hidden="false" customHeight="false" outlineLevel="0" collapsed="false">
      <c r="B473" s="2" t="n">
        <v>471</v>
      </c>
      <c r="C473" s="2" t="n">
        <v>0.251016533333333</v>
      </c>
      <c r="D473" s="2" t="n">
        <v>0.4</v>
      </c>
      <c r="E473" s="2" t="n">
        <v>0.031</v>
      </c>
    </row>
    <row r="474" customFormat="false" ht="13.8" hidden="false" customHeight="false" outlineLevel="0" collapsed="false">
      <c r="B474" s="2" t="n">
        <v>472</v>
      </c>
      <c r="C474" s="2" t="n">
        <v>0.3660162</v>
      </c>
      <c r="D474" s="2" t="n">
        <v>0.4</v>
      </c>
      <c r="E474" s="2" t="n">
        <v>0.109</v>
      </c>
    </row>
    <row r="475" customFormat="false" ht="13.8" hidden="false" customHeight="false" outlineLevel="0" collapsed="false">
      <c r="B475" s="2" t="n">
        <v>473</v>
      </c>
      <c r="C475" s="2" t="n">
        <v>0.264415266666667</v>
      </c>
      <c r="D475" s="2" t="n">
        <v>0.4</v>
      </c>
      <c r="E475" s="2" t="n">
        <v>0.031</v>
      </c>
    </row>
    <row r="476" customFormat="false" ht="13.8" hidden="false" customHeight="false" outlineLevel="0" collapsed="false">
      <c r="B476" s="2" t="n">
        <v>474</v>
      </c>
      <c r="C476" s="2" t="n">
        <v>0.368682066666667</v>
      </c>
      <c r="D476" s="2" t="n">
        <v>0.4</v>
      </c>
      <c r="E476" s="2" t="n">
        <v>0.109</v>
      </c>
    </row>
    <row r="477" customFormat="false" ht="13.8" hidden="false" customHeight="false" outlineLevel="0" collapsed="false">
      <c r="B477" s="2" t="n">
        <v>475</v>
      </c>
      <c r="C477" s="2" t="n">
        <v>0.217681466666667</v>
      </c>
      <c r="D477" s="2" t="n">
        <v>0.4</v>
      </c>
      <c r="E477" s="2" t="n">
        <v>0.0176667333333333</v>
      </c>
    </row>
    <row r="478" customFormat="false" ht="13.8" hidden="false" customHeight="false" outlineLevel="0" collapsed="false">
      <c r="B478" s="2" t="n">
        <v>476</v>
      </c>
      <c r="C478" s="2" t="n">
        <v>0.222816733333333</v>
      </c>
      <c r="D478" s="2" t="n">
        <v>0.4</v>
      </c>
      <c r="E478" s="2" t="n">
        <v>1E-006</v>
      </c>
    </row>
    <row r="479" customFormat="false" ht="13.8" hidden="false" customHeight="false" outlineLevel="0" collapsed="false">
      <c r="B479" s="2" t="n">
        <v>477</v>
      </c>
      <c r="C479" s="2" t="n">
        <v>0.1213446</v>
      </c>
      <c r="D479" s="2" t="n">
        <v>0.4</v>
      </c>
      <c r="E479" s="2" t="n">
        <v>0.133666933333333</v>
      </c>
    </row>
    <row r="480" customFormat="false" ht="13.8" hidden="false" customHeight="false" outlineLevel="0" collapsed="false">
      <c r="B480" s="2" t="n">
        <v>478</v>
      </c>
      <c r="C480" s="2" t="n">
        <v>0.212876466666667</v>
      </c>
      <c r="D480" s="2" t="n">
        <v>0.4</v>
      </c>
      <c r="E480" s="2" t="n">
        <v>0.005</v>
      </c>
    </row>
    <row r="481" customFormat="false" ht="13.8" hidden="false" customHeight="false" outlineLevel="0" collapsed="false">
      <c r="B481" s="2" t="n">
        <v>479</v>
      </c>
      <c r="C481" s="2" t="n">
        <v>0.181276066666667</v>
      </c>
      <c r="D481" s="2" t="n">
        <v>0.4</v>
      </c>
      <c r="E481" s="2" t="n">
        <v>0.135</v>
      </c>
    </row>
    <row r="482" customFormat="false" ht="13.8" hidden="false" customHeight="false" outlineLevel="0" collapsed="false">
      <c r="B482" s="2" t="n">
        <v>480</v>
      </c>
      <c r="C482" s="2" t="n">
        <v>0.06048</v>
      </c>
      <c r="D482" s="2" t="n">
        <v>0.4</v>
      </c>
      <c r="E482" s="2" t="n">
        <v>0.0040002</v>
      </c>
    </row>
    <row r="483" customFormat="false" ht="13.8" hidden="false" customHeight="false" outlineLevel="0" collapsed="false">
      <c r="B483" s="2" t="n">
        <v>481</v>
      </c>
      <c r="C483" s="2" t="n">
        <v>0.0340778</v>
      </c>
      <c r="D483" s="2" t="n">
        <v>0.266666666666667</v>
      </c>
      <c r="E483" s="2" t="n">
        <v>1E-006</v>
      </c>
    </row>
    <row r="484" customFormat="false" ht="13.8" hidden="false" customHeight="false" outlineLevel="0" collapsed="false">
      <c r="B484" s="2" t="n">
        <v>482</v>
      </c>
      <c r="C484" s="2" t="n">
        <v>0.153077266666667</v>
      </c>
      <c r="D484" s="2" t="n">
        <v>0.4</v>
      </c>
      <c r="E484" s="2" t="n">
        <v>0.00333366666666667</v>
      </c>
    </row>
    <row r="485" customFormat="false" ht="13.8" hidden="false" customHeight="false" outlineLevel="0" collapsed="false">
      <c r="B485" s="2" t="n">
        <v>483</v>
      </c>
      <c r="C485" s="2" t="n">
        <v>0.2802726</v>
      </c>
      <c r="D485" s="2" t="n">
        <v>0.4</v>
      </c>
      <c r="E485" s="2" t="n">
        <v>0.07</v>
      </c>
    </row>
    <row r="486" customFormat="false" ht="13.8" hidden="false" customHeight="false" outlineLevel="0" collapsed="false">
      <c r="B486" s="2" t="n">
        <v>484</v>
      </c>
      <c r="C486" s="2" t="n">
        <v>0.1638712</v>
      </c>
      <c r="D486" s="2" t="n">
        <v>0.4</v>
      </c>
      <c r="E486" s="2" t="n">
        <v>0.0696667333333333</v>
      </c>
    </row>
    <row r="487" customFormat="false" ht="13.8" hidden="false" customHeight="false" outlineLevel="0" collapsed="false">
      <c r="B487" s="2" t="n">
        <v>485</v>
      </c>
      <c r="C487" s="2" t="n">
        <v>0.2079348</v>
      </c>
      <c r="D487" s="2" t="n">
        <v>0.4</v>
      </c>
      <c r="E487" s="2" t="n">
        <v>0.057</v>
      </c>
    </row>
    <row r="488" customFormat="false" ht="13.8" hidden="false" customHeight="false" outlineLevel="0" collapsed="false">
      <c r="B488" s="2" t="n">
        <v>486</v>
      </c>
      <c r="C488" s="2" t="n">
        <v>0.0634012</v>
      </c>
      <c r="D488" s="2" t="n">
        <v>0.4</v>
      </c>
      <c r="E488" s="2" t="n">
        <v>0.083</v>
      </c>
    </row>
    <row r="489" customFormat="false" ht="13.8" hidden="false" customHeight="false" outlineLevel="0" collapsed="false">
      <c r="B489" s="2" t="n">
        <v>487</v>
      </c>
      <c r="C489" s="2" t="n">
        <v>0.0840020666666667</v>
      </c>
      <c r="D489" s="2" t="n">
        <v>0.4</v>
      </c>
      <c r="E489" s="2" t="n">
        <v>0.057</v>
      </c>
    </row>
    <row r="490" customFormat="false" ht="13.8" hidden="false" customHeight="false" outlineLevel="0" collapsed="false">
      <c r="B490" s="2" t="n">
        <v>488</v>
      </c>
      <c r="C490" s="2" t="n">
        <v>0.0494002</v>
      </c>
      <c r="D490" s="2" t="n">
        <v>0.4</v>
      </c>
      <c r="E490" s="2" t="n">
        <v>0.083</v>
      </c>
    </row>
    <row r="491" customFormat="false" ht="13.8" hidden="false" customHeight="false" outlineLevel="0" collapsed="false">
      <c r="B491" s="2" t="n">
        <v>489</v>
      </c>
      <c r="C491" s="2" t="n">
        <v>0.3761334</v>
      </c>
      <c r="D491" s="2" t="n">
        <v>0.4</v>
      </c>
      <c r="E491" s="2" t="n">
        <v>0.057</v>
      </c>
    </row>
    <row r="492" customFormat="false" ht="13.8" hidden="false" customHeight="false" outlineLevel="0" collapsed="false">
      <c r="B492" s="2" t="n">
        <v>490</v>
      </c>
      <c r="C492" s="2" t="n">
        <v>0.0479334666666667</v>
      </c>
      <c r="D492" s="2" t="n">
        <v>0.4</v>
      </c>
      <c r="E492" s="2" t="n">
        <v>0.083</v>
      </c>
    </row>
    <row r="493" customFormat="false" ht="13.8" hidden="false" customHeight="false" outlineLevel="0" collapsed="false">
      <c r="B493" s="2" t="n">
        <v>491</v>
      </c>
      <c r="C493" s="2" t="n">
        <v>0.3594668</v>
      </c>
      <c r="D493" s="2" t="n">
        <v>0.4</v>
      </c>
      <c r="E493" s="2" t="n">
        <v>0.057</v>
      </c>
    </row>
    <row r="494" customFormat="false" ht="13.8" hidden="false" customHeight="false" outlineLevel="0" collapsed="false">
      <c r="B494" s="2" t="n">
        <v>492</v>
      </c>
      <c r="C494" s="2" t="n">
        <v>0.0564006666666667</v>
      </c>
      <c r="D494" s="2" t="n">
        <v>0.4</v>
      </c>
      <c r="E494" s="2" t="n">
        <v>0.083</v>
      </c>
    </row>
    <row r="495" customFormat="false" ht="13.8" hidden="false" customHeight="false" outlineLevel="0" collapsed="false">
      <c r="B495" s="2" t="n">
        <v>493</v>
      </c>
      <c r="C495" s="2" t="n">
        <v>0.403467333333333</v>
      </c>
      <c r="D495" s="2" t="n">
        <v>0.4</v>
      </c>
      <c r="E495" s="2" t="n">
        <v>0.057</v>
      </c>
    </row>
    <row r="496" customFormat="false" ht="13.8" hidden="false" customHeight="false" outlineLevel="0" collapsed="false">
      <c r="B496" s="2" t="n">
        <v>494</v>
      </c>
      <c r="C496" s="2" t="n">
        <v>0.172733933333333</v>
      </c>
      <c r="D496" s="2" t="n">
        <v>0.4</v>
      </c>
      <c r="E496" s="2" t="n">
        <v>0.083</v>
      </c>
    </row>
    <row r="497" customFormat="false" ht="13.8" hidden="false" customHeight="false" outlineLevel="0" collapsed="false">
      <c r="B497" s="2" t="n">
        <v>495</v>
      </c>
      <c r="C497" s="2" t="n">
        <v>0.414000333333333</v>
      </c>
      <c r="D497" s="2" t="n">
        <v>0.4</v>
      </c>
      <c r="E497" s="2" t="n">
        <v>0.057</v>
      </c>
    </row>
    <row r="498" customFormat="false" ht="13.8" hidden="false" customHeight="false" outlineLevel="0" collapsed="false">
      <c r="B498" s="2" t="n">
        <v>496</v>
      </c>
      <c r="C498" s="2" t="n">
        <v>0.152000933333333</v>
      </c>
      <c r="D498" s="2" t="n">
        <v>0.4</v>
      </c>
      <c r="E498" s="2" t="n">
        <v>0.083</v>
      </c>
    </row>
    <row r="499" customFormat="false" ht="13.8" hidden="false" customHeight="false" outlineLevel="0" collapsed="false">
      <c r="B499" s="2" t="n">
        <v>497</v>
      </c>
      <c r="C499" s="2" t="n">
        <v>0.395267133333333</v>
      </c>
      <c r="D499" s="2" t="n">
        <v>0.4</v>
      </c>
      <c r="E499" s="2" t="n">
        <v>0.057</v>
      </c>
    </row>
    <row r="500" customFormat="false" ht="13.8" hidden="false" customHeight="false" outlineLevel="0" collapsed="false">
      <c r="B500" s="2" t="n">
        <v>498</v>
      </c>
      <c r="C500" s="2" t="n">
        <v>0.127334066666667</v>
      </c>
      <c r="D500" s="2" t="n">
        <v>0.4</v>
      </c>
      <c r="E500" s="2" t="n">
        <v>0.083</v>
      </c>
    </row>
    <row r="501" customFormat="false" ht="13.8" hidden="false" customHeight="false" outlineLevel="0" collapsed="false">
      <c r="B501" s="2" t="n">
        <v>499</v>
      </c>
      <c r="C501" s="2" t="n">
        <v>0.3684668</v>
      </c>
      <c r="D501" s="2" t="n">
        <v>0.4</v>
      </c>
      <c r="E501" s="2" t="n">
        <v>0.057</v>
      </c>
    </row>
    <row r="502" customFormat="false" ht="13.8" hidden="false" customHeight="false" outlineLevel="0" collapsed="false">
      <c r="B502" s="2" t="n">
        <v>500</v>
      </c>
      <c r="C502" s="2" t="n">
        <v>0.122</v>
      </c>
      <c r="D502" s="2" t="n">
        <v>0.4</v>
      </c>
      <c r="E502" s="2" t="n">
        <v>0.083</v>
      </c>
    </row>
    <row r="503" customFormat="false" ht="13.8" hidden="false" customHeight="false" outlineLevel="0" collapsed="false">
      <c r="B503" s="2" t="n">
        <v>501</v>
      </c>
      <c r="C503" s="2" t="n">
        <v>0.368200533333333</v>
      </c>
      <c r="D503" s="2" t="n">
        <v>0.4</v>
      </c>
      <c r="E503" s="2" t="n">
        <v>0.057</v>
      </c>
    </row>
    <row r="504" customFormat="false" ht="13.8" hidden="false" customHeight="false" outlineLevel="0" collapsed="false">
      <c r="B504" s="2" t="n">
        <v>502</v>
      </c>
      <c r="C504" s="2" t="n">
        <v>0.1252002</v>
      </c>
      <c r="D504" s="2" t="n">
        <v>0.4</v>
      </c>
      <c r="E504" s="2" t="n">
        <v>0.083</v>
      </c>
    </row>
    <row r="505" customFormat="false" ht="13.8" hidden="false" customHeight="false" outlineLevel="0" collapsed="false">
      <c r="B505" s="2" t="n">
        <v>503</v>
      </c>
      <c r="C505" s="2" t="n">
        <v>0.3684674</v>
      </c>
      <c r="D505" s="2" t="n">
        <v>0.346666666666667</v>
      </c>
      <c r="E505" s="2" t="n">
        <v>0.00266713333333333</v>
      </c>
    </row>
    <row r="506" customFormat="false" ht="13.8" hidden="false" customHeight="false" outlineLevel="0" collapsed="false">
      <c r="B506" s="2" t="n">
        <v>504</v>
      </c>
      <c r="C506" s="2" t="n">
        <v>0.120400066666667</v>
      </c>
      <c r="D506" s="2" t="n">
        <v>0</v>
      </c>
      <c r="E506" s="2" t="n">
        <v>0.00133406666666667</v>
      </c>
    </row>
    <row r="507" customFormat="false" ht="13.8" hidden="false" customHeight="false" outlineLevel="0" collapsed="false">
      <c r="B507" s="2" t="n">
        <v>505</v>
      </c>
      <c r="C507" s="2" t="n">
        <v>0.365</v>
      </c>
      <c r="D507" s="2" t="n">
        <v>0</v>
      </c>
      <c r="E507" s="2" t="n">
        <v>0.005</v>
      </c>
    </row>
    <row r="508" customFormat="false" ht="13.8" hidden="false" customHeight="false" outlineLevel="0" collapsed="false">
      <c r="B508" s="2" t="n">
        <v>506</v>
      </c>
      <c r="C508" s="2" t="n">
        <v>0.116134</v>
      </c>
      <c r="D508" s="2" t="n">
        <v>0</v>
      </c>
      <c r="E508" s="2" t="n">
        <v>0.135</v>
      </c>
    </row>
    <row r="509" customFormat="false" ht="13.8" hidden="false" customHeight="false" outlineLevel="0" collapsed="false">
      <c r="B509" s="2" t="n">
        <v>507</v>
      </c>
      <c r="C509" s="2" t="n">
        <v>0.367935133333333</v>
      </c>
      <c r="D509" s="2" t="n">
        <v>0</v>
      </c>
      <c r="E509" s="2" t="n">
        <v>0.005</v>
      </c>
    </row>
    <row r="510" customFormat="false" ht="13.8" hidden="false" customHeight="false" outlineLevel="0" collapsed="false">
      <c r="B510" s="2" t="n">
        <v>508</v>
      </c>
      <c r="C510" s="2" t="n">
        <v>0.1220024</v>
      </c>
      <c r="D510" s="2" t="n">
        <v>0</v>
      </c>
      <c r="E510" s="2" t="n">
        <v>0.134666733333333</v>
      </c>
    </row>
    <row r="511" customFormat="false" ht="13.8" hidden="false" customHeight="false" outlineLevel="0" collapsed="false">
      <c r="B511" s="2" t="n">
        <v>509</v>
      </c>
      <c r="C511" s="2" t="n">
        <v>0.395403133333333</v>
      </c>
      <c r="D511" s="2" t="n">
        <v>0</v>
      </c>
      <c r="E511" s="2" t="n">
        <v>0.044</v>
      </c>
    </row>
    <row r="512" customFormat="false" ht="13.8" hidden="false" customHeight="false" outlineLevel="0" collapsed="false">
      <c r="B512" s="2" t="n">
        <v>510</v>
      </c>
      <c r="C512" s="2" t="n">
        <v>0.1678706</v>
      </c>
      <c r="D512" s="2" t="n">
        <v>0</v>
      </c>
      <c r="E512" s="2" t="n">
        <v>0.161</v>
      </c>
    </row>
    <row r="513" customFormat="false" ht="13.8" hidden="false" customHeight="false" outlineLevel="0" collapsed="false">
      <c r="B513" s="2" t="n">
        <v>511</v>
      </c>
      <c r="C513" s="2" t="n">
        <v>0.4014026</v>
      </c>
      <c r="D513" s="2" t="n">
        <v>0</v>
      </c>
      <c r="E513" s="2" t="n">
        <v>0.044</v>
      </c>
    </row>
    <row r="514" customFormat="false" ht="13.8" hidden="false" customHeight="false" outlineLevel="0" collapsed="false">
      <c r="B514" s="2" t="n">
        <v>512</v>
      </c>
      <c r="C514" s="2" t="n">
        <v>0.137534466666667</v>
      </c>
      <c r="D514" s="2" t="n">
        <v>0</v>
      </c>
      <c r="E514" s="2" t="n">
        <v>0.161001866666667</v>
      </c>
    </row>
    <row r="515" customFormat="false" ht="13.8" hidden="false" customHeight="false" outlineLevel="0" collapsed="false">
      <c r="B515" s="2" t="n">
        <v>513</v>
      </c>
      <c r="C515" s="2" t="n">
        <v>0.378669333333333</v>
      </c>
      <c r="D515" s="2" t="n">
        <v>0</v>
      </c>
      <c r="E515" s="2" t="n">
        <v>0.0452014</v>
      </c>
    </row>
    <row r="516" customFormat="false" ht="13.8" hidden="false" customHeight="false" outlineLevel="0" collapsed="false">
      <c r="B516" s="2" t="n">
        <v>514</v>
      </c>
      <c r="C516" s="2" t="n">
        <v>0.129003733333333</v>
      </c>
      <c r="D516" s="2" t="n">
        <v>0</v>
      </c>
      <c r="E516" s="2" t="n">
        <v>0.163001</v>
      </c>
    </row>
    <row r="517" customFormat="false" ht="13.8" hidden="false" customHeight="false" outlineLevel="0" collapsed="false">
      <c r="B517" s="2" t="n">
        <v>515</v>
      </c>
      <c r="C517" s="2" t="n">
        <v>0.369006333333333</v>
      </c>
      <c r="D517" s="2" t="n">
        <v>0</v>
      </c>
      <c r="E517" s="2" t="n">
        <v>0.046001</v>
      </c>
    </row>
    <row r="518" customFormat="false" ht="13.8" hidden="false" customHeight="false" outlineLevel="0" collapsed="false">
      <c r="B518" s="2" t="n">
        <v>516</v>
      </c>
      <c r="C518" s="2" t="n">
        <v>0.114008466666667</v>
      </c>
      <c r="D518" s="2" t="n">
        <v>0</v>
      </c>
      <c r="E518" s="2" t="n">
        <v>0.163001</v>
      </c>
    </row>
    <row r="519" customFormat="false" ht="13.8" hidden="false" customHeight="false" outlineLevel="0" collapsed="false">
      <c r="B519" s="2" t="n">
        <v>517</v>
      </c>
      <c r="C519" s="2" t="n">
        <v>0.179274133333333</v>
      </c>
      <c r="D519" s="2" t="n">
        <v>0</v>
      </c>
      <c r="E519" s="2" t="n">
        <v>0.046001</v>
      </c>
    </row>
    <row r="520" customFormat="false" ht="13.8" hidden="false" customHeight="false" outlineLevel="0" collapsed="false">
      <c r="B520" s="2" t="n">
        <v>518</v>
      </c>
      <c r="C520" s="2" t="n">
        <v>0.3186078</v>
      </c>
      <c r="D520" s="2" t="n">
        <v>0</v>
      </c>
      <c r="E520" s="2" t="n">
        <v>0.163001</v>
      </c>
    </row>
    <row r="521" customFormat="false" ht="13.8" hidden="false" customHeight="false" outlineLevel="0" collapsed="false">
      <c r="B521" s="2" t="n">
        <v>519</v>
      </c>
      <c r="C521" s="2" t="n">
        <v>0.235141866666667</v>
      </c>
      <c r="D521" s="2" t="n">
        <v>0</v>
      </c>
      <c r="E521" s="2" t="n">
        <v>0.046001</v>
      </c>
    </row>
    <row r="522" customFormat="false" ht="13.8" hidden="false" customHeight="false" outlineLevel="0" collapsed="false">
      <c r="B522" s="2" t="n">
        <v>520</v>
      </c>
      <c r="C522" s="2" t="n">
        <v>0.283009</v>
      </c>
      <c r="D522" s="2" t="n">
        <v>0</v>
      </c>
      <c r="E522" s="2" t="n">
        <v>0.163001</v>
      </c>
    </row>
    <row r="523" customFormat="false" ht="13.8" hidden="false" customHeight="false" outlineLevel="0" collapsed="false">
      <c r="B523" s="2" t="n">
        <v>521</v>
      </c>
      <c r="C523" s="2" t="n">
        <v>0.257008133333333</v>
      </c>
      <c r="D523" s="2" t="n">
        <v>0</v>
      </c>
      <c r="E523" s="2" t="n">
        <v>0.0652011333333333</v>
      </c>
    </row>
    <row r="524" customFormat="false" ht="13.8" hidden="false" customHeight="false" outlineLevel="0" collapsed="false">
      <c r="B524" s="2" t="n">
        <v>522</v>
      </c>
      <c r="C524" s="2" t="n">
        <v>0.283008</v>
      </c>
      <c r="D524" s="2" t="n">
        <v>0</v>
      </c>
      <c r="E524" s="2" t="n">
        <v>0.500001</v>
      </c>
    </row>
    <row r="525" customFormat="false" ht="13.8" hidden="false" customHeight="false" outlineLevel="0" collapsed="false">
      <c r="B525" s="2" t="n">
        <v>523</v>
      </c>
      <c r="C525" s="2" t="n">
        <v>0.2570072</v>
      </c>
      <c r="D525" s="2" t="n">
        <v>0</v>
      </c>
      <c r="E525" s="2" t="n">
        <v>0.0766686666666667</v>
      </c>
    </row>
    <row r="526" customFormat="false" ht="13.8" hidden="false" customHeight="false" outlineLevel="0" collapsed="false">
      <c r="B526" s="2" t="n">
        <v>524</v>
      </c>
      <c r="C526" s="2" t="n">
        <v>0.2920062</v>
      </c>
      <c r="D526" s="2" t="n">
        <v>0</v>
      </c>
      <c r="E526" s="2" t="n">
        <v>0.186668733333333</v>
      </c>
    </row>
    <row r="527" customFormat="false" ht="13.8" hidden="false" customHeight="false" outlineLevel="0" collapsed="false">
      <c r="B527" s="2" t="n">
        <v>525</v>
      </c>
      <c r="C527" s="2" t="n">
        <v>0.2720044</v>
      </c>
      <c r="D527" s="2" t="n">
        <v>0</v>
      </c>
      <c r="E527" s="2" t="n">
        <v>0.413001266666667</v>
      </c>
    </row>
    <row r="528" customFormat="false" ht="13.8" hidden="false" customHeight="false" outlineLevel="0" collapsed="false">
      <c r="B528" s="2" t="n">
        <v>526</v>
      </c>
      <c r="C528" s="2" t="n">
        <v>0.296004933333333</v>
      </c>
      <c r="D528" s="2" t="n">
        <v>0</v>
      </c>
      <c r="E528" s="2" t="n">
        <v>0.5470012</v>
      </c>
    </row>
    <row r="529" customFormat="false" ht="13.8" hidden="false" customHeight="false" outlineLevel="0" collapsed="false">
      <c r="B529" s="2" t="n">
        <v>527</v>
      </c>
      <c r="C529" s="2" t="n">
        <v>0.272005866666667</v>
      </c>
      <c r="D529" s="2" t="n">
        <v>0</v>
      </c>
      <c r="E529" s="2" t="n">
        <v>0.0820022</v>
      </c>
    </row>
    <row r="530" customFormat="false" ht="13.8" hidden="false" customHeight="false" outlineLevel="0" collapsed="false">
      <c r="B530" s="2" t="n">
        <v>528</v>
      </c>
      <c r="C530" s="2" t="n">
        <v>0.3180076</v>
      </c>
      <c r="D530" s="2" t="n">
        <v>0</v>
      </c>
      <c r="E530" s="2" t="n">
        <v>0.00106913333333333</v>
      </c>
    </row>
    <row r="531" customFormat="false" ht="13.8" hidden="false" customHeight="false" outlineLevel="0" collapsed="false">
      <c r="B531" s="2" t="n">
        <v>529</v>
      </c>
      <c r="C531" s="2" t="n">
        <v>0.271342666666667</v>
      </c>
      <c r="D531" s="2" t="n">
        <v>0</v>
      </c>
      <c r="E531" s="2" t="n">
        <v>0.107868333333333</v>
      </c>
    </row>
    <row r="532" customFormat="false" ht="13.8" hidden="false" customHeight="false" outlineLevel="0" collapsed="false">
      <c r="B532" s="2" t="n">
        <v>530</v>
      </c>
      <c r="C532" s="2" t="n">
        <v>0.141276133333333</v>
      </c>
      <c r="D532" s="2" t="n">
        <v>0</v>
      </c>
      <c r="E532" s="2" t="n">
        <v>0.2476668</v>
      </c>
    </row>
    <row r="533" customFormat="false" ht="13.8" hidden="false" customHeight="false" outlineLevel="0" collapsed="false">
      <c r="B533" s="2" t="n">
        <v>531</v>
      </c>
      <c r="C533" s="2" t="n">
        <v>0.3786082</v>
      </c>
      <c r="D533" s="2" t="n">
        <v>0</v>
      </c>
      <c r="E533" s="2" t="n">
        <v>0.315667133333333</v>
      </c>
    </row>
    <row r="534" customFormat="false" ht="13.8" hidden="false" customHeight="false" outlineLevel="0" collapsed="false">
      <c r="B534" s="2" t="n">
        <v>532</v>
      </c>
      <c r="C534" s="2" t="n">
        <v>0.1780088</v>
      </c>
      <c r="D534" s="2" t="n">
        <v>0</v>
      </c>
      <c r="E534" s="2" t="n">
        <v>0.400001</v>
      </c>
    </row>
    <row r="535" customFormat="false" ht="13.8" hidden="false" customHeight="false" outlineLevel="0" collapsed="false">
      <c r="B535" s="2" t="n">
        <v>533</v>
      </c>
      <c r="C535" s="2" t="n">
        <v>0.2820092</v>
      </c>
      <c r="D535" s="2" t="n">
        <v>0</v>
      </c>
      <c r="E535" s="2" t="n">
        <v>0.546666933333333</v>
      </c>
    </row>
    <row r="536" customFormat="false" ht="13.8" hidden="false" customHeight="false" outlineLevel="0" collapsed="false">
      <c r="B536" s="2" t="n">
        <v>534</v>
      </c>
      <c r="C536" s="2" t="n">
        <v>0.311008</v>
      </c>
      <c r="D536" s="2" t="n">
        <v>0</v>
      </c>
      <c r="E536" s="2" t="n">
        <v>0.522</v>
      </c>
    </row>
    <row r="537" customFormat="false" ht="13.8" hidden="false" customHeight="false" outlineLevel="0" collapsed="false">
      <c r="B537" s="2" t="n">
        <v>535</v>
      </c>
      <c r="C537" s="2" t="n">
        <v>0.0780078666666667</v>
      </c>
      <c r="D537" s="2" t="n">
        <v>0</v>
      </c>
      <c r="E537" s="2" t="n">
        <v>0.548</v>
      </c>
    </row>
    <row r="538" customFormat="false" ht="13.8" hidden="false" customHeight="false" outlineLevel="0" collapsed="false">
      <c r="B538" s="2" t="n">
        <v>536</v>
      </c>
      <c r="C538" s="2" t="n">
        <v>0.283005266666667</v>
      </c>
      <c r="D538" s="2" t="n">
        <v>0</v>
      </c>
      <c r="E538" s="2" t="n">
        <v>0.2020004</v>
      </c>
    </row>
    <row r="539" customFormat="false" ht="13.8" hidden="false" customHeight="false" outlineLevel="0" collapsed="false">
      <c r="B539" s="2" t="n">
        <v>537</v>
      </c>
      <c r="C539" s="2" t="n">
        <v>0.257538266666667</v>
      </c>
      <c r="D539" s="2" t="n">
        <v>0</v>
      </c>
      <c r="E539" s="2" t="n">
        <v>0.148000466666667</v>
      </c>
    </row>
    <row r="540" customFormat="false" ht="13.8" hidden="false" customHeight="false" outlineLevel="0" collapsed="false">
      <c r="B540" s="2" t="n">
        <v>538</v>
      </c>
      <c r="C540" s="2" t="n">
        <v>0.286737133333333</v>
      </c>
      <c r="D540" s="2" t="n">
        <v>0</v>
      </c>
      <c r="E540" s="2" t="n">
        <v>0.127866933333333</v>
      </c>
    </row>
    <row r="541" customFormat="false" ht="13.8" hidden="false" customHeight="false" outlineLevel="0" collapsed="false">
      <c r="B541" s="2" t="n">
        <v>539</v>
      </c>
      <c r="C541" s="2" t="n">
        <v>0.2570024</v>
      </c>
      <c r="D541" s="2" t="n">
        <v>0</v>
      </c>
      <c r="E541" s="2" t="n">
        <v>0.156</v>
      </c>
    </row>
    <row r="542" customFormat="false" ht="13.8" hidden="false" customHeight="false" outlineLevel="0" collapsed="false">
      <c r="B542" s="2" t="n">
        <v>540</v>
      </c>
      <c r="C542" s="2" t="n">
        <v>0.176334133333333</v>
      </c>
      <c r="D542" s="2" t="n">
        <v>0</v>
      </c>
      <c r="E542" s="2" t="n">
        <v>0.130000133333333</v>
      </c>
    </row>
    <row r="543" customFormat="false" ht="13.8" hidden="false" customHeight="false" outlineLevel="0" collapsed="false">
      <c r="B543" s="2" t="n">
        <v>541</v>
      </c>
      <c r="C543" s="2" t="n">
        <v>0.1230008</v>
      </c>
      <c r="D543" s="2" t="n">
        <v>0</v>
      </c>
      <c r="E543" s="2" t="n">
        <v>0.153867933333333</v>
      </c>
    </row>
    <row r="544" customFormat="false" ht="13.8" hidden="false" customHeight="false" outlineLevel="0" collapsed="false">
      <c r="B544" s="2" t="n">
        <v>542</v>
      </c>
      <c r="C544" s="2" t="n">
        <v>0.2570004</v>
      </c>
      <c r="D544" s="2" t="n">
        <v>0</v>
      </c>
      <c r="E544" s="2" t="n">
        <v>0.173335466666667</v>
      </c>
    </row>
    <row r="545" customFormat="false" ht="13.8" hidden="false" customHeight="false" outlineLevel="0" collapsed="false">
      <c r="B545" s="2" t="n">
        <v>543</v>
      </c>
      <c r="C545" s="2" t="n">
        <v>0.282334466666667</v>
      </c>
      <c r="D545" s="2" t="n">
        <v>0</v>
      </c>
      <c r="E545" s="2" t="n">
        <v>0.101201133333333</v>
      </c>
    </row>
    <row r="546" customFormat="false" ht="13.8" hidden="false" customHeight="false" outlineLevel="0" collapsed="false">
      <c r="B546" s="2" t="n">
        <v>544</v>
      </c>
      <c r="C546" s="2" t="n">
        <v>0.149668333333333</v>
      </c>
      <c r="D546" s="2" t="n">
        <v>0</v>
      </c>
      <c r="E546" s="2" t="n">
        <v>0.267334866666667</v>
      </c>
    </row>
    <row r="547" customFormat="false" ht="13.8" hidden="false" customHeight="false" outlineLevel="0" collapsed="false">
      <c r="B547" s="2" t="n">
        <v>545</v>
      </c>
      <c r="C547" s="2" t="n">
        <v>0.259667133333333</v>
      </c>
      <c r="D547" s="2" t="n">
        <v>0</v>
      </c>
      <c r="E547" s="2" t="n">
        <v>0.296001</v>
      </c>
    </row>
    <row r="548" customFormat="false" ht="13.8" hidden="false" customHeight="false" outlineLevel="0" collapsed="false">
      <c r="B548" s="2" t="n">
        <v>546</v>
      </c>
      <c r="C548" s="2" t="n">
        <v>0.288</v>
      </c>
      <c r="D548" s="2" t="n">
        <v>0</v>
      </c>
      <c r="E548" s="2" t="n">
        <v>0.374001</v>
      </c>
    </row>
    <row r="549" customFormat="false" ht="13.8" hidden="false" customHeight="false" outlineLevel="0" collapsed="false">
      <c r="B549" s="2" t="n">
        <v>547</v>
      </c>
      <c r="C549" s="2" t="n">
        <v>0.257334266666667</v>
      </c>
      <c r="D549" s="2" t="n">
        <v>0</v>
      </c>
      <c r="E549" s="2" t="n">
        <v>0.250002</v>
      </c>
    </row>
    <row r="550" customFormat="false" ht="13.8" hidden="false" customHeight="false" outlineLevel="0" collapsed="false">
      <c r="B550" s="2" t="n">
        <v>548</v>
      </c>
      <c r="C550" s="2" t="n">
        <v>0.287666733333333</v>
      </c>
      <c r="D550" s="2" t="n">
        <v>0</v>
      </c>
      <c r="E550" s="2" t="n">
        <v>0.6500012</v>
      </c>
    </row>
    <row r="551" customFormat="false" ht="13.8" hidden="false" customHeight="false" outlineLevel="0" collapsed="false">
      <c r="B551" s="2" t="n">
        <v>549</v>
      </c>
      <c r="C551" s="2" t="n">
        <v>0.2620002</v>
      </c>
      <c r="D551" s="2" t="n">
        <v>0</v>
      </c>
      <c r="E551" s="2" t="n">
        <v>0.5723344</v>
      </c>
    </row>
    <row r="552" customFormat="false" ht="13.8" hidden="false" customHeight="false" outlineLevel="0" collapsed="false">
      <c r="B552" s="2" t="n">
        <v>550</v>
      </c>
      <c r="C552" s="2" t="n">
        <v>0.2992002</v>
      </c>
      <c r="D552" s="2" t="n">
        <v>0</v>
      </c>
      <c r="E552" s="2" t="n">
        <v>0.323002733333333</v>
      </c>
    </row>
    <row r="553" customFormat="false" ht="13.8" hidden="false" customHeight="false" outlineLevel="0" collapsed="false">
      <c r="B553" s="2" t="n">
        <v>551</v>
      </c>
      <c r="C553" s="2" t="n">
        <v>0.269401066666667</v>
      </c>
      <c r="D553" s="2" t="n">
        <v>0</v>
      </c>
      <c r="E553" s="2" t="n">
        <v>0.261402266666667</v>
      </c>
    </row>
    <row r="554" customFormat="false" ht="13.8" hidden="false" customHeight="false" outlineLevel="0" collapsed="false">
      <c r="B554" s="2" t="n">
        <v>552</v>
      </c>
      <c r="C554" s="2" t="n">
        <v>0.301334466666667</v>
      </c>
      <c r="D554" s="2" t="n">
        <v>0.0533333333333333</v>
      </c>
      <c r="E554" s="2" t="n">
        <v>0.169401533333333</v>
      </c>
    </row>
    <row r="555" customFormat="false" ht="13.8" hidden="false" customHeight="false" outlineLevel="0" collapsed="false">
      <c r="B555" s="2" t="n">
        <v>553</v>
      </c>
      <c r="C555" s="2" t="n">
        <v>0.2738034</v>
      </c>
      <c r="D555" s="2" t="n">
        <v>0.4</v>
      </c>
      <c r="E555" s="2" t="n">
        <v>0.187001133333333</v>
      </c>
    </row>
    <row r="556" customFormat="false" ht="13.8" hidden="false" customHeight="false" outlineLevel="0" collapsed="false">
      <c r="B556" s="2" t="n">
        <v>554</v>
      </c>
      <c r="C556" s="2" t="n">
        <v>0.389602866666667</v>
      </c>
      <c r="D556" s="2" t="n">
        <v>0.4</v>
      </c>
      <c r="E556" s="2" t="n">
        <v>0.083001</v>
      </c>
    </row>
    <row r="557" customFormat="false" ht="13.8" hidden="false" customHeight="false" outlineLevel="0" collapsed="false">
      <c r="B557" s="2" t="n">
        <v>555</v>
      </c>
      <c r="C557" s="2" t="n">
        <v>0.381805266666667</v>
      </c>
      <c r="D557" s="2" t="n">
        <v>0.4</v>
      </c>
      <c r="E557" s="2" t="n">
        <v>0.187001</v>
      </c>
    </row>
    <row r="558" customFormat="false" ht="13.8" hidden="false" customHeight="false" outlineLevel="0" collapsed="false">
      <c r="B558" s="2" t="n">
        <v>556</v>
      </c>
      <c r="C558" s="2" t="n">
        <v>0.440475533333333</v>
      </c>
      <c r="D558" s="2" t="n">
        <v>0.4</v>
      </c>
      <c r="E558" s="2" t="n">
        <v>0.083001</v>
      </c>
    </row>
    <row r="559" customFormat="false" ht="13.8" hidden="false" customHeight="false" outlineLevel="0" collapsed="false">
      <c r="B559" s="2" t="n">
        <v>557</v>
      </c>
      <c r="C559" s="2" t="n">
        <v>0.459276733333333</v>
      </c>
      <c r="D559" s="2" t="n">
        <v>0.4</v>
      </c>
      <c r="E559" s="2" t="n">
        <v>0.187001</v>
      </c>
    </row>
    <row r="560" customFormat="false" ht="13.8" hidden="false" customHeight="false" outlineLevel="0" collapsed="false">
      <c r="B560" s="2" t="n">
        <v>558</v>
      </c>
      <c r="C560" s="2" t="n">
        <v>0.435545866666667</v>
      </c>
      <c r="D560" s="2" t="n">
        <v>0.4</v>
      </c>
      <c r="E560" s="2" t="n">
        <v>0.0830002666666667</v>
      </c>
    </row>
    <row r="561" customFormat="false" ht="13.8" hidden="false" customHeight="false" outlineLevel="0" collapsed="false">
      <c r="B561" s="2" t="n">
        <v>559</v>
      </c>
      <c r="C561" s="2" t="n">
        <v>0.224882533333333</v>
      </c>
      <c r="D561" s="2" t="n">
        <v>0.4</v>
      </c>
      <c r="E561" s="2" t="n">
        <v>0.120333666666667</v>
      </c>
    </row>
    <row r="562" customFormat="false" ht="13.8" hidden="false" customHeight="false" outlineLevel="0" collapsed="false">
      <c r="B562" s="2" t="n">
        <v>560</v>
      </c>
      <c r="C562" s="2" t="n">
        <v>0.3197488</v>
      </c>
      <c r="D562" s="2" t="n">
        <v>0.4</v>
      </c>
      <c r="E562" s="2" t="n">
        <v>0.2</v>
      </c>
    </row>
    <row r="563" customFormat="false" ht="13.8" hidden="false" customHeight="false" outlineLevel="0" collapsed="false">
      <c r="B563" s="2" t="n">
        <v>561</v>
      </c>
      <c r="C563" s="2" t="n">
        <v>0.403482666666667</v>
      </c>
      <c r="D563" s="2" t="n">
        <v>0.4</v>
      </c>
      <c r="E563" s="2" t="n">
        <v>0.0566667333333333</v>
      </c>
    </row>
    <row r="564" customFormat="false" ht="13.8" hidden="false" customHeight="false" outlineLevel="0" collapsed="false">
      <c r="B564" s="2" t="n">
        <v>562</v>
      </c>
      <c r="C564" s="2" t="n">
        <v>0.279552866666667</v>
      </c>
      <c r="D564" s="2" t="n">
        <v>0.4</v>
      </c>
      <c r="E564" s="2" t="n">
        <v>0.00433346666666667</v>
      </c>
    </row>
    <row r="565" customFormat="false" ht="13.8" hidden="false" customHeight="false" outlineLevel="0" collapsed="false">
      <c r="B565" s="2" t="n">
        <v>563</v>
      </c>
      <c r="C565" s="2" t="n">
        <v>0.298816533333333</v>
      </c>
      <c r="D565" s="2" t="n">
        <v>0.4</v>
      </c>
      <c r="E565" s="2" t="n">
        <v>0.109</v>
      </c>
    </row>
    <row r="566" customFormat="false" ht="13.8" hidden="false" customHeight="false" outlineLevel="0" collapsed="false">
      <c r="B566" s="2" t="n">
        <v>564</v>
      </c>
      <c r="C566" s="2" t="n">
        <v>0.439747133333333</v>
      </c>
      <c r="D566" s="2" t="n">
        <v>0.4</v>
      </c>
      <c r="E566" s="2" t="n">
        <v>0.031</v>
      </c>
    </row>
    <row r="567" customFormat="false" ht="13.8" hidden="false" customHeight="false" outlineLevel="0" collapsed="false">
      <c r="B567" s="2" t="n">
        <v>565</v>
      </c>
      <c r="C567" s="2" t="n">
        <v>0.479147733333333</v>
      </c>
      <c r="D567" s="2" t="n">
        <v>0.4</v>
      </c>
      <c r="E567" s="2" t="n">
        <v>0.0956667333333333</v>
      </c>
    </row>
    <row r="568" customFormat="false" ht="13.8" hidden="false" customHeight="false" outlineLevel="0" collapsed="false">
      <c r="B568" s="2" t="n">
        <v>566</v>
      </c>
      <c r="C568" s="2" t="n">
        <v>0.372281866666667</v>
      </c>
      <c r="D568" s="2" t="n">
        <v>0.4</v>
      </c>
      <c r="E568" s="2" t="n">
        <v>0.0030004</v>
      </c>
    </row>
    <row r="569" customFormat="false" ht="13.8" hidden="false" customHeight="false" outlineLevel="0" collapsed="false">
      <c r="B569" s="2" t="n">
        <v>567</v>
      </c>
      <c r="C569" s="2" t="n">
        <v>0.3308806</v>
      </c>
      <c r="D569" s="2" t="n">
        <v>0.4</v>
      </c>
      <c r="E569" s="2" t="n">
        <v>0.057</v>
      </c>
    </row>
    <row r="570" customFormat="false" ht="13.8" hidden="false" customHeight="false" outlineLevel="0" collapsed="false">
      <c r="B570" s="2" t="n">
        <v>568</v>
      </c>
      <c r="C570" s="2" t="n">
        <v>0.364351066666667</v>
      </c>
      <c r="D570" s="2" t="n">
        <v>0.4</v>
      </c>
      <c r="E570" s="2" t="n">
        <v>0.083</v>
      </c>
    </row>
    <row r="571" customFormat="false" ht="13.8" hidden="false" customHeight="false" outlineLevel="0" collapsed="false">
      <c r="B571" s="2" t="n">
        <v>569</v>
      </c>
      <c r="C571" s="2" t="n">
        <v>0.251151533333333</v>
      </c>
      <c r="D571" s="2" t="n">
        <v>0.4</v>
      </c>
      <c r="E571" s="2" t="n">
        <v>0.057</v>
      </c>
    </row>
    <row r="572" customFormat="false" ht="13.8" hidden="false" customHeight="false" outlineLevel="0" collapsed="false">
      <c r="B572" s="2" t="n">
        <v>570</v>
      </c>
      <c r="C572" s="2" t="n">
        <v>0.344151466666667</v>
      </c>
      <c r="D572" s="2" t="n">
        <v>0.4</v>
      </c>
      <c r="E572" s="2" t="n">
        <v>0.083</v>
      </c>
    </row>
    <row r="573" customFormat="false" ht="13.8" hidden="false" customHeight="false" outlineLevel="0" collapsed="false">
      <c r="B573" s="2" t="n">
        <v>571</v>
      </c>
      <c r="C573" s="2" t="n">
        <v>0.382083933333333</v>
      </c>
      <c r="D573" s="2" t="n">
        <v>0.4</v>
      </c>
      <c r="E573" s="2" t="n">
        <v>0.00266713333333333</v>
      </c>
    </row>
    <row r="574" customFormat="false" ht="13.8" hidden="false" customHeight="false" outlineLevel="0" collapsed="false">
      <c r="B574" s="2" t="n">
        <v>572</v>
      </c>
      <c r="C574" s="2" t="n">
        <v>0.292548333333333</v>
      </c>
      <c r="D574" s="2" t="n">
        <v>0.4</v>
      </c>
      <c r="E574" s="2" t="n">
        <v>0.00366693333333333</v>
      </c>
    </row>
    <row r="575" customFormat="false" ht="13.8" hidden="false" customHeight="false" outlineLevel="0" collapsed="false">
      <c r="B575" s="2" t="n">
        <v>573</v>
      </c>
      <c r="C575" s="2" t="n">
        <v>0.237416666666667</v>
      </c>
      <c r="D575" s="2" t="n">
        <v>0.4</v>
      </c>
      <c r="E575" s="2" t="n">
        <v>0.083</v>
      </c>
    </row>
    <row r="576" customFormat="false" ht="13.8" hidden="false" customHeight="false" outlineLevel="0" collapsed="false">
      <c r="B576" s="2" t="n">
        <v>574</v>
      </c>
      <c r="C576" s="2" t="n">
        <v>0.2004808</v>
      </c>
      <c r="D576" s="2" t="n">
        <v>0.4</v>
      </c>
      <c r="E576" s="2" t="n">
        <v>0.057</v>
      </c>
    </row>
    <row r="577" customFormat="false" ht="13.8" hidden="false" customHeight="false" outlineLevel="0" collapsed="false">
      <c r="B577" s="2" t="n">
        <v>575</v>
      </c>
      <c r="C577" s="2" t="n">
        <v>0.1816118</v>
      </c>
      <c r="D577" s="2" t="n">
        <v>0.4</v>
      </c>
      <c r="E577" s="2" t="n">
        <v>0.0563334666666667</v>
      </c>
    </row>
    <row r="578" customFormat="false" ht="13.8" hidden="false" customHeight="false" outlineLevel="0" collapsed="false">
      <c r="B578" s="2" t="n">
        <v>576</v>
      </c>
      <c r="C578" s="2" t="n">
        <v>0.208013733333333</v>
      </c>
      <c r="D578" s="2" t="n">
        <v>0.4</v>
      </c>
      <c r="E578" s="2" t="n">
        <v>1E-006</v>
      </c>
    </row>
    <row r="579" customFormat="false" ht="13.8" hidden="false" customHeight="false" outlineLevel="0" collapsed="false">
      <c r="B579" s="2" t="n">
        <v>577</v>
      </c>
      <c r="C579" s="2" t="n">
        <v>0.1819426</v>
      </c>
      <c r="D579" s="2" t="n">
        <v>0</v>
      </c>
      <c r="E579" s="2" t="n">
        <v>1E-006</v>
      </c>
    </row>
    <row r="580" customFormat="false" ht="13.8" hidden="false" customHeight="false" outlineLevel="0" collapsed="false">
      <c r="B580" s="2" t="n">
        <v>578</v>
      </c>
      <c r="C580" s="2" t="n">
        <v>0.1132758</v>
      </c>
      <c r="D580" s="2" t="n">
        <v>0</v>
      </c>
      <c r="E580" s="2" t="n">
        <v>0.00166733333333333</v>
      </c>
    </row>
    <row r="581" customFormat="false" ht="13.8" hidden="false" customHeight="false" outlineLevel="0" collapsed="false">
      <c r="B581" s="2" t="n">
        <v>579</v>
      </c>
      <c r="C581" s="2" t="n">
        <v>0.337672266666667</v>
      </c>
      <c r="D581" s="2" t="n">
        <v>0</v>
      </c>
      <c r="E581" s="2" t="n">
        <v>0.005</v>
      </c>
    </row>
    <row r="582" customFormat="false" ht="13.8" hidden="false" customHeight="false" outlineLevel="0" collapsed="false">
      <c r="B582" s="2" t="n">
        <v>580</v>
      </c>
      <c r="C582" s="2" t="n">
        <v>0.0563373333333333</v>
      </c>
      <c r="D582" s="2" t="n">
        <v>0.0533333333333333</v>
      </c>
      <c r="E582" s="2" t="n">
        <v>0.135</v>
      </c>
    </row>
    <row r="583" customFormat="false" ht="13.8" hidden="false" customHeight="false" outlineLevel="0" collapsed="false">
      <c r="B583" s="2" t="n">
        <v>581</v>
      </c>
      <c r="C583" s="2" t="n">
        <v>0.307868266666667</v>
      </c>
      <c r="D583" s="2" t="n">
        <v>0.4</v>
      </c>
      <c r="E583" s="2" t="n">
        <v>0.00466673333333333</v>
      </c>
    </row>
    <row r="584" customFormat="false" ht="13.8" hidden="false" customHeight="false" outlineLevel="0" collapsed="false">
      <c r="B584" s="2" t="n">
        <v>582</v>
      </c>
      <c r="C584" s="2" t="n">
        <v>0.107667266666667</v>
      </c>
      <c r="D584" s="2" t="n">
        <v>0.4</v>
      </c>
      <c r="E584" s="2" t="n">
        <v>0.057</v>
      </c>
    </row>
    <row r="585" customFormat="false" ht="13.8" hidden="false" customHeight="false" outlineLevel="0" collapsed="false">
      <c r="B585" s="2" t="n">
        <v>583</v>
      </c>
      <c r="C585" s="2" t="n">
        <v>0.166800533333333</v>
      </c>
      <c r="D585" s="2" t="n">
        <v>0.4</v>
      </c>
      <c r="E585" s="2" t="n">
        <v>0.083</v>
      </c>
    </row>
    <row r="586" customFormat="false" ht="13.8" hidden="false" customHeight="false" outlineLevel="0" collapsed="false">
      <c r="B586" s="2" t="n">
        <v>584</v>
      </c>
      <c r="C586" s="2" t="n">
        <v>0.2666012</v>
      </c>
      <c r="D586" s="2" t="n">
        <v>0.4</v>
      </c>
      <c r="E586" s="2" t="n">
        <v>0.057</v>
      </c>
    </row>
    <row r="587" customFormat="false" ht="13.8" hidden="false" customHeight="false" outlineLevel="0" collapsed="false">
      <c r="B587" s="2" t="n">
        <v>585</v>
      </c>
      <c r="C587" s="2" t="n">
        <v>0.1110676</v>
      </c>
      <c r="D587" s="2" t="n">
        <v>0.4</v>
      </c>
      <c r="E587" s="2" t="n">
        <v>0.0170002</v>
      </c>
    </row>
    <row r="588" customFormat="false" ht="13.8" hidden="false" customHeight="false" outlineLevel="0" collapsed="false">
      <c r="B588" s="2" t="n">
        <v>586</v>
      </c>
      <c r="C588" s="2" t="n">
        <v>0.125934</v>
      </c>
      <c r="D588" s="2" t="n">
        <v>0.4</v>
      </c>
      <c r="E588" s="2" t="n">
        <v>0.083</v>
      </c>
    </row>
    <row r="589" customFormat="false" ht="13.8" hidden="false" customHeight="false" outlineLevel="0" collapsed="false">
      <c r="B589" s="2" t="n">
        <v>587</v>
      </c>
      <c r="C589" s="2" t="n">
        <v>0.284800266666667</v>
      </c>
      <c r="D589" s="2" t="n">
        <v>0.4</v>
      </c>
      <c r="E589" s="2" t="n">
        <v>0.0563334666666667</v>
      </c>
    </row>
    <row r="590" customFormat="false" ht="13.8" hidden="false" customHeight="false" outlineLevel="0" collapsed="false">
      <c r="B590" s="2" t="n">
        <v>588</v>
      </c>
      <c r="C590" s="2" t="n">
        <v>0.0774001333333333</v>
      </c>
      <c r="D590" s="2" t="n">
        <v>0.4</v>
      </c>
      <c r="E590" s="2" t="n">
        <v>0.044</v>
      </c>
    </row>
    <row r="591" customFormat="false" ht="13.8" hidden="false" customHeight="false" outlineLevel="0" collapsed="false">
      <c r="B591" s="2" t="n">
        <v>589</v>
      </c>
      <c r="C591" s="2" t="n">
        <v>0.205333866666667</v>
      </c>
      <c r="D591" s="2" t="n">
        <v>0.4</v>
      </c>
      <c r="E591" s="2" t="n">
        <v>0.0943336666666667</v>
      </c>
    </row>
    <row r="592" customFormat="false" ht="13.8" hidden="false" customHeight="false" outlineLevel="0" collapsed="false">
      <c r="B592" s="2" t="n">
        <v>590</v>
      </c>
      <c r="C592" s="2" t="n">
        <v>0.169</v>
      </c>
      <c r="D592" s="2" t="n">
        <v>0.4</v>
      </c>
      <c r="E592" s="2" t="n">
        <v>0.0030004</v>
      </c>
    </row>
    <row r="593" customFormat="false" ht="13.8" hidden="false" customHeight="false" outlineLevel="0" collapsed="false">
      <c r="B593" s="2" t="n">
        <v>591</v>
      </c>
      <c r="C593" s="2" t="n">
        <v>0.1939336</v>
      </c>
      <c r="D593" s="2" t="n">
        <v>0.4</v>
      </c>
      <c r="E593" s="2" t="n">
        <v>0.057</v>
      </c>
    </row>
    <row r="594" customFormat="false" ht="13.8" hidden="false" customHeight="false" outlineLevel="0" collapsed="false">
      <c r="B594" s="2" t="n">
        <v>592</v>
      </c>
      <c r="C594" s="2" t="n">
        <v>0.1672668</v>
      </c>
      <c r="D594" s="2" t="n">
        <v>0.4</v>
      </c>
      <c r="E594" s="2" t="n">
        <v>0.0820002</v>
      </c>
    </row>
    <row r="595" customFormat="false" ht="13.8" hidden="false" customHeight="false" outlineLevel="0" collapsed="false">
      <c r="B595" s="2" t="n">
        <v>593</v>
      </c>
      <c r="C595" s="2" t="n">
        <v>0.0994009333333333</v>
      </c>
      <c r="D595" s="2" t="n">
        <v>0.4</v>
      </c>
      <c r="E595" s="2" t="n">
        <v>0.00266713333333333</v>
      </c>
    </row>
    <row r="596" customFormat="false" ht="13.8" hidden="false" customHeight="false" outlineLevel="0" collapsed="false">
      <c r="B596" s="2" t="n">
        <v>594</v>
      </c>
      <c r="C596" s="2" t="n">
        <v>0.186733733333333</v>
      </c>
      <c r="D596" s="2" t="n">
        <v>0.4</v>
      </c>
      <c r="E596" s="2" t="n">
        <v>0.044</v>
      </c>
    </row>
    <row r="597" customFormat="false" ht="13.8" hidden="false" customHeight="false" outlineLevel="0" collapsed="false">
      <c r="B597" s="2" t="n">
        <v>595</v>
      </c>
      <c r="C597" s="2" t="n">
        <v>0.154867333333333</v>
      </c>
      <c r="D597" s="2" t="n">
        <v>0.4</v>
      </c>
      <c r="E597" s="2" t="n">
        <v>0.096</v>
      </c>
    </row>
    <row r="598" customFormat="false" ht="13.8" hidden="false" customHeight="false" outlineLevel="0" collapsed="false">
      <c r="B598" s="2" t="n">
        <v>596</v>
      </c>
      <c r="C598" s="2" t="n">
        <v>0.0986678666666667</v>
      </c>
      <c r="D598" s="2" t="n">
        <v>0.4</v>
      </c>
      <c r="E598" s="2" t="n">
        <v>0.044</v>
      </c>
    </row>
    <row r="599" customFormat="false" ht="13.8" hidden="false" customHeight="false" outlineLevel="0" collapsed="false">
      <c r="B599" s="2" t="n">
        <v>597</v>
      </c>
      <c r="C599" s="2" t="n">
        <v>0.204067333333333</v>
      </c>
      <c r="D599" s="2" t="n">
        <v>0.4</v>
      </c>
      <c r="E599" s="2" t="n">
        <v>0.096</v>
      </c>
    </row>
    <row r="600" customFormat="false" ht="13.8" hidden="false" customHeight="false" outlineLevel="0" collapsed="false">
      <c r="B600" s="2" t="n">
        <v>598</v>
      </c>
      <c r="C600" s="2" t="n">
        <v>0.102135333333333</v>
      </c>
      <c r="D600" s="2" t="n">
        <v>0.346666666666667</v>
      </c>
      <c r="E600" s="2" t="n">
        <v>0.044</v>
      </c>
    </row>
    <row r="601" customFormat="false" ht="13.8" hidden="false" customHeight="false" outlineLevel="0" collapsed="false">
      <c r="B601" s="2" t="n">
        <v>599</v>
      </c>
      <c r="C601" s="2" t="n">
        <v>0.248</v>
      </c>
      <c r="D601" s="2" t="n">
        <v>0</v>
      </c>
      <c r="E601" s="2" t="n">
        <v>0.096</v>
      </c>
    </row>
    <row r="602" customFormat="false" ht="13.8" hidden="false" customHeight="false" outlineLevel="0" collapsed="false">
      <c r="B602" s="2" t="n">
        <v>600</v>
      </c>
      <c r="C602" s="2" t="n">
        <v>0.261000133333333</v>
      </c>
      <c r="D602" s="2" t="n">
        <v>0</v>
      </c>
      <c r="E602" s="2" t="n">
        <v>0.044</v>
      </c>
    </row>
    <row r="603" customFormat="false" ht="13.8" hidden="false" customHeight="false" outlineLevel="0" collapsed="false">
      <c r="B603" s="2" t="n">
        <v>601</v>
      </c>
      <c r="C603" s="2" t="n">
        <v>0.163068733333333</v>
      </c>
      <c r="D603" s="2" t="n">
        <v>0</v>
      </c>
      <c r="E603" s="2" t="n">
        <v>0.096</v>
      </c>
    </row>
    <row r="604" customFormat="false" ht="13.8" hidden="false" customHeight="false" outlineLevel="0" collapsed="false">
      <c r="B604" s="2" t="n">
        <v>602</v>
      </c>
      <c r="C604" s="2" t="n">
        <v>0.1920028</v>
      </c>
      <c r="D604" s="2" t="n">
        <v>0</v>
      </c>
      <c r="E604" s="2" t="n">
        <v>0.044</v>
      </c>
    </row>
    <row r="605" customFormat="false" ht="13.8" hidden="false" customHeight="false" outlineLevel="0" collapsed="false">
      <c r="B605" s="2" t="n">
        <v>603</v>
      </c>
      <c r="C605" s="2" t="n">
        <v>0.2851368</v>
      </c>
      <c r="D605" s="2" t="n">
        <v>0</v>
      </c>
      <c r="E605" s="2" t="n">
        <v>0.096</v>
      </c>
    </row>
    <row r="606" customFormat="false" ht="13.8" hidden="false" customHeight="false" outlineLevel="0" collapsed="false">
      <c r="B606" s="2" t="n">
        <v>604</v>
      </c>
      <c r="C606" s="2" t="n">
        <v>0.234137466666667</v>
      </c>
      <c r="D606" s="2" t="n">
        <v>0</v>
      </c>
      <c r="E606" s="2" t="n">
        <v>0.044</v>
      </c>
    </row>
    <row r="607" customFormat="false" ht="13.8" hidden="false" customHeight="false" outlineLevel="0" collapsed="false">
      <c r="B607" s="2" t="n">
        <v>605</v>
      </c>
      <c r="C607" s="2" t="n">
        <v>0.292207866666667</v>
      </c>
      <c r="D607" s="2" t="n">
        <v>0</v>
      </c>
      <c r="E607" s="2" t="n">
        <v>0.005</v>
      </c>
    </row>
    <row r="608" customFormat="false" ht="13.8" hidden="false" customHeight="false" outlineLevel="0" collapsed="false">
      <c r="B608" s="2" t="n">
        <v>606</v>
      </c>
      <c r="C608" s="2" t="n">
        <v>0.269341533333333</v>
      </c>
      <c r="D608" s="2" t="n">
        <v>0</v>
      </c>
      <c r="E608" s="2" t="n">
        <v>0.1350014</v>
      </c>
    </row>
    <row r="609" customFormat="false" ht="13.8" hidden="false" customHeight="false" outlineLevel="0" collapsed="false">
      <c r="B609" s="2" t="n">
        <v>607</v>
      </c>
      <c r="C609" s="2" t="n">
        <v>0.2180078</v>
      </c>
      <c r="D609" s="2" t="n">
        <v>0</v>
      </c>
      <c r="E609" s="2" t="n">
        <v>0.0050022</v>
      </c>
    </row>
    <row r="610" customFormat="false" ht="13.8" hidden="false" customHeight="false" outlineLevel="0" collapsed="false">
      <c r="B610" s="2" t="n">
        <v>608</v>
      </c>
      <c r="C610" s="2" t="n">
        <v>0.2090072</v>
      </c>
      <c r="D610" s="2" t="n">
        <v>0</v>
      </c>
      <c r="E610" s="2" t="n">
        <v>0.200003</v>
      </c>
    </row>
    <row r="611" customFormat="false" ht="13.8" hidden="false" customHeight="false" outlineLevel="0" collapsed="false">
      <c r="B611" s="2" t="n">
        <v>609</v>
      </c>
      <c r="C611" s="2" t="n">
        <v>0.2120062</v>
      </c>
      <c r="D611" s="2" t="n">
        <v>0</v>
      </c>
      <c r="E611" s="2" t="n">
        <v>0.0082026</v>
      </c>
    </row>
    <row r="612" customFormat="false" ht="13.8" hidden="false" customHeight="false" outlineLevel="0" collapsed="false">
      <c r="B612" s="2" t="n">
        <v>610</v>
      </c>
      <c r="C612" s="2" t="n">
        <v>0.371006</v>
      </c>
      <c r="D612" s="2" t="n">
        <v>0</v>
      </c>
      <c r="E612" s="2" t="n">
        <v>0.200536733333333</v>
      </c>
    </row>
    <row r="613" customFormat="false" ht="13.8" hidden="false" customHeight="false" outlineLevel="0" collapsed="false">
      <c r="B613" s="2" t="n">
        <v>611</v>
      </c>
      <c r="C613" s="2" t="n">
        <v>0.211273333333333</v>
      </c>
      <c r="D613" s="2" t="n">
        <v>0</v>
      </c>
      <c r="E613" s="2" t="n">
        <v>0.114335866666667</v>
      </c>
    </row>
    <row r="614" customFormat="false" ht="13.8" hidden="false" customHeight="false" outlineLevel="0" collapsed="false">
      <c r="B614" s="2" t="n">
        <v>612</v>
      </c>
      <c r="C614" s="2" t="n">
        <v>0.173007866666667</v>
      </c>
      <c r="D614" s="2" t="n">
        <v>0</v>
      </c>
      <c r="E614" s="2" t="n">
        <v>0.2560028</v>
      </c>
    </row>
    <row r="615" customFormat="false" ht="13.8" hidden="false" customHeight="false" outlineLevel="0" collapsed="false">
      <c r="B615" s="2" t="n">
        <v>613</v>
      </c>
      <c r="C615" s="2" t="n">
        <v>0.174273</v>
      </c>
      <c r="D615" s="2" t="n">
        <v>0</v>
      </c>
      <c r="E615" s="2" t="n">
        <v>0.0183372666666667</v>
      </c>
    </row>
    <row r="616" customFormat="false" ht="13.8" hidden="false" customHeight="false" outlineLevel="0" collapsed="false">
      <c r="B616" s="2" t="n">
        <v>614</v>
      </c>
      <c r="C616" s="2" t="n">
        <v>0.374007266666667</v>
      </c>
      <c r="D616" s="2" t="n">
        <v>0</v>
      </c>
      <c r="E616" s="2" t="n">
        <v>0.550535066666667</v>
      </c>
    </row>
    <row r="617" customFormat="false" ht="13.8" hidden="false" customHeight="false" outlineLevel="0" collapsed="false">
      <c r="B617" s="2" t="n">
        <v>615</v>
      </c>
      <c r="C617" s="2" t="n">
        <v>0.226006266666667</v>
      </c>
      <c r="D617" s="2" t="n">
        <v>0</v>
      </c>
      <c r="E617" s="2" t="n">
        <v>0.357001</v>
      </c>
    </row>
    <row r="618" customFormat="false" ht="13.8" hidden="false" customHeight="false" outlineLevel="0" collapsed="false">
      <c r="B618" s="2" t="n">
        <v>616</v>
      </c>
      <c r="C618" s="2" t="n">
        <v>0.382271933333333</v>
      </c>
      <c r="D618" s="2" t="n">
        <v>0</v>
      </c>
      <c r="E618" s="2" t="n">
        <v>0.552001666666667</v>
      </c>
    </row>
    <row r="619" customFormat="false" ht="13.8" hidden="false" customHeight="false" outlineLevel="0" collapsed="false">
      <c r="B619" s="2" t="n">
        <v>617</v>
      </c>
      <c r="C619" s="2" t="n">
        <v>0.2069386</v>
      </c>
      <c r="D619" s="2" t="n">
        <v>0</v>
      </c>
      <c r="E619" s="2" t="n">
        <v>0.356535466666667</v>
      </c>
    </row>
    <row r="620" customFormat="false" ht="13.8" hidden="false" customHeight="false" outlineLevel="0" collapsed="false">
      <c r="B620" s="2" t="n">
        <v>618</v>
      </c>
      <c r="C620" s="2" t="n">
        <v>0.348540266666667</v>
      </c>
      <c r="D620" s="2" t="n">
        <v>0</v>
      </c>
      <c r="E620" s="2" t="n">
        <v>0.323337466666667</v>
      </c>
    </row>
    <row r="621" customFormat="false" ht="13.8" hidden="false" customHeight="false" outlineLevel="0" collapsed="false">
      <c r="B621" s="2" t="n">
        <v>619</v>
      </c>
      <c r="C621" s="2" t="n">
        <v>0.192007</v>
      </c>
      <c r="D621" s="2" t="n">
        <v>0</v>
      </c>
      <c r="E621" s="2" t="n">
        <v>0.1906042</v>
      </c>
    </row>
    <row r="622" customFormat="false" ht="13.8" hidden="false" customHeight="false" outlineLevel="0" collapsed="false">
      <c r="B622" s="2" t="n">
        <v>620</v>
      </c>
      <c r="C622" s="2" t="n">
        <v>0.3333408</v>
      </c>
      <c r="D622" s="2" t="n">
        <v>0</v>
      </c>
      <c r="E622" s="2" t="n">
        <v>0.193670466666667</v>
      </c>
    </row>
    <row r="623" customFormat="false" ht="13.8" hidden="false" customHeight="false" outlineLevel="0" collapsed="false">
      <c r="B623" s="2" t="n">
        <v>621</v>
      </c>
      <c r="C623" s="2" t="n">
        <v>0.1206744</v>
      </c>
      <c r="D623" s="2" t="n">
        <v>0</v>
      </c>
      <c r="E623" s="2" t="n">
        <v>0.128004</v>
      </c>
    </row>
    <row r="624" customFormat="false" ht="13.8" hidden="false" customHeight="false" outlineLevel="0" collapsed="false">
      <c r="B624" s="2" t="n">
        <v>622</v>
      </c>
      <c r="C624" s="2" t="n">
        <v>0.492672866666667</v>
      </c>
      <c r="D624" s="2" t="n">
        <v>0</v>
      </c>
      <c r="E624" s="2" t="n">
        <v>0.180669933333333</v>
      </c>
    </row>
    <row r="625" customFormat="false" ht="13.8" hidden="false" customHeight="false" outlineLevel="0" collapsed="false">
      <c r="B625" s="2" t="n">
        <v>623</v>
      </c>
      <c r="C625" s="2" t="n">
        <v>0.146540866666667</v>
      </c>
      <c r="D625" s="2" t="n">
        <v>0</v>
      </c>
      <c r="E625" s="2" t="n">
        <v>0.5244026</v>
      </c>
    </row>
    <row r="626" customFormat="false" ht="13.8" hidden="false" customHeight="false" outlineLevel="0" collapsed="false">
      <c r="B626" s="2" t="n">
        <v>624</v>
      </c>
      <c r="C626" s="2" t="n">
        <v>0.444673266666667</v>
      </c>
      <c r="D626" s="2" t="n">
        <v>0</v>
      </c>
      <c r="E626" s="2" t="n">
        <v>0.548003</v>
      </c>
    </row>
    <row r="627" customFormat="false" ht="13.8" hidden="false" customHeight="false" outlineLevel="0" collapsed="false">
      <c r="B627" s="2" t="n">
        <v>625</v>
      </c>
      <c r="C627" s="2" t="n">
        <v>0.1437406</v>
      </c>
      <c r="D627" s="2" t="n">
        <v>0</v>
      </c>
      <c r="E627" s="2" t="n">
        <v>0.522003</v>
      </c>
    </row>
    <row r="628" customFormat="false" ht="13.8" hidden="false" customHeight="false" outlineLevel="0" collapsed="false">
      <c r="B628" s="2" t="n">
        <v>626</v>
      </c>
      <c r="C628" s="2" t="n">
        <v>0.400540466666667</v>
      </c>
      <c r="D628" s="2" t="n">
        <v>0</v>
      </c>
      <c r="E628" s="2" t="n">
        <v>0.255070333333333</v>
      </c>
    </row>
    <row r="629" customFormat="false" ht="13.8" hidden="false" customHeight="false" outlineLevel="0" collapsed="false">
      <c r="B629" s="2" t="n">
        <v>627</v>
      </c>
      <c r="C629" s="2" t="n">
        <v>0.151008666666667</v>
      </c>
      <c r="D629" s="2" t="n">
        <v>0</v>
      </c>
      <c r="E629" s="2" t="n">
        <v>0.1244694</v>
      </c>
    </row>
    <row r="630" customFormat="false" ht="13.8" hidden="false" customHeight="false" outlineLevel="0" collapsed="false">
      <c r="B630" s="2" t="n">
        <v>628</v>
      </c>
      <c r="C630" s="2" t="n">
        <v>0.4076084</v>
      </c>
      <c r="D630" s="2" t="n">
        <v>0</v>
      </c>
      <c r="E630" s="2" t="n">
        <v>0.0400043333333333</v>
      </c>
    </row>
    <row r="631" customFormat="false" ht="13.8" hidden="false" customHeight="false" outlineLevel="0" collapsed="false">
      <c r="B631" s="2" t="n">
        <v>629</v>
      </c>
      <c r="C631" s="2" t="n">
        <v>0.1400084</v>
      </c>
      <c r="D631" s="2" t="n">
        <v>0</v>
      </c>
      <c r="E631" s="2" t="n">
        <v>0.260002666666667</v>
      </c>
    </row>
    <row r="632" customFormat="false" ht="13.8" hidden="false" customHeight="false" outlineLevel="0" collapsed="false">
      <c r="B632" s="2" t="n">
        <v>630</v>
      </c>
      <c r="C632" s="2" t="n">
        <v>0.4032076</v>
      </c>
      <c r="D632" s="2" t="n">
        <v>0</v>
      </c>
      <c r="E632" s="2" t="n">
        <v>0.130002</v>
      </c>
    </row>
    <row r="633" customFormat="false" ht="13.8" hidden="false" customHeight="false" outlineLevel="0" collapsed="false">
      <c r="B633" s="2" t="n">
        <v>631</v>
      </c>
      <c r="C633" s="2" t="n">
        <v>0.101074</v>
      </c>
      <c r="D633" s="2" t="n">
        <v>0</v>
      </c>
      <c r="E633" s="2" t="n">
        <v>0.260002</v>
      </c>
    </row>
    <row r="634" customFormat="false" ht="13.8" hidden="false" customHeight="false" outlineLevel="0" collapsed="false">
      <c r="B634" s="2" t="n">
        <v>632</v>
      </c>
      <c r="C634" s="2" t="n">
        <v>0.204271133333333</v>
      </c>
      <c r="D634" s="2" t="n">
        <v>0</v>
      </c>
      <c r="E634" s="2" t="n">
        <v>0.135335466666667</v>
      </c>
    </row>
    <row r="635" customFormat="false" ht="13.8" hidden="false" customHeight="false" outlineLevel="0" collapsed="false">
      <c r="B635" s="2" t="n">
        <v>633</v>
      </c>
      <c r="C635" s="2" t="n">
        <v>0.126670466666667</v>
      </c>
      <c r="D635" s="2" t="n">
        <v>0</v>
      </c>
      <c r="E635" s="2" t="n">
        <v>0.214670333333333</v>
      </c>
    </row>
    <row r="636" customFormat="false" ht="13.8" hidden="false" customHeight="false" outlineLevel="0" collapsed="false">
      <c r="B636" s="2" t="n">
        <v>634</v>
      </c>
      <c r="C636" s="2" t="n">
        <v>0.400002133333333</v>
      </c>
      <c r="D636" s="2" t="n">
        <v>0</v>
      </c>
      <c r="E636" s="2" t="n">
        <v>0.0737368666666667</v>
      </c>
    </row>
    <row r="637" customFormat="false" ht="13.8" hidden="false" customHeight="false" outlineLevel="0" collapsed="false">
      <c r="B637" s="2" t="n">
        <v>635</v>
      </c>
      <c r="C637" s="2" t="n">
        <v>0.1400016</v>
      </c>
      <c r="D637" s="2" t="n">
        <v>0</v>
      </c>
      <c r="E637" s="2" t="n">
        <v>0.206936466666667</v>
      </c>
    </row>
    <row r="638" customFormat="false" ht="13.8" hidden="false" customHeight="false" outlineLevel="0" collapsed="false">
      <c r="B638" s="2" t="n">
        <v>636</v>
      </c>
      <c r="C638" s="2" t="n">
        <v>0.400000066666667</v>
      </c>
      <c r="D638" s="2" t="n">
        <v>0</v>
      </c>
      <c r="E638" s="2" t="n">
        <v>0.1900046</v>
      </c>
    </row>
    <row r="639" customFormat="false" ht="13.8" hidden="false" customHeight="false" outlineLevel="0" collapsed="false">
      <c r="B639" s="2" t="n">
        <v>637</v>
      </c>
      <c r="C639" s="2" t="n">
        <v>0.14</v>
      </c>
      <c r="D639" s="2" t="n">
        <v>0</v>
      </c>
      <c r="E639" s="2" t="n">
        <v>0.500004333333333</v>
      </c>
    </row>
    <row r="640" customFormat="false" ht="13.8" hidden="false" customHeight="false" outlineLevel="0" collapsed="false">
      <c r="B640" s="2" t="n">
        <v>638</v>
      </c>
      <c r="C640" s="2" t="n">
        <v>0.318000066666667</v>
      </c>
      <c r="D640" s="2" t="n">
        <v>0</v>
      </c>
      <c r="E640" s="2" t="n">
        <v>0.0740049333333333</v>
      </c>
    </row>
    <row r="641" customFormat="false" ht="13.8" hidden="false" customHeight="false" outlineLevel="0" collapsed="false">
      <c r="B641" s="2" t="n">
        <v>639</v>
      </c>
      <c r="C641" s="2" t="n">
        <v>0.238</v>
      </c>
      <c r="D641" s="2" t="n">
        <v>0</v>
      </c>
      <c r="E641" s="2" t="n">
        <v>0.720670333333333</v>
      </c>
    </row>
    <row r="642" customFormat="false" ht="13.8" hidden="false" customHeight="false" outlineLevel="0" collapsed="false">
      <c r="B642" s="2" t="n">
        <v>640</v>
      </c>
      <c r="C642" s="2" t="n">
        <v>0.342</v>
      </c>
      <c r="D642" s="2" t="n">
        <v>0</v>
      </c>
      <c r="E642" s="2" t="n">
        <v>0.580003933333333</v>
      </c>
    </row>
    <row r="643" customFormat="false" ht="13.8" hidden="false" customHeight="false" outlineLevel="0" collapsed="false">
      <c r="B643" s="2" t="n">
        <v>641</v>
      </c>
      <c r="C643" s="2" t="n">
        <v>0.238</v>
      </c>
      <c r="D643" s="2" t="n">
        <v>0</v>
      </c>
      <c r="E643" s="2" t="n">
        <v>0.701869733333333</v>
      </c>
    </row>
    <row r="644" customFormat="false" ht="13.8" hidden="false" customHeight="false" outlineLevel="0" collapsed="false">
      <c r="B644" s="2" t="n">
        <v>642</v>
      </c>
      <c r="C644" s="2" t="n">
        <v>0.144667133333333</v>
      </c>
      <c r="D644" s="2" t="n">
        <v>0</v>
      </c>
      <c r="E644" s="2" t="n">
        <v>0.529004133333333</v>
      </c>
    </row>
    <row r="645" customFormat="false" ht="13.8" hidden="false" customHeight="false" outlineLevel="0" collapsed="false">
      <c r="B645" s="2" t="n">
        <v>643</v>
      </c>
      <c r="C645" s="2" t="n">
        <v>0.342</v>
      </c>
      <c r="D645" s="2" t="n">
        <v>0</v>
      </c>
      <c r="E645" s="2" t="n">
        <v>0.107471933333333</v>
      </c>
    </row>
    <row r="646" customFormat="false" ht="13.8" hidden="false" customHeight="false" outlineLevel="0" collapsed="false">
      <c r="B646" s="2" t="n">
        <v>644</v>
      </c>
      <c r="C646" s="2" t="n">
        <v>0.2380006</v>
      </c>
      <c r="D646" s="2" t="n">
        <v>0</v>
      </c>
      <c r="E646" s="2" t="n">
        <v>0.180404866666667</v>
      </c>
    </row>
    <row r="647" customFormat="false" ht="13.8" hidden="false" customHeight="false" outlineLevel="0" collapsed="false">
      <c r="B647" s="2" t="n">
        <v>645</v>
      </c>
      <c r="C647" s="2" t="n">
        <v>0.360666733333333</v>
      </c>
      <c r="D647" s="2" t="n">
        <v>0</v>
      </c>
      <c r="E647" s="2" t="n">
        <v>0.2076054</v>
      </c>
    </row>
    <row r="648" customFormat="false" ht="13.8" hidden="false" customHeight="false" outlineLevel="0" collapsed="false">
      <c r="B648" s="2" t="n">
        <v>646</v>
      </c>
      <c r="C648" s="2" t="n">
        <v>0.258</v>
      </c>
      <c r="D648" s="2" t="n">
        <v>0</v>
      </c>
      <c r="E648" s="2" t="n">
        <v>0.0964060666666667</v>
      </c>
    </row>
    <row r="649" customFormat="false" ht="13.8" hidden="false" customHeight="false" outlineLevel="0" collapsed="false">
      <c r="B649" s="2" t="n">
        <v>647</v>
      </c>
      <c r="C649" s="2" t="n">
        <v>0.3513354</v>
      </c>
      <c r="D649" s="2" t="n">
        <v>0</v>
      </c>
      <c r="E649" s="2" t="n">
        <v>0.200937866666667</v>
      </c>
    </row>
    <row r="650" customFormat="false" ht="13.8" hidden="false" customHeight="false" outlineLevel="0" collapsed="false">
      <c r="B650" s="2" t="n">
        <v>648</v>
      </c>
      <c r="C650" s="2" t="n">
        <v>0.280335133333333</v>
      </c>
      <c r="D650" s="2" t="n">
        <v>0</v>
      </c>
      <c r="E650" s="2" t="n">
        <v>0.182003733333333</v>
      </c>
    </row>
    <row r="651" customFormat="false" ht="13.8" hidden="false" customHeight="false" outlineLevel="0" collapsed="false">
      <c r="B651" s="2" t="n">
        <v>649</v>
      </c>
      <c r="C651" s="2" t="n">
        <v>0.3798706</v>
      </c>
      <c r="D651" s="2" t="n">
        <v>0</v>
      </c>
      <c r="E651" s="2" t="n">
        <v>0.096004</v>
      </c>
    </row>
    <row r="652" customFormat="false" ht="13.8" hidden="false" customHeight="false" outlineLevel="0" collapsed="false">
      <c r="B652" s="2" t="n">
        <v>650</v>
      </c>
      <c r="C652" s="2" t="n">
        <v>0.297871866666667</v>
      </c>
      <c r="D652" s="2" t="n">
        <v>0</v>
      </c>
      <c r="E652" s="2" t="n">
        <v>0.206002933333333</v>
      </c>
    </row>
    <row r="653" customFormat="false" ht="13.8" hidden="false" customHeight="false" outlineLevel="0" collapsed="false">
      <c r="B653" s="2" t="n">
        <v>651</v>
      </c>
      <c r="C653" s="2" t="n">
        <v>0.430605266666667</v>
      </c>
      <c r="D653" s="2" t="n">
        <v>0.373333333333333</v>
      </c>
      <c r="E653" s="2" t="n">
        <v>0.156001866666667</v>
      </c>
    </row>
    <row r="654" customFormat="false" ht="13.8" hidden="false" customHeight="false" outlineLevel="0" collapsed="false">
      <c r="B654" s="2" t="n">
        <v>652</v>
      </c>
      <c r="C654" s="2" t="n">
        <v>0.311676266666667</v>
      </c>
      <c r="D654" s="2" t="n">
        <v>0.4</v>
      </c>
      <c r="E654" s="2" t="n">
        <v>0.234001</v>
      </c>
    </row>
    <row r="655" customFormat="false" ht="13.8" hidden="false" customHeight="false" outlineLevel="0" collapsed="false">
      <c r="B655" s="2" t="n">
        <v>653</v>
      </c>
      <c r="C655" s="2" t="n">
        <v>0.330612733333333</v>
      </c>
      <c r="D655" s="2" t="n">
        <v>0.4</v>
      </c>
      <c r="E655" s="2" t="n">
        <v>0.0586678666666667</v>
      </c>
    </row>
    <row r="656" customFormat="false" ht="13.8" hidden="false" customHeight="false" outlineLevel="0" collapsed="false">
      <c r="B656" s="2" t="n">
        <v>654</v>
      </c>
      <c r="C656" s="2" t="n">
        <v>0.447745066666667</v>
      </c>
      <c r="D656" s="2" t="n">
        <v>0.4</v>
      </c>
      <c r="E656" s="2" t="n">
        <v>0.0133342666666667</v>
      </c>
    </row>
    <row r="657" customFormat="false" ht="13.8" hidden="false" customHeight="false" outlineLevel="0" collapsed="false">
      <c r="B657" s="2" t="n">
        <v>655</v>
      </c>
      <c r="C657" s="2" t="n">
        <v>0.470410066666667</v>
      </c>
      <c r="D657" s="2" t="n">
        <v>0.4</v>
      </c>
      <c r="E657" s="2" t="n">
        <v>0.2</v>
      </c>
    </row>
    <row r="658" customFormat="false" ht="13.8" hidden="false" customHeight="false" outlineLevel="0" collapsed="false">
      <c r="B658" s="2" t="n">
        <v>656</v>
      </c>
      <c r="C658" s="2" t="n">
        <v>0.493013</v>
      </c>
      <c r="D658" s="2" t="n">
        <v>0.4</v>
      </c>
      <c r="E658" s="2" t="n">
        <v>0.057</v>
      </c>
    </row>
    <row r="659" customFormat="false" ht="13.8" hidden="false" customHeight="false" outlineLevel="0" collapsed="false">
      <c r="B659" s="2" t="n">
        <v>657</v>
      </c>
      <c r="C659" s="2" t="n">
        <v>0.377214533333333</v>
      </c>
      <c r="D659" s="2" t="n">
        <v>0.4</v>
      </c>
      <c r="E659" s="2" t="n">
        <v>0.005</v>
      </c>
    </row>
    <row r="660" customFormat="false" ht="13.8" hidden="false" customHeight="false" outlineLevel="0" collapsed="false">
      <c r="B660" s="2" t="n">
        <v>658</v>
      </c>
      <c r="C660" s="2" t="n">
        <v>0.469613933333333</v>
      </c>
      <c r="D660" s="2" t="n">
        <v>0.4</v>
      </c>
      <c r="E660" s="2" t="n">
        <v>0.135</v>
      </c>
    </row>
    <row r="661" customFormat="false" ht="13.8" hidden="false" customHeight="false" outlineLevel="0" collapsed="false">
      <c r="B661" s="2" t="n">
        <v>659</v>
      </c>
      <c r="C661" s="2" t="n">
        <v>0.357280933333333</v>
      </c>
      <c r="D661" s="2" t="n">
        <v>0.4</v>
      </c>
      <c r="E661" s="2" t="n">
        <v>0.005</v>
      </c>
    </row>
    <row r="662" customFormat="false" ht="13.8" hidden="false" customHeight="false" outlineLevel="0" collapsed="false">
      <c r="B662" s="2" t="n">
        <v>660</v>
      </c>
      <c r="C662" s="2" t="n">
        <v>0.4450808</v>
      </c>
      <c r="D662" s="2" t="n">
        <v>0.4</v>
      </c>
      <c r="E662" s="2" t="n">
        <v>0.135</v>
      </c>
    </row>
    <row r="663" customFormat="false" ht="13.8" hidden="false" customHeight="false" outlineLevel="0" collapsed="false">
      <c r="B663" s="2" t="n">
        <v>661</v>
      </c>
      <c r="C663" s="2" t="n">
        <v>0.4316812</v>
      </c>
      <c r="D663" s="2" t="n">
        <v>0.4</v>
      </c>
      <c r="E663" s="2" t="n">
        <v>1E-006</v>
      </c>
    </row>
    <row r="664" customFormat="false" ht="13.8" hidden="false" customHeight="false" outlineLevel="0" collapsed="false">
      <c r="B664" s="2" t="n">
        <v>662</v>
      </c>
      <c r="C664" s="2" t="n">
        <v>0.506548533333333</v>
      </c>
      <c r="D664" s="2" t="n">
        <v>0.4</v>
      </c>
      <c r="E664" s="2" t="n">
        <v>0.00433346666666667</v>
      </c>
    </row>
    <row r="665" customFormat="false" ht="13.8" hidden="false" customHeight="false" outlineLevel="0" collapsed="false">
      <c r="B665" s="2" t="n">
        <v>663</v>
      </c>
      <c r="C665" s="2" t="n">
        <v>0.305884933333333</v>
      </c>
      <c r="D665" s="2" t="n">
        <v>0.4</v>
      </c>
      <c r="E665" s="2" t="n">
        <v>0.109</v>
      </c>
    </row>
    <row r="666" customFormat="false" ht="13.8" hidden="false" customHeight="false" outlineLevel="0" collapsed="false">
      <c r="B666" s="2" t="n">
        <v>664</v>
      </c>
      <c r="C666" s="2" t="n">
        <v>0.410817533333333</v>
      </c>
      <c r="D666" s="2" t="n">
        <v>0.4</v>
      </c>
      <c r="E666" s="2" t="n">
        <v>0.031</v>
      </c>
    </row>
    <row r="667" customFormat="false" ht="13.8" hidden="false" customHeight="false" outlineLevel="0" collapsed="false">
      <c r="B667" s="2" t="n">
        <v>665</v>
      </c>
      <c r="C667" s="2" t="n">
        <v>0.268885</v>
      </c>
      <c r="D667" s="2" t="n">
        <v>0.4</v>
      </c>
      <c r="E667" s="2" t="n">
        <v>0.109</v>
      </c>
    </row>
    <row r="668" customFormat="false" ht="13.8" hidden="false" customHeight="false" outlineLevel="0" collapsed="false">
      <c r="B668" s="2" t="n">
        <v>666</v>
      </c>
      <c r="C668" s="2" t="n">
        <v>0.381418466666667</v>
      </c>
      <c r="D668" s="2" t="n">
        <v>0.4</v>
      </c>
      <c r="E668" s="2" t="n">
        <v>0.0286671333333333</v>
      </c>
    </row>
    <row r="669" customFormat="false" ht="13.8" hidden="false" customHeight="false" outlineLevel="0" collapsed="false">
      <c r="B669" s="2" t="n">
        <v>667</v>
      </c>
      <c r="C669" s="2" t="n">
        <v>0.313282533333333</v>
      </c>
      <c r="D669" s="2" t="n">
        <v>0.4</v>
      </c>
      <c r="E669" s="2" t="n">
        <v>0.0040002</v>
      </c>
    </row>
    <row r="670" customFormat="false" ht="13.8" hidden="false" customHeight="false" outlineLevel="0" collapsed="false">
      <c r="B670" s="2" t="n">
        <v>668</v>
      </c>
      <c r="C670" s="2" t="n">
        <v>0.422281466666667</v>
      </c>
      <c r="D670" s="2" t="n">
        <v>0.4</v>
      </c>
      <c r="E670" s="2" t="n">
        <v>0.096</v>
      </c>
    </row>
    <row r="671" customFormat="false" ht="13.8" hidden="false" customHeight="false" outlineLevel="0" collapsed="false">
      <c r="B671" s="2" t="n">
        <v>669</v>
      </c>
      <c r="C671" s="2" t="n">
        <v>0.260016533333333</v>
      </c>
      <c r="D671" s="2" t="n">
        <v>0.4</v>
      </c>
      <c r="E671" s="2" t="n">
        <v>0.0436667333333333</v>
      </c>
    </row>
    <row r="672" customFormat="false" ht="13.8" hidden="false" customHeight="false" outlineLevel="0" collapsed="false">
      <c r="B672" s="2" t="n">
        <v>670</v>
      </c>
      <c r="C672" s="2" t="n">
        <v>0.344015533333333</v>
      </c>
      <c r="D672" s="2" t="n">
        <v>0.4</v>
      </c>
      <c r="E672" s="2" t="n">
        <v>0.083</v>
      </c>
    </row>
    <row r="673" customFormat="false" ht="13.8" hidden="false" customHeight="false" outlineLevel="0" collapsed="false">
      <c r="B673" s="2" t="n">
        <v>671</v>
      </c>
      <c r="C673" s="2" t="n">
        <v>0.302281666666667</v>
      </c>
      <c r="D673" s="2" t="n">
        <v>0.4</v>
      </c>
      <c r="E673" s="2" t="n">
        <v>0.0566667333333333</v>
      </c>
    </row>
    <row r="674" customFormat="false" ht="13.8" hidden="false" customHeight="false" outlineLevel="0" collapsed="false">
      <c r="B674" s="2" t="n">
        <v>672</v>
      </c>
      <c r="C674" s="2" t="n">
        <v>0.215016666666667</v>
      </c>
      <c r="D674" s="2" t="n">
        <v>0.373333333333333</v>
      </c>
      <c r="E674" s="2" t="n">
        <v>1E-006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I2:I4 C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3" t="s">
        <v>0</v>
      </c>
      <c r="C2" s="2" t="n">
        <v>2.40100805583842</v>
      </c>
      <c r="E2" s="2" t="n">
        <v>3.78964755372589</v>
      </c>
    </row>
    <row r="3" customFormat="false" ht="13.8" hidden="false" customHeight="false" outlineLevel="0" collapsed="false">
      <c r="B3" s="3" t="s">
        <v>1</v>
      </c>
      <c r="C3" s="2" t="n">
        <v>2.13841187634282</v>
      </c>
      <c r="E3" s="2" t="n">
        <v>4.82332804113718</v>
      </c>
    </row>
    <row r="4" customFormat="false" ht="13.8" hidden="false" customHeight="false" outlineLevel="0" collapsed="false">
      <c r="B4" s="3" t="s">
        <v>2</v>
      </c>
      <c r="C4" s="2" t="n">
        <v>1.23867506731806</v>
      </c>
      <c r="E4" s="2" t="n">
        <v>1.79155491496041</v>
      </c>
    </row>
    <row r="6" customFormat="false" ht="13.8" hidden="false" customHeight="false" outlineLevel="0" collapsed="false">
      <c r="C6" s="4" t="n">
        <f aca="false">0.518*SUM(C2:C4)+0.384*SUM(E2:E4)</f>
        <v>6.98839292551286</v>
      </c>
    </row>
    <row r="7" customFormat="false" ht="13.8" hidden="false" customHeight="false" outlineLevel="0" collapsed="false">
      <c r="C7" s="4" t="n">
        <f aca="false">profit!F2-C6</f>
        <v>0.0653427469369348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4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7.37521374984801E-007</v>
      </c>
      <c r="D2" s="3" t="s">
        <v>0</v>
      </c>
      <c r="E2" s="2" t="n">
        <v>-0.0647121540388727</v>
      </c>
      <c r="F2" s="5" t="n">
        <v>7.05373567244979</v>
      </c>
      <c r="H2" s="3" t="s">
        <v>0</v>
      </c>
      <c r="I2" s="2" t="n">
        <v>2.72400728300478</v>
      </c>
    </row>
    <row r="3" customFormat="false" ht="13.8" hidden="false" customHeight="false" outlineLevel="0" collapsed="false">
      <c r="D3" s="3" t="s">
        <v>1</v>
      </c>
      <c r="E3" s="2" t="n">
        <v>0.042368780228003</v>
      </c>
      <c r="H3" s="3" t="s">
        <v>1</v>
      </c>
      <c r="I3" s="2" t="n">
        <v>2.99040272619998</v>
      </c>
    </row>
    <row r="4" customFormat="false" ht="13.8" hidden="false" customHeight="false" outlineLevel="0" collapsed="false">
      <c r="D4" s="3" t="s">
        <v>2</v>
      </c>
      <c r="E4" s="2" t="n">
        <v>0.0223441113322449</v>
      </c>
      <c r="H4" s="3" t="s">
        <v>2</v>
      </c>
      <c r="I4" s="2" t="n">
        <v>1.33932566324503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I2:I4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0</v>
      </c>
    </row>
    <row r="24" customFormat="false" ht="13.8" hidden="false" customHeight="false" outlineLevel="0" collapsed="false">
      <c r="B24" s="2" t="n">
        <v>22</v>
      </c>
      <c r="C24" s="2" t="n">
        <v>0.000172572454013386</v>
      </c>
      <c r="D24" s="2" t="n">
        <v>0.000153698353612122</v>
      </c>
      <c r="E24" s="2" t="n">
        <v>8.90297704627101E-005</v>
      </c>
    </row>
    <row r="25" customFormat="false" ht="13.8" hidden="false" customHeight="false" outlineLevel="0" collapsed="false">
      <c r="B25" s="2" t="n">
        <v>23</v>
      </c>
      <c r="C25" s="2" t="n">
        <v>0.000345144908026773</v>
      </c>
      <c r="D25" s="2" t="n">
        <v>0.000307396707224245</v>
      </c>
      <c r="E25" s="2" t="n">
        <v>0.000178059540925491</v>
      </c>
    </row>
    <row r="26" customFormat="false" ht="13.8" hidden="false" customHeight="false" outlineLevel="0" collapsed="false">
      <c r="B26" s="2" t="n">
        <v>24</v>
      </c>
      <c r="C26" s="2" t="n">
        <v>0.000517717362040159</v>
      </c>
      <c r="D26" s="2" t="n">
        <v>0.000461095060836367</v>
      </c>
      <c r="E26" s="2" t="n">
        <v>0.000267089311388199</v>
      </c>
    </row>
    <row r="27" customFormat="false" ht="13.8" hidden="false" customHeight="false" outlineLevel="0" collapsed="false">
      <c r="B27" s="2" t="n">
        <v>25</v>
      </c>
      <c r="C27" s="2" t="n">
        <v>0.000690289816053545</v>
      </c>
      <c r="D27" s="2" t="n">
        <v>0.000614793414448491</v>
      </c>
      <c r="E27" s="2" t="n">
        <v>0.000356119081850957</v>
      </c>
    </row>
    <row r="28" customFormat="false" ht="13.8" hidden="false" customHeight="false" outlineLevel="0" collapsed="false">
      <c r="B28" s="2" t="n">
        <v>26</v>
      </c>
      <c r="C28" s="2" t="n">
        <v>0.00625762724552885</v>
      </c>
      <c r="D28" s="2" t="n">
        <v>0.00557323595271783</v>
      </c>
      <c r="E28" s="2" t="n">
        <v>0.00322829689417062</v>
      </c>
    </row>
    <row r="29" customFormat="false" ht="13.8" hidden="false" customHeight="false" outlineLevel="0" collapsed="false">
      <c r="B29" s="2" t="n">
        <v>27</v>
      </c>
      <c r="C29" s="2" t="n">
        <v>0.0118249646750042</v>
      </c>
      <c r="D29" s="2" t="n">
        <v>0.0105316784909872</v>
      </c>
      <c r="E29" s="2" t="n">
        <v>0.00610047470649038</v>
      </c>
    </row>
    <row r="30" customFormat="false" ht="13.8" hidden="false" customHeight="false" outlineLevel="0" collapsed="false">
      <c r="B30" s="2" t="n">
        <v>28</v>
      </c>
      <c r="C30" s="2" t="n">
        <v>0.0173923021044796</v>
      </c>
      <c r="D30" s="2" t="n">
        <v>0.0154901210292565</v>
      </c>
      <c r="E30" s="2" t="n">
        <v>0.00897265251880994</v>
      </c>
    </row>
    <row r="31" customFormat="false" ht="13.8" hidden="false" customHeight="false" outlineLevel="0" collapsed="false">
      <c r="B31" s="2" t="n">
        <v>29</v>
      </c>
      <c r="C31" s="2" t="n">
        <v>0.0229596395339549</v>
      </c>
      <c r="D31" s="2" t="n">
        <v>0.0204485635675259</v>
      </c>
      <c r="E31" s="2" t="n">
        <v>0.0118448303311296</v>
      </c>
    </row>
    <row r="32" customFormat="false" ht="13.8" hidden="false" customHeight="false" outlineLevel="0" collapsed="false">
      <c r="B32" s="2" t="n">
        <v>30</v>
      </c>
      <c r="C32" s="2" t="n">
        <v>0.0471738057770853</v>
      </c>
      <c r="D32" s="2" t="n">
        <v>0.0420144473201659</v>
      </c>
      <c r="E32" s="2" t="n">
        <v>0.0243368683462465</v>
      </c>
    </row>
    <row r="33" customFormat="false" ht="13.8" hidden="false" customHeight="false" outlineLevel="0" collapsed="false">
      <c r="B33" s="2" t="n">
        <v>31</v>
      </c>
      <c r="C33" s="2" t="n">
        <v>0.0352510333333333</v>
      </c>
      <c r="D33" s="2" t="n">
        <v>0.0169573144497733</v>
      </c>
      <c r="E33" s="2" t="n">
        <v>0.0368289064386992</v>
      </c>
    </row>
    <row r="34" customFormat="false" ht="13.8" hidden="false" customHeight="false" outlineLevel="0" collapsed="false">
      <c r="B34" s="2" t="n">
        <v>32</v>
      </c>
      <c r="C34" s="2" t="n">
        <v>0.0706682666666667</v>
      </c>
      <c r="D34" s="2" t="n">
        <v>0.0169414124829052</v>
      </c>
      <c r="E34" s="2" t="n">
        <v>0.0493209444924893</v>
      </c>
    </row>
    <row r="35" customFormat="false" ht="13.8" hidden="false" customHeight="false" outlineLevel="0" collapsed="false">
      <c r="B35" s="2" t="n">
        <v>33</v>
      </c>
      <c r="C35" s="2" t="n">
        <v>0.03200185</v>
      </c>
      <c r="D35" s="2" t="n">
        <v>0.0162145046063944</v>
      </c>
      <c r="E35" s="2" t="n">
        <v>0.0618129825462793</v>
      </c>
    </row>
    <row r="36" customFormat="false" ht="13.8" hidden="false" customHeight="false" outlineLevel="0" collapsed="false">
      <c r="B36" s="2" t="n">
        <v>34</v>
      </c>
      <c r="C36" s="2" t="n">
        <v>0.09225175</v>
      </c>
      <c r="D36" s="2" t="n">
        <v>0.0182421667458095</v>
      </c>
      <c r="E36" s="2" t="n">
        <v>0.0404103798899404</v>
      </c>
    </row>
    <row r="37" customFormat="false" ht="13.8" hidden="false" customHeight="false" outlineLevel="0" collapsed="false">
      <c r="B37" s="2" t="n">
        <v>35</v>
      </c>
      <c r="C37" s="2" t="n">
        <v>0.0455519</v>
      </c>
      <c r="D37" s="2" t="n">
        <v>0.0169939165553011</v>
      </c>
      <c r="E37" s="2" t="n">
        <v>0.05571187073083</v>
      </c>
    </row>
    <row r="38" customFormat="false" ht="13.8" hidden="false" customHeight="false" outlineLevel="0" collapsed="false">
      <c r="B38" s="2" t="n">
        <v>36</v>
      </c>
      <c r="C38" s="2" t="n">
        <v>0.0727520833333333</v>
      </c>
      <c r="D38" s="2" t="n">
        <v>0.0175288110198441</v>
      </c>
      <c r="E38" s="2" t="n">
        <v>0.0649420864016149</v>
      </c>
    </row>
    <row r="39" customFormat="false" ht="13.8" hidden="false" customHeight="false" outlineLevel="0" collapsed="false">
      <c r="B39" s="2" t="n">
        <v>37</v>
      </c>
      <c r="C39" s="2" t="n">
        <v>0.074502</v>
      </c>
      <c r="D39" s="2" t="n">
        <v>0.0186188361449873</v>
      </c>
      <c r="E39" s="2" t="n">
        <v>0.0723411912286324</v>
      </c>
    </row>
    <row r="40" customFormat="false" ht="13.8" hidden="false" customHeight="false" outlineLevel="0" collapsed="false">
      <c r="B40" s="2" t="n">
        <v>38</v>
      </c>
      <c r="C40" s="2" t="n">
        <v>0.0684184833333334</v>
      </c>
      <c r="D40" s="2" t="n">
        <v>0.0172774248437524</v>
      </c>
      <c r="E40" s="2" t="n">
        <v>0.100761021808824</v>
      </c>
    </row>
    <row r="41" customFormat="false" ht="13.8" hidden="false" customHeight="false" outlineLevel="0" collapsed="false">
      <c r="B41" s="2" t="n">
        <v>39</v>
      </c>
      <c r="C41" s="2" t="n">
        <v>0.0752517</v>
      </c>
      <c r="D41" s="2" t="n">
        <v>0.0185650274152737</v>
      </c>
      <c r="E41" s="2" t="n">
        <v>0.128051466196326</v>
      </c>
    </row>
    <row r="42" customFormat="false" ht="13.8" hidden="false" customHeight="false" outlineLevel="0" collapsed="false">
      <c r="B42" s="2" t="n">
        <v>40</v>
      </c>
      <c r="C42" s="2" t="n">
        <v>0.066252</v>
      </c>
      <c r="D42" s="2" t="n">
        <v>0.0201147342214126</v>
      </c>
      <c r="E42" s="2" t="n">
        <v>0.0501338</v>
      </c>
    </row>
    <row r="43" customFormat="false" ht="13.8" hidden="false" customHeight="false" outlineLevel="0" collapsed="false">
      <c r="B43" s="2" t="n">
        <v>41</v>
      </c>
      <c r="C43" s="2" t="n">
        <v>0.0489436116840847</v>
      </c>
      <c r="D43" s="2" t="n">
        <v>0.0175804021432936</v>
      </c>
      <c r="E43" s="2" t="n">
        <v>0.01850025</v>
      </c>
    </row>
    <row r="44" customFormat="false" ht="13.8" hidden="false" customHeight="false" outlineLevel="0" collapsed="false">
      <c r="B44" s="2" t="n">
        <v>42</v>
      </c>
      <c r="C44" s="2" t="n">
        <v>0.0488238825465719</v>
      </c>
      <c r="D44" s="2" t="n">
        <v>0.0191805615191895</v>
      </c>
      <c r="E44" s="2" t="n">
        <v>0.05086695</v>
      </c>
    </row>
    <row r="45" customFormat="false" ht="13.8" hidden="false" customHeight="false" outlineLevel="0" collapsed="false">
      <c r="B45" s="2" t="n">
        <v>43</v>
      </c>
      <c r="C45" s="2" t="n">
        <v>0.0777852333333333</v>
      </c>
      <c r="D45" s="2" t="n">
        <v>0.0212735198879903</v>
      </c>
      <c r="E45" s="2" t="n">
        <v>0.0450414244705352</v>
      </c>
    </row>
    <row r="46" customFormat="false" ht="13.8" hidden="false" customHeight="false" outlineLevel="0" collapsed="false">
      <c r="B46" s="2" t="n">
        <v>44</v>
      </c>
      <c r="C46" s="2" t="n">
        <v>0.0736162350960607</v>
      </c>
      <c r="D46" s="2" t="n">
        <v>0.0240695622723271</v>
      </c>
      <c r="E46" s="2" t="n">
        <v>0.10000025</v>
      </c>
    </row>
    <row r="47" customFormat="false" ht="13.8" hidden="false" customHeight="false" outlineLevel="0" collapsed="false">
      <c r="B47" s="2" t="n">
        <v>45</v>
      </c>
      <c r="C47" s="2" t="n">
        <v>0.10165040707115</v>
      </c>
      <c r="D47" s="2" t="n">
        <v>0.0228099996680045</v>
      </c>
      <c r="E47" s="2" t="n">
        <v>0.0569528783541352</v>
      </c>
    </row>
    <row r="48" customFormat="false" ht="13.8" hidden="false" customHeight="false" outlineLevel="0" collapsed="false">
      <c r="B48" s="2" t="n">
        <v>46</v>
      </c>
      <c r="C48" s="2" t="n">
        <v>0.098385300616904</v>
      </c>
      <c r="D48" s="2" t="n">
        <v>0.0383441815387315</v>
      </c>
      <c r="E48" s="2" t="n">
        <v>0.0762489550250402</v>
      </c>
    </row>
    <row r="49" customFormat="false" ht="13.8" hidden="false" customHeight="false" outlineLevel="0" collapsed="false">
      <c r="B49" s="2" t="n">
        <v>47</v>
      </c>
      <c r="C49" s="2" t="n">
        <v>0.11380357155527</v>
      </c>
      <c r="D49" s="2" t="n">
        <v>0.0664855434117318</v>
      </c>
      <c r="E49" s="2" t="n">
        <v>0.0753700199266219</v>
      </c>
    </row>
    <row r="50" customFormat="false" ht="13.8" hidden="false" customHeight="false" outlineLevel="0" collapsed="false">
      <c r="B50" s="2" t="n">
        <v>48</v>
      </c>
      <c r="C50" s="2" t="n">
        <v>0.163660787244332</v>
      </c>
      <c r="D50" s="2" t="n">
        <v>0.142679965940895</v>
      </c>
      <c r="E50" s="2" t="n">
        <v>0.139226582240339</v>
      </c>
    </row>
    <row r="51" customFormat="false" ht="13.8" hidden="false" customHeight="false" outlineLevel="0" collapsed="false">
      <c r="B51" s="2" t="n">
        <v>49</v>
      </c>
      <c r="C51" s="2" t="n">
        <v>0.283219162097606</v>
      </c>
      <c r="D51" s="2" t="n">
        <v>0.244219453882721</v>
      </c>
      <c r="E51" s="2" t="n">
        <v>0.200810905224212</v>
      </c>
    </row>
    <row r="52" customFormat="false" ht="13.8" hidden="false" customHeight="false" outlineLevel="0" collapsed="false">
      <c r="B52" s="2" t="n">
        <v>50</v>
      </c>
      <c r="C52" s="2" t="n">
        <v>0.346882899079918</v>
      </c>
      <c r="D52" s="2" t="n">
        <v>0.24601964179362</v>
      </c>
      <c r="E52" s="2" t="n">
        <v>0.202291121929703</v>
      </c>
    </row>
    <row r="53" customFormat="false" ht="13.8" hidden="false" customHeight="false" outlineLevel="0" collapsed="false">
      <c r="B53" s="2" t="n">
        <v>51</v>
      </c>
      <c r="C53" s="2" t="n">
        <v>0.349047839094498</v>
      </c>
      <c r="D53" s="2" t="n">
        <v>0.288812008994658</v>
      </c>
      <c r="E53" s="2" t="n">
        <v>0.203771338653495</v>
      </c>
    </row>
    <row r="54" customFormat="false" ht="13.8" hidden="false" customHeight="false" outlineLevel="0" collapsed="false">
      <c r="B54" s="2" t="n">
        <v>52</v>
      </c>
      <c r="C54" s="2" t="n">
        <v>0.357863354632998</v>
      </c>
      <c r="D54" s="2" t="n">
        <v>0.354340193942646</v>
      </c>
      <c r="E54" s="2" t="n">
        <v>0.205251555359061</v>
      </c>
    </row>
    <row r="55" customFormat="false" ht="13.8" hidden="false" customHeight="false" outlineLevel="0" collapsed="false">
      <c r="B55" s="2" t="n">
        <v>53</v>
      </c>
      <c r="C55" s="2" t="n">
        <v>0.400722241999299</v>
      </c>
      <c r="D55" s="2" t="n">
        <v>0.356895596131885</v>
      </c>
      <c r="E55" s="2" t="n">
        <v>0.206731772079428</v>
      </c>
    </row>
    <row r="56" customFormat="false" ht="13.8" hidden="false" customHeight="false" outlineLevel="0" collapsed="false">
      <c r="B56" s="2" t="n">
        <v>54</v>
      </c>
      <c r="C56" s="2" t="n">
        <v>0.387435663670297</v>
      </c>
      <c r="D56" s="2" t="n">
        <v>0.345062159411174</v>
      </c>
      <c r="E56" s="2" t="n">
        <v>0.199877253892267</v>
      </c>
    </row>
    <row r="57" customFormat="false" ht="13.8" hidden="false" customHeight="false" outlineLevel="0" collapsed="false">
      <c r="B57" s="2" t="n">
        <v>55</v>
      </c>
      <c r="C57" s="2" t="n">
        <v>0.374149085342446</v>
      </c>
      <c r="D57" s="2" t="n">
        <v>0.333228722690473</v>
      </c>
      <c r="E57" s="2" t="n">
        <v>0.193022735841657</v>
      </c>
    </row>
    <row r="58" customFormat="false" ht="13.8" hidden="false" customHeight="false" outlineLevel="0" collapsed="false">
      <c r="B58" s="2" t="n">
        <v>56</v>
      </c>
      <c r="C58" s="2" t="n">
        <v>0.360862507012305</v>
      </c>
      <c r="D58" s="2" t="n">
        <v>0.321395285969752</v>
      </c>
      <c r="E58" s="2" t="n">
        <v>0.186168217601631</v>
      </c>
    </row>
    <row r="59" customFormat="false" ht="13.8" hidden="false" customHeight="false" outlineLevel="0" collapsed="false">
      <c r="B59" s="2" t="n">
        <v>57</v>
      </c>
      <c r="C59" s="2" t="n">
        <v>0.347575928683309</v>
      </c>
      <c r="D59" s="2" t="n">
        <v>0.309561849249042</v>
      </c>
      <c r="E59" s="2" t="n">
        <v>0.179313699431092</v>
      </c>
    </row>
    <row r="60" customFormat="false" ht="13.8" hidden="false" customHeight="false" outlineLevel="0" collapsed="false">
      <c r="B60" s="2" t="n">
        <v>58</v>
      </c>
      <c r="C60" s="2" t="n">
        <v>0.31092904260104</v>
      </c>
      <c r="D60" s="2" t="n">
        <v>0.276923001478941</v>
      </c>
      <c r="E60" s="2" t="n">
        <v>0.160407647044324</v>
      </c>
    </row>
    <row r="61" customFormat="false" ht="13.8" hidden="false" customHeight="false" outlineLevel="0" collapsed="false">
      <c r="B61" s="2" t="n">
        <v>59</v>
      </c>
      <c r="C61" s="2" t="n">
        <v>0.274282156518772</v>
      </c>
      <c r="D61" s="2" t="n">
        <v>0.244284153708839</v>
      </c>
      <c r="E61" s="2" t="n">
        <v>0.141501594657636</v>
      </c>
    </row>
    <row r="62" customFormat="false" ht="13.8" hidden="false" customHeight="false" outlineLevel="0" collapsed="false">
      <c r="B62" s="2" t="n">
        <v>60</v>
      </c>
      <c r="C62" s="2" t="n">
        <v>0.237635270438994</v>
      </c>
      <c r="D62" s="2" t="n">
        <v>0.211645305938756</v>
      </c>
      <c r="E62" s="2" t="n">
        <v>0.122595542282082</v>
      </c>
    </row>
    <row r="63" customFormat="false" ht="13.8" hidden="false" customHeight="false" outlineLevel="0" collapsed="false">
      <c r="B63" s="2" t="n">
        <v>61</v>
      </c>
      <c r="C63" s="2" t="n">
        <v>0.200988384354234</v>
      </c>
      <c r="D63" s="2" t="n">
        <v>0.179006458168637</v>
      </c>
      <c r="E63" s="2" t="n">
        <v>0.103689489884325</v>
      </c>
    </row>
    <row r="64" customFormat="false" ht="13.8" hidden="false" customHeight="false" outlineLevel="0" collapsed="false">
      <c r="B64" s="2" t="n">
        <v>62</v>
      </c>
      <c r="C64" s="2" t="n">
        <v>0.182281530339183</v>
      </c>
      <c r="D64" s="2" t="n">
        <v>0.162345556637083</v>
      </c>
      <c r="E64" s="2" t="n">
        <v>0.0940386627661643</v>
      </c>
    </row>
    <row r="65" customFormat="false" ht="13.8" hidden="false" customHeight="false" outlineLevel="0" collapsed="false">
      <c r="B65" s="2" t="n">
        <v>63</v>
      </c>
      <c r="C65" s="2" t="n">
        <v>0.163574676324132</v>
      </c>
      <c r="D65" s="2" t="n">
        <v>0.145684655105529</v>
      </c>
      <c r="E65" s="2" t="n">
        <v>0.0843878356480034</v>
      </c>
    </row>
    <row r="66" customFormat="false" ht="13.8" hidden="false" customHeight="false" outlineLevel="0" collapsed="false">
      <c r="B66" s="2" t="n">
        <v>64</v>
      </c>
      <c r="C66" s="2" t="n">
        <v>0.144867822309081</v>
      </c>
      <c r="D66" s="2" t="n">
        <v>0.129023753573975</v>
      </c>
      <c r="E66" s="2" t="n">
        <v>0.0747370085298425</v>
      </c>
    </row>
    <row r="67" customFormat="false" ht="13.8" hidden="false" customHeight="false" outlineLevel="0" collapsed="false">
      <c r="B67" s="2" t="n">
        <v>65</v>
      </c>
      <c r="C67" s="2" t="n">
        <v>0.12616096829403</v>
      </c>
      <c r="D67" s="2" t="n">
        <v>0.112362852042421</v>
      </c>
      <c r="E67" s="2" t="n">
        <v>0.0650861814116816</v>
      </c>
    </row>
    <row r="68" customFormat="false" ht="13.8" hidden="false" customHeight="false" outlineLevel="0" collapsed="false">
      <c r="B68" s="2" t="n">
        <v>66</v>
      </c>
      <c r="C68" s="2" t="n">
        <v>0.107107468745021</v>
      </c>
      <c r="D68" s="2" t="n">
        <v>0.0953932172962433</v>
      </c>
      <c r="E68" s="2" t="n">
        <v>0.0552565207492874</v>
      </c>
    </row>
    <row r="69" customFormat="false" ht="13.8" hidden="false" customHeight="false" outlineLevel="0" collapsed="false">
      <c r="B69" s="2" t="n">
        <v>67</v>
      </c>
      <c r="C69" s="2" t="n">
        <v>0.0880539691921767</v>
      </c>
      <c r="D69" s="2" t="n">
        <v>0.0784235825500431</v>
      </c>
      <c r="E69" s="2" t="n">
        <v>0.0454268599157614</v>
      </c>
    </row>
    <row r="70" customFormat="false" ht="13.8" hidden="false" customHeight="false" outlineLevel="0" collapsed="false">
      <c r="B70" s="2" t="n">
        <v>68</v>
      </c>
      <c r="C70" s="2" t="n">
        <v>0.0690004696346915</v>
      </c>
      <c r="D70" s="2" t="n">
        <v>0.0614539478038174</v>
      </c>
      <c r="E70" s="2" t="n">
        <v>0.0355971989186713</v>
      </c>
    </row>
    <row r="71" customFormat="false" ht="13.8" hidden="false" customHeight="false" outlineLevel="0" collapsed="false">
      <c r="B71" s="2" t="n">
        <v>69</v>
      </c>
      <c r="C71" s="2" t="n">
        <v>0.0499469700815787</v>
      </c>
      <c r="D71" s="2" t="n">
        <v>0.0444843130576164</v>
      </c>
      <c r="E71" s="2" t="n">
        <v>0.0257675380876679</v>
      </c>
    </row>
    <row r="72" customFormat="false" ht="13.8" hidden="false" customHeight="false" outlineLevel="0" collapsed="false">
      <c r="B72" s="2" t="n">
        <v>70</v>
      </c>
      <c r="C72" s="2" t="n">
        <v>0.037460227561184</v>
      </c>
      <c r="D72" s="2" t="n">
        <v>0.0333632347932123</v>
      </c>
      <c r="E72" s="2" t="n">
        <v>0.0193256535657509</v>
      </c>
    </row>
    <row r="73" customFormat="false" ht="13.8" hidden="false" customHeight="false" outlineLevel="0" collapsed="false">
      <c r="B73" s="2" t="n">
        <v>71</v>
      </c>
      <c r="C73" s="2" t="n">
        <v>0.024973485047561</v>
      </c>
      <c r="D73" s="2" t="n">
        <v>0.0222421565288083</v>
      </c>
      <c r="E73" s="2" t="n">
        <v>0.0128837690438339</v>
      </c>
    </row>
    <row r="74" customFormat="false" ht="13.8" hidden="false" customHeight="false" outlineLevel="0" collapsed="false">
      <c r="B74" s="2" t="n">
        <v>72</v>
      </c>
      <c r="C74" s="2" t="n">
        <v>0.0124867425351705</v>
      </c>
      <c r="D74" s="2" t="n">
        <v>0.011121078256133</v>
      </c>
      <c r="E74" s="2" t="n">
        <v>0.00644188452191693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0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0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0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0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0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0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0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0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0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0</v>
      </c>
    </row>
    <row r="120" customFormat="false" ht="13.8" hidden="false" customHeight="false" outlineLevel="0" collapsed="false">
      <c r="B120" s="2" t="n">
        <v>118</v>
      </c>
      <c r="C120" s="2" t="n">
        <v>0.00436233151806217</v>
      </c>
      <c r="D120" s="2" t="n">
        <v>0.00388522707793289</v>
      </c>
      <c r="E120" s="2" t="n">
        <v>0.00225051739875668</v>
      </c>
    </row>
    <row r="121" customFormat="false" ht="13.8" hidden="false" customHeight="false" outlineLevel="0" collapsed="false">
      <c r="B121" s="2" t="n">
        <v>119</v>
      </c>
      <c r="C121" s="2" t="n">
        <v>0.00872466302951105</v>
      </c>
      <c r="D121" s="2" t="n">
        <v>0.00777045415576019</v>
      </c>
      <c r="E121" s="2" t="n">
        <v>0.00450103515392808</v>
      </c>
    </row>
    <row r="122" customFormat="false" ht="13.8" hidden="false" customHeight="false" outlineLevel="0" collapsed="false">
      <c r="B122" s="2" t="n">
        <v>120</v>
      </c>
      <c r="C122" s="2" t="n">
        <v>0.0130869945409599</v>
      </c>
      <c r="D122" s="2" t="n">
        <v>0.0116556812335875</v>
      </c>
      <c r="E122" s="2" t="n">
        <v>0.00675155290909939</v>
      </c>
    </row>
    <row r="123" customFormat="false" ht="13.8" hidden="false" customHeight="false" outlineLevel="0" collapsed="false">
      <c r="B123" s="2" t="n">
        <v>121</v>
      </c>
      <c r="C123" s="2" t="n">
        <v>0.0174493260458057</v>
      </c>
      <c r="D123" s="2" t="n">
        <v>0.0155409083113196</v>
      </c>
      <c r="E123" s="2" t="n">
        <v>0.0090020710516585</v>
      </c>
    </row>
    <row r="124" customFormat="false" ht="13.8" hidden="false" customHeight="false" outlineLevel="0" collapsed="false">
      <c r="B124" s="2" t="n">
        <v>122</v>
      </c>
      <c r="C124" s="2" t="n">
        <v>0.0345805185242128</v>
      </c>
      <c r="D124" s="2" t="n">
        <v>0.0307984770490239</v>
      </c>
      <c r="E124" s="2" t="n">
        <v>0.0178400176568987</v>
      </c>
    </row>
    <row r="125" customFormat="false" ht="13.8" hidden="false" customHeight="false" outlineLevel="0" collapsed="false">
      <c r="B125" s="2" t="n">
        <v>123</v>
      </c>
      <c r="C125" s="2" t="n">
        <v>0.00541768578645956</v>
      </c>
      <c r="D125" s="2" t="n">
        <v>0.0203282075854374</v>
      </c>
      <c r="E125" s="2" t="n">
        <v>0.026677964262119</v>
      </c>
    </row>
    <row r="126" customFormat="false" ht="13.8" hidden="false" customHeight="false" outlineLevel="0" collapsed="false">
      <c r="B126" s="2" t="n">
        <v>124</v>
      </c>
      <c r="C126" s="2" t="n">
        <v>0.068842903481027</v>
      </c>
      <c r="D126" s="2" t="n">
        <v>0.0390625975340841</v>
      </c>
      <c r="E126" s="2" t="n">
        <v>0.0355159108673792</v>
      </c>
    </row>
    <row r="127" customFormat="false" ht="13.8" hidden="false" customHeight="false" outlineLevel="0" collapsed="false">
      <c r="B127" s="2" t="n">
        <v>125</v>
      </c>
      <c r="C127" s="2" t="n">
        <v>0.0252512500023983</v>
      </c>
      <c r="D127" s="2" t="n">
        <v>0.0143656651109505</v>
      </c>
      <c r="E127" s="2" t="n">
        <v>0.0045</v>
      </c>
    </row>
    <row r="128" customFormat="false" ht="13.8" hidden="false" customHeight="false" outlineLevel="0" collapsed="false">
      <c r="B128" s="2" t="n">
        <v>126</v>
      </c>
      <c r="C128" s="2" t="n">
        <v>0.0857178500346</v>
      </c>
      <c r="D128" s="2" t="n">
        <v>0.0181770840992958</v>
      </c>
      <c r="E128" s="2" t="n">
        <v>0.0238337166666667</v>
      </c>
    </row>
    <row r="129" customFormat="false" ht="13.8" hidden="false" customHeight="false" outlineLevel="0" collapsed="false">
      <c r="B129" s="2" t="n">
        <v>127</v>
      </c>
      <c r="C129" s="2" t="n">
        <v>0.031418216735867</v>
      </c>
      <c r="D129" s="2" t="n">
        <v>0.016308480665643</v>
      </c>
      <c r="E129" s="2" t="n">
        <v>0.0335007</v>
      </c>
    </row>
    <row r="130" customFormat="false" ht="13.8" hidden="false" customHeight="false" outlineLevel="0" collapsed="false">
      <c r="B130" s="2" t="n">
        <v>128</v>
      </c>
      <c r="C130" s="2" t="n">
        <v>0.0508019667704677</v>
      </c>
      <c r="D130" s="2" t="n">
        <v>0.0166348664250897</v>
      </c>
      <c r="E130" s="2" t="n">
        <v>0.0210101197847737</v>
      </c>
    </row>
    <row r="131" customFormat="false" ht="13.8" hidden="false" customHeight="false" outlineLevel="0" collapsed="false">
      <c r="B131" s="2" t="n">
        <v>129</v>
      </c>
      <c r="C131" s="2" t="n">
        <v>0.075201850138402</v>
      </c>
      <c r="D131" s="2" t="n">
        <v>0.0197682586775166</v>
      </c>
      <c r="E131" s="2" t="n">
        <v>0.03375075</v>
      </c>
    </row>
    <row r="132" customFormat="false" ht="13.8" hidden="false" customHeight="false" outlineLevel="0" collapsed="false">
      <c r="B132" s="2" t="n">
        <v>130</v>
      </c>
      <c r="C132" s="2" t="n">
        <v>0.06113531683967</v>
      </c>
      <c r="D132" s="2" t="n">
        <v>0.0219281822184509</v>
      </c>
      <c r="E132" s="2" t="n">
        <v>0.07658415</v>
      </c>
    </row>
    <row r="133" customFormat="false" ht="13.8" hidden="false" customHeight="false" outlineLevel="0" collapsed="false">
      <c r="B133" s="2" t="n">
        <v>131</v>
      </c>
      <c r="C133" s="2" t="n">
        <v>0.0393353168742717</v>
      </c>
      <c r="D133" s="2" t="n">
        <v>0.0235696703899215</v>
      </c>
      <c r="E133" s="2" t="n">
        <v>0.0885008</v>
      </c>
    </row>
    <row r="134" customFormat="false" ht="13.8" hidden="false" customHeight="false" outlineLevel="0" collapsed="false">
      <c r="B134" s="2" t="n">
        <v>132</v>
      </c>
      <c r="C134" s="2" t="n">
        <v>0.0949687335755403</v>
      </c>
      <c r="D134" s="2" t="n">
        <v>0.0283296779370924</v>
      </c>
      <c r="E134" s="2" t="n">
        <v>0.150637597450939</v>
      </c>
    </row>
    <row r="135" customFormat="false" ht="13.8" hidden="false" customHeight="false" outlineLevel="0" collapsed="false">
      <c r="B135" s="2" t="n">
        <v>133</v>
      </c>
      <c r="C135" s="2" t="n">
        <v>0.0415022502768093</v>
      </c>
      <c r="D135" s="2" t="n">
        <v>0.0243598886229943</v>
      </c>
      <c r="E135" s="2" t="n">
        <v>0.100167383333333</v>
      </c>
    </row>
    <row r="136" customFormat="false" ht="13.8" hidden="false" customHeight="false" outlineLevel="0" collapsed="false">
      <c r="B136" s="2" t="n">
        <v>134</v>
      </c>
      <c r="C136" s="2" t="n">
        <v>0.0935022503114119</v>
      </c>
      <c r="D136" s="2" t="n">
        <v>0.0264879454076194</v>
      </c>
      <c r="E136" s="2" t="n">
        <v>0.09225075</v>
      </c>
    </row>
    <row r="137" customFormat="false" ht="13.8" hidden="false" customHeight="false" outlineLevel="0" collapsed="false">
      <c r="B137" s="2" t="n">
        <v>135</v>
      </c>
      <c r="C137" s="2" t="n">
        <v>0.0415022503460149</v>
      </c>
      <c r="D137" s="2" t="n">
        <v>0.0205535677808209</v>
      </c>
      <c r="E137" s="2" t="n">
        <v>0.0584174333333333</v>
      </c>
    </row>
    <row r="138" customFormat="false" ht="13.8" hidden="false" customHeight="false" outlineLevel="0" collapsed="false">
      <c r="B138" s="2" t="n">
        <v>136</v>
      </c>
      <c r="C138" s="2" t="n">
        <v>0.0935022503806182</v>
      </c>
      <c r="D138" s="2" t="n">
        <v>0.0225283245762425</v>
      </c>
      <c r="E138" s="2" t="n">
        <v>0.04735085</v>
      </c>
    </row>
    <row r="139" customFormat="false" ht="13.8" hidden="false" customHeight="false" outlineLevel="0" collapsed="false">
      <c r="B139" s="2" t="n">
        <v>137</v>
      </c>
      <c r="C139" s="2" t="n">
        <v>0.0429687337485552</v>
      </c>
      <c r="D139" s="2" t="n">
        <v>0.019815550756906</v>
      </c>
      <c r="E139" s="2" t="n">
        <v>0.0319096316097658</v>
      </c>
    </row>
    <row r="140" customFormat="false" ht="13.8" hidden="false" customHeight="false" outlineLevel="0" collapsed="false">
      <c r="B140" s="2" t="n">
        <v>138</v>
      </c>
      <c r="C140" s="2" t="n">
        <v>0.0955017504498259</v>
      </c>
      <c r="D140" s="2" t="n">
        <v>0.026858470868033</v>
      </c>
      <c r="E140" s="2" t="n">
        <v>0.11775055</v>
      </c>
    </row>
    <row r="141" customFormat="false" ht="13.8" hidden="false" customHeight="false" outlineLevel="0" collapsed="false">
      <c r="B141" s="2" t="n">
        <v>139</v>
      </c>
      <c r="C141" s="2" t="n">
        <v>0.0394684504844302</v>
      </c>
      <c r="D141" s="2" t="n">
        <v>0.024771755041724</v>
      </c>
      <c r="E141" s="2" t="n">
        <v>0.102583866666667</v>
      </c>
    </row>
    <row r="142" customFormat="false" ht="13.8" hidden="false" customHeight="false" outlineLevel="0" collapsed="false">
      <c r="B142" s="2" t="n">
        <v>140</v>
      </c>
      <c r="C142" s="2" t="n">
        <v>0.103751250519035</v>
      </c>
      <c r="D142" s="2" t="n">
        <v>0.0271681215093519</v>
      </c>
      <c r="E142" s="2" t="n">
        <v>0.0886674166666667</v>
      </c>
    </row>
    <row r="143" customFormat="false" ht="13.8" hidden="false" customHeight="false" outlineLevel="0" collapsed="false">
      <c r="B143" s="2" t="n">
        <v>141</v>
      </c>
      <c r="C143" s="2" t="n">
        <v>0.0394179505536399</v>
      </c>
      <c r="D143" s="2" t="n">
        <v>0</v>
      </c>
      <c r="E143" s="2" t="n">
        <v>0.0362009</v>
      </c>
    </row>
    <row r="144" customFormat="false" ht="13.8" hidden="false" customHeight="false" outlineLevel="0" collapsed="false">
      <c r="B144" s="2" t="n">
        <v>142</v>
      </c>
      <c r="C144" s="2" t="n">
        <v>0.0916680839215786</v>
      </c>
      <c r="D144" s="2" t="n">
        <v>0</v>
      </c>
      <c r="E144" s="2" t="n">
        <v>0.0435008</v>
      </c>
    </row>
    <row r="145" customFormat="false" ht="13.8" hidden="false" customHeight="false" outlineLevel="0" collapsed="false">
      <c r="B145" s="2" t="n">
        <v>143</v>
      </c>
      <c r="C145" s="2" t="n">
        <v>0.0998151668738183</v>
      </c>
      <c r="D145" s="2" t="n">
        <v>0</v>
      </c>
      <c r="E145" s="2" t="n">
        <v>0.02400075</v>
      </c>
    </row>
    <row r="146" customFormat="false" ht="13.8" hidden="false" customHeight="false" outlineLevel="0" collapsed="false">
      <c r="B146" s="2" t="n">
        <v>144</v>
      </c>
      <c r="C146" s="2" t="n">
        <v>0.0586682673269144</v>
      </c>
      <c r="D146" s="2" t="n">
        <v>0.0753395845276498</v>
      </c>
      <c r="E146" s="2" t="n">
        <v>0.106820612007433</v>
      </c>
    </row>
    <row r="147" customFormat="false" ht="13.8" hidden="false" customHeight="false" outlineLevel="0" collapsed="false">
      <c r="B147" s="2" t="n">
        <v>145</v>
      </c>
      <c r="C147" s="2" t="n">
        <v>0.0505022006920633</v>
      </c>
      <c r="D147" s="2" t="n">
        <v>0.365986228496166</v>
      </c>
      <c r="E147" s="2" t="n">
        <v>0.226680634004994</v>
      </c>
    </row>
    <row r="148" customFormat="false" ht="13.8" hidden="false" customHeight="false" outlineLevel="0" collapsed="false">
      <c r="B148" s="2" t="n">
        <v>146</v>
      </c>
      <c r="C148" s="2" t="n">
        <v>0.136440213060894</v>
      </c>
      <c r="D148" s="2" t="n">
        <v>0.384906118697127</v>
      </c>
      <c r="E148" s="2" t="n">
        <v>0.222956867103987</v>
      </c>
    </row>
    <row r="149" customFormat="false" ht="13.8" hidden="false" customHeight="false" outlineLevel="0" collapsed="false">
      <c r="B149" s="2" t="n">
        <v>147</v>
      </c>
      <c r="C149" s="2" t="n">
        <v>0.424954415802842</v>
      </c>
      <c r="D149" s="2" t="n">
        <v>0.378477517993872</v>
      </c>
      <c r="E149" s="2" t="n">
        <v>0.219233100182557</v>
      </c>
    </row>
    <row r="150" customFormat="false" ht="13.8" hidden="false" customHeight="false" outlineLevel="0" collapsed="false">
      <c r="B150" s="2" t="n">
        <v>148</v>
      </c>
      <c r="C150" s="2" t="n">
        <v>0.417736385334977</v>
      </c>
      <c r="D150" s="2" t="n">
        <v>0.372048917290617</v>
      </c>
      <c r="E150" s="2" t="n">
        <v>0.215509333241649</v>
      </c>
    </row>
    <row r="151" customFormat="false" ht="13.8" hidden="false" customHeight="false" outlineLevel="0" collapsed="false">
      <c r="B151" s="2" t="n">
        <v>149</v>
      </c>
      <c r="C151" s="2" t="n">
        <v>0.410518354867113</v>
      </c>
      <c r="D151" s="2" t="n">
        <v>0.365620316587362</v>
      </c>
      <c r="E151" s="2" t="n">
        <v>0.211785565985559</v>
      </c>
    </row>
    <row r="152" customFormat="false" ht="13.8" hidden="false" customHeight="false" outlineLevel="0" collapsed="false">
      <c r="B152" s="2" t="n">
        <v>150</v>
      </c>
      <c r="C152" s="2" t="n">
        <v>0.395494046957704</v>
      </c>
      <c r="D152" s="2" t="n">
        <v>0.352239204271149</v>
      </c>
      <c r="E152" s="2" t="n">
        <v>0.20403455708688</v>
      </c>
    </row>
    <row r="153" customFormat="false" ht="13.8" hidden="false" customHeight="false" outlineLevel="0" collapsed="false">
      <c r="B153" s="2" t="n">
        <v>151</v>
      </c>
      <c r="C153" s="2" t="n">
        <v>0.380469739048295</v>
      </c>
      <c r="D153" s="2" t="n">
        <v>0.338858091954935</v>
      </c>
      <c r="E153" s="2" t="n">
        <v>0.196283546219544</v>
      </c>
    </row>
    <row r="154" customFormat="false" ht="13.8" hidden="false" customHeight="false" outlineLevel="0" collapsed="false">
      <c r="B154" s="2" t="n">
        <v>152</v>
      </c>
      <c r="C154" s="2" t="n">
        <v>0.365445431138886</v>
      </c>
      <c r="D154" s="2" t="n">
        <v>0.325476979638721</v>
      </c>
      <c r="E154" s="2" t="n">
        <v>0.188532537049171</v>
      </c>
    </row>
    <row r="155" customFormat="false" ht="13.8" hidden="false" customHeight="false" outlineLevel="0" collapsed="false">
      <c r="B155" s="2" t="n">
        <v>153</v>
      </c>
      <c r="C155" s="2" t="n">
        <v>0.350421123229478</v>
      </c>
      <c r="D155" s="2" t="n">
        <v>0.312095867322508</v>
      </c>
      <c r="E155" s="2" t="n">
        <v>0.180781527878797</v>
      </c>
    </row>
    <row r="156" customFormat="false" ht="13.8" hidden="false" customHeight="false" outlineLevel="0" collapsed="false">
      <c r="B156" s="2" t="n">
        <v>154</v>
      </c>
      <c r="C156" s="2" t="n">
        <v>0.322704486484893</v>
      </c>
      <c r="D156" s="2" t="n">
        <v>0.287410575224978</v>
      </c>
      <c r="E156" s="2" t="n">
        <v>0.166482572688302</v>
      </c>
    </row>
    <row r="157" customFormat="false" ht="13.8" hidden="false" customHeight="false" outlineLevel="0" collapsed="false">
      <c r="B157" s="2" t="n">
        <v>155</v>
      </c>
      <c r="C157" s="2" t="n">
        <v>0.294987849740308</v>
      </c>
      <c r="D157" s="2" t="n">
        <v>0.262725283127449</v>
      </c>
      <c r="E157" s="2" t="n">
        <v>0.152183618769391</v>
      </c>
    </row>
    <row r="158" customFormat="false" ht="13.8" hidden="false" customHeight="false" outlineLevel="0" collapsed="false">
      <c r="B158" s="2" t="n">
        <v>156</v>
      </c>
      <c r="C158" s="2" t="n">
        <v>0.267271212995723</v>
      </c>
      <c r="D158" s="2" t="n">
        <v>0.238039991029919</v>
      </c>
      <c r="E158" s="2" t="n">
        <v>0.137884663461161</v>
      </c>
    </row>
    <row r="159" customFormat="false" ht="13.8" hidden="false" customHeight="false" outlineLevel="0" collapsed="false">
      <c r="B159" s="2" t="n">
        <v>157</v>
      </c>
      <c r="C159" s="2" t="n">
        <v>0.239554576251139</v>
      </c>
      <c r="D159" s="2" t="n">
        <v>0.213354698932389</v>
      </c>
      <c r="E159" s="2" t="n">
        <v>0.123585708152876</v>
      </c>
    </row>
    <row r="160" customFormat="false" ht="13.8" hidden="false" customHeight="false" outlineLevel="0" collapsed="false">
      <c r="B160" s="2" t="n">
        <v>158</v>
      </c>
      <c r="C160" s="2" t="n">
        <v>0.220173939350418</v>
      </c>
      <c r="D160" s="2" t="n">
        <v>0.196093705568037</v>
      </c>
      <c r="E160" s="2" t="n">
        <v>0.113587277843958</v>
      </c>
    </row>
    <row r="161" customFormat="false" ht="13.8" hidden="false" customHeight="false" outlineLevel="0" collapsed="false">
      <c r="B161" s="2" t="n">
        <v>159</v>
      </c>
      <c r="C161" s="2" t="n">
        <v>0.200793302449697</v>
      </c>
      <c r="D161" s="2" t="n">
        <v>0.178832712203684</v>
      </c>
      <c r="E161" s="2" t="n">
        <v>0.10358884753504</v>
      </c>
    </row>
    <row r="162" customFormat="false" ht="13.8" hidden="false" customHeight="false" outlineLevel="0" collapsed="false">
      <c r="B162" s="2" t="n">
        <v>160</v>
      </c>
      <c r="C162" s="2" t="n">
        <v>0.181412665548976</v>
      </c>
      <c r="D162" s="2" t="n">
        <v>0.161571718839331</v>
      </c>
      <c r="E162" s="2" t="n">
        <v>0.0935904172261226</v>
      </c>
    </row>
    <row r="163" customFormat="false" ht="13.8" hidden="false" customHeight="false" outlineLevel="0" collapsed="false">
      <c r="B163" s="2" t="n">
        <v>161</v>
      </c>
      <c r="C163" s="2" t="n">
        <v>0.162032028648256</v>
      </c>
      <c r="D163" s="2" t="n">
        <v>0.144310725474979</v>
      </c>
      <c r="E163" s="2" t="n">
        <v>0.0835919869172049</v>
      </c>
    </row>
    <row r="164" customFormat="false" ht="13.8" hidden="false" customHeight="false" outlineLevel="0" collapsed="false">
      <c r="B164" s="2" t="n">
        <v>162</v>
      </c>
      <c r="C164" s="2" t="n">
        <v>0.137996437379278</v>
      </c>
      <c r="D164" s="2" t="n">
        <v>0.122903886085367</v>
      </c>
      <c r="E164" s="2" t="n">
        <v>0.0711920753215913</v>
      </c>
    </row>
    <row r="165" customFormat="false" ht="13.8" hidden="false" customHeight="false" outlineLevel="0" collapsed="false">
      <c r="B165" s="2" t="n">
        <v>163</v>
      </c>
      <c r="C165" s="2" t="n">
        <v>0.113960846110301</v>
      </c>
      <c r="D165" s="2" t="n">
        <v>0.101497046695755</v>
      </c>
      <c r="E165" s="2" t="n">
        <v>0.0587921637259245</v>
      </c>
    </row>
    <row r="166" customFormat="false" ht="13.8" hidden="false" customHeight="false" outlineLevel="0" collapsed="false">
      <c r="B166" s="2" t="n">
        <v>164</v>
      </c>
      <c r="C166" s="2" t="n">
        <v>0.0899252548413236</v>
      </c>
      <c r="D166" s="2" t="n">
        <v>0.0800902073061433</v>
      </c>
      <c r="E166" s="2" t="n">
        <v>0.0463922521302579</v>
      </c>
    </row>
    <row r="167" customFormat="false" ht="13.8" hidden="false" customHeight="false" outlineLevel="0" collapsed="false">
      <c r="B167" s="2" t="n">
        <v>165</v>
      </c>
      <c r="C167" s="2" t="n">
        <v>0.0658896635723458</v>
      </c>
      <c r="D167" s="2" t="n">
        <v>0.0586833679165311</v>
      </c>
      <c r="E167" s="2" t="n">
        <v>0.0339923405345908</v>
      </c>
    </row>
    <row r="168" customFormat="false" ht="13.8" hidden="false" customHeight="false" outlineLevel="0" collapsed="false">
      <c r="B168" s="2" t="n">
        <v>166</v>
      </c>
      <c r="C168" s="2" t="n">
        <v>0.0494217495693644</v>
      </c>
      <c r="D168" s="2" t="n">
        <v>0.0440165354596668</v>
      </c>
      <c r="E168" s="2" t="n">
        <v>0.0254965779166946</v>
      </c>
    </row>
    <row r="169" customFormat="false" ht="13.8" hidden="false" customHeight="false" outlineLevel="0" collapsed="false">
      <c r="B169" s="2" t="n">
        <v>167</v>
      </c>
      <c r="C169" s="2" t="n">
        <v>0.0329538355663827</v>
      </c>
      <c r="D169" s="2" t="n">
        <v>0.0293497030028022</v>
      </c>
      <c r="E169" s="2" t="n">
        <v>0.0170008152987982</v>
      </c>
    </row>
    <row r="170" customFormat="false" ht="13.8" hidden="false" customHeight="false" outlineLevel="0" collapsed="false">
      <c r="B170" s="2" t="n">
        <v>168</v>
      </c>
      <c r="C170" s="2" t="n">
        <v>0.0164859215634006</v>
      </c>
      <c r="D170" s="2" t="n">
        <v>0.0146828705459372</v>
      </c>
      <c r="E170" s="2" t="n">
        <v>0.00850505268090173</v>
      </c>
    </row>
    <row r="171" customFormat="false" ht="13.8" hidden="false" customHeight="false" outlineLevel="0" collapsed="false">
      <c r="B171" s="2" t="n">
        <v>169</v>
      </c>
      <c r="C171" s="2" t="n">
        <v>1.80075604187805E-005</v>
      </c>
      <c r="D171" s="2" t="n">
        <v>1.60380890725693E-005</v>
      </c>
      <c r="E171" s="2" t="n">
        <v>9.2900630052675E-006</v>
      </c>
    </row>
    <row r="172" customFormat="false" ht="13.8" hidden="false" customHeight="false" outlineLevel="0" collapsed="false">
      <c r="B172" s="2" t="n">
        <v>170</v>
      </c>
      <c r="C172" s="2" t="n">
        <v>1.35056703141109E-005</v>
      </c>
      <c r="D172" s="2" t="n">
        <v>1.2028566804427E-005</v>
      </c>
      <c r="E172" s="2" t="n">
        <v>6.96754725409363E-006</v>
      </c>
    </row>
    <row r="173" customFormat="false" ht="13.8" hidden="false" customHeight="false" outlineLevel="0" collapsed="false">
      <c r="B173" s="2" t="n">
        <v>171</v>
      </c>
      <c r="C173" s="2" t="n">
        <v>9.00378020939783E-006</v>
      </c>
      <c r="D173" s="2" t="n">
        <v>8.01904453628274E-006</v>
      </c>
      <c r="E173" s="2" t="n">
        <v>4.64503150240281E-006</v>
      </c>
    </row>
    <row r="174" customFormat="false" ht="13.8" hidden="false" customHeight="false" outlineLevel="0" collapsed="false">
      <c r="B174" s="2" t="n">
        <v>172</v>
      </c>
      <c r="C174" s="2" t="n">
        <v>4.50189010470904E-006</v>
      </c>
      <c r="D174" s="2" t="n">
        <v>4.00952226814387E-006</v>
      </c>
      <c r="E174" s="2" t="n">
        <v>2.32251575175104E-006</v>
      </c>
    </row>
    <row r="175" customFormat="false" ht="13.8" hidden="false" customHeight="false" outlineLevel="0" collapsed="false">
      <c r="B175" s="2" t="n">
        <v>173</v>
      </c>
      <c r="C175" s="2" t="n">
        <v>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0</v>
      </c>
      <c r="D176" s="2" t="n">
        <v>0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0</v>
      </c>
      <c r="D177" s="2" t="n">
        <v>0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0</v>
      </c>
      <c r="D179" s="2" t="n">
        <v>0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0</v>
      </c>
      <c r="D180" s="2" t="n">
        <v>0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0</v>
      </c>
      <c r="D181" s="2" t="n">
        <v>0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0</v>
      </c>
      <c r="D182" s="2" t="n">
        <v>0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0</v>
      </c>
      <c r="D183" s="2" t="n">
        <v>0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0</v>
      </c>
      <c r="D184" s="2" t="n">
        <v>0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0</v>
      </c>
      <c r="D185" s="2" t="n">
        <v>0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0</v>
      </c>
      <c r="D191" s="2" t="n">
        <v>0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0</v>
      </c>
      <c r="D192" s="2" t="n">
        <v>0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0</v>
      </c>
      <c r="D193" s="2" t="n">
        <v>0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0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0</v>
      </c>
      <c r="D197" s="2" t="n">
        <v>0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0.00360001145372273</v>
      </c>
      <c r="D216" s="2" t="n">
        <v>0.00320628130709115</v>
      </c>
      <c r="E216" s="2" t="n">
        <v>0.00185723842904618</v>
      </c>
    </row>
    <row r="217" customFormat="false" ht="13.8" hidden="false" customHeight="false" outlineLevel="0" collapsed="false">
      <c r="B217" s="2" t="n">
        <v>215</v>
      </c>
      <c r="C217" s="2" t="n">
        <v>0.00720002286505606</v>
      </c>
      <c r="D217" s="2" t="n">
        <v>0.00641256256983919</v>
      </c>
      <c r="E217" s="2" t="n">
        <v>0.00371447685809065</v>
      </c>
    </row>
    <row r="218" customFormat="false" ht="13.8" hidden="false" customHeight="false" outlineLevel="0" collapsed="false">
      <c r="B218" s="2" t="n">
        <v>216</v>
      </c>
      <c r="C218" s="2" t="n">
        <v>0.0108000343187789</v>
      </c>
      <c r="D218" s="2" t="n">
        <v>0.00961884387693046</v>
      </c>
      <c r="E218" s="2" t="n">
        <v>0.00557171528713512</v>
      </c>
    </row>
    <row r="219" customFormat="false" ht="13.8" hidden="false" customHeight="false" outlineLevel="0" collapsed="false">
      <c r="B219" s="2" t="n">
        <v>217</v>
      </c>
      <c r="C219" s="2" t="n">
        <v>0.0144000457725017</v>
      </c>
      <c r="D219" s="2" t="n">
        <v>0.0128251251840216</v>
      </c>
      <c r="E219" s="2" t="n">
        <v>0.00742895371617958</v>
      </c>
    </row>
    <row r="220" customFormat="false" ht="13.8" hidden="false" customHeight="false" outlineLevel="0" collapsed="false">
      <c r="B220" s="2" t="n">
        <v>218</v>
      </c>
      <c r="C220" s="2" t="n">
        <v>0.0325861811654428</v>
      </c>
      <c r="D220" s="2" t="n">
        <v>0.0290222586398939</v>
      </c>
      <c r="E220" s="2" t="n">
        <v>0.0168111431791182</v>
      </c>
    </row>
    <row r="221" customFormat="false" ht="13.8" hidden="false" customHeight="false" outlineLevel="0" collapsed="false">
      <c r="B221" s="2" t="n">
        <v>219</v>
      </c>
      <c r="C221" s="2" t="n">
        <v>0.0507723166007732</v>
      </c>
      <c r="D221" s="2" t="n">
        <v>0.0452193921401091</v>
      </c>
      <c r="E221" s="2" t="n">
        <v>0.0261933326420567</v>
      </c>
    </row>
    <row r="222" customFormat="false" ht="13.8" hidden="false" customHeight="false" outlineLevel="0" collapsed="false">
      <c r="B222" s="2" t="n">
        <v>220</v>
      </c>
      <c r="C222" s="2" t="n">
        <v>0.057384283337566</v>
      </c>
      <c r="D222" s="2" t="n">
        <v>0.0184914411253842</v>
      </c>
      <c r="E222" s="2" t="n">
        <v>0.0355755221090845</v>
      </c>
    </row>
    <row r="223" customFormat="false" ht="13.8" hidden="false" customHeight="false" outlineLevel="0" collapsed="false">
      <c r="B223" s="2" t="n">
        <v>221</v>
      </c>
      <c r="C223" s="2" t="n">
        <v>0.07555155</v>
      </c>
      <c r="D223" s="2" t="n">
        <v>0.0193969232448451</v>
      </c>
      <c r="E223" s="2" t="n">
        <v>0.0337500000014053</v>
      </c>
    </row>
    <row r="224" customFormat="false" ht="13.8" hidden="false" customHeight="false" outlineLevel="0" collapsed="false">
      <c r="B224" s="2" t="n">
        <v>222</v>
      </c>
      <c r="C224" s="2" t="n">
        <v>0.05550135</v>
      </c>
      <c r="D224" s="2" t="n">
        <v>0.0184417323944485</v>
      </c>
      <c r="E224" s="2" t="n">
        <v>0.0337500000014305</v>
      </c>
    </row>
    <row r="225" customFormat="false" ht="13.8" hidden="false" customHeight="false" outlineLevel="0" collapsed="false">
      <c r="B225" s="2" t="n">
        <v>223</v>
      </c>
      <c r="C225" s="2" t="n">
        <v>0.0732512833333333</v>
      </c>
      <c r="D225" s="2" t="n">
        <v>0.0193572528450518</v>
      </c>
      <c r="E225" s="2" t="n">
        <v>0.0337500333347894</v>
      </c>
    </row>
    <row r="226" customFormat="false" ht="13.8" hidden="false" customHeight="false" outlineLevel="0" collapsed="false">
      <c r="B226" s="2" t="n">
        <v>224</v>
      </c>
      <c r="C226" s="2" t="n">
        <v>0.0500012333333333</v>
      </c>
      <c r="D226" s="2" t="n">
        <v>0.0188182203839414</v>
      </c>
      <c r="E226" s="2" t="n">
        <v>0.033750250001482</v>
      </c>
    </row>
    <row r="227" customFormat="false" ht="13.8" hidden="false" customHeight="false" outlineLevel="0" collapsed="false">
      <c r="B227" s="2" t="n">
        <v>225</v>
      </c>
      <c r="C227" s="2" t="n">
        <v>0.0750348833333334</v>
      </c>
      <c r="D227" s="2" t="n">
        <v>0.0203720864600066</v>
      </c>
      <c r="E227" s="2" t="n">
        <v>0.0337502500015083</v>
      </c>
    </row>
    <row r="228" customFormat="false" ht="13.8" hidden="false" customHeight="false" outlineLevel="0" collapsed="false">
      <c r="B228" s="2" t="n">
        <v>226</v>
      </c>
      <c r="C228" s="2" t="n">
        <v>0.0531016833333333</v>
      </c>
      <c r="D228" s="2" t="n">
        <v>0.0222516876953545</v>
      </c>
      <c r="E228" s="2" t="n">
        <v>0.0837500833348682</v>
      </c>
    </row>
    <row r="229" customFormat="false" ht="13.8" hidden="false" customHeight="false" outlineLevel="0" collapsed="false">
      <c r="B229" s="2" t="n">
        <v>227</v>
      </c>
      <c r="C229" s="2" t="n">
        <v>0.0712522166666667</v>
      </c>
      <c r="D229" s="2" t="n">
        <v>0.023479571620769</v>
      </c>
      <c r="E229" s="2" t="n">
        <v>0.0837500833348952</v>
      </c>
    </row>
    <row r="230" customFormat="false" ht="13.8" hidden="false" customHeight="false" outlineLevel="0" collapsed="false">
      <c r="B230" s="2" t="n">
        <v>228</v>
      </c>
      <c r="C230" s="2" t="n">
        <v>0.0325517105993851</v>
      </c>
      <c r="D230" s="2" t="n">
        <v>0.0176854928264556</v>
      </c>
      <c r="E230" s="2" t="n">
        <v>0.0370835500015891</v>
      </c>
    </row>
    <row r="231" customFormat="false" ht="13.8" hidden="false" customHeight="false" outlineLevel="0" collapsed="false">
      <c r="B231" s="2" t="n">
        <v>229</v>
      </c>
      <c r="C231" s="2" t="n">
        <v>0.0500858166666667</v>
      </c>
      <c r="D231" s="2" t="n">
        <v>0.020012788313378</v>
      </c>
      <c r="E231" s="2" t="n">
        <v>0.0587500000016168</v>
      </c>
    </row>
    <row r="232" customFormat="false" ht="13.8" hidden="false" customHeight="false" outlineLevel="0" collapsed="false">
      <c r="B232" s="2" t="n">
        <v>230</v>
      </c>
      <c r="C232" s="2" t="n">
        <v>0.0714188333333333</v>
      </c>
      <c r="D232" s="2" t="n">
        <v>0.0213462923281845</v>
      </c>
      <c r="E232" s="2" t="n">
        <v>0.0587503166683114</v>
      </c>
    </row>
    <row r="233" customFormat="false" ht="13.8" hidden="false" customHeight="false" outlineLevel="0" collapsed="false">
      <c r="B233" s="2" t="n">
        <v>231</v>
      </c>
      <c r="C233" s="2" t="n">
        <v>0.066252</v>
      </c>
      <c r="D233" s="2" t="n">
        <v>0.0221039807886326</v>
      </c>
      <c r="E233" s="2" t="n">
        <v>0.0587505000016731</v>
      </c>
    </row>
    <row r="234" customFormat="false" ht="13.8" hidden="false" customHeight="false" outlineLevel="0" collapsed="false">
      <c r="B234" s="2" t="n">
        <v>232</v>
      </c>
      <c r="C234" s="2" t="n">
        <v>0.0733854000007032</v>
      </c>
      <c r="D234" s="2" t="n">
        <v>0.022493055214656</v>
      </c>
      <c r="E234" s="2" t="n">
        <v>0.0587505000017018</v>
      </c>
    </row>
    <row r="235" customFormat="false" ht="13.8" hidden="false" customHeight="false" outlineLevel="0" collapsed="false">
      <c r="B235" s="2" t="n">
        <v>233</v>
      </c>
      <c r="C235" s="2" t="n">
        <v>0.0680018000006803</v>
      </c>
      <c r="D235" s="2" t="n">
        <v>0.0224258606963783</v>
      </c>
      <c r="E235" s="2" t="n">
        <v>0.0604836166683975</v>
      </c>
    </row>
    <row r="236" customFormat="false" ht="13.8" hidden="false" customHeight="false" outlineLevel="0" collapsed="false">
      <c r="B236" s="2" t="n">
        <v>234</v>
      </c>
      <c r="C236" s="2" t="n">
        <v>0.0727018000345945</v>
      </c>
      <c r="D236" s="2" t="n">
        <v>0.0226417357238755</v>
      </c>
      <c r="E236" s="2" t="n">
        <v>0.0596837166684269</v>
      </c>
    </row>
    <row r="237" customFormat="false" ht="13.8" hidden="false" customHeight="false" outlineLevel="0" collapsed="false">
      <c r="B237" s="2" t="n">
        <v>235</v>
      </c>
      <c r="C237" s="2" t="n">
        <v>0.0675655713823821</v>
      </c>
      <c r="D237" s="2" t="n">
        <v>0.02221272500206</v>
      </c>
      <c r="E237" s="2" t="n">
        <v>0.0614545810142196</v>
      </c>
    </row>
    <row r="238" customFormat="false" ht="13.8" hidden="false" customHeight="false" outlineLevel="0" collapsed="false">
      <c r="B238" s="2" t="n">
        <v>236</v>
      </c>
      <c r="C238" s="2" t="n">
        <v>0.0758589999482348</v>
      </c>
      <c r="D238" s="2" t="n">
        <v>0</v>
      </c>
      <c r="E238" s="2" t="n">
        <v>0.0638750651814301</v>
      </c>
    </row>
    <row r="239" customFormat="false" ht="13.8" hidden="false" customHeight="false" outlineLevel="0" collapsed="false">
      <c r="B239" s="2" t="n">
        <v>237</v>
      </c>
      <c r="C239" s="2" t="n">
        <v>0.0653179</v>
      </c>
      <c r="D239" s="2" t="n">
        <v>0</v>
      </c>
      <c r="E239" s="2" t="n">
        <v>0.0672389863952922</v>
      </c>
    </row>
    <row r="240" customFormat="false" ht="13.8" hidden="false" customHeight="false" outlineLevel="0" collapsed="false">
      <c r="B240" s="2" t="n">
        <v>238</v>
      </c>
      <c r="C240" s="2" t="n">
        <v>0.0718515</v>
      </c>
      <c r="D240" s="2" t="n">
        <v>0</v>
      </c>
      <c r="E240" s="2" t="n">
        <v>0.0732529472312319</v>
      </c>
    </row>
    <row r="241" customFormat="false" ht="13.8" hidden="false" customHeight="false" outlineLevel="0" collapsed="false">
      <c r="B241" s="2" t="n">
        <v>239</v>
      </c>
      <c r="C241" s="2" t="n">
        <v>0.0662851666666667</v>
      </c>
      <c r="D241" s="2" t="n">
        <v>0.20025535534084</v>
      </c>
      <c r="E241" s="2" t="n">
        <v>0.0853453777334237</v>
      </c>
    </row>
    <row r="242" customFormat="false" ht="13.8" hidden="false" customHeight="false" outlineLevel="0" collapsed="false">
      <c r="B242" s="2" t="n">
        <v>240</v>
      </c>
      <c r="C242" s="2" t="n">
        <v>0.04325235</v>
      </c>
      <c r="D242" s="2" t="n">
        <v>0.385761483447664</v>
      </c>
      <c r="E242" s="2" t="n">
        <v>0.0978586225666265</v>
      </c>
    </row>
    <row r="243" customFormat="false" ht="13.8" hidden="false" customHeight="false" outlineLevel="0" collapsed="false">
      <c r="B243" s="2" t="n">
        <v>241</v>
      </c>
      <c r="C243" s="2" t="n">
        <v>0.186434476270891</v>
      </c>
      <c r="D243" s="2" t="n">
        <v>0.387426771696366</v>
      </c>
      <c r="E243" s="2" t="n">
        <v>0.134010424268152</v>
      </c>
    </row>
    <row r="244" customFormat="false" ht="13.8" hidden="false" customHeight="false" outlineLevel="0" collapsed="false">
      <c r="B244" s="2" t="n">
        <v>242</v>
      </c>
      <c r="C244" s="2" t="n">
        <v>0.420903532762594</v>
      </c>
      <c r="D244" s="2" t="n">
        <v>0.382581932289027</v>
      </c>
      <c r="E244" s="2" t="n">
        <v>0.221610582140085</v>
      </c>
    </row>
    <row r="245" customFormat="false" ht="13.8" hidden="false" customHeight="false" outlineLevel="0" collapsed="false">
      <c r="B245" s="2" t="n">
        <v>243</v>
      </c>
      <c r="C245" s="2" t="n">
        <v>0.424123066763508</v>
      </c>
      <c r="D245" s="2" t="n">
        <v>0.377737092881688</v>
      </c>
      <c r="E245" s="2" t="n">
        <v>0.218804208920687</v>
      </c>
    </row>
    <row r="246" customFormat="false" ht="13.8" hidden="false" customHeight="false" outlineLevel="0" collapsed="false">
      <c r="B246" s="2" t="n">
        <v>244</v>
      </c>
      <c r="C246" s="2" t="n">
        <v>0.418683282886999</v>
      </c>
      <c r="D246" s="2" t="n">
        <v>0.37289225347435</v>
      </c>
      <c r="E246" s="2" t="n">
        <v>0.215997835721319</v>
      </c>
    </row>
    <row r="247" customFormat="false" ht="13.8" hidden="false" customHeight="false" outlineLevel="0" collapsed="false">
      <c r="B247" s="2" t="n">
        <v>245</v>
      </c>
      <c r="C247" s="2" t="n">
        <v>0.41324349901049</v>
      </c>
      <c r="D247" s="2" t="n">
        <v>0.368047414067011</v>
      </c>
      <c r="E247" s="2" t="n">
        <v>0.21319146252195</v>
      </c>
    </row>
    <row r="248" customFormat="false" ht="13.8" hidden="false" customHeight="false" outlineLevel="0" collapsed="false">
      <c r="B248" s="2" t="n">
        <v>246</v>
      </c>
      <c r="C248" s="2" t="n">
        <v>0.400963843434911</v>
      </c>
      <c r="D248" s="2" t="n">
        <v>0.357110773826942</v>
      </c>
      <c r="E248" s="2" t="n">
        <v>0.20685641372459</v>
      </c>
    </row>
    <row r="249" customFormat="false" ht="13.8" hidden="false" customHeight="false" outlineLevel="0" collapsed="false">
      <c r="B249" s="2" t="n">
        <v>247</v>
      </c>
      <c r="C249" s="2" t="n">
        <v>0.388684187859333</v>
      </c>
      <c r="D249" s="2" t="n">
        <v>0.346174133586872</v>
      </c>
      <c r="E249" s="2" t="n">
        <v>0.200521364927229</v>
      </c>
    </row>
    <row r="250" customFormat="false" ht="13.8" hidden="false" customHeight="false" outlineLevel="0" collapsed="false">
      <c r="B250" s="2" t="n">
        <v>248</v>
      </c>
      <c r="C250" s="2" t="n">
        <v>0.376404532283754</v>
      </c>
      <c r="D250" s="2" t="n">
        <v>0.335237493346803</v>
      </c>
      <c r="E250" s="2" t="n">
        <v>0.19418631612987</v>
      </c>
    </row>
    <row r="251" customFormat="false" ht="13.8" hidden="false" customHeight="false" outlineLevel="0" collapsed="false">
      <c r="B251" s="2" t="n">
        <v>249</v>
      </c>
      <c r="C251" s="2" t="n">
        <v>0.364124876708175</v>
      </c>
      <c r="D251" s="2" t="n">
        <v>0.324300853106733</v>
      </c>
      <c r="E251" s="2" t="n">
        <v>0.187851267332533</v>
      </c>
    </row>
    <row r="252" customFormat="false" ht="13.8" hidden="false" customHeight="false" outlineLevel="0" collapsed="false">
      <c r="B252" s="2" t="n">
        <v>250</v>
      </c>
      <c r="C252" s="2" t="n">
        <v>0.342416762623326</v>
      </c>
      <c r="D252" s="2" t="n">
        <v>0.304966936729751</v>
      </c>
      <c r="E252" s="2" t="n">
        <v>0.167350607077654</v>
      </c>
    </row>
    <row r="253" customFormat="false" ht="13.8" hidden="false" customHeight="false" outlineLevel="0" collapsed="false">
      <c r="B253" s="2" t="n">
        <v>251</v>
      </c>
      <c r="C253" s="2" t="n">
        <v>0.320708648588064</v>
      </c>
      <c r="D253" s="2" t="n">
        <v>0.285633020352768</v>
      </c>
      <c r="E253" s="2" t="n">
        <v>0.165452925427922</v>
      </c>
    </row>
    <row r="254" customFormat="false" ht="13.8" hidden="false" customHeight="false" outlineLevel="0" collapsed="false">
      <c r="B254" s="2" t="n">
        <v>252</v>
      </c>
      <c r="C254" s="2" t="n">
        <v>0.299000534453628</v>
      </c>
      <c r="D254" s="2" t="n">
        <v>0.266299103975786</v>
      </c>
      <c r="E254" s="2" t="n">
        <v>0.15425375447556</v>
      </c>
    </row>
    <row r="255" customFormat="false" ht="13.8" hidden="false" customHeight="false" outlineLevel="0" collapsed="false">
      <c r="B255" s="2" t="n">
        <v>253</v>
      </c>
      <c r="C255" s="2" t="n">
        <v>0.277292420417977</v>
      </c>
      <c r="D255" s="2" t="n">
        <v>0.246965187598804</v>
      </c>
      <c r="E255" s="2" t="n">
        <v>0.143054583523272</v>
      </c>
    </row>
    <row r="256" customFormat="false" ht="13.8" hidden="false" customHeight="false" outlineLevel="0" collapsed="false">
      <c r="B256" s="2" t="n">
        <v>254</v>
      </c>
      <c r="C256" s="2" t="n">
        <v>0.216938581044223</v>
      </c>
      <c r="D256" s="2" t="n">
        <v>0.193212195564665</v>
      </c>
      <c r="E256" s="2" t="n">
        <v>0.111918163190762</v>
      </c>
    </row>
    <row r="257" customFormat="false" ht="13.8" hidden="false" customHeight="false" outlineLevel="0" collapsed="false">
      <c r="B257" s="2" t="n">
        <v>255</v>
      </c>
      <c r="C257" s="2" t="n">
        <v>0.156584741670491</v>
      </c>
      <c r="D257" s="2" t="n">
        <v>0.139459203530526</v>
      </c>
      <c r="E257" s="2" t="n">
        <v>0.0807817428582524</v>
      </c>
    </row>
    <row r="258" customFormat="false" ht="13.8" hidden="false" customHeight="false" outlineLevel="0" collapsed="false">
      <c r="B258" s="2" t="n">
        <v>256</v>
      </c>
      <c r="C258" s="2" t="n">
        <v>0.0962309022967759</v>
      </c>
      <c r="D258" s="2" t="n">
        <v>0.0857062114963876</v>
      </c>
      <c r="E258" s="2" t="n">
        <v>0.0496453225257428</v>
      </c>
    </row>
    <row r="259" customFormat="false" ht="13.8" hidden="false" customHeight="false" outlineLevel="0" collapsed="false">
      <c r="B259" s="2" t="n">
        <v>257</v>
      </c>
      <c r="C259" s="2" t="n">
        <v>0.0358770628743687</v>
      </c>
      <c r="D259" s="2" t="n">
        <v>0.031953219462252</v>
      </c>
      <c r="E259" s="2" t="n">
        <v>0.018508902193248</v>
      </c>
    </row>
    <row r="260" customFormat="false" ht="13.8" hidden="false" customHeight="false" outlineLevel="0" collapsed="false">
      <c r="B260" s="2" t="n">
        <v>258</v>
      </c>
      <c r="C260" s="2" t="n">
        <v>0.0306218564921492</v>
      </c>
      <c r="D260" s="2" t="n">
        <v>0.0272727704679041</v>
      </c>
      <c r="E260" s="2" t="n">
        <v>0.0157977521396785</v>
      </c>
    </row>
    <row r="261" customFormat="false" ht="13.8" hidden="false" customHeight="false" outlineLevel="0" collapsed="false">
      <c r="B261" s="2" t="n">
        <v>259</v>
      </c>
      <c r="C261" s="2" t="n">
        <v>0.025366650109933</v>
      </c>
      <c r="D261" s="2" t="n">
        <v>0.0225923214735593</v>
      </c>
      <c r="E261" s="2" t="n">
        <v>0.013086602086109</v>
      </c>
    </row>
    <row r="262" customFormat="false" ht="13.8" hidden="false" customHeight="false" outlineLevel="0" collapsed="false">
      <c r="B262" s="2" t="n">
        <v>260</v>
      </c>
      <c r="C262" s="2" t="n">
        <v>0.0201114437277166</v>
      </c>
      <c r="D262" s="2" t="n">
        <v>0.0179118724792145</v>
      </c>
      <c r="E262" s="2" t="n">
        <v>0.0103754520325395</v>
      </c>
    </row>
    <row r="263" customFormat="false" ht="13.8" hidden="false" customHeight="false" outlineLevel="0" collapsed="false">
      <c r="B263" s="2" t="n">
        <v>261</v>
      </c>
      <c r="C263" s="2" t="n">
        <v>0.0148562373455002</v>
      </c>
      <c r="D263" s="2" t="n">
        <v>0.0132314234848696</v>
      </c>
      <c r="E263" s="2" t="n">
        <v>0.00766430197896999</v>
      </c>
    </row>
    <row r="264" customFormat="false" ht="13.8" hidden="false" customHeight="false" outlineLevel="0" collapsed="false">
      <c r="B264" s="2" t="n">
        <v>262</v>
      </c>
      <c r="C264" s="2" t="n">
        <v>0.0111421780091252</v>
      </c>
      <c r="D264" s="2" t="n">
        <v>0.00992356761365223</v>
      </c>
      <c r="E264" s="2" t="n">
        <v>0.0057482264842286</v>
      </c>
    </row>
    <row r="265" customFormat="false" ht="13.8" hidden="false" customHeight="false" outlineLevel="0" collapsed="false">
      <c r="B265" s="2" t="n">
        <v>263</v>
      </c>
      <c r="C265" s="2" t="n">
        <v>0.00742811867275014</v>
      </c>
      <c r="D265" s="2" t="n">
        <v>0.00661571174243481</v>
      </c>
      <c r="E265" s="2" t="n">
        <v>0.00383215098948721</v>
      </c>
    </row>
    <row r="266" customFormat="false" ht="13.8" hidden="false" customHeight="false" outlineLevel="0" collapsed="false">
      <c r="B266" s="2" t="n">
        <v>264</v>
      </c>
      <c r="C266" s="2" t="n">
        <v>0.00371405933637505</v>
      </c>
      <c r="D266" s="2" t="n">
        <v>0.00330785587122938</v>
      </c>
      <c r="E266" s="2" t="n">
        <v>0.00191607549474581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0.00469397074916412</v>
      </c>
      <c r="D312" s="2" t="n">
        <v>0.00418059521824973</v>
      </c>
      <c r="E312" s="2" t="n">
        <v>0.00242160975659811</v>
      </c>
    </row>
    <row r="313" customFormat="false" ht="13.8" hidden="false" customHeight="false" outlineLevel="0" collapsed="false">
      <c r="B313" s="2" t="n">
        <v>311</v>
      </c>
      <c r="C313" s="2" t="n">
        <v>0.00938794149832822</v>
      </c>
      <c r="D313" s="2" t="n">
        <v>0.00836119043649946</v>
      </c>
      <c r="E313" s="2" t="n">
        <v>0.00484321951318477</v>
      </c>
    </row>
    <row r="314" customFormat="false" ht="13.8" hidden="false" customHeight="false" outlineLevel="0" collapsed="false">
      <c r="B314" s="2" t="n">
        <v>312</v>
      </c>
      <c r="C314" s="2" t="n">
        <v>0.0140819122474923</v>
      </c>
      <c r="D314" s="2" t="n">
        <v>0.0125417856547492</v>
      </c>
      <c r="E314" s="2" t="n">
        <v>0.00726482926975947</v>
      </c>
    </row>
    <row r="315" customFormat="false" ht="13.8" hidden="false" customHeight="false" outlineLevel="0" collapsed="false">
      <c r="B315" s="2" t="n">
        <v>313</v>
      </c>
      <c r="C315" s="2" t="n">
        <v>0.0187758829966564</v>
      </c>
      <c r="D315" s="2" t="n">
        <v>0.0167223808729989</v>
      </c>
      <c r="E315" s="2" t="n">
        <v>0.00968643902634596</v>
      </c>
    </row>
    <row r="316" customFormat="false" ht="13.8" hidden="false" customHeight="false" outlineLevel="0" collapsed="false">
      <c r="B316" s="2" t="n">
        <v>314</v>
      </c>
      <c r="C316" s="2" t="n">
        <v>0.0341678452646279</v>
      </c>
      <c r="D316" s="2" t="n">
        <v>0.0304309375077898</v>
      </c>
      <c r="E316" s="2" t="n">
        <v>0.0176271203797175</v>
      </c>
    </row>
    <row r="317" customFormat="false" ht="13.8" hidden="false" customHeight="false" outlineLevel="0" collapsed="false">
      <c r="B317" s="2" t="n">
        <v>315</v>
      </c>
      <c r="C317" s="2" t="n">
        <v>0.0495598075325748</v>
      </c>
      <c r="D317" s="2" t="n">
        <v>0.031094698750319</v>
      </c>
      <c r="E317" s="2" t="n">
        <v>0.0255678017330482</v>
      </c>
    </row>
    <row r="318" customFormat="false" ht="13.8" hidden="false" customHeight="false" outlineLevel="0" collapsed="false">
      <c r="B318" s="2" t="n">
        <v>316</v>
      </c>
      <c r="C318" s="2" t="n">
        <v>0.0420839833333333</v>
      </c>
      <c r="D318" s="2" t="n">
        <v>0.0150620983014802</v>
      </c>
      <c r="E318" s="2" t="n">
        <v>0.0183522049352487</v>
      </c>
    </row>
    <row r="319" customFormat="false" ht="13.8" hidden="false" customHeight="false" outlineLevel="0" collapsed="false">
      <c r="B319" s="2" t="n">
        <v>317</v>
      </c>
      <c r="C319" s="2" t="n">
        <v>0.06716775</v>
      </c>
      <c r="D319" s="2" t="n">
        <v>0.017750571937699</v>
      </c>
      <c r="E319" s="2" t="n">
        <v>0.03375</v>
      </c>
    </row>
    <row r="320" customFormat="false" ht="13.8" hidden="false" customHeight="false" outlineLevel="0" collapsed="false">
      <c r="B320" s="2" t="n">
        <v>318</v>
      </c>
      <c r="C320" s="2" t="n">
        <v>0.0642508666666667</v>
      </c>
      <c r="D320" s="2" t="n">
        <v>0.0159558830381374</v>
      </c>
      <c r="E320" s="2" t="n">
        <v>0.0180692164332702</v>
      </c>
    </row>
    <row r="321" customFormat="false" ht="13.8" hidden="false" customHeight="false" outlineLevel="0" collapsed="false">
      <c r="B321" s="2" t="n">
        <v>319</v>
      </c>
      <c r="C321" s="2" t="n">
        <v>0.0378342666666667</v>
      </c>
      <c r="D321" s="2" t="n">
        <v>0.0138537184296643</v>
      </c>
      <c r="E321" s="2" t="n">
        <v>0.0163433281365533</v>
      </c>
    </row>
    <row r="322" customFormat="false" ht="13.8" hidden="false" customHeight="false" outlineLevel="0" collapsed="false">
      <c r="B322" s="2" t="n">
        <v>320</v>
      </c>
      <c r="C322" s="2" t="n">
        <v>0.0378011666666667</v>
      </c>
      <c r="D322" s="2" t="n">
        <v>0.0147691533637458</v>
      </c>
      <c r="E322" s="2" t="n">
        <v>0.016673520876802</v>
      </c>
    </row>
    <row r="323" customFormat="false" ht="13.8" hidden="false" customHeight="false" outlineLevel="0" collapsed="false">
      <c r="B323" s="2" t="n">
        <v>321</v>
      </c>
      <c r="C323" s="2" t="n">
        <v>0.0659680833333333</v>
      </c>
      <c r="D323" s="2" t="n">
        <v>0.0164876923814342</v>
      </c>
      <c r="E323" s="2" t="n">
        <v>0.0192057937021819</v>
      </c>
    </row>
    <row r="324" customFormat="false" ht="13.8" hidden="false" customHeight="false" outlineLevel="0" collapsed="false">
      <c r="B324" s="2" t="n">
        <v>322</v>
      </c>
      <c r="C324" s="2" t="n">
        <v>0.07075195</v>
      </c>
      <c r="D324" s="2" t="n">
        <v>0.0184705432830552</v>
      </c>
      <c r="E324" s="2" t="n">
        <v>0.03375</v>
      </c>
    </row>
    <row r="325" customFormat="false" ht="13.8" hidden="false" customHeight="false" outlineLevel="0" collapsed="false">
      <c r="B325" s="2" t="n">
        <v>323</v>
      </c>
      <c r="C325" s="2" t="n">
        <v>0.064252</v>
      </c>
      <c r="D325" s="2" t="n">
        <v>0.0172242402504249</v>
      </c>
      <c r="E325" s="2" t="n">
        <v>0.020499239650885</v>
      </c>
    </row>
    <row r="326" customFormat="false" ht="13.8" hidden="false" customHeight="false" outlineLevel="0" collapsed="false">
      <c r="B326" s="2" t="n">
        <v>324</v>
      </c>
      <c r="C326" s="2" t="n">
        <v>0.0603354666666667</v>
      </c>
      <c r="D326" s="2" t="n">
        <v>0.0193759630132813</v>
      </c>
      <c r="E326" s="2" t="n">
        <v>0.05</v>
      </c>
    </row>
    <row r="327" customFormat="false" ht="13.8" hidden="false" customHeight="false" outlineLevel="0" collapsed="false">
      <c r="B327" s="2" t="n">
        <v>325</v>
      </c>
      <c r="C327" s="2" t="n">
        <v>0.0397392077307942</v>
      </c>
      <c r="D327" s="2" t="n">
        <v>0.0171103960047367</v>
      </c>
      <c r="E327" s="2" t="n">
        <v>0.0254550173117496</v>
      </c>
    </row>
    <row r="328" customFormat="false" ht="13.8" hidden="false" customHeight="false" outlineLevel="0" collapsed="false">
      <c r="B328" s="2" t="n">
        <v>326</v>
      </c>
      <c r="C328" s="2" t="n">
        <v>0.0893519333333333</v>
      </c>
      <c r="D328" s="2" t="n">
        <v>0.0212284251814526</v>
      </c>
      <c r="E328" s="2" t="n">
        <v>0.05</v>
      </c>
    </row>
    <row r="329" customFormat="false" ht="13.8" hidden="false" customHeight="false" outlineLevel="0" collapsed="false">
      <c r="B329" s="2" t="n">
        <v>327</v>
      </c>
      <c r="C329" s="2" t="n">
        <v>0.0516807715817152</v>
      </c>
      <c r="D329" s="2" t="n">
        <v>0.0181264337752878</v>
      </c>
      <c r="E329" s="2" t="n">
        <v>0.0264783893537959</v>
      </c>
    </row>
    <row r="330" customFormat="false" ht="13.8" hidden="false" customHeight="false" outlineLevel="0" collapsed="false">
      <c r="B330" s="2" t="n">
        <v>328</v>
      </c>
      <c r="C330" s="2" t="n">
        <v>0.0851845833333333</v>
      </c>
      <c r="D330" s="2" t="n">
        <v>0.0213763598925806</v>
      </c>
      <c r="E330" s="2" t="n">
        <v>0.05</v>
      </c>
    </row>
    <row r="331" customFormat="false" ht="13.8" hidden="false" customHeight="false" outlineLevel="0" collapsed="false">
      <c r="B331" s="2" t="n">
        <v>329</v>
      </c>
      <c r="C331" s="2" t="n">
        <v>0.0571677666666667</v>
      </c>
      <c r="D331" s="2" t="n">
        <v>0.0187087756285128</v>
      </c>
      <c r="E331" s="2" t="n">
        <v>0.0270027376641072</v>
      </c>
    </row>
    <row r="332" customFormat="false" ht="13.8" hidden="false" customHeight="false" outlineLevel="0" collapsed="false">
      <c r="B332" s="2" t="n">
        <v>330</v>
      </c>
      <c r="C332" s="2" t="n">
        <v>0.0817011</v>
      </c>
      <c r="D332" s="2" t="n">
        <v>0</v>
      </c>
      <c r="E332" s="2" t="n">
        <v>0.05</v>
      </c>
    </row>
    <row r="333" customFormat="false" ht="13.8" hidden="false" customHeight="false" outlineLevel="0" collapsed="false">
      <c r="B333" s="2" t="n">
        <v>331</v>
      </c>
      <c r="C333" s="2" t="n">
        <v>0.05450075</v>
      </c>
      <c r="D333" s="2" t="n">
        <v>0</v>
      </c>
      <c r="E333" s="2" t="n">
        <v>0.0322927354107695</v>
      </c>
    </row>
    <row r="334" customFormat="false" ht="13.8" hidden="false" customHeight="false" outlineLevel="0" collapsed="false">
      <c r="B334" s="2" t="n">
        <v>332</v>
      </c>
      <c r="C334" s="2" t="n">
        <v>0.0805006000000001</v>
      </c>
      <c r="D334" s="2" t="n">
        <v>0</v>
      </c>
      <c r="E334" s="2" t="n">
        <v>0.0641410170404881</v>
      </c>
    </row>
    <row r="335" customFormat="false" ht="13.8" hidden="false" customHeight="false" outlineLevel="0" collapsed="false">
      <c r="B335" s="2" t="n">
        <v>333</v>
      </c>
      <c r="C335" s="2" t="n">
        <v>0.247155064488933</v>
      </c>
      <c r="D335" s="2" t="n">
        <v>0</v>
      </c>
      <c r="E335" s="2" t="n">
        <v>0.0600874884656917</v>
      </c>
    </row>
    <row r="336" customFormat="false" ht="13.8" hidden="false" customHeight="false" outlineLevel="0" collapsed="false">
      <c r="B336" s="2" t="n">
        <v>334</v>
      </c>
      <c r="C336" s="2" t="n">
        <v>0.395785169184475</v>
      </c>
      <c r="D336" s="2" t="n">
        <v>0.112985769485903</v>
      </c>
      <c r="E336" s="2" t="n">
        <v>0.05</v>
      </c>
    </row>
    <row r="337" customFormat="false" ht="13.8" hidden="false" customHeight="false" outlineLevel="0" collapsed="false">
      <c r="B337" s="2" t="n">
        <v>335</v>
      </c>
      <c r="C337" s="2" t="n">
        <v>0.39764294916768</v>
      </c>
      <c r="D337" s="2" t="n">
        <v>0.354153082900475</v>
      </c>
      <c r="E337" s="2" t="n">
        <v>0.180750641543869</v>
      </c>
    </row>
    <row r="338" customFormat="false" ht="13.8" hidden="false" customHeight="false" outlineLevel="0" collapsed="false">
      <c r="B338" s="2" t="n">
        <v>336</v>
      </c>
      <c r="C338" s="2" t="n">
        <v>0.399500729150885</v>
      </c>
      <c r="D338" s="2" t="n">
        <v>0.355807679089795</v>
      </c>
      <c r="E338" s="2" t="n">
        <v>0.206101596114492</v>
      </c>
    </row>
    <row r="339" customFormat="false" ht="13.8" hidden="false" customHeight="false" outlineLevel="0" collapsed="false">
      <c r="B339" s="2" t="n">
        <v>337</v>
      </c>
      <c r="C339" s="2" t="n">
        <v>0.40135850913409</v>
      </c>
      <c r="D339" s="2" t="n">
        <v>0.357462275279115</v>
      </c>
      <c r="E339" s="2" t="n">
        <v>0.207060020949008</v>
      </c>
    </row>
    <row r="340" customFormat="false" ht="13.8" hidden="false" customHeight="false" outlineLevel="0" collapsed="false">
      <c r="B340" s="2" t="n">
        <v>338</v>
      </c>
      <c r="C340" s="2" t="n">
        <v>0.394824765962139</v>
      </c>
      <c r="D340" s="2" t="n">
        <v>0.351643121960618</v>
      </c>
      <c r="E340" s="2" t="n">
        <v>0.203689276423283</v>
      </c>
    </row>
    <row r="341" customFormat="false" ht="13.8" hidden="false" customHeight="false" outlineLevel="0" collapsed="false">
      <c r="B341" s="2" t="n">
        <v>339</v>
      </c>
      <c r="C341" s="2" t="n">
        <v>0.388291022790189</v>
      </c>
      <c r="D341" s="2" t="n">
        <v>0.345823968642121</v>
      </c>
      <c r="E341" s="2" t="n">
        <v>0.200318531897558</v>
      </c>
    </row>
    <row r="342" customFormat="false" ht="13.8" hidden="false" customHeight="false" outlineLevel="0" collapsed="false">
      <c r="B342" s="2" t="n">
        <v>340</v>
      </c>
      <c r="C342" s="2" t="n">
        <v>0.381757279618239</v>
      </c>
      <c r="D342" s="2" t="n">
        <v>0.340004815323624</v>
      </c>
      <c r="E342" s="2" t="n">
        <v>0.196947787371833</v>
      </c>
    </row>
    <row r="343" customFormat="false" ht="13.8" hidden="false" customHeight="false" outlineLevel="0" collapsed="false">
      <c r="B343" s="2" t="n">
        <v>341</v>
      </c>
      <c r="C343" s="2" t="n">
        <v>0.375223536446289</v>
      </c>
      <c r="D343" s="2" t="n">
        <v>0.334185662005127</v>
      </c>
      <c r="E343" s="2" t="n">
        <v>0.193577042846108</v>
      </c>
    </row>
    <row r="344" customFormat="false" ht="13.8" hidden="false" customHeight="false" outlineLevel="0" collapsed="false">
      <c r="B344" s="2" t="n">
        <v>342</v>
      </c>
      <c r="C344" s="2" t="n">
        <v>0.33805593174191</v>
      </c>
      <c r="D344" s="2" t="n">
        <v>0.301083046159344</v>
      </c>
      <c r="E344" s="2" t="n">
        <v>0.0500000002548824</v>
      </c>
    </row>
    <row r="345" customFormat="false" ht="13.8" hidden="false" customHeight="false" outlineLevel="0" collapsed="false">
      <c r="B345" s="2" t="n">
        <v>343</v>
      </c>
      <c r="C345" s="2" t="n">
        <v>0.300888327037531</v>
      </c>
      <c r="D345" s="2" t="n">
        <v>0.267980430313561</v>
      </c>
      <c r="E345" s="2" t="n">
        <v>0.155227662764641</v>
      </c>
    </row>
    <row r="346" customFormat="false" ht="13.8" hidden="false" customHeight="false" outlineLevel="0" collapsed="false">
      <c r="B346" s="2" t="n">
        <v>344</v>
      </c>
      <c r="C346" s="2" t="n">
        <v>0.263720722333152</v>
      </c>
      <c r="D346" s="2" t="n">
        <v>0.234877814467778</v>
      </c>
      <c r="E346" s="2" t="n">
        <v>0.136052972705394</v>
      </c>
    </row>
    <row r="347" customFormat="false" ht="13.8" hidden="false" customHeight="false" outlineLevel="0" collapsed="false">
      <c r="B347" s="2" t="n">
        <v>345</v>
      </c>
      <c r="C347" s="2" t="n">
        <v>0.226553117628774</v>
      </c>
      <c r="D347" s="2" t="n">
        <v>0.201775198621995</v>
      </c>
      <c r="E347" s="2" t="n">
        <v>0.116878282663409</v>
      </c>
    </row>
    <row r="348" customFormat="false" ht="13.8" hidden="false" customHeight="false" outlineLevel="0" collapsed="false">
      <c r="B348" s="2" t="n">
        <v>346</v>
      </c>
      <c r="C348" s="2" t="n">
        <v>0.208977738660036</v>
      </c>
      <c r="D348" s="2" t="n">
        <v>0.186122023687167</v>
      </c>
      <c r="E348" s="2" t="n">
        <v>0.107811181170723</v>
      </c>
    </row>
    <row r="349" customFormat="false" ht="13.8" hidden="false" customHeight="false" outlineLevel="0" collapsed="false">
      <c r="B349" s="2" t="n">
        <v>347</v>
      </c>
      <c r="C349" s="2" t="n">
        <v>0.191402359691299</v>
      </c>
      <c r="D349" s="2" t="n">
        <v>0.170468848752339</v>
      </c>
      <c r="E349" s="2" t="n">
        <v>0.0987440796780362</v>
      </c>
    </row>
    <row r="350" customFormat="false" ht="13.8" hidden="false" customHeight="false" outlineLevel="0" collapsed="false">
      <c r="B350" s="2" t="n">
        <v>348</v>
      </c>
      <c r="C350" s="2" t="n">
        <v>0.173826980722562</v>
      </c>
      <c r="D350" s="2" t="n">
        <v>0.154815673817512</v>
      </c>
      <c r="E350" s="2" t="n">
        <v>0.0896769781853499</v>
      </c>
    </row>
    <row r="351" customFormat="false" ht="13.8" hidden="false" customHeight="false" outlineLevel="0" collapsed="false">
      <c r="B351" s="2" t="n">
        <v>349</v>
      </c>
      <c r="C351" s="2" t="n">
        <v>0.156251601753825</v>
      </c>
      <c r="D351" s="2" t="n">
        <v>0.139162498882684</v>
      </c>
      <c r="E351" s="2" t="n">
        <v>0.0806098766926635</v>
      </c>
    </row>
    <row r="352" customFormat="false" ht="13.8" hidden="false" customHeight="false" outlineLevel="0" collapsed="false">
      <c r="B352" s="2" t="n">
        <v>350</v>
      </c>
      <c r="C352" s="2" t="n">
        <v>0.12623149790567</v>
      </c>
      <c r="D352" s="2" t="n">
        <v>0.112425667891288</v>
      </c>
      <c r="E352" s="2" t="n">
        <v>0.0651225674917422</v>
      </c>
    </row>
    <row r="353" customFormat="false" ht="13.8" hidden="false" customHeight="false" outlineLevel="0" collapsed="false">
      <c r="B353" s="2" t="n">
        <v>351</v>
      </c>
      <c r="C353" s="2" t="n">
        <v>0.0962113940576713</v>
      </c>
      <c r="D353" s="2" t="n">
        <v>0.0856888369196303</v>
      </c>
      <c r="E353" s="2" t="n">
        <v>0.0496352589141305</v>
      </c>
    </row>
    <row r="354" customFormat="false" ht="13.8" hidden="false" customHeight="false" outlineLevel="0" collapsed="false">
      <c r="B354" s="2" t="n">
        <v>352</v>
      </c>
      <c r="C354" s="2" t="n">
        <v>0.066191290209361</v>
      </c>
      <c r="D354" s="2" t="n">
        <v>0.0589520059084971</v>
      </c>
      <c r="E354" s="2" t="n">
        <v>0.0341479490899217</v>
      </c>
    </row>
    <row r="355" customFormat="false" ht="13.8" hidden="false" customHeight="false" outlineLevel="0" collapsed="false">
      <c r="B355" s="2" t="n">
        <v>353</v>
      </c>
      <c r="C355" s="2" t="n">
        <v>0.0361711863612063</v>
      </c>
      <c r="D355" s="2" t="n">
        <v>0.0322151749171014</v>
      </c>
      <c r="E355" s="2" t="n">
        <v>0.0186606404032204</v>
      </c>
    </row>
    <row r="356" customFormat="false" ht="13.8" hidden="false" customHeight="false" outlineLevel="0" collapsed="false">
      <c r="B356" s="2" t="n">
        <v>354</v>
      </c>
      <c r="C356" s="2" t="n">
        <v>0.0306533697228832</v>
      </c>
      <c r="D356" s="2" t="n">
        <v>0.0273008371237821</v>
      </c>
      <c r="E356" s="2" t="n">
        <v>0.0158140097499518</v>
      </c>
    </row>
    <row r="357" customFormat="false" ht="13.8" hidden="false" customHeight="false" outlineLevel="0" collapsed="false">
      <c r="B357" s="2" t="n">
        <v>355</v>
      </c>
      <c r="C357" s="2" t="n">
        <v>0.0251355530845595</v>
      </c>
      <c r="D357" s="2" t="n">
        <v>0.0223864993304623</v>
      </c>
      <c r="E357" s="2" t="n">
        <v>0.0129673796108953</v>
      </c>
    </row>
    <row r="358" customFormat="false" ht="13.8" hidden="false" customHeight="false" outlineLevel="0" collapsed="false">
      <c r="B358" s="2" t="n">
        <v>356</v>
      </c>
      <c r="C358" s="2" t="n">
        <v>0.0196177364462359</v>
      </c>
      <c r="D358" s="2" t="n">
        <v>0.0174721615371426</v>
      </c>
      <c r="E358" s="2" t="n">
        <v>0.0101207494718389</v>
      </c>
    </row>
    <row r="359" customFormat="false" ht="13.8" hidden="false" customHeight="false" outlineLevel="0" collapsed="false">
      <c r="B359" s="2" t="n">
        <v>357</v>
      </c>
      <c r="C359" s="2" t="n">
        <v>0.0140999198079122</v>
      </c>
      <c r="D359" s="2" t="n">
        <v>0.0125578237438228</v>
      </c>
      <c r="E359" s="2" t="n">
        <v>0.00727411933278243</v>
      </c>
    </row>
    <row r="360" customFormat="false" ht="13.8" hidden="false" customHeight="false" outlineLevel="0" collapsed="false">
      <c r="B360" s="2" t="n">
        <v>358</v>
      </c>
      <c r="C360" s="2" t="n">
        <v>0.0105749398559344</v>
      </c>
      <c r="D360" s="2" t="n">
        <v>0.00941836780786735</v>
      </c>
      <c r="E360" s="2" t="n">
        <v>0.00545558949959136</v>
      </c>
    </row>
    <row r="361" customFormat="false" ht="13.8" hidden="false" customHeight="false" outlineLevel="0" collapsed="false">
      <c r="B361" s="2" t="n">
        <v>359</v>
      </c>
      <c r="C361" s="2" t="n">
        <v>0.00704995990395663</v>
      </c>
      <c r="D361" s="2" t="n">
        <v>0.00627891187191191</v>
      </c>
      <c r="E361" s="2" t="n">
        <v>0.00363705966640028</v>
      </c>
    </row>
    <row r="362" customFormat="false" ht="13.8" hidden="false" customHeight="false" outlineLevel="0" collapsed="false">
      <c r="B362" s="2" t="n">
        <v>360</v>
      </c>
      <c r="C362" s="2" t="n">
        <v>0.00352497995197881</v>
      </c>
      <c r="D362" s="2" t="n">
        <v>0.00313945593595647</v>
      </c>
      <c r="E362" s="2" t="n">
        <v>0.0018185298332092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0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0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0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0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0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0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0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0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0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0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0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0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0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0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0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0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0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0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0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0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0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0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0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0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0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0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0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0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0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0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0.0040502004641935</v>
      </c>
      <c r="D408" s="2" t="n">
        <v>0.00360723353390641</v>
      </c>
      <c r="E408" s="2" t="n">
        <v>0.00208949000418277</v>
      </c>
    </row>
    <row r="409" customFormat="false" ht="13.8" hidden="false" customHeight="false" outlineLevel="0" collapsed="false">
      <c r="B409" s="2" t="n">
        <v>407</v>
      </c>
      <c r="C409" s="2" t="n">
        <v>0.00810040092838592</v>
      </c>
      <c r="D409" s="2" t="n">
        <v>0.00721446706781179</v>
      </c>
      <c r="E409" s="2" t="n">
        <v>0.0041789800083474</v>
      </c>
    </row>
    <row r="410" customFormat="false" ht="13.8" hidden="false" customHeight="false" outlineLevel="0" collapsed="false">
      <c r="B410" s="2" t="n">
        <v>408</v>
      </c>
      <c r="C410" s="2" t="n">
        <v>0.0121506013925783</v>
      </c>
      <c r="D410" s="2" t="n">
        <v>0.0108217006017172</v>
      </c>
      <c r="E410" s="2" t="n">
        <v>0.00626847001251202</v>
      </c>
    </row>
    <row r="411" customFormat="false" ht="13.8" hidden="false" customHeight="false" outlineLevel="0" collapsed="false">
      <c r="B411" s="2" t="n">
        <v>409</v>
      </c>
      <c r="C411" s="2" t="n">
        <v>0.0162008018567708</v>
      </c>
      <c r="D411" s="2" t="n">
        <v>0.0144289341356225</v>
      </c>
      <c r="E411" s="2" t="n">
        <v>0.00835796001667665</v>
      </c>
    </row>
    <row r="412" customFormat="false" ht="13.8" hidden="false" customHeight="false" outlineLevel="0" collapsed="false">
      <c r="B412" s="2" t="n">
        <v>410</v>
      </c>
      <c r="C412" s="2" t="n">
        <v>0.0329808469070105</v>
      </c>
      <c r="D412" s="2" t="n">
        <v>0.0293737601301352</v>
      </c>
      <c r="E412" s="2" t="n">
        <v>0.0170147503933042</v>
      </c>
    </row>
    <row r="413" customFormat="false" ht="13.8" hidden="false" customHeight="false" outlineLevel="0" collapsed="false">
      <c r="B413" s="2" t="n">
        <v>411</v>
      </c>
      <c r="C413" s="2" t="n">
        <v>0.0497608919572512</v>
      </c>
      <c r="D413" s="2" t="n">
        <v>0.0312208626705767</v>
      </c>
      <c r="E413" s="2" t="n">
        <v>0.0256715407699283</v>
      </c>
    </row>
    <row r="414" customFormat="false" ht="13.8" hidden="false" customHeight="false" outlineLevel="0" collapsed="false">
      <c r="B414" s="2" t="n">
        <v>412</v>
      </c>
      <c r="C414" s="2" t="n">
        <v>0.0409847666666669</v>
      </c>
      <c r="D414" s="2" t="n">
        <v>0.0159745265316355</v>
      </c>
      <c r="E414" s="2" t="n">
        <v>0.0343283311465775</v>
      </c>
    </row>
    <row r="415" customFormat="false" ht="13.8" hidden="false" customHeight="false" outlineLevel="0" collapsed="false">
      <c r="B415" s="2" t="n">
        <v>413</v>
      </c>
      <c r="C415" s="2" t="n">
        <v>0.0833209820577351</v>
      </c>
      <c r="D415" s="2" t="n">
        <v>0.0178144711642571</v>
      </c>
      <c r="E415" s="2" t="n">
        <v>0.0429851215232267</v>
      </c>
    </row>
    <row r="416" customFormat="false" ht="13.8" hidden="false" customHeight="false" outlineLevel="0" collapsed="false">
      <c r="B416" s="2" t="n">
        <v>414</v>
      </c>
      <c r="C416" s="2" t="n">
        <v>0.03285205</v>
      </c>
      <c r="D416" s="2" t="n">
        <v>0.015765720034195</v>
      </c>
      <c r="E416" s="2" t="n">
        <v>0.0595198853279538</v>
      </c>
    </row>
    <row r="417" customFormat="false" ht="13.8" hidden="false" customHeight="false" outlineLevel="0" collapsed="false">
      <c r="B417" s="2" t="n">
        <v>415</v>
      </c>
      <c r="C417" s="2" t="n">
        <v>0.0888344</v>
      </c>
      <c r="D417" s="2" t="n">
        <v>0.0185004240347746</v>
      </c>
      <c r="E417" s="2" t="n">
        <v>0.0760546491326803</v>
      </c>
    </row>
    <row r="418" customFormat="false" ht="13.8" hidden="false" customHeight="false" outlineLevel="0" collapsed="false">
      <c r="B418" s="2" t="n">
        <v>416</v>
      </c>
      <c r="C418" s="2" t="n">
        <v>0.0284180333333333</v>
      </c>
      <c r="D418" s="2" t="n">
        <v>0.0154738988060393</v>
      </c>
      <c r="E418" s="2" t="n">
        <v>0.0227677152174013</v>
      </c>
    </row>
    <row r="419" customFormat="false" ht="13.8" hidden="false" customHeight="false" outlineLevel="0" collapsed="false">
      <c r="B419" s="2" t="n">
        <v>417</v>
      </c>
      <c r="C419" s="2" t="n">
        <v>0.0813351166666695</v>
      </c>
      <c r="D419" s="2" t="n">
        <v>0.0180554518369078</v>
      </c>
      <c r="E419" s="2" t="n">
        <v>0.0256181483488273</v>
      </c>
    </row>
    <row r="420" customFormat="false" ht="13.8" hidden="false" customHeight="false" outlineLevel="0" collapsed="false">
      <c r="B420" s="2" t="n">
        <v>418</v>
      </c>
      <c r="C420" s="2" t="n">
        <v>0.0492519500000045</v>
      </c>
      <c r="D420" s="2" t="n">
        <v>0.0168614768747197</v>
      </c>
      <c r="E420" s="2" t="n">
        <v>0.0241970197463429</v>
      </c>
    </row>
    <row r="421" customFormat="false" ht="13.8" hidden="false" customHeight="false" outlineLevel="0" collapsed="false">
      <c r="B421" s="2" t="n">
        <v>419</v>
      </c>
      <c r="C421" s="2" t="n">
        <v>0.0513689333333413</v>
      </c>
      <c r="D421" s="2" t="n">
        <v>0.0172657577075048</v>
      </c>
      <c r="E421" s="2" t="n">
        <v>0.0245838996513891</v>
      </c>
    </row>
    <row r="422" customFormat="false" ht="13.8" hidden="false" customHeight="false" outlineLevel="0" collapsed="false">
      <c r="B422" s="2" t="n">
        <v>420</v>
      </c>
      <c r="C422" s="2" t="n">
        <v>0.095368683333348</v>
      </c>
      <c r="D422" s="2" t="n">
        <v>0.0195249211422545</v>
      </c>
      <c r="E422" s="2" t="n">
        <v>0.0270750408852794</v>
      </c>
    </row>
    <row r="423" customFormat="false" ht="13.8" hidden="false" customHeight="false" outlineLevel="0" collapsed="false">
      <c r="B423" s="2" t="n">
        <v>421</v>
      </c>
      <c r="C423" s="2" t="n">
        <v>0.0200854666666667</v>
      </c>
      <c r="D423" s="2" t="n">
        <v>0.0152050691133257</v>
      </c>
      <c r="E423" s="2" t="n">
        <v>0.0220323839969575</v>
      </c>
    </row>
    <row r="424" customFormat="false" ht="13.8" hidden="false" customHeight="false" outlineLevel="0" collapsed="false">
      <c r="B424" s="2" t="n">
        <v>422</v>
      </c>
      <c r="C424" s="2" t="n">
        <v>0.0793853166667177</v>
      </c>
      <c r="D424" s="2" t="n">
        <v>0.0180330450161557</v>
      </c>
      <c r="E424" s="2" t="n">
        <v>0.0252491979930019</v>
      </c>
    </row>
    <row r="425" customFormat="false" ht="13.8" hidden="false" customHeight="false" outlineLevel="0" collapsed="false">
      <c r="B425" s="2" t="n">
        <v>423</v>
      </c>
      <c r="C425" s="2" t="n">
        <v>0.0630517333334287</v>
      </c>
      <c r="D425" s="2" t="n">
        <v>0.0183078396068596</v>
      </c>
      <c r="E425" s="2" t="n">
        <v>0.0255255269227597</v>
      </c>
    </row>
    <row r="426" customFormat="false" ht="13.8" hidden="false" customHeight="false" outlineLevel="0" collapsed="false">
      <c r="B426" s="2" t="n">
        <v>424</v>
      </c>
      <c r="C426" s="2" t="n">
        <v>0.082251916666845</v>
      </c>
      <c r="D426" s="2" t="n">
        <v>0.0192625891369146</v>
      </c>
      <c r="E426" s="2" t="n">
        <v>0.0265620216623825</v>
      </c>
    </row>
    <row r="427" customFormat="false" ht="13.8" hidden="false" customHeight="false" outlineLevel="0" collapsed="false">
      <c r="B427" s="2" t="n">
        <v>425</v>
      </c>
      <c r="C427" s="2" t="n">
        <v>0.0587520666666667</v>
      </c>
      <c r="D427" s="2" t="n">
        <v>0.0175781946799444</v>
      </c>
      <c r="E427" s="2" t="n">
        <v>0.0243822633158449</v>
      </c>
    </row>
    <row r="428" customFormat="false" ht="13.8" hidden="false" customHeight="false" outlineLevel="0" collapsed="false">
      <c r="B428" s="2" t="n">
        <v>426</v>
      </c>
      <c r="C428" s="2" t="n">
        <v>0.0272522500005983</v>
      </c>
      <c r="D428" s="2" t="n">
        <v>0</v>
      </c>
      <c r="E428" s="2" t="n">
        <v>0.0174073628832811</v>
      </c>
    </row>
    <row r="429" customFormat="false" ht="13.8" hidden="false" customHeight="false" outlineLevel="0" collapsed="false">
      <c r="B429" s="2" t="n">
        <v>427</v>
      </c>
      <c r="C429" s="2" t="n">
        <v>0.0869185833344993</v>
      </c>
      <c r="D429" s="2" t="n">
        <v>0</v>
      </c>
      <c r="E429" s="2" t="n">
        <v>0.0500965824613024</v>
      </c>
    </row>
    <row r="430" customFormat="false" ht="13.8" hidden="false" customHeight="false" outlineLevel="0" collapsed="false">
      <c r="B430" s="2" t="n">
        <v>428</v>
      </c>
      <c r="C430" s="2" t="n">
        <v>0.0480014166688036</v>
      </c>
      <c r="D430" s="2" t="n">
        <v>0.0310206549005414</v>
      </c>
      <c r="E430" s="2" t="n">
        <v>0.0664714867266911</v>
      </c>
    </row>
    <row r="431" customFormat="false" ht="13.8" hidden="false" customHeight="false" outlineLevel="0" collapsed="false">
      <c r="B431" s="2" t="n">
        <v>429</v>
      </c>
      <c r="C431" s="2" t="n">
        <v>0.147971281641983</v>
      </c>
      <c r="D431" s="2" t="n">
        <v>0.307350179753205</v>
      </c>
      <c r="E431" s="2" t="n">
        <v>0.0947480542178676</v>
      </c>
    </row>
    <row r="432" customFormat="false" ht="13.8" hidden="false" customHeight="false" outlineLevel="0" collapsed="false">
      <c r="B432" s="2" t="n">
        <v>430</v>
      </c>
      <c r="C432" s="2" t="n">
        <v>0.404533842287937</v>
      </c>
      <c r="D432" s="2" t="n">
        <v>0.360290324985578</v>
      </c>
      <c r="E432" s="2" t="n">
        <v>0.164479322761584</v>
      </c>
    </row>
    <row r="433" customFormat="false" ht="13.8" hidden="false" customHeight="false" outlineLevel="0" collapsed="false">
      <c r="B433" s="2" t="n">
        <v>431</v>
      </c>
      <c r="C433" s="2" t="n">
        <v>0.414311947595338</v>
      </c>
      <c r="D433" s="2" t="n">
        <v>0.368999007351983</v>
      </c>
      <c r="E433" s="2" t="n">
        <v>0.213742672926963</v>
      </c>
    </row>
    <row r="434" customFormat="false" ht="13.8" hidden="false" customHeight="false" outlineLevel="0" collapsed="false">
      <c r="B434" s="2" t="n">
        <v>432</v>
      </c>
      <c r="C434" s="2" t="n">
        <v>0.42409005286026</v>
      </c>
      <c r="D434" s="2" t="n">
        <v>0.377707689669825</v>
      </c>
      <c r="E434" s="2" t="n">
        <v>0.218787177138511</v>
      </c>
    </row>
    <row r="435" customFormat="false" ht="13.8" hidden="false" customHeight="false" outlineLevel="0" collapsed="false">
      <c r="B435" s="2" t="n">
        <v>433</v>
      </c>
      <c r="C435" s="2" t="n">
        <v>0.433868158153964</v>
      </c>
      <c r="D435" s="2" t="n">
        <v>0.386416372022531</v>
      </c>
      <c r="E435" s="2" t="n">
        <v>0.223831681350121</v>
      </c>
    </row>
    <row r="436" customFormat="false" ht="13.8" hidden="false" customHeight="false" outlineLevel="0" collapsed="false">
      <c r="B436" s="2" t="n">
        <v>434</v>
      </c>
      <c r="C436" s="2" t="n">
        <v>0.430542761982917</v>
      </c>
      <c r="D436" s="2" t="n">
        <v>0.383454671560084</v>
      </c>
      <c r="E436" s="2" t="n">
        <v>0.222116116381924</v>
      </c>
    </row>
    <row r="437" customFormat="false" ht="13.8" hidden="false" customHeight="false" outlineLevel="0" collapsed="false">
      <c r="B437" s="2" t="n">
        <v>435</v>
      </c>
      <c r="C437" s="2" t="n">
        <v>0.427217365811854</v>
      </c>
      <c r="D437" s="2" t="n">
        <v>0.380492971097621</v>
      </c>
      <c r="E437" s="2" t="n">
        <v>0.220400551413713</v>
      </c>
    </row>
    <row r="438" customFormat="false" ht="13.8" hidden="false" customHeight="false" outlineLevel="0" collapsed="false">
      <c r="B438" s="2" t="n">
        <v>436</v>
      </c>
      <c r="C438" s="2" t="n">
        <v>0.423891969641025</v>
      </c>
      <c r="D438" s="2" t="n">
        <v>0.377531270635392</v>
      </c>
      <c r="E438" s="2" t="n">
        <v>0.218684986445496</v>
      </c>
    </row>
    <row r="439" customFormat="false" ht="13.8" hidden="false" customHeight="false" outlineLevel="0" collapsed="false">
      <c r="B439" s="2" t="n">
        <v>437</v>
      </c>
      <c r="C439" s="2" t="n">
        <v>0.420566573470389</v>
      </c>
      <c r="D439" s="2" t="n">
        <v>0.374569570173355</v>
      </c>
      <c r="E439" s="2" t="n">
        <v>0.216969421477276</v>
      </c>
    </row>
    <row r="440" customFormat="false" ht="13.8" hidden="false" customHeight="false" outlineLevel="0" collapsed="false">
      <c r="B440" s="2" t="n">
        <v>438</v>
      </c>
      <c r="C440" s="2" t="n">
        <v>0.345360998683124</v>
      </c>
      <c r="D440" s="2" t="n">
        <v>0.307589164217563</v>
      </c>
      <c r="E440" s="2" t="n">
        <v>0.10904746009018</v>
      </c>
    </row>
    <row r="441" customFormat="false" ht="13.8" hidden="false" customHeight="false" outlineLevel="0" collapsed="false">
      <c r="B441" s="2" t="n">
        <v>439</v>
      </c>
      <c r="C441" s="2" t="n">
        <v>0.2701554239228</v>
      </c>
      <c r="D441" s="2" t="n">
        <v>0.240608758296375</v>
      </c>
      <c r="E441" s="2" t="n">
        <v>0.139372621885702</v>
      </c>
    </row>
    <row r="442" customFormat="false" ht="13.8" hidden="false" customHeight="false" outlineLevel="0" collapsed="false">
      <c r="B442" s="2" t="n">
        <v>440</v>
      </c>
      <c r="C442" s="2" t="n">
        <v>0.194949849093801</v>
      </c>
      <c r="D442" s="2" t="n">
        <v>0.173628352299635</v>
      </c>
      <c r="E442" s="2" t="n">
        <v>0.100574222089982</v>
      </c>
    </row>
    <row r="443" customFormat="false" ht="13.8" hidden="false" customHeight="false" outlineLevel="0" collapsed="false">
      <c r="B443" s="2" t="n">
        <v>441</v>
      </c>
      <c r="C443" s="2" t="n">
        <v>0.119744274264802</v>
      </c>
      <c r="D443" s="2" t="n">
        <v>0.106647946300597</v>
      </c>
      <c r="E443" s="2" t="n">
        <v>0.0617758222942624</v>
      </c>
    </row>
    <row r="444" customFormat="false" ht="13.8" hidden="false" customHeight="false" outlineLevel="0" collapsed="false">
      <c r="B444" s="2" t="n">
        <v>442</v>
      </c>
      <c r="C444" s="2" t="n">
        <v>0.131920386367973</v>
      </c>
      <c r="D444" s="2" t="n">
        <v>0.117492367530797</v>
      </c>
      <c r="E444" s="2" t="n">
        <v>0.0680574532293424</v>
      </c>
    </row>
    <row r="445" customFormat="false" ht="13.8" hidden="false" customHeight="false" outlineLevel="0" collapsed="false">
      <c r="B445" s="2" t="n">
        <v>443</v>
      </c>
      <c r="C445" s="2" t="n">
        <v>0.144096498471143</v>
      </c>
      <c r="D445" s="2" t="n">
        <v>0.128336788758699</v>
      </c>
      <c r="E445" s="2" t="n">
        <v>0.0743390841644225</v>
      </c>
    </row>
    <row r="446" customFormat="false" ht="13.8" hidden="false" customHeight="false" outlineLevel="0" collapsed="false">
      <c r="B446" s="2" t="n">
        <v>444</v>
      </c>
      <c r="C446" s="2" t="n">
        <v>0.156272610574314</v>
      </c>
      <c r="D446" s="2" t="n">
        <v>0.139181209986602</v>
      </c>
      <c r="E446" s="2" t="n">
        <v>0.0806207150995382</v>
      </c>
    </row>
    <row r="447" customFormat="false" ht="13.8" hidden="false" customHeight="false" outlineLevel="0" collapsed="false">
      <c r="B447" s="2" t="n">
        <v>445</v>
      </c>
      <c r="C447" s="2" t="n">
        <v>0.168448722677484</v>
      </c>
      <c r="D447" s="2" t="n">
        <v>0.150025631214504</v>
      </c>
      <c r="E447" s="2" t="n">
        <v>0.086902346034638</v>
      </c>
    </row>
    <row r="448" customFormat="false" ht="13.8" hidden="false" customHeight="false" outlineLevel="0" collapsed="false">
      <c r="B448" s="2" t="n">
        <v>446</v>
      </c>
      <c r="C448" s="2" t="n">
        <v>0.153472434929192</v>
      </c>
      <c r="D448" s="2" t="n">
        <v>0.136687287135817</v>
      </c>
      <c r="E448" s="2" t="n">
        <v>0.0791761103023064</v>
      </c>
    </row>
    <row r="449" customFormat="false" ht="13.8" hidden="false" customHeight="false" outlineLevel="0" collapsed="false">
      <c r="B449" s="2" t="n">
        <v>447</v>
      </c>
      <c r="C449" s="2" t="n">
        <v>0.1384961471809</v>
      </c>
      <c r="D449" s="2" t="n">
        <v>0.12334894305713</v>
      </c>
      <c r="E449" s="2" t="n">
        <v>0.0714498745699747</v>
      </c>
    </row>
    <row r="450" customFormat="false" ht="13.8" hidden="false" customHeight="false" outlineLevel="0" collapsed="false">
      <c r="B450" s="2" t="n">
        <v>448</v>
      </c>
      <c r="C450" s="2" t="n">
        <v>0.123519859432608</v>
      </c>
      <c r="D450" s="2" t="n">
        <v>0.110010598978444</v>
      </c>
      <c r="E450" s="2" t="n">
        <v>0.0637236388376432</v>
      </c>
    </row>
    <row r="451" customFormat="false" ht="13.8" hidden="false" customHeight="false" outlineLevel="0" collapsed="false">
      <c r="B451" s="2" t="n">
        <v>449</v>
      </c>
      <c r="C451" s="2" t="n">
        <v>0.108543571684316</v>
      </c>
      <c r="D451" s="2" t="n">
        <v>0.0966722548997568</v>
      </c>
      <c r="E451" s="2" t="n">
        <v>0.0559974031053116</v>
      </c>
    </row>
    <row r="452" customFormat="false" ht="13.8" hidden="false" customHeight="false" outlineLevel="0" collapsed="false">
      <c r="B452" s="2" t="n">
        <v>450</v>
      </c>
      <c r="C452" s="2" t="n">
        <v>0.095195467523889</v>
      </c>
      <c r="D452" s="2" t="n">
        <v>0.0847840213747148</v>
      </c>
      <c r="E452" s="2" t="n">
        <v>0.049111143902998</v>
      </c>
    </row>
    <row r="453" customFormat="false" ht="13.8" hidden="false" customHeight="false" outlineLevel="0" collapsed="false">
      <c r="B453" s="2" t="n">
        <v>451</v>
      </c>
      <c r="C453" s="2" t="n">
        <v>0.0818473633634618</v>
      </c>
      <c r="D453" s="2" t="n">
        <v>0.0728957878496728</v>
      </c>
      <c r="E453" s="2" t="n">
        <v>0.0422248847006843</v>
      </c>
    </row>
    <row r="454" customFormat="false" ht="13.8" hidden="false" customHeight="false" outlineLevel="0" collapsed="false">
      <c r="B454" s="2" t="n">
        <v>452</v>
      </c>
      <c r="C454" s="2" t="n">
        <v>0.0684992592030356</v>
      </c>
      <c r="D454" s="2" t="n">
        <v>0.0610075543246308</v>
      </c>
      <c r="E454" s="2" t="n">
        <v>0.0353386254983708</v>
      </c>
    </row>
    <row r="455" customFormat="false" ht="13.8" hidden="false" customHeight="false" outlineLevel="0" collapsed="false">
      <c r="B455" s="2" t="n">
        <v>453</v>
      </c>
      <c r="C455" s="2" t="n">
        <v>0.0551511550426083</v>
      </c>
      <c r="D455" s="2" t="n">
        <v>0.0491193207995888</v>
      </c>
      <c r="E455" s="2" t="n">
        <v>0.0284523662960571</v>
      </c>
    </row>
    <row r="456" customFormat="false" ht="13.8" hidden="false" customHeight="false" outlineLevel="0" collapsed="false">
      <c r="B456" s="2" t="n">
        <v>454</v>
      </c>
      <c r="C456" s="2" t="n">
        <v>0.0414759135345737</v>
      </c>
      <c r="D456" s="2" t="n">
        <v>0.0369397286563951</v>
      </c>
      <c r="E456" s="2" t="n">
        <v>0.0213973376158228</v>
      </c>
    </row>
    <row r="457" customFormat="false" ht="13.8" hidden="false" customHeight="false" outlineLevel="0" collapsed="false">
      <c r="B457" s="2" t="n">
        <v>455</v>
      </c>
      <c r="C457" s="2" t="n">
        <v>0.0278006720265385</v>
      </c>
      <c r="D457" s="2" t="n">
        <v>0.024760136513201</v>
      </c>
      <c r="E457" s="2" t="n">
        <v>0.0143423089355775</v>
      </c>
    </row>
    <row r="458" customFormat="false" ht="13.8" hidden="false" customHeight="false" outlineLevel="0" collapsed="false">
      <c r="B458" s="2" t="n">
        <v>456</v>
      </c>
      <c r="C458" s="2" t="n">
        <v>0.0141254305185039</v>
      </c>
      <c r="D458" s="2" t="n">
        <v>0.0125805443700073</v>
      </c>
      <c r="E458" s="2" t="n">
        <v>0.00728728025534327</v>
      </c>
    </row>
    <row r="459" customFormat="false" ht="13.8" hidden="false" customHeight="false" outlineLevel="0" collapsed="false">
      <c r="B459" s="2" t="n">
        <v>457</v>
      </c>
      <c r="C459" s="2" t="n">
        <v>0.000450189010469122</v>
      </c>
      <c r="D459" s="2" t="n">
        <v>0.00040095222680308</v>
      </c>
      <c r="E459" s="2" t="n">
        <v>0.000232251575109025</v>
      </c>
    </row>
    <row r="460" customFormat="false" ht="13.8" hidden="false" customHeight="false" outlineLevel="0" collapsed="false">
      <c r="B460" s="2" t="n">
        <v>458</v>
      </c>
      <c r="C460" s="2" t="n">
        <v>0.000337641757851696</v>
      </c>
      <c r="D460" s="2" t="n">
        <v>0.00030071417009951</v>
      </c>
      <c r="E460" s="2" t="n">
        <v>0.000174188681328975</v>
      </c>
    </row>
    <row r="461" customFormat="false" ht="13.8" hidden="false" customHeight="false" outlineLevel="0" collapsed="false">
      <c r="B461" s="2" t="n">
        <v>459</v>
      </c>
      <c r="C461" s="2" t="n">
        <v>0.00022509450523427</v>
      </c>
      <c r="D461" s="2" t="n">
        <v>0.000200476113395949</v>
      </c>
      <c r="E461" s="2" t="n">
        <v>0.000116125787548938</v>
      </c>
    </row>
    <row r="462" customFormat="false" ht="13.8" hidden="false" customHeight="false" outlineLevel="0" collapsed="false">
      <c r="B462" s="2" t="n">
        <v>460</v>
      </c>
      <c r="C462" s="2" t="n">
        <v>0.000112547252616845</v>
      </c>
      <c r="D462" s="2" t="n">
        <v>0.000100238056692393</v>
      </c>
      <c r="E462" s="2" t="n">
        <v>5.80628937688818E-005</v>
      </c>
    </row>
    <row r="463" customFormat="false" ht="13.8" hidden="false" customHeight="false" outlineLevel="0" collapsed="false">
      <c r="B463" s="2" t="n">
        <v>461</v>
      </c>
      <c r="C463" s="2" t="n">
        <v>0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0</v>
      </c>
      <c r="D464" s="2" t="n">
        <v>0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0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0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0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0</v>
      </c>
      <c r="D468" s="2" t="n">
        <v>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0</v>
      </c>
      <c r="D469" s="2" t="n">
        <v>0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0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0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0</v>
      </c>
      <c r="D472" s="2" t="n">
        <v>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0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0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0</v>
      </c>
      <c r="D476" s="2" t="n">
        <v>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0</v>
      </c>
      <c r="D477" s="2" t="n">
        <v>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0</v>
      </c>
      <c r="D478" s="2" t="n">
        <v>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0</v>
      </c>
      <c r="D479" s="2" t="n">
        <v>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0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0</v>
      </c>
      <c r="D481" s="2" t="n">
        <v>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0</v>
      </c>
      <c r="D482" s="2" t="n">
        <v>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0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0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0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0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0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0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0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0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0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0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0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0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0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0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0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0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0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0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0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0.000172572454012803</v>
      </c>
      <c r="D504" s="2" t="n">
        <v>0.000153698353600951</v>
      </c>
      <c r="E504" s="2" t="n">
        <v>8.902977045073E-005</v>
      </c>
    </row>
    <row r="505" customFormat="false" ht="13.8" hidden="false" customHeight="false" outlineLevel="0" collapsed="false">
      <c r="B505" s="2" t="n">
        <v>503</v>
      </c>
      <c r="C505" s="2" t="n">
        <v>0.000345144908026181</v>
      </c>
      <c r="D505" s="2" t="n">
        <v>0.000307396707213114</v>
      </c>
      <c r="E505" s="2" t="n">
        <v>0.000178059540914298</v>
      </c>
    </row>
    <row r="506" customFormat="false" ht="13.8" hidden="false" customHeight="false" outlineLevel="0" collapsed="false">
      <c r="B506" s="2" t="n">
        <v>504</v>
      </c>
      <c r="C506" s="2" t="n">
        <v>0.000517717362039582</v>
      </c>
      <c r="D506" s="2" t="n">
        <v>0.000461095060835784</v>
      </c>
      <c r="E506" s="2" t="n">
        <v>0.000267089311377045</v>
      </c>
    </row>
    <row r="507" customFormat="false" ht="13.8" hidden="false" customHeight="false" outlineLevel="0" collapsed="false">
      <c r="B507" s="2" t="n">
        <v>505</v>
      </c>
      <c r="C507" s="2" t="n">
        <v>0.000690289816052953</v>
      </c>
      <c r="D507" s="2" t="n">
        <v>0.000614793414447906</v>
      </c>
      <c r="E507" s="2" t="n">
        <v>0.000356119081839784</v>
      </c>
    </row>
    <row r="508" customFormat="false" ht="13.8" hidden="false" customHeight="false" outlineLevel="0" collapsed="false">
      <c r="B508" s="2" t="n">
        <v>506</v>
      </c>
      <c r="C508" s="2" t="n">
        <v>0.00250755278831541</v>
      </c>
      <c r="D508" s="2" t="n">
        <v>0.00223330390335469</v>
      </c>
      <c r="E508" s="2" t="n">
        <v>0.00129364127340828</v>
      </c>
    </row>
    <row r="509" customFormat="false" ht="13.8" hidden="false" customHeight="false" outlineLevel="0" collapsed="false">
      <c r="B509" s="2" t="n">
        <v>507</v>
      </c>
      <c r="C509" s="2" t="n">
        <v>0.00432481576057837</v>
      </c>
      <c r="D509" s="2" t="n">
        <v>0.00385181439226148</v>
      </c>
      <c r="E509" s="2" t="n">
        <v>0.00223116346498738</v>
      </c>
    </row>
    <row r="510" customFormat="false" ht="13.8" hidden="false" customHeight="false" outlineLevel="0" collapsed="false">
      <c r="B510" s="2" t="n">
        <v>508</v>
      </c>
      <c r="C510" s="2" t="n">
        <v>0.00614207873284107</v>
      </c>
      <c r="D510" s="2" t="n">
        <v>0.00547032488116826</v>
      </c>
      <c r="E510" s="2" t="n">
        <v>0.00316868565654526</v>
      </c>
    </row>
    <row r="511" customFormat="false" ht="13.8" hidden="false" customHeight="false" outlineLevel="0" collapsed="false">
      <c r="B511" s="2" t="n">
        <v>509</v>
      </c>
      <c r="C511" s="2" t="n">
        <v>0.00795934170510377</v>
      </c>
      <c r="D511" s="2" t="n">
        <v>0.00708883537007504</v>
      </c>
      <c r="E511" s="2" t="n">
        <v>0.00410620784811376</v>
      </c>
    </row>
    <row r="512" customFormat="false" ht="13.8" hidden="false" customHeight="false" outlineLevel="0" collapsed="false">
      <c r="B512" s="2" t="n">
        <v>510</v>
      </c>
      <c r="C512" s="2" t="n">
        <v>0.033267467243665</v>
      </c>
      <c r="D512" s="2" t="n">
        <v>0.0296290330541378</v>
      </c>
      <c r="E512" s="2" t="n">
        <v>0.0171626172294537</v>
      </c>
    </row>
    <row r="513" customFormat="false" ht="13.8" hidden="false" customHeight="false" outlineLevel="0" collapsed="false">
      <c r="B513" s="2" t="n">
        <v>511</v>
      </c>
      <c r="C513" s="2" t="n">
        <v>0.0585755927822479</v>
      </c>
      <c r="D513" s="2" t="n">
        <v>0.0521692307382224</v>
      </c>
      <c r="E513" s="2" t="n">
        <v>0.0302190266108047</v>
      </c>
    </row>
    <row r="514" customFormat="false" ht="13.8" hidden="false" customHeight="false" outlineLevel="0" collapsed="false">
      <c r="B514" s="2" t="n">
        <v>512</v>
      </c>
      <c r="C514" s="2" t="n">
        <v>0.0838837183208194</v>
      </c>
      <c r="D514" s="2" t="n">
        <v>0.0747094284222958</v>
      </c>
      <c r="E514" s="2" t="n">
        <v>0.0432754360132241</v>
      </c>
    </row>
    <row r="515" customFormat="false" ht="13.8" hidden="false" customHeight="false" outlineLevel="0" collapsed="false">
      <c r="B515" s="2" t="n">
        <v>513</v>
      </c>
      <c r="C515" s="2" t="n">
        <v>0.109191843859391</v>
      </c>
      <c r="D515" s="2" t="n">
        <v>0.0972496261063692</v>
      </c>
      <c r="E515" s="2" t="n">
        <v>0.0563318453947911</v>
      </c>
    </row>
    <row r="516" customFormat="false" ht="13.8" hidden="false" customHeight="false" outlineLevel="0" collapsed="false">
      <c r="B516" s="2" t="n">
        <v>514</v>
      </c>
      <c r="C516" s="2" t="n">
        <v>0.130944976845287</v>
      </c>
      <c r="D516" s="2" t="n">
        <v>0.116623637706033</v>
      </c>
      <c r="E516" s="2" t="n">
        <v>0.0675542415048209</v>
      </c>
    </row>
    <row r="517" customFormat="false" ht="13.8" hidden="false" customHeight="false" outlineLevel="0" collapsed="false">
      <c r="B517" s="2" t="n">
        <v>515</v>
      </c>
      <c r="C517" s="2" t="n">
        <v>0.152698109831183</v>
      </c>
      <c r="D517" s="2" t="n">
        <v>0.135997649305697</v>
      </c>
      <c r="E517" s="2" t="n">
        <v>0.0787766376148447</v>
      </c>
    </row>
    <row r="518" customFormat="false" ht="13.8" hidden="false" customHeight="false" outlineLevel="0" collapsed="false">
      <c r="B518" s="2" t="n">
        <v>516</v>
      </c>
      <c r="C518" s="2" t="n">
        <v>0.174451242817079</v>
      </c>
      <c r="D518" s="2" t="n">
        <v>0.15537166090536</v>
      </c>
      <c r="E518" s="2" t="n">
        <v>0.0899990337248609</v>
      </c>
    </row>
    <row r="519" customFormat="false" ht="13.8" hidden="false" customHeight="false" outlineLevel="0" collapsed="false">
      <c r="B519" s="2" t="n">
        <v>517</v>
      </c>
      <c r="C519" s="2" t="n">
        <v>0.196204375802975</v>
      </c>
      <c r="D519" s="2" t="n">
        <v>0.174745672505024</v>
      </c>
      <c r="E519" s="2" t="n">
        <v>0.101221429834868</v>
      </c>
    </row>
    <row r="520" customFormat="false" ht="13.8" hidden="false" customHeight="false" outlineLevel="0" collapsed="false">
      <c r="B520" s="2" t="n">
        <v>518</v>
      </c>
      <c r="C520" s="2" t="n">
        <v>0.204890022444971</v>
      </c>
      <c r="D520" s="2" t="n">
        <v>0.182481377467693</v>
      </c>
      <c r="E520" s="2" t="n">
        <v>0.105702336891041</v>
      </c>
    </row>
    <row r="521" customFormat="false" ht="13.8" hidden="false" customHeight="false" outlineLevel="0" collapsed="false">
      <c r="B521" s="2" t="n">
        <v>519</v>
      </c>
      <c r="C521" s="2" t="n">
        <v>0.213575669086966</v>
      </c>
      <c r="D521" s="2" t="n">
        <v>0.190217082430363</v>
      </c>
      <c r="E521" s="2" t="n">
        <v>0.110183243947202</v>
      </c>
    </row>
    <row r="522" customFormat="false" ht="13.8" hidden="false" customHeight="false" outlineLevel="0" collapsed="false">
      <c r="B522" s="2" t="n">
        <v>520</v>
      </c>
      <c r="C522" s="2" t="n">
        <v>0.222261315728962</v>
      </c>
      <c r="D522" s="2" t="n">
        <v>0.197952787393032</v>
      </c>
      <c r="E522" s="2" t="n">
        <v>0.114664151003351</v>
      </c>
    </row>
    <row r="523" customFormat="false" ht="13.8" hidden="false" customHeight="false" outlineLevel="0" collapsed="false">
      <c r="B523" s="2" t="n">
        <v>521</v>
      </c>
      <c r="C523" s="2" t="n">
        <v>0.230946962370957</v>
      </c>
      <c r="D523" s="2" t="n">
        <v>0.205688492355701</v>
      </c>
      <c r="E523" s="2" t="n">
        <v>0.119145058059488</v>
      </c>
    </row>
    <row r="524" customFormat="false" ht="13.8" hidden="false" customHeight="false" outlineLevel="0" collapsed="false">
      <c r="B524" s="2" t="n">
        <v>522</v>
      </c>
      <c r="C524" s="2" t="n">
        <v>0.260567898629829</v>
      </c>
      <c r="D524" s="2" t="n">
        <v>0.232069812372655</v>
      </c>
      <c r="E524" s="2" t="n">
        <v>0.134426437530619</v>
      </c>
    </row>
    <row r="525" customFormat="false" ht="13.8" hidden="false" customHeight="false" outlineLevel="0" collapsed="false">
      <c r="B525" s="2" t="n">
        <v>523</v>
      </c>
      <c r="C525" s="2" t="n">
        <v>0.290188834888701</v>
      </c>
      <c r="D525" s="2" t="n">
        <v>0.258451132389609</v>
      </c>
      <c r="E525" s="2" t="n">
        <v>0.149707817001734</v>
      </c>
    </row>
    <row r="526" customFormat="false" ht="13.8" hidden="false" customHeight="false" outlineLevel="0" collapsed="false">
      <c r="B526" s="2" t="n">
        <v>524</v>
      </c>
      <c r="C526" s="2" t="n">
        <v>0.319809771147572</v>
      </c>
      <c r="D526" s="2" t="n">
        <v>0.284832452406562</v>
      </c>
      <c r="E526" s="2" t="n">
        <v>0.164989196472832</v>
      </c>
    </row>
    <row r="527" customFormat="false" ht="13.8" hidden="false" customHeight="false" outlineLevel="0" collapsed="false">
      <c r="B527" s="2" t="n">
        <v>525</v>
      </c>
      <c r="C527" s="2" t="n">
        <v>0.349430707406444</v>
      </c>
      <c r="D527" s="2" t="n">
        <v>0.311213772423516</v>
      </c>
      <c r="E527" s="2" t="n">
        <v>0.180270575943909</v>
      </c>
    </row>
    <row r="528" customFormat="false" ht="13.8" hidden="false" customHeight="false" outlineLevel="0" collapsed="false">
      <c r="B528" s="2" t="n">
        <v>526</v>
      </c>
      <c r="C528" s="2" t="n">
        <v>0.333611065578538</v>
      </c>
      <c r="D528" s="2" t="n">
        <v>0.297124311173264</v>
      </c>
      <c r="E528" s="2" t="n">
        <v>0.172109255594245</v>
      </c>
    </row>
    <row r="529" customFormat="false" ht="13.8" hidden="false" customHeight="false" outlineLevel="0" collapsed="false">
      <c r="B529" s="2" t="n">
        <v>527</v>
      </c>
      <c r="C529" s="2" t="n">
        <v>0.317791423750633</v>
      </c>
      <c r="D529" s="2" t="n">
        <v>0.283034849923012</v>
      </c>
      <c r="E529" s="2" t="n">
        <v>0.163947935244559</v>
      </c>
    </row>
    <row r="530" customFormat="false" ht="13.8" hidden="false" customHeight="false" outlineLevel="0" collapsed="false">
      <c r="B530" s="2" t="n">
        <v>528</v>
      </c>
      <c r="C530" s="2" t="n">
        <v>0.301971781922728</v>
      </c>
      <c r="D530" s="2" t="n">
        <v>0.26894538867276</v>
      </c>
      <c r="E530" s="2" t="n">
        <v>0.155786614894854</v>
      </c>
    </row>
    <row r="531" customFormat="false" ht="13.8" hidden="false" customHeight="false" outlineLevel="0" collapsed="false">
      <c r="B531" s="2" t="n">
        <v>529</v>
      </c>
      <c r="C531" s="2" t="n">
        <v>0.286152140094822</v>
      </c>
      <c r="D531" s="2" t="n">
        <v>0.254855927422508</v>
      </c>
      <c r="E531" s="2" t="n">
        <v>0.14762529454513</v>
      </c>
    </row>
    <row r="532" customFormat="false" ht="13.8" hidden="false" customHeight="false" outlineLevel="0" collapsed="false">
      <c r="B532" s="2" t="n">
        <v>530</v>
      </c>
      <c r="C532" s="2" t="n">
        <v>0.279217728703554</v>
      </c>
      <c r="D532" s="2" t="n">
        <v>0.248679926622146</v>
      </c>
      <c r="E532" s="2" t="n">
        <v>0.144047846116344</v>
      </c>
    </row>
    <row r="533" customFormat="false" ht="13.8" hidden="false" customHeight="false" outlineLevel="0" collapsed="false">
      <c r="B533" s="2" t="n">
        <v>531</v>
      </c>
      <c r="C533" s="2" t="n">
        <v>0.272283317312286</v>
      </c>
      <c r="D533" s="2" t="n">
        <v>0.242503925821784</v>
      </c>
      <c r="E533" s="2" t="n">
        <v>0.140470397687542</v>
      </c>
    </row>
    <row r="534" customFormat="false" ht="13.8" hidden="false" customHeight="false" outlineLevel="0" collapsed="false">
      <c r="B534" s="2" t="n">
        <v>532</v>
      </c>
      <c r="C534" s="2" t="n">
        <v>0.265348905921017</v>
      </c>
      <c r="D534" s="2" t="n">
        <v>0.236327925021422</v>
      </c>
      <c r="E534" s="2" t="n">
        <v>0.136892949258723</v>
      </c>
    </row>
    <row r="535" customFormat="false" ht="13.8" hidden="false" customHeight="false" outlineLevel="0" collapsed="false">
      <c r="B535" s="2" t="n">
        <v>533</v>
      </c>
      <c r="C535" s="2" t="n">
        <v>0.258414494529749</v>
      </c>
      <c r="D535" s="2" t="n">
        <v>0.23015192422106</v>
      </c>
      <c r="E535" s="2" t="n">
        <v>0.133315500806656</v>
      </c>
    </row>
    <row r="536" customFormat="false" ht="13.8" hidden="false" customHeight="false" outlineLevel="0" collapsed="false">
      <c r="B536" s="2" t="n">
        <v>534</v>
      </c>
      <c r="C536" s="2" t="n">
        <v>0.215954167692281</v>
      </c>
      <c r="D536" s="2" t="n">
        <v>0.192335446695364</v>
      </c>
      <c r="E536" s="2" t="n">
        <v>0.111410306413237</v>
      </c>
    </row>
    <row r="537" customFormat="false" ht="13.8" hidden="false" customHeight="false" outlineLevel="0" collapsed="false">
      <c r="B537" s="2" t="n">
        <v>535</v>
      </c>
      <c r="C537" s="2" t="n">
        <v>0.173493840854814</v>
      </c>
      <c r="D537" s="2" t="n">
        <v>0.154518969169669</v>
      </c>
      <c r="E537" s="2" t="n">
        <v>0.0895051120198178</v>
      </c>
    </row>
    <row r="538" customFormat="false" ht="13.8" hidden="false" customHeight="false" outlineLevel="0" collapsed="false">
      <c r="B538" s="2" t="n">
        <v>536</v>
      </c>
      <c r="C538" s="2" t="n">
        <v>0.131033514017346</v>
      </c>
      <c r="D538" s="2" t="n">
        <v>0.116702491643973</v>
      </c>
      <c r="E538" s="2" t="n">
        <v>0.0675999176493883</v>
      </c>
    </row>
    <row r="539" customFormat="false" ht="13.8" hidden="false" customHeight="false" outlineLevel="0" collapsed="false">
      <c r="B539" s="2" t="n">
        <v>537</v>
      </c>
      <c r="C539" s="2" t="n">
        <v>0.0885731871798788</v>
      </c>
      <c r="D539" s="2" t="n">
        <v>0.0788860141182774</v>
      </c>
      <c r="E539" s="2" t="n">
        <v>0.0456947232558774</v>
      </c>
    </row>
    <row r="540" customFormat="false" ht="13.8" hidden="false" customHeight="false" outlineLevel="0" collapsed="false">
      <c r="B540" s="2" t="n">
        <v>538</v>
      </c>
      <c r="C540" s="2" t="n">
        <v>0.0718216541003011</v>
      </c>
      <c r="D540" s="2" t="n">
        <v>0.0639665817585198</v>
      </c>
      <c r="E540" s="2" t="n">
        <v>0.0370526421455637</v>
      </c>
    </row>
    <row r="541" customFormat="false" ht="13.8" hidden="false" customHeight="false" outlineLevel="0" collapsed="false">
      <c r="B541" s="2" t="n">
        <v>539</v>
      </c>
      <c r="C541" s="2" t="n">
        <v>0.0550701210207238</v>
      </c>
      <c r="D541" s="2" t="n">
        <v>0.0490471493987622</v>
      </c>
      <c r="E541" s="2" t="n">
        <v>0.0284105610125355</v>
      </c>
    </row>
    <row r="542" customFormat="false" ht="13.8" hidden="false" customHeight="false" outlineLevel="0" collapsed="false">
      <c r="B542" s="2" t="n">
        <v>540</v>
      </c>
      <c r="C542" s="2" t="n">
        <v>0.0383185879411461</v>
      </c>
      <c r="D542" s="2" t="n">
        <v>0.0341277170390046</v>
      </c>
      <c r="E542" s="2" t="n">
        <v>0.0197684799023133</v>
      </c>
    </row>
    <row r="543" customFormat="false" ht="13.8" hidden="false" customHeight="false" outlineLevel="0" collapsed="false">
      <c r="B543" s="2" t="n">
        <v>541</v>
      </c>
      <c r="C543" s="2" t="n">
        <v>0.0215670548615686</v>
      </c>
      <c r="D543" s="2" t="n">
        <v>0.0192082846792472</v>
      </c>
      <c r="E543" s="2" t="n">
        <v>0.0111263987920912</v>
      </c>
    </row>
    <row r="544" customFormat="false" ht="13.8" hidden="false" customHeight="false" outlineLevel="0" collapsed="false">
      <c r="B544" s="2" t="n">
        <v>542</v>
      </c>
      <c r="C544" s="2" t="n">
        <v>0.0193941425317909</v>
      </c>
      <c r="D544" s="2" t="n">
        <v>0.0172730219311568</v>
      </c>
      <c r="E544" s="2" t="n">
        <v>0.0100053978561777</v>
      </c>
    </row>
    <row r="545" customFormat="false" ht="13.8" hidden="false" customHeight="false" outlineLevel="0" collapsed="false">
      <c r="B545" s="2" t="n">
        <v>543</v>
      </c>
      <c r="C545" s="2" t="n">
        <v>0.0172212302489939</v>
      </c>
      <c r="D545" s="2" t="n">
        <v>0.0153377591830666</v>
      </c>
      <c r="E545" s="2" t="n">
        <v>0.00888439692026426</v>
      </c>
    </row>
    <row r="546" customFormat="false" ht="13.8" hidden="false" customHeight="false" outlineLevel="0" collapsed="false">
      <c r="B546" s="2" t="n">
        <v>544</v>
      </c>
      <c r="C546" s="2" t="n">
        <v>0.015048317966197</v>
      </c>
      <c r="D546" s="2" t="n">
        <v>0.0134024964349765</v>
      </c>
      <c r="E546" s="2" t="n">
        <v>0.00776339598435083</v>
      </c>
    </row>
    <row r="547" customFormat="false" ht="13.8" hidden="false" customHeight="false" outlineLevel="0" collapsed="false">
      <c r="B547" s="2" t="n">
        <v>545</v>
      </c>
      <c r="C547" s="2" t="n">
        <v>0.0128754056994336</v>
      </c>
      <c r="D547" s="2" t="n">
        <v>0.0114672336868865</v>
      </c>
      <c r="E547" s="2" t="n">
        <v>0.00664239504843737</v>
      </c>
    </row>
    <row r="548" customFormat="false" ht="13.8" hidden="false" customHeight="false" outlineLevel="0" collapsed="false">
      <c r="B548" s="2" t="n">
        <v>546</v>
      </c>
      <c r="C548" s="2" t="n">
        <v>0.0117454312831541</v>
      </c>
      <c r="D548" s="2" t="n">
        <v>0.0104608435975829</v>
      </c>
      <c r="E548" s="2" t="n">
        <v>0.0060594435948857</v>
      </c>
    </row>
    <row r="549" customFormat="false" ht="13.8" hidden="false" customHeight="false" outlineLevel="0" collapsed="false">
      <c r="B549" s="2" t="n">
        <v>547</v>
      </c>
      <c r="C549" s="2" t="n">
        <v>0.0106154568668751</v>
      </c>
      <c r="D549" s="2" t="n">
        <v>0.00945445350827909</v>
      </c>
      <c r="E549" s="2" t="n">
        <v>0.00547649214133403</v>
      </c>
    </row>
    <row r="550" customFormat="false" ht="13.8" hidden="false" customHeight="false" outlineLevel="0" collapsed="false">
      <c r="B550" s="2" t="n">
        <v>548</v>
      </c>
      <c r="C550" s="2" t="n">
        <v>0.00948548245059614</v>
      </c>
      <c r="D550" s="2" t="n">
        <v>0.00844806341897536</v>
      </c>
      <c r="E550" s="2" t="n">
        <v>0.00489354068778235</v>
      </c>
    </row>
    <row r="551" customFormat="false" ht="13.8" hidden="false" customHeight="false" outlineLevel="0" collapsed="false">
      <c r="B551" s="2" t="n">
        <v>549</v>
      </c>
      <c r="C551" s="2" t="n">
        <v>0.00835550803431719</v>
      </c>
      <c r="D551" s="2" t="n">
        <v>0.00744167332967164</v>
      </c>
      <c r="E551" s="2" t="n">
        <v>0.00431058923423067</v>
      </c>
    </row>
    <row r="552" customFormat="false" ht="13.8" hidden="false" customHeight="false" outlineLevel="0" collapsed="false">
      <c r="B552" s="2" t="n">
        <v>550</v>
      </c>
      <c r="C552" s="2" t="n">
        <v>0.00626663102573789</v>
      </c>
      <c r="D552" s="2" t="n">
        <v>0.0055812549972536</v>
      </c>
      <c r="E552" s="2" t="n">
        <v>0.00323294192567302</v>
      </c>
    </row>
    <row r="553" customFormat="false" ht="13.8" hidden="false" customHeight="false" outlineLevel="0" collapsed="false">
      <c r="B553" s="2" t="n">
        <v>551</v>
      </c>
      <c r="C553" s="2" t="n">
        <v>0.00417775401715837</v>
      </c>
      <c r="D553" s="2" t="n">
        <v>0.00372083666483543</v>
      </c>
      <c r="E553" s="2" t="n">
        <v>0.00215529461711534</v>
      </c>
    </row>
    <row r="554" customFormat="false" ht="13.8" hidden="false" customHeight="false" outlineLevel="0" collapsed="false">
      <c r="B554" s="2" t="n">
        <v>552</v>
      </c>
      <c r="C554" s="2" t="n">
        <v>0.00208887700857891</v>
      </c>
      <c r="D554" s="2" t="n">
        <v>0.00186041843808484</v>
      </c>
      <c r="E554" s="2" t="n">
        <v>0.00107764730855767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0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0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0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0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0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0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0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0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0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0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0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0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0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0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0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0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0</v>
      </c>
      <c r="D573" s="2" t="n">
        <v>0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0</v>
      </c>
      <c r="D574" s="2" t="n">
        <v>0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0</v>
      </c>
      <c r="D575" s="2" t="n">
        <v>0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0</v>
      </c>
      <c r="D576" s="2" t="n">
        <v>0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0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0</v>
      </c>
      <c r="D578" s="2" t="n">
        <v>0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0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0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0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0</v>
      </c>
      <c r="D582" s="2" t="n">
        <v>0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0</v>
      </c>
      <c r="D583" s="2" t="n">
        <v>0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0</v>
      </c>
      <c r="D584" s="2" t="n">
        <v>0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0</v>
      </c>
      <c r="D585" s="2" t="n">
        <v>0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0</v>
      </c>
      <c r="D586" s="2" t="n">
        <v>0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0</v>
      </c>
      <c r="D587" s="2" t="n">
        <v>0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0</v>
      </c>
      <c r="D589" s="2" t="n">
        <v>0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0</v>
      </c>
      <c r="D590" s="2" t="n">
        <v>0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0</v>
      </c>
      <c r="D591" s="2" t="n">
        <v>0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0</v>
      </c>
      <c r="D592" s="2" t="n">
        <v>0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0</v>
      </c>
      <c r="D593" s="2" t="n">
        <v>0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0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0</v>
      </c>
      <c r="D595" s="2" t="n">
        <v>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0</v>
      </c>
      <c r="D596" s="2" t="n">
        <v>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0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0</v>
      </c>
      <c r="D598" s="2" t="n">
        <v>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0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0.00350397113148868</v>
      </c>
      <c r="D600" s="2" t="n">
        <v>0.00312074483203702</v>
      </c>
      <c r="E600" s="2" t="n">
        <v>0.00180769142635212</v>
      </c>
    </row>
    <row r="601" customFormat="false" ht="13.8" hidden="false" customHeight="false" outlineLevel="0" collapsed="false">
      <c r="B601" s="2" t="n">
        <v>599</v>
      </c>
      <c r="C601" s="2" t="n">
        <v>0.00700794226297789</v>
      </c>
      <c r="D601" s="2" t="n">
        <v>0.00624148966407437</v>
      </c>
      <c r="E601" s="2" t="n">
        <v>0.00361538285270425</v>
      </c>
    </row>
    <row r="602" customFormat="false" ht="13.8" hidden="false" customHeight="false" outlineLevel="0" collapsed="false">
      <c r="B602" s="2" t="n">
        <v>600</v>
      </c>
      <c r="C602" s="2" t="n">
        <v>0.0105119133944671</v>
      </c>
      <c r="D602" s="2" t="n">
        <v>0.00936223449611181</v>
      </c>
      <c r="E602" s="2" t="n">
        <v>0.00542307427905639</v>
      </c>
    </row>
    <row r="603" customFormat="false" ht="13.8" hidden="false" customHeight="false" outlineLevel="0" collapsed="false">
      <c r="B603" s="2" t="n">
        <v>601</v>
      </c>
      <c r="C603" s="2" t="n">
        <v>0.0140158845259563</v>
      </c>
      <c r="D603" s="2" t="n">
        <v>0.0124829793281493</v>
      </c>
      <c r="E603" s="2" t="n">
        <v>0.00723076570540852</v>
      </c>
    </row>
    <row r="604" customFormat="false" ht="13.8" hidden="false" customHeight="false" outlineLevel="0" collapsed="false">
      <c r="B604" s="2" t="n">
        <v>602</v>
      </c>
      <c r="C604" s="2" t="n">
        <v>0.0314592080516229</v>
      </c>
      <c r="D604" s="2" t="n">
        <v>0.0280185416037927</v>
      </c>
      <c r="E604" s="2" t="n">
        <v>0.0162297400693169</v>
      </c>
    </row>
    <row r="605" customFormat="false" ht="13.8" hidden="false" customHeight="false" outlineLevel="0" collapsed="false">
      <c r="B605" s="2" t="n">
        <v>603</v>
      </c>
      <c r="C605" s="2" t="n">
        <v>0.048902531577289</v>
      </c>
      <c r="D605" s="2" t="n">
        <v>0.0306823122047494</v>
      </c>
      <c r="E605" s="2" t="n">
        <v>0.0252287144332722</v>
      </c>
    </row>
    <row r="606" customFormat="false" ht="13.8" hidden="false" customHeight="false" outlineLevel="0" collapsed="false">
      <c r="B606" s="2" t="n">
        <v>604</v>
      </c>
      <c r="C606" s="2" t="n">
        <v>0.0585343666666667</v>
      </c>
      <c r="D606" s="2" t="n">
        <v>0.0165267330726222</v>
      </c>
      <c r="E606" s="2" t="n">
        <v>0.0219774802104732</v>
      </c>
    </row>
    <row r="607" customFormat="false" ht="13.8" hidden="false" customHeight="false" outlineLevel="0" collapsed="false">
      <c r="B607" s="2" t="n">
        <v>605</v>
      </c>
      <c r="C607" s="2" t="n">
        <v>0.0730519666666667</v>
      </c>
      <c r="D607" s="2" t="n">
        <v>0.0170390425783068</v>
      </c>
      <c r="E607" s="2" t="n">
        <v>0.0206528208713098</v>
      </c>
    </row>
    <row r="608" customFormat="false" ht="13.8" hidden="false" customHeight="false" outlineLevel="0" collapsed="false">
      <c r="B608" s="2" t="n">
        <v>606</v>
      </c>
      <c r="C608" s="2" t="n">
        <v>0.0673353833333334</v>
      </c>
      <c r="D608" s="2" t="n">
        <v>0.0183938260481575</v>
      </c>
      <c r="E608" s="2" t="n">
        <v>0.03375035</v>
      </c>
    </row>
    <row r="609" customFormat="false" ht="13.8" hidden="false" customHeight="false" outlineLevel="0" collapsed="false">
      <c r="B609" s="2" t="n">
        <v>607</v>
      </c>
      <c r="C609" s="2" t="n">
        <v>0.05450195</v>
      </c>
      <c r="D609" s="2" t="n">
        <v>0.0161604397099071</v>
      </c>
      <c r="E609" s="2" t="n">
        <v>0.0199260413101209</v>
      </c>
    </row>
    <row r="610" customFormat="false" ht="13.8" hidden="false" customHeight="false" outlineLevel="0" collapsed="false">
      <c r="B610" s="2" t="n">
        <v>608</v>
      </c>
      <c r="C610" s="2" t="n">
        <v>0.0522518</v>
      </c>
      <c r="D610" s="2" t="n">
        <v>0.0183681540062979</v>
      </c>
      <c r="E610" s="2" t="n">
        <v>0.05000075</v>
      </c>
    </row>
    <row r="611" customFormat="false" ht="13.8" hidden="false" customHeight="false" outlineLevel="0" collapsed="false">
      <c r="B611" s="2" t="n">
        <v>609</v>
      </c>
      <c r="C611" s="2" t="n">
        <v>0.05300155</v>
      </c>
      <c r="D611" s="2" t="n">
        <v>0.0171579084937434</v>
      </c>
      <c r="E611" s="2" t="n">
        <v>0.0211407978113157</v>
      </c>
    </row>
    <row r="612" customFormat="false" ht="13.8" hidden="false" customHeight="false" outlineLevel="0" collapsed="false">
      <c r="B612" s="2" t="n">
        <v>610</v>
      </c>
      <c r="C612" s="2" t="n">
        <v>0.0927515</v>
      </c>
      <c r="D612" s="2" t="n">
        <v>0.0213039717694334</v>
      </c>
      <c r="E612" s="2" t="n">
        <v>0.0501341833333333</v>
      </c>
    </row>
    <row r="613" customFormat="false" ht="13.8" hidden="false" customHeight="false" outlineLevel="0" collapsed="false">
      <c r="B613" s="2" t="n">
        <v>611</v>
      </c>
      <c r="C613" s="2" t="n">
        <v>0.0528183333333333</v>
      </c>
      <c r="D613" s="2" t="n">
        <v>0.0183044238324012</v>
      </c>
      <c r="E613" s="2" t="n">
        <v>0.0285839666666667</v>
      </c>
    </row>
    <row r="614" customFormat="false" ht="13.8" hidden="false" customHeight="false" outlineLevel="0" collapsed="false">
      <c r="B614" s="2" t="n">
        <v>612</v>
      </c>
      <c r="C614" s="2" t="n">
        <v>0.0432519666666667</v>
      </c>
      <c r="D614" s="2" t="n">
        <v>0.0195265732683562</v>
      </c>
      <c r="E614" s="2" t="n">
        <v>0.0640007</v>
      </c>
    </row>
    <row r="615" customFormat="false" ht="13.8" hidden="false" customHeight="false" outlineLevel="0" collapsed="false">
      <c r="B615" s="2" t="n">
        <v>613</v>
      </c>
      <c r="C615" s="2" t="n">
        <v>0.04356825</v>
      </c>
      <c r="D615" s="2" t="n">
        <v>0.0188763387197852</v>
      </c>
      <c r="E615" s="2" t="n">
        <v>0.0266331332530582</v>
      </c>
    </row>
    <row r="616" customFormat="false" ht="13.8" hidden="false" customHeight="false" outlineLevel="0" collapsed="false">
      <c r="B616" s="2" t="n">
        <v>614</v>
      </c>
      <c r="C616" s="2" t="n">
        <v>0.0935018166666667</v>
      </c>
      <c r="D616" s="2" t="n">
        <v>0.0275524296100203</v>
      </c>
      <c r="E616" s="2" t="n">
        <v>0.137633766666667</v>
      </c>
    </row>
    <row r="617" customFormat="false" ht="13.8" hidden="false" customHeight="false" outlineLevel="0" collapsed="false">
      <c r="B617" s="2" t="n">
        <v>615</v>
      </c>
      <c r="C617" s="2" t="n">
        <v>0.0565015666666667</v>
      </c>
      <c r="D617" s="2" t="n">
        <v>0.0257635478953341</v>
      </c>
      <c r="E617" s="2" t="n">
        <v>0.08925025</v>
      </c>
    </row>
    <row r="618" customFormat="false" ht="13.8" hidden="false" customHeight="false" outlineLevel="0" collapsed="false">
      <c r="B618" s="2" t="n">
        <v>616</v>
      </c>
      <c r="C618" s="2" t="n">
        <v>0.0955679833333333</v>
      </c>
      <c r="D618" s="2" t="n">
        <v>0.0300005201750579</v>
      </c>
      <c r="E618" s="2" t="n">
        <v>0.138000416666667</v>
      </c>
    </row>
    <row r="619" customFormat="false" ht="13.8" hidden="false" customHeight="false" outlineLevel="0" collapsed="false">
      <c r="B619" s="2" t="n">
        <v>617</v>
      </c>
      <c r="C619" s="2" t="n">
        <v>0.05173465</v>
      </c>
      <c r="D619" s="2" t="n">
        <v>0.0240678609434296</v>
      </c>
      <c r="E619" s="2" t="n">
        <v>0.0891338666666667</v>
      </c>
    </row>
    <row r="620" customFormat="false" ht="13.8" hidden="false" customHeight="false" outlineLevel="0" collapsed="false">
      <c r="B620" s="2" t="n">
        <v>618</v>
      </c>
      <c r="C620" s="2" t="n">
        <v>0.0871350666666667</v>
      </c>
      <c r="D620" s="2" t="n">
        <v>0.0253826426635402</v>
      </c>
      <c r="E620" s="2" t="n">
        <v>0.0808343666666667</v>
      </c>
    </row>
    <row r="621" customFormat="false" ht="13.8" hidden="false" customHeight="false" outlineLevel="0" collapsed="false">
      <c r="B621" s="2" t="n">
        <v>619</v>
      </c>
      <c r="C621" s="2" t="n">
        <v>0.04800175</v>
      </c>
      <c r="D621" s="2" t="n">
        <v>0.0201978365777997</v>
      </c>
      <c r="E621" s="2" t="n">
        <v>0.0764526809965795</v>
      </c>
    </row>
    <row r="622" customFormat="false" ht="13.8" hidden="false" customHeight="false" outlineLevel="0" collapsed="false">
      <c r="B622" s="2" t="n">
        <v>620</v>
      </c>
      <c r="C622" s="2" t="n">
        <v>0.0833352</v>
      </c>
      <c r="D622" s="2" t="n">
        <v>0.0219255593566297</v>
      </c>
      <c r="E622" s="2" t="n">
        <v>0.213293653215044</v>
      </c>
    </row>
    <row r="623" customFormat="false" ht="13.8" hidden="false" customHeight="false" outlineLevel="0" collapsed="false">
      <c r="B623" s="2" t="n">
        <v>621</v>
      </c>
      <c r="C623" s="2" t="n">
        <v>0.0469583789940661</v>
      </c>
      <c r="D623" s="2" t="n">
        <v>0</v>
      </c>
      <c r="E623" s="2" t="n">
        <v>0.219090652530044</v>
      </c>
    </row>
    <row r="624" customFormat="false" ht="13.8" hidden="false" customHeight="false" outlineLevel="0" collapsed="false">
      <c r="B624" s="2" t="n">
        <v>622</v>
      </c>
      <c r="C624" s="2" t="n">
        <v>0.358677450479296</v>
      </c>
      <c r="D624" s="2" t="n">
        <v>0</v>
      </c>
      <c r="E624" s="2" t="n">
        <v>0.215097473781811</v>
      </c>
    </row>
    <row r="625" customFormat="false" ht="13.8" hidden="false" customHeight="false" outlineLevel="0" collapsed="false">
      <c r="B625" s="2" t="n">
        <v>623</v>
      </c>
      <c r="C625" s="2" t="n">
        <v>0.409197800436402</v>
      </c>
      <c r="D625" s="2" t="n">
        <v>0</v>
      </c>
      <c r="E625" s="2" t="n">
        <v>0.211104295033578</v>
      </c>
    </row>
    <row r="626" customFormat="false" ht="13.8" hidden="false" customHeight="false" outlineLevel="0" collapsed="false">
      <c r="B626" s="2" t="n">
        <v>624</v>
      </c>
      <c r="C626" s="2" t="n">
        <v>0.401457550716393</v>
      </c>
      <c r="D626" s="2" t="n">
        <v>0.083803892039025</v>
      </c>
      <c r="E626" s="2" t="n">
        <v>0.207111116285345</v>
      </c>
    </row>
    <row r="627" customFormat="false" ht="13.8" hidden="false" customHeight="false" outlineLevel="0" collapsed="false">
      <c r="B627" s="2" t="n">
        <v>625</v>
      </c>
      <c r="C627" s="2" t="n">
        <v>0.393717300996384</v>
      </c>
      <c r="D627" s="2" t="n">
        <v>0.214092878635039</v>
      </c>
      <c r="E627" s="2" t="n">
        <v>0.203117937537112</v>
      </c>
    </row>
    <row r="628" customFormat="false" ht="13.8" hidden="false" customHeight="false" outlineLevel="0" collapsed="false">
      <c r="B628" s="2" t="n">
        <v>626</v>
      </c>
      <c r="C628" s="2" t="n">
        <v>0.349952926658589</v>
      </c>
      <c r="D628" s="2" t="n">
        <v>0.29535161966402</v>
      </c>
      <c r="E628" s="2" t="n">
        <v>0.180539987747761</v>
      </c>
    </row>
    <row r="629" customFormat="false" ht="13.8" hidden="false" customHeight="false" outlineLevel="0" collapsed="false">
      <c r="B629" s="2" t="n">
        <v>627</v>
      </c>
      <c r="C629" s="2" t="n">
        <v>0.306188552320794</v>
      </c>
      <c r="D629" s="2" t="n">
        <v>0.272700974530587</v>
      </c>
      <c r="E629" s="2" t="n">
        <v>0.157962037958411</v>
      </c>
    </row>
    <row r="630" customFormat="false" ht="13.8" hidden="false" customHeight="false" outlineLevel="0" collapsed="false">
      <c r="B630" s="2" t="n">
        <v>628</v>
      </c>
      <c r="C630" s="2" t="n">
        <v>0.262424178046432</v>
      </c>
      <c r="D630" s="2" t="n">
        <v>0.23372307220976</v>
      </c>
      <c r="E630" s="2" t="n">
        <v>0.135384088169096</v>
      </c>
    </row>
    <row r="631" customFormat="false" ht="13.8" hidden="false" customHeight="false" outlineLevel="0" collapsed="false">
      <c r="B631" s="2" t="n">
        <v>629</v>
      </c>
      <c r="C631" s="2" t="n">
        <v>0.218659803707944</v>
      </c>
      <c r="D631" s="2" t="n">
        <v>0.194745169727133</v>
      </c>
      <c r="E631" s="2" t="n">
        <v>0.112806138379747</v>
      </c>
    </row>
    <row r="632" customFormat="false" ht="13.8" hidden="false" customHeight="false" outlineLevel="0" collapsed="false">
      <c r="B632" s="2" t="n">
        <v>630</v>
      </c>
      <c r="C632" s="2" t="n">
        <v>0.213722730830387</v>
      </c>
      <c r="D632" s="2" t="n">
        <v>0.190348060157789</v>
      </c>
      <c r="E632" s="2" t="n">
        <v>0.110259112772558</v>
      </c>
    </row>
    <row r="633" customFormat="false" ht="13.8" hidden="false" customHeight="false" outlineLevel="0" collapsed="false">
      <c r="B633" s="2" t="n">
        <v>631</v>
      </c>
      <c r="C633" s="2" t="n">
        <v>0.20878565807735</v>
      </c>
      <c r="D633" s="2" t="n">
        <v>0.185950950877819</v>
      </c>
      <c r="E633" s="2" t="n">
        <v>0.107712087165446</v>
      </c>
    </row>
    <row r="634" customFormat="false" ht="13.8" hidden="false" customHeight="false" outlineLevel="0" collapsed="false">
      <c r="B634" s="2" t="n">
        <v>632</v>
      </c>
      <c r="C634" s="2" t="n">
        <v>0.203848585262187</v>
      </c>
      <c r="D634" s="2" t="n">
        <v>0.181553841454569</v>
      </c>
      <c r="E634" s="2" t="n">
        <v>0.105165061558295</v>
      </c>
    </row>
    <row r="635" customFormat="false" ht="13.8" hidden="false" customHeight="false" outlineLevel="0" collapsed="false">
      <c r="B635" s="2" t="n">
        <v>633</v>
      </c>
      <c r="C635" s="2" t="n">
        <v>0.198911512385934</v>
      </c>
      <c r="D635" s="2" t="n">
        <v>0.1771567318956</v>
      </c>
      <c r="E635" s="2" t="n">
        <v>0.102618035951039</v>
      </c>
    </row>
    <row r="636" customFormat="false" ht="13.8" hidden="false" customHeight="false" outlineLevel="0" collapsed="false">
      <c r="B636" s="2" t="n">
        <v>634</v>
      </c>
      <c r="C636" s="2" t="n">
        <v>0.183470029326823</v>
      </c>
      <c r="D636" s="2" t="n">
        <v>0.163404070515872</v>
      </c>
      <c r="E636" s="2" t="n">
        <v>0.0946518069244212</v>
      </c>
    </row>
    <row r="637" customFormat="false" ht="13.8" hidden="false" customHeight="false" outlineLevel="0" collapsed="false">
      <c r="B637" s="2" t="n">
        <v>635</v>
      </c>
      <c r="C637" s="2" t="n">
        <v>0.168028546267712</v>
      </c>
      <c r="D637" s="2" t="n">
        <v>0.149651409136144</v>
      </c>
      <c r="E637" s="2" t="n">
        <v>0.0866855778978038</v>
      </c>
    </row>
    <row r="638" customFormat="false" ht="13.8" hidden="false" customHeight="false" outlineLevel="0" collapsed="false">
      <c r="B638" s="2" t="n">
        <v>636</v>
      </c>
      <c r="C638" s="2" t="n">
        <v>0.152587063208601</v>
      </c>
      <c r="D638" s="2" t="n">
        <v>0.135898747756416</v>
      </c>
      <c r="E638" s="2" t="n">
        <v>0.0787193488711864</v>
      </c>
    </row>
    <row r="639" customFormat="false" ht="13.8" hidden="false" customHeight="false" outlineLevel="0" collapsed="false">
      <c r="B639" s="2" t="n">
        <v>637</v>
      </c>
      <c r="C639" s="2" t="n">
        <v>0.13714558014949</v>
      </c>
      <c r="D639" s="2" t="n">
        <v>0.122146086376688</v>
      </c>
      <c r="E639" s="2" t="n">
        <v>0.0707531198446142</v>
      </c>
    </row>
    <row r="640" customFormat="false" ht="13.8" hidden="false" customHeight="false" outlineLevel="0" collapsed="false">
      <c r="B640" s="2" t="n">
        <v>638</v>
      </c>
      <c r="C640" s="2" t="n">
        <v>0.108238943795229</v>
      </c>
      <c r="D640" s="2" t="n">
        <v>0.0964009439663822</v>
      </c>
      <c r="E640" s="2" t="n">
        <v>0.0558402462061112</v>
      </c>
    </row>
    <row r="641" customFormat="false" ht="13.8" hidden="false" customHeight="false" outlineLevel="0" collapsed="false">
      <c r="B641" s="2" t="n">
        <v>639</v>
      </c>
      <c r="C641" s="2" t="n">
        <v>0.0793323074249711</v>
      </c>
      <c r="D641" s="2" t="n">
        <v>0.070655801409204</v>
      </c>
      <c r="E641" s="2" t="n">
        <v>0.0409273725676796</v>
      </c>
    </row>
    <row r="642" customFormat="false" ht="13.8" hidden="false" customHeight="false" outlineLevel="0" collapsed="false">
      <c r="B642" s="2" t="n">
        <v>640</v>
      </c>
      <c r="C642" s="2" t="n">
        <v>0.0504256709910573</v>
      </c>
      <c r="D642" s="2" t="n">
        <v>0.0449106589254622</v>
      </c>
      <c r="E642" s="2" t="n">
        <v>0.0260144989292123</v>
      </c>
    </row>
    <row r="643" customFormat="false" ht="13.8" hidden="false" customHeight="false" outlineLevel="0" collapsed="false">
      <c r="B643" s="2" t="n">
        <v>641</v>
      </c>
      <c r="C643" s="2" t="n">
        <v>0.0215190347004518</v>
      </c>
      <c r="D643" s="2" t="n">
        <v>0.0191655164417203</v>
      </c>
      <c r="E643" s="2" t="n">
        <v>0.0111016252190902</v>
      </c>
    </row>
    <row r="644" customFormat="false" ht="13.8" hidden="false" customHeight="false" outlineLevel="0" collapsed="false">
      <c r="B644" s="2" t="n">
        <v>642</v>
      </c>
      <c r="C644" s="2" t="n">
        <v>0.0195532092830786</v>
      </c>
      <c r="D644" s="2" t="n">
        <v>0.0174146917179648</v>
      </c>
      <c r="E644" s="2" t="n">
        <v>0.0100874600793868</v>
      </c>
    </row>
    <row r="645" customFormat="false" ht="13.8" hidden="false" customHeight="false" outlineLevel="0" collapsed="false">
      <c r="B645" s="2" t="n">
        <v>643</v>
      </c>
      <c r="C645" s="2" t="n">
        <v>0.0175873840090164</v>
      </c>
      <c r="D645" s="2" t="n">
        <v>0.0156638669942094</v>
      </c>
      <c r="E645" s="2" t="n">
        <v>0.00907329479637241</v>
      </c>
    </row>
    <row r="646" customFormat="false" ht="13.8" hidden="false" customHeight="false" outlineLevel="0" collapsed="false">
      <c r="B646" s="2" t="n">
        <v>644</v>
      </c>
      <c r="C646" s="2" t="n">
        <v>0.0156215586632988</v>
      </c>
      <c r="D646" s="2" t="n">
        <v>0.0139130422704539</v>
      </c>
      <c r="E646" s="2" t="n">
        <v>0.00805912958501354</v>
      </c>
    </row>
    <row r="647" customFormat="false" ht="13.8" hidden="false" customHeight="false" outlineLevel="0" collapsed="false">
      <c r="B647" s="2" t="n">
        <v>645</v>
      </c>
      <c r="C647" s="2" t="n">
        <v>0.013655733317581</v>
      </c>
      <c r="D647" s="2" t="n">
        <v>0.0121622175466984</v>
      </c>
      <c r="E647" s="2" t="n">
        <v>0.00704496437365466</v>
      </c>
    </row>
    <row r="648" customFormat="false" ht="13.8" hidden="false" customHeight="false" outlineLevel="0" collapsed="false">
      <c r="B648" s="2" t="n">
        <v>646</v>
      </c>
      <c r="C648" s="2" t="n">
        <v>0.0102417999881858</v>
      </c>
      <c r="D648" s="2" t="n">
        <v>0.00912166316002379</v>
      </c>
      <c r="E648" s="2" t="n">
        <v>0.00528372326232585</v>
      </c>
    </row>
    <row r="649" customFormat="false" ht="13.8" hidden="false" customHeight="false" outlineLevel="0" collapsed="false">
      <c r="B649" s="2" t="n">
        <v>647</v>
      </c>
      <c r="C649" s="2" t="n">
        <v>0.0068278666587905</v>
      </c>
      <c r="D649" s="2" t="n">
        <v>0.00608110877334919</v>
      </c>
      <c r="E649" s="2" t="n">
        <v>0.00352248215099704</v>
      </c>
    </row>
    <row r="650" customFormat="false" ht="13.8" hidden="false" customHeight="false" outlineLevel="0" collapsed="false">
      <c r="B650" s="2" t="n">
        <v>648</v>
      </c>
      <c r="C650" s="2" t="n">
        <v>0.00341393332939527</v>
      </c>
      <c r="D650" s="2" t="n">
        <v>0.0030405543866746</v>
      </c>
      <c r="E650" s="2" t="n">
        <v>0.00176124103966823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0</v>
      </c>
      <c r="D653" s="2" t="n">
        <v>0</v>
      </c>
      <c r="E653" s="2" t="n">
        <v>0</v>
      </c>
    </row>
    <row r="654" customFormat="false" ht="13.8" hidden="false" customHeight="false" outlineLevel="0" collapsed="false">
      <c r="B654" s="2" t="n">
        <v>652</v>
      </c>
      <c r="C654" s="2" t="n">
        <v>0</v>
      </c>
      <c r="D654" s="2" t="n">
        <v>0</v>
      </c>
      <c r="E654" s="2" t="n">
        <v>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0</v>
      </c>
      <c r="D656" s="2" t="n">
        <v>0</v>
      </c>
      <c r="E656" s="2" t="n">
        <v>0</v>
      </c>
    </row>
    <row r="657" customFormat="false" ht="13.8" hidden="false" customHeight="false" outlineLevel="0" collapsed="false">
      <c r="B657" s="2" t="n">
        <v>655</v>
      </c>
      <c r="C657" s="2" t="n">
        <v>0</v>
      </c>
      <c r="D657" s="2" t="n">
        <v>0</v>
      </c>
      <c r="E657" s="2" t="n">
        <v>0</v>
      </c>
    </row>
    <row r="658" customFormat="false" ht="13.8" hidden="false" customHeight="false" outlineLevel="0" collapsed="false">
      <c r="B658" s="2" t="n">
        <v>656</v>
      </c>
      <c r="C658" s="2" t="n">
        <v>0</v>
      </c>
      <c r="D658" s="2" t="n">
        <v>0</v>
      </c>
      <c r="E658" s="2" t="n">
        <v>0</v>
      </c>
    </row>
    <row r="659" customFormat="false" ht="13.8" hidden="false" customHeight="false" outlineLevel="0" collapsed="false">
      <c r="B659" s="2" t="n">
        <v>657</v>
      </c>
      <c r="C659" s="2" t="n">
        <v>0</v>
      </c>
      <c r="D659" s="2" t="n">
        <v>0</v>
      </c>
      <c r="E659" s="2" t="n">
        <v>0</v>
      </c>
    </row>
    <row r="660" customFormat="false" ht="13.8" hidden="false" customHeight="false" outlineLevel="0" collapsed="false">
      <c r="B660" s="2" t="n">
        <v>658</v>
      </c>
      <c r="C660" s="2" t="n">
        <v>0</v>
      </c>
      <c r="D660" s="2" t="n">
        <v>0</v>
      </c>
      <c r="E660" s="2" t="n">
        <v>0</v>
      </c>
    </row>
    <row r="661" customFormat="false" ht="13.8" hidden="false" customHeight="false" outlineLevel="0" collapsed="false">
      <c r="B661" s="2" t="n">
        <v>659</v>
      </c>
      <c r="C661" s="2" t="n">
        <v>0</v>
      </c>
      <c r="D661" s="2" t="n">
        <v>0</v>
      </c>
      <c r="E661" s="2" t="n">
        <v>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0</v>
      </c>
      <c r="D664" s="2" t="n">
        <v>0</v>
      </c>
      <c r="E664" s="2" t="n">
        <v>0</v>
      </c>
    </row>
    <row r="665" customFormat="false" ht="13.8" hidden="false" customHeight="false" outlineLevel="0" collapsed="false">
      <c r="B665" s="2" t="n">
        <v>663</v>
      </c>
      <c r="C665" s="2" t="n">
        <v>0</v>
      </c>
      <c r="D665" s="2" t="n">
        <v>0</v>
      </c>
      <c r="E665" s="2" t="n">
        <v>0</v>
      </c>
    </row>
    <row r="666" customFormat="false" ht="13.8" hidden="false" customHeight="false" outlineLevel="0" collapsed="false">
      <c r="B666" s="2" t="n">
        <v>664</v>
      </c>
      <c r="C666" s="2" t="n">
        <v>0</v>
      </c>
      <c r="D666" s="2" t="n">
        <v>0</v>
      </c>
      <c r="E666" s="2" t="n">
        <v>0</v>
      </c>
    </row>
    <row r="667" customFormat="false" ht="13.8" hidden="false" customHeight="false" outlineLevel="0" collapsed="false">
      <c r="B667" s="2" t="n">
        <v>665</v>
      </c>
      <c r="C667" s="2" t="n">
        <v>0</v>
      </c>
      <c r="D667" s="2" t="n">
        <v>0</v>
      </c>
      <c r="E667" s="2" t="n">
        <v>0</v>
      </c>
    </row>
    <row r="668" customFormat="false" ht="13.8" hidden="false" customHeight="false" outlineLevel="0" collapsed="false">
      <c r="B668" s="2" t="n">
        <v>666</v>
      </c>
      <c r="C668" s="2" t="n">
        <v>0</v>
      </c>
      <c r="D668" s="2" t="n">
        <v>0</v>
      </c>
      <c r="E668" s="2" t="n">
        <v>0</v>
      </c>
    </row>
    <row r="669" customFormat="false" ht="13.8" hidden="false" customHeight="false" outlineLevel="0" collapsed="false">
      <c r="B669" s="2" t="n">
        <v>667</v>
      </c>
      <c r="C669" s="2" t="n">
        <v>0</v>
      </c>
      <c r="D669" s="2" t="n">
        <v>0</v>
      </c>
      <c r="E669" s="2" t="n">
        <v>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I2:I4 E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4" t="n">
        <f aca="false">SUM(C3:C674)</f>
        <v>1.20324426608055</v>
      </c>
      <c r="D2" s="4" t="n">
        <f aca="false">SUM(D3:D674)</f>
        <v>0.326753600471291</v>
      </c>
      <c r="E2" s="4" t="n">
        <f aca="false">SUM(E3:E674)</f>
        <v>1.12254123615871</v>
      </c>
    </row>
    <row r="3" customFormat="false" ht="13.8" hidden="false" customHeight="false" outlineLevel="0" collapsed="false">
      <c r="B3" s="2" t="n">
        <v>1</v>
      </c>
      <c r="C3" s="2" t="n">
        <v>6.71088639999999E-021</v>
      </c>
      <c r="D3" s="2" t="n">
        <v>6.71088639999999E-021</v>
      </c>
      <c r="E3" s="2" t="n">
        <v>0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1.34217727999999E-020</v>
      </c>
      <c r="E4" s="2" t="n">
        <v>1.34217727999999E-020</v>
      </c>
    </row>
    <row r="5" customFormat="false" ht="13.8" hidden="false" customHeight="false" outlineLevel="0" collapsed="false">
      <c r="B5" s="2" t="n">
        <v>3</v>
      </c>
      <c r="C5" s="2" t="n">
        <v>1.76116794320015E-018</v>
      </c>
      <c r="D5" s="2" t="n">
        <v>3.3554432E-021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3.3554432E-021</v>
      </c>
      <c r="D6" s="2" t="n">
        <v>3.5189804432006E-018</v>
      </c>
      <c r="E6" s="2" t="n">
        <v>1.71233981820014E-018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6.71088639999999E-021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1.57592177280012E-018</v>
      </c>
      <c r="D8" s="2" t="n">
        <v>1.34217727999999E-020</v>
      </c>
      <c r="E8" s="2" t="n">
        <v>1.34217727999999E-020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3.01989887999996E-020</v>
      </c>
      <c r="D10" s="2" t="n">
        <v>0</v>
      </c>
      <c r="E10" s="2" t="n">
        <v>0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0</v>
      </c>
      <c r="D12" s="2" t="n">
        <v>1.34217727999999E-020</v>
      </c>
      <c r="E12" s="2" t="n">
        <v>1.34217727999999E-020</v>
      </c>
    </row>
    <row r="13" customFormat="false" ht="13.8" hidden="false" customHeight="false" outlineLevel="0" collapsed="false">
      <c r="B13" s="2" t="n">
        <v>11</v>
      </c>
      <c r="C13" s="2" t="n">
        <v>0</v>
      </c>
      <c r="D13" s="2" t="n">
        <v>6.71088639999999E-021</v>
      </c>
      <c r="E13" s="2" t="n">
        <v>6.71088639999999E-021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1.20155930630161E-018</v>
      </c>
    </row>
    <row r="15" customFormat="false" ht="13.8" hidden="false" customHeight="false" outlineLevel="0" collapsed="false">
      <c r="B15" s="2" t="n">
        <v>13</v>
      </c>
      <c r="C15" s="2" t="n">
        <v>8.1480443200003E-019</v>
      </c>
      <c r="D15" s="2" t="n">
        <v>1.59605443200012E-018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1.56585544320012E-018</v>
      </c>
      <c r="D16" s="2" t="n">
        <v>0</v>
      </c>
      <c r="E16" s="2" t="n">
        <v>0</v>
      </c>
    </row>
    <row r="17" customFormat="false" ht="13.8" hidden="false" customHeight="false" outlineLevel="0" collapsed="false">
      <c r="B17" s="2" t="n">
        <v>15</v>
      </c>
      <c r="C17" s="2" t="n">
        <v>7.81250000000031E-019</v>
      </c>
      <c r="D17" s="2" t="n">
        <v>0</v>
      </c>
      <c r="E17" s="2" t="n">
        <v>3.90625000000008E-019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2.68435455999996E-020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1.31248875939437E-009</v>
      </c>
      <c r="D19" s="2" t="n">
        <v>1.31208197085648E-009</v>
      </c>
      <c r="E19" s="2" t="n">
        <v>9.47495633571378E-010</v>
      </c>
    </row>
    <row r="20" customFormat="false" ht="13.8" hidden="false" customHeight="false" outlineLevel="0" collapsed="false">
      <c r="B20" s="2" t="n">
        <v>18</v>
      </c>
      <c r="C20" s="2" t="n">
        <v>4.02653183999995E-020</v>
      </c>
      <c r="D20" s="2" t="n">
        <v>0</v>
      </c>
      <c r="E20" s="2" t="n">
        <v>0</v>
      </c>
    </row>
    <row r="21" customFormat="false" ht="13.8" hidden="false" customHeight="false" outlineLevel="0" collapsed="false">
      <c r="B21" s="2" t="n">
        <v>19</v>
      </c>
      <c r="C21" s="2" t="n">
        <v>0</v>
      </c>
      <c r="D21" s="2" t="n">
        <v>1.38412031999999E-020</v>
      </c>
      <c r="E21" s="2" t="n">
        <v>1.30168300007508E-018</v>
      </c>
    </row>
    <row r="22" customFormat="false" ht="13.8" hidden="false" customHeight="false" outlineLevel="0" collapsed="false">
      <c r="B22" s="2" t="n">
        <v>20</v>
      </c>
      <c r="C22" s="2" t="n">
        <v>7.81250000000031E-019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0</v>
      </c>
      <c r="D23" s="2" t="n">
        <v>0</v>
      </c>
      <c r="E23" s="2" t="n">
        <v>1.20407086959149E-008</v>
      </c>
    </row>
    <row r="24" customFormat="false" ht="13.8" hidden="false" customHeight="false" outlineLevel="0" collapsed="false">
      <c r="B24" s="2" t="n">
        <v>22</v>
      </c>
      <c r="C24" s="2" t="n">
        <v>1.30174333431533E-018</v>
      </c>
      <c r="D24" s="2" t="n">
        <v>1.30174333431533E-018</v>
      </c>
      <c r="E24" s="2" t="n">
        <v>0.000153698353612094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0</v>
      </c>
      <c r="E25" s="2" t="n">
        <v>0.000307396707224257</v>
      </c>
    </row>
    <row r="26" customFormat="false" ht="13.8" hidden="false" customHeight="false" outlineLevel="0" collapsed="false">
      <c r="B26" s="2" t="n">
        <v>24</v>
      </c>
      <c r="C26" s="2" t="n">
        <v>8.169338702671E-019</v>
      </c>
      <c r="D26" s="2" t="n">
        <v>8.169338702671E-019</v>
      </c>
      <c r="E26" s="2" t="n">
        <v>0.000461095060836348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7.51731808592537E-019</v>
      </c>
      <c r="E27" s="2" t="n">
        <v>0.000614793414448489</v>
      </c>
    </row>
    <row r="28" customFormat="false" ht="13.8" hidden="false" customHeight="false" outlineLevel="0" collapsed="false">
      <c r="B28" s="2" t="n">
        <v>26</v>
      </c>
      <c r="C28" s="2" t="n">
        <v>0.00105153284688778</v>
      </c>
      <c r="D28" s="2" t="n">
        <v>1.41722023542617E-018</v>
      </c>
      <c r="E28" s="2" t="n">
        <v>0.00452170310583002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0.0105316784909872</v>
      </c>
    </row>
    <row r="30" customFormat="false" ht="13.8" hidden="false" customHeight="false" outlineLevel="0" collapsed="false">
      <c r="B30" s="2" t="n">
        <v>28</v>
      </c>
      <c r="C30" s="2" t="n">
        <v>0.0167127735480647</v>
      </c>
      <c r="D30" s="2" t="n">
        <v>0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0.00504339389865311</v>
      </c>
      <c r="D31" s="2" t="n">
        <v>0</v>
      </c>
      <c r="E31" s="2" t="n">
        <v>0.0154051696688727</v>
      </c>
    </row>
    <row r="32" customFormat="false" ht="13.8" hidden="false" customHeight="false" outlineLevel="0" collapsed="false">
      <c r="B32" s="2" t="n">
        <v>30</v>
      </c>
      <c r="C32" s="2" t="n">
        <v>0.047427577556248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1.89224362873926E-011</v>
      </c>
      <c r="D55" s="2" t="n">
        <v>1.89158178443498E-011</v>
      </c>
      <c r="E55" s="2" t="n">
        <v>5.23638393269593E-011</v>
      </c>
    </row>
    <row r="56" customFormat="false" ht="13.8" hidden="false" customHeight="false" outlineLevel="0" collapsed="false">
      <c r="B56" s="2" t="n">
        <v>54</v>
      </c>
      <c r="C56" s="2" t="n">
        <v>5.36870586355643E-020</v>
      </c>
      <c r="D56" s="2" t="n">
        <v>1.61618707150219E-018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6.05122562290605E-011</v>
      </c>
      <c r="D57" s="2" t="n">
        <v>5.93770653896526E-011</v>
      </c>
      <c r="E57" s="2" t="n">
        <v>1.62469880819763E-010</v>
      </c>
    </row>
    <row r="58" customFormat="false" ht="13.8" hidden="false" customHeight="false" outlineLevel="0" collapsed="false">
      <c r="B58" s="2" t="n">
        <v>56</v>
      </c>
      <c r="C58" s="2" t="n">
        <v>1.07374181956978E-019</v>
      </c>
      <c r="D58" s="2" t="n">
        <v>7.9198743431277E-018</v>
      </c>
      <c r="E58" s="2" t="n">
        <v>1.07374181956978E-019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9.52263968614088E-018</v>
      </c>
      <c r="E59" s="2" t="n">
        <v>1.47639500394708E-019</v>
      </c>
    </row>
    <row r="60" customFormat="false" ht="13.8" hidden="false" customHeight="false" outlineLevel="0" collapsed="false">
      <c r="B60" s="2" t="n">
        <v>58</v>
      </c>
      <c r="C60" s="2" t="n">
        <v>0</v>
      </c>
      <c r="D60" s="2" t="n">
        <v>2.6843545581218E-020</v>
      </c>
      <c r="E60" s="2" t="n">
        <v>2.6843545581218E-020</v>
      </c>
    </row>
    <row r="61" customFormat="false" ht="13.8" hidden="false" customHeight="false" outlineLevel="0" collapsed="false">
      <c r="B61" s="2" t="n">
        <v>59</v>
      </c>
      <c r="C61" s="2" t="n">
        <v>1.48024320533857E-018</v>
      </c>
      <c r="D61" s="2" t="n">
        <v>4.02653183326309E-020</v>
      </c>
      <c r="E61" s="2" t="n">
        <v>4.02653183326309E-020</v>
      </c>
    </row>
    <row r="62" customFormat="false" ht="13.8" hidden="false" customHeight="false" outlineLevel="0" collapsed="false">
      <c r="B62" s="2" t="n">
        <v>60</v>
      </c>
      <c r="C62" s="2" t="n">
        <v>1.60993004072755E-010</v>
      </c>
      <c r="D62" s="2" t="n">
        <v>1.58519310884284E-010</v>
      </c>
      <c r="E62" s="2" t="n">
        <v>1.58501403721902E-010</v>
      </c>
    </row>
    <row r="63" customFormat="false" ht="13.8" hidden="false" customHeight="false" outlineLevel="0" collapsed="false">
      <c r="B63" s="2" t="n">
        <v>61</v>
      </c>
      <c r="C63" s="2" t="n">
        <v>7.12414976688018E-019</v>
      </c>
      <c r="D63" s="2" t="n">
        <v>2.39743709758557E-018</v>
      </c>
      <c r="E63" s="2" t="n">
        <v>2.98337464435925E-018</v>
      </c>
    </row>
    <row r="64" customFormat="false" ht="13.8" hidden="false" customHeight="false" outlineLevel="0" collapsed="false">
      <c r="B64" s="2" t="n">
        <v>62</v>
      </c>
      <c r="C64" s="2" t="n">
        <v>0</v>
      </c>
      <c r="D64" s="2" t="n">
        <v>4.02653183784606E-020</v>
      </c>
      <c r="E64" s="2" t="n">
        <v>5.31370292740023E-018</v>
      </c>
    </row>
    <row r="65" customFormat="false" ht="13.8" hidden="false" customHeight="false" outlineLevel="0" collapsed="false">
      <c r="B65" s="2" t="n">
        <v>63</v>
      </c>
      <c r="C65" s="2" t="n">
        <v>3.15184355513475E-018</v>
      </c>
      <c r="D65" s="2" t="n">
        <v>0</v>
      </c>
      <c r="E65" s="2" t="n">
        <v>0.0362788476853465</v>
      </c>
    </row>
    <row r="66" customFormat="false" ht="13.8" hidden="false" customHeight="false" outlineLevel="0" collapsed="false">
      <c r="B66" s="2" t="n">
        <v>64</v>
      </c>
      <c r="C66" s="2" t="n">
        <v>8.81590611783802E-018</v>
      </c>
      <c r="D66" s="2" t="n">
        <v>1.39403104775189E-018</v>
      </c>
      <c r="E66" s="2" t="n">
        <v>0.0452629914701721</v>
      </c>
    </row>
    <row r="67" customFormat="false" ht="13.8" hidden="false" customHeight="false" outlineLevel="0" collapsed="false">
      <c r="B67" s="2" t="n">
        <v>65</v>
      </c>
      <c r="C67" s="2" t="n">
        <v>5.36870912977451E-020</v>
      </c>
      <c r="D67" s="2" t="n">
        <v>0</v>
      </c>
      <c r="E67" s="2" t="n">
        <v>0.0614138185883312</v>
      </c>
    </row>
    <row r="68" customFormat="false" ht="13.8" hidden="false" customHeight="false" outlineLevel="0" collapsed="false">
      <c r="B68" s="2" t="n">
        <v>66</v>
      </c>
      <c r="C68" s="2" t="n">
        <v>1.51134403705577E-010</v>
      </c>
      <c r="D68" s="2" t="n">
        <v>1.47054243461762E-010</v>
      </c>
      <c r="E68" s="2" t="n">
        <v>3.15639596108173E-010</v>
      </c>
    </row>
    <row r="69" customFormat="false" ht="13.8" hidden="false" customHeight="false" outlineLevel="0" collapsed="false">
      <c r="B69" s="2" t="n">
        <v>67</v>
      </c>
      <c r="C69" s="2" t="n">
        <v>1.51807170578006E-010</v>
      </c>
      <c r="D69" s="2" t="n">
        <v>1.47459267333986E-010</v>
      </c>
      <c r="E69" s="2" t="n">
        <v>3.13521326179885E-010</v>
      </c>
    </row>
    <row r="70" customFormat="false" ht="13.8" hidden="false" customHeight="false" outlineLevel="0" collapsed="false">
      <c r="B70" s="2" t="n">
        <v>68</v>
      </c>
      <c r="C70" s="2" t="n">
        <v>0.00499978036530856</v>
      </c>
      <c r="D70" s="2" t="n">
        <v>1.4648437514187E-018</v>
      </c>
      <c r="E70" s="2" t="n">
        <v>0.0465699510813357</v>
      </c>
    </row>
    <row r="71" customFormat="false" ht="13.8" hidden="false" customHeight="false" outlineLevel="0" collapsed="false">
      <c r="B71" s="2" t="n">
        <v>69</v>
      </c>
      <c r="C71" s="2" t="n">
        <v>9.76562500000149E-019</v>
      </c>
      <c r="D71" s="2" t="n">
        <v>0</v>
      </c>
      <c r="E71" s="2" t="n">
        <v>0.0444843130576163</v>
      </c>
    </row>
    <row r="72" customFormat="false" ht="13.8" hidden="false" customHeight="false" outlineLevel="0" collapsed="false">
      <c r="B72" s="2" t="n">
        <v>70</v>
      </c>
      <c r="C72" s="2" t="n">
        <v>1.55146932912878E-017</v>
      </c>
      <c r="D72" s="2" t="n">
        <v>1.10261202080625E-017</v>
      </c>
      <c r="E72" s="2" t="n">
        <v>0.0961621807808529</v>
      </c>
    </row>
    <row r="73" customFormat="false" ht="13.8" hidden="false" customHeight="false" outlineLevel="0" collapsed="false">
      <c r="B73" s="2" t="n">
        <v>71</v>
      </c>
      <c r="C73" s="2" t="n">
        <v>1.35432782020079E-011</v>
      </c>
      <c r="D73" s="2" t="n">
        <v>6.77172434125753E-012</v>
      </c>
      <c r="E73" s="2" t="n">
        <v>0.0237888536247112</v>
      </c>
    </row>
    <row r="74" customFormat="false" ht="13.8" hidden="false" customHeight="false" outlineLevel="0" collapsed="false">
      <c r="B74" s="2" t="n">
        <v>72</v>
      </c>
      <c r="C74" s="2" t="n">
        <v>2.95516899666901E-011</v>
      </c>
      <c r="D74" s="2" t="n">
        <v>6.50478248287407E-012</v>
      </c>
      <c r="E74" s="2" t="n">
        <v>0.0111210782791799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0</v>
      </c>
      <c r="E75" s="2" t="n">
        <v>7.34410513626535E-010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0</v>
      </c>
      <c r="E76" s="2" t="n">
        <v>9.89800421723438E-010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0</v>
      </c>
      <c r="E77" s="2" t="n">
        <v>1.24519103535458E-009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0</v>
      </c>
      <c r="E78" s="2" t="n">
        <v>1.50058195708952E-009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0</v>
      </c>
      <c r="E79" s="2" t="n">
        <v>1.75597306988677E-009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0</v>
      </c>
      <c r="E80" s="2" t="n">
        <v>2.01136433149794E-009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2.26675575203662E-009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2.52214735113828E-009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0</v>
      </c>
      <c r="E83" s="2" t="n">
        <v>2.77753916371884E-009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0</v>
      </c>
      <c r="E84" s="2" t="n">
        <v>3.03293122988727E-009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0</v>
      </c>
      <c r="E85" s="2" t="n">
        <v>3.28832359049321E-009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3.5437162897785E-009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3.79910937140112E-009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4.05450288064301E-009</v>
      </c>
    </row>
    <row r="89" customFormat="false" ht="13.8" hidden="false" customHeight="false" outlineLevel="0" collapsed="false">
      <c r="B89" s="2" t="n">
        <v>87</v>
      </c>
      <c r="C89" s="2" t="n">
        <v>3.70550813049481E-010</v>
      </c>
      <c r="D89" s="2" t="n">
        <v>3.64044983937636E-010</v>
      </c>
      <c r="E89" s="2" t="n">
        <v>4.30359998765939E-009</v>
      </c>
    </row>
    <row r="90" customFormat="false" ht="13.8" hidden="false" customHeight="false" outlineLevel="0" collapsed="false">
      <c r="B90" s="2" t="n">
        <v>88</v>
      </c>
      <c r="C90" s="2" t="n">
        <v>3.93766222896432E-010</v>
      </c>
      <c r="D90" s="2" t="n">
        <v>3.87260324138843E-010</v>
      </c>
      <c r="E90" s="2" t="n">
        <v>4.56670723660517E-009</v>
      </c>
    </row>
    <row r="91" customFormat="false" ht="13.8" hidden="false" customHeight="false" outlineLevel="0" collapsed="false">
      <c r="B91" s="2" t="n">
        <v>89</v>
      </c>
      <c r="C91" s="2" t="n">
        <v>4.16981870937526E-010</v>
      </c>
      <c r="D91" s="2" t="n">
        <v>4.10475900580949E-010</v>
      </c>
      <c r="E91" s="2" t="n">
        <v>4.82981719371973E-009</v>
      </c>
    </row>
    <row r="92" customFormat="false" ht="13.8" hidden="false" customHeight="false" outlineLevel="0" collapsed="false">
      <c r="B92" s="2" t="n">
        <v>90</v>
      </c>
      <c r="C92" s="2" t="n">
        <v>4.40197756423448E-010</v>
      </c>
      <c r="D92" s="2" t="n">
        <v>4.33691716420939E-010</v>
      </c>
      <c r="E92" s="2" t="n">
        <v>5.09292984425594E-009</v>
      </c>
    </row>
    <row r="93" customFormat="false" ht="13.8" hidden="false" customHeight="false" outlineLevel="0" collapsed="false">
      <c r="B93" s="2" t="n">
        <v>91</v>
      </c>
      <c r="C93" s="2" t="n">
        <v>4.6341387995783E-010</v>
      </c>
      <c r="D93" s="2" t="n">
        <v>4.5690776972335E-010</v>
      </c>
      <c r="E93" s="2" t="n">
        <v>5.35604517990863E-009</v>
      </c>
    </row>
    <row r="94" customFormat="false" ht="13.8" hidden="false" customHeight="false" outlineLevel="0" collapsed="false">
      <c r="B94" s="2" t="n">
        <v>92</v>
      </c>
      <c r="C94" s="2" t="n">
        <v>4.86630241663916E-010</v>
      </c>
      <c r="D94" s="2" t="n">
        <v>4.80124061588E-010</v>
      </c>
      <c r="E94" s="2" t="n">
        <v>5.61916319270441E-009</v>
      </c>
    </row>
    <row r="95" customFormat="false" ht="13.8" hidden="false" customHeight="false" outlineLevel="0" collapsed="false">
      <c r="B95" s="2" t="n">
        <v>93</v>
      </c>
      <c r="C95" s="2" t="n">
        <v>5.09846840846495E-010</v>
      </c>
      <c r="D95" s="2" t="n">
        <v>5.03340590929051E-010</v>
      </c>
      <c r="E95" s="2" t="n">
        <v>5.8822838771772E-009</v>
      </c>
    </row>
    <row r="96" customFormat="false" ht="13.8" hidden="false" customHeight="false" outlineLevel="0" collapsed="false">
      <c r="B96" s="2" t="n">
        <v>94</v>
      </c>
      <c r="C96" s="2" t="n">
        <v>5.33063678631814E-010</v>
      </c>
      <c r="D96" s="2" t="n">
        <v>5.26557358482116E-010</v>
      </c>
      <c r="E96" s="2" t="n">
        <v>6.1454072268449E-009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0</v>
      </c>
      <c r="E97" s="2" t="n">
        <v>6.35312176248309E-009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6.60853295972713E-009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0</v>
      </c>
      <c r="E99" s="2" t="n">
        <v>6.86394507329899E-009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7.11935814650495E-009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0</v>
      </c>
      <c r="E101" s="2" t="n">
        <v>7.37477222225481E-009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7.63018734150372E-009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7.88560354816736E-009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8.14102088061879E-009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8.39643938089516E-009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8.65185908783199E-009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0</v>
      </c>
      <c r="E107" s="2" t="n">
        <v>8.9072800420868E-009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9.16270228163584E-009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0</v>
      </c>
      <c r="E109" s="2" t="n">
        <v>9.41812584541053E-009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9.67355077149898E-009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0</v>
      </c>
      <c r="E111" s="2" t="n">
        <v>9.92897709748103E-009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1.01844048602415E-008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0</v>
      </c>
      <c r="E113" s="2" t="n">
        <v>1.04398340971475E-008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1.06952648439988E-008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0</v>
      </c>
      <c r="E115" s="2" t="n">
        <v>1.09506971371587E-008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1.12061310114786E-008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0</v>
      </c>
      <c r="E117" s="2" t="n">
        <v>1.14615665035268E-008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0</v>
      </c>
      <c r="E118" s="2" t="n">
        <v>1.17170036470432E-008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0</v>
      </c>
      <c r="E119" s="2" t="n">
        <v>1.19724424770937E-008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1.20271882762048E-008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1.22826144230423E-008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1.25380440216994E-008</v>
      </c>
    </row>
    <row r="123" customFormat="false" ht="13.8" hidden="false" customHeight="false" outlineLevel="0" collapsed="false">
      <c r="B123" s="2" t="n">
        <v>121</v>
      </c>
      <c r="C123" s="2" t="n">
        <v>2.47022957027416E-019</v>
      </c>
      <c r="D123" s="2" t="n">
        <v>0.0111257583553471</v>
      </c>
      <c r="E123" s="2" t="n">
        <v>6.17557392565625E-020</v>
      </c>
    </row>
    <row r="124" customFormat="false" ht="13.8" hidden="false" customHeight="false" outlineLevel="0" collapsed="false">
      <c r="B124" s="2" t="n">
        <v>122</v>
      </c>
      <c r="C124" s="2" t="n">
        <v>0.0182730457410254</v>
      </c>
      <c r="D124" s="2" t="n">
        <v>0</v>
      </c>
      <c r="E124" s="2" t="n">
        <v>0.0125254313079984</v>
      </c>
    </row>
    <row r="125" customFormat="false" ht="13.8" hidden="false" customHeight="false" outlineLevel="0" collapsed="false">
      <c r="B125" s="2" t="n">
        <v>123</v>
      </c>
      <c r="C125" s="2" t="n">
        <v>2.4531262251725E-009</v>
      </c>
      <c r="D125" s="2" t="n">
        <v>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0.0114081298523063</v>
      </c>
      <c r="D126" s="2" t="n">
        <v>0</v>
      </c>
      <c r="E126" s="2" t="n">
        <v>0.00798408913262775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3.46000201576408E-011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6.92003559528124E-011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1.03801019826712E-010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1.38402011923805E-010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1.73003335855388E-010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2.07604989285899E-010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2.42206974334038E-010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2.76809291629048E-010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3.11411942294985E-010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3.46014926460943E-010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3.80618246237156E-010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4.15221901252575E-010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4.49825889154387E-010</v>
      </c>
      <c r="D140" s="2" t="n">
        <v>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4.84430222450179E-010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5.19034891847205E-010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5.5363989796028E-010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5.8824524536492E-010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6.57242398227511E-010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6.92063339469203E-010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7.01042906170394E-018</v>
      </c>
      <c r="D149" s="2" t="n">
        <v>3.08473472114368E-018</v>
      </c>
      <c r="E149" s="2" t="n">
        <v>0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6.4647484873809E-018</v>
      </c>
      <c r="E150" s="2" t="n">
        <v>2.14748363427675E-019</v>
      </c>
    </row>
    <row r="151" customFormat="false" ht="13.8" hidden="false" customHeight="false" outlineLevel="0" collapsed="false">
      <c r="B151" s="2" t="n">
        <v>149</v>
      </c>
      <c r="C151" s="2" t="n">
        <v>5.06220433284166E-011</v>
      </c>
      <c r="D151" s="2" t="n">
        <v>5.0622051385961E-011</v>
      </c>
      <c r="E151" s="2" t="n">
        <v>5.06220420108668E-011</v>
      </c>
    </row>
    <row r="152" customFormat="false" ht="13.8" hidden="false" customHeight="false" outlineLevel="0" collapsed="false">
      <c r="B152" s="2" t="n">
        <v>150</v>
      </c>
      <c r="C152" s="2" t="n">
        <v>1.00736140815785E-018</v>
      </c>
      <c r="D152" s="2" t="n">
        <v>9.45553081387535E-018</v>
      </c>
      <c r="E152" s="2" t="n">
        <v>8.05306364347336E-020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2.68435455787065E-020</v>
      </c>
      <c r="E153" s="2" t="n">
        <v>2.68435455787065E-020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5.3687091128911E-020</v>
      </c>
      <c r="E154" s="2" t="n">
        <v>5.3687091128911E-020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0</v>
      </c>
      <c r="E155" s="2" t="n">
        <v>5.36870911389987E-020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2.56498109481768E-018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3.76446249818155E-018</v>
      </c>
      <c r="D157" s="2" t="n">
        <v>4.97454408952668E-018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0</v>
      </c>
      <c r="D158" s="2" t="n">
        <v>7.38163093378919E-019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2.13938090056479E-010</v>
      </c>
      <c r="D159" s="2" t="n">
        <v>2.13938096099642E-010</v>
      </c>
      <c r="E159" s="2" t="n">
        <v>2.13938090937184E-010</v>
      </c>
    </row>
    <row r="160" customFormat="false" ht="13.8" hidden="false" customHeight="false" outlineLevel="0" collapsed="false">
      <c r="B160" s="2" t="n">
        <v>158</v>
      </c>
      <c r="C160" s="2" t="n">
        <v>2.3435282605961E-010</v>
      </c>
      <c r="D160" s="2" t="n">
        <v>2.34352827078334E-010</v>
      </c>
      <c r="E160" s="2" t="n">
        <v>2.34352824497104E-010</v>
      </c>
    </row>
    <row r="161" customFormat="false" ht="13.8" hidden="false" customHeight="false" outlineLevel="0" collapsed="false">
      <c r="B161" s="2" t="n">
        <v>159</v>
      </c>
      <c r="C161" s="2" t="n">
        <v>1.48024320458921E-018</v>
      </c>
      <c r="D161" s="2" t="n">
        <v>8.21515318833103E-019</v>
      </c>
      <c r="E161" s="2" t="n">
        <v>4.02653183658302E-020</v>
      </c>
    </row>
    <row r="162" customFormat="false" ht="13.8" hidden="false" customHeight="false" outlineLevel="0" collapsed="false">
      <c r="B162" s="2" t="n">
        <v>160</v>
      </c>
      <c r="C162" s="2" t="n">
        <v>2.8213796882653E-010</v>
      </c>
      <c r="D162" s="2" t="n">
        <v>2.82137967308281E-010</v>
      </c>
      <c r="E162" s="2" t="n">
        <v>2.82137970779603E-010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1.34217727982145E-020</v>
      </c>
      <c r="E163" s="2" t="n">
        <v>1.34217727982145E-020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0</v>
      </c>
      <c r="E164" s="2" t="n">
        <v>0.100708191345089</v>
      </c>
    </row>
    <row r="165" customFormat="false" ht="13.8" hidden="false" customHeight="false" outlineLevel="0" collapsed="false">
      <c r="B165" s="2" t="n">
        <v>163</v>
      </c>
      <c r="C165" s="2" t="n">
        <v>2.2856549077048E-017</v>
      </c>
      <c r="D165" s="2" t="n">
        <v>2.15888250354459E-017</v>
      </c>
      <c r="E165" s="2" t="n">
        <v>0.092208336274087</v>
      </c>
    </row>
    <row r="166" customFormat="false" ht="13.8" hidden="false" customHeight="false" outlineLevel="0" collapsed="false">
      <c r="B166" s="2" t="n">
        <v>164</v>
      </c>
      <c r="C166" s="2" t="n">
        <v>8.97714616646746E-018</v>
      </c>
      <c r="D166" s="2" t="n">
        <v>5.60609585084487E-018</v>
      </c>
      <c r="E166" s="2" t="n">
        <v>0.101098645480801</v>
      </c>
    </row>
    <row r="167" customFormat="false" ht="13.8" hidden="false" customHeight="false" outlineLevel="0" collapsed="false">
      <c r="B167" s="2" t="n">
        <v>165</v>
      </c>
      <c r="C167" s="2" t="n">
        <v>0.00344370309432088</v>
      </c>
      <c r="D167" s="2" t="n">
        <v>0</v>
      </c>
      <c r="E167" s="2" t="n">
        <v>0.0305419094654159</v>
      </c>
    </row>
    <row r="168" customFormat="false" ht="13.8" hidden="false" customHeight="false" outlineLevel="0" collapsed="false">
      <c r="B168" s="2" t="n">
        <v>166</v>
      </c>
      <c r="C168" s="2" t="n">
        <v>0.0126617504306352</v>
      </c>
      <c r="D168" s="2" t="n">
        <v>1.20159723487144E-017</v>
      </c>
      <c r="E168" s="2" t="n">
        <v>0.031354785029032</v>
      </c>
    </row>
    <row r="169" customFormat="false" ht="13.8" hidden="false" customHeight="false" outlineLevel="0" collapsed="false">
      <c r="B169" s="2" t="n">
        <v>167</v>
      </c>
      <c r="C169" s="2" t="n">
        <v>0.0287133977669503</v>
      </c>
      <c r="D169" s="2" t="n">
        <v>1.6629937616371E-017</v>
      </c>
      <c r="E169" s="2" t="n">
        <v>0.000636305235852521</v>
      </c>
    </row>
    <row r="170" customFormat="false" ht="13.8" hidden="false" customHeight="false" outlineLevel="0" collapsed="false">
      <c r="B170" s="2" t="n">
        <v>168</v>
      </c>
      <c r="C170" s="2" t="n">
        <v>0.0146828705459372</v>
      </c>
      <c r="D170" s="2" t="n">
        <v>0</v>
      </c>
      <c r="E170" s="2" t="n">
        <v>3.62694827416305E-017</v>
      </c>
    </row>
    <row r="171" customFormat="false" ht="13.8" hidden="false" customHeight="false" outlineLevel="0" collapsed="false">
      <c r="B171" s="2" t="n">
        <v>169</v>
      </c>
      <c r="C171" s="2" t="n">
        <v>1.60380890725609E-005</v>
      </c>
      <c r="D171" s="2" t="n">
        <v>0</v>
      </c>
      <c r="E171" s="2" t="n">
        <v>4.10754768587288E-017</v>
      </c>
    </row>
    <row r="172" customFormat="false" ht="13.8" hidden="false" customHeight="false" outlineLevel="0" collapsed="false">
      <c r="B172" s="2" t="n">
        <v>170</v>
      </c>
      <c r="C172" s="2" t="n">
        <v>1.20285668044458E-005</v>
      </c>
      <c r="D172" s="2" t="n">
        <v>0</v>
      </c>
      <c r="E172" s="2" t="n">
        <v>4.23905265305328E-017</v>
      </c>
    </row>
    <row r="173" customFormat="false" ht="13.8" hidden="false" customHeight="false" outlineLevel="0" collapsed="false">
      <c r="B173" s="2" t="n">
        <v>171</v>
      </c>
      <c r="C173" s="2" t="n">
        <v>1.22140760386912E-005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4.00952226815325E-006</v>
      </c>
      <c r="D174" s="2" t="n">
        <v>2.17435439911314E-019</v>
      </c>
      <c r="E174" s="2" t="n">
        <v>4.69998914333139E-017</v>
      </c>
    </row>
    <row r="175" customFormat="false" ht="13.8" hidden="false" customHeight="false" outlineLevel="0" collapsed="false">
      <c r="B175" s="2" t="n">
        <v>173</v>
      </c>
      <c r="C175" s="2" t="n">
        <v>9.04572751976541E-009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1.3402391202482E-009</v>
      </c>
      <c r="D176" s="2" t="n">
        <v>1.40635602084729E-009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1.34023252939712E-009</v>
      </c>
      <c r="D177" s="2" t="n">
        <v>1.40635009395042E-009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7.25580761166102E-010</v>
      </c>
      <c r="D178" s="2" t="n">
        <v>7.25580761166102E-010</v>
      </c>
      <c r="E178" s="2" t="n">
        <v>1.45118669276945E-009</v>
      </c>
    </row>
    <row r="179" customFormat="false" ht="13.8" hidden="false" customHeight="false" outlineLevel="0" collapsed="false">
      <c r="B179" s="2" t="n">
        <v>177</v>
      </c>
      <c r="C179" s="2" t="n">
        <v>1.3402196256111E-009</v>
      </c>
      <c r="D179" s="2" t="n">
        <v>1.40633850683882E-009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1.34021330161396E-009</v>
      </c>
      <c r="D180" s="2" t="n">
        <v>1.40633284466101E-009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1.34020709982583E-009</v>
      </c>
      <c r="D181" s="2" t="n">
        <v>1.40632730481547E-009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1.34020101601427E-009</v>
      </c>
      <c r="D182" s="2" t="n">
        <v>1.40632187985077E-009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1.3401950394077E-009</v>
      </c>
      <c r="D183" s="2" t="n">
        <v>1.40631656915144E-009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1.34018917490995E-009</v>
      </c>
      <c r="D184" s="2" t="n">
        <v>1.40631136394956E-009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1.34018341548401E-009</v>
      </c>
      <c r="D185" s="2" t="n">
        <v>1.4063062696204E-009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9.16587440884501E-010</v>
      </c>
      <c r="D186" s="2" t="n">
        <v>9.16587441275126E-010</v>
      </c>
      <c r="E186" s="2" t="n">
        <v>1.83321503381481E-009</v>
      </c>
    </row>
    <row r="187" customFormat="false" ht="13.8" hidden="false" customHeight="false" outlineLevel="0" collapsed="false">
      <c r="B187" s="2" t="n">
        <v>185</v>
      </c>
      <c r="C187" s="2" t="n">
        <v>9.40463355701157E-010</v>
      </c>
      <c r="D187" s="2" t="n">
        <v>9.40463355701157E-010</v>
      </c>
      <c r="E187" s="2" t="n">
        <v>1.88096897960608E-009</v>
      </c>
    </row>
    <row r="188" customFormat="false" ht="13.8" hidden="false" customHeight="false" outlineLevel="0" collapsed="false">
      <c r="B188" s="2" t="n">
        <v>186</v>
      </c>
      <c r="C188" s="2" t="n">
        <v>9.6433931123632E-010</v>
      </c>
      <c r="D188" s="2" t="n">
        <v>9.64339313189445E-010</v>
      </c>
      <c r="E188" s="2" t="n">
        <v>1.92872306308118E-009</v>
      </c>
    </row>
    <row r="189" customFormat="false" ht="13.8" hidden="false" customHeight="false" outlineLevel="0" collapsed="false">
      <c r="B189" s="2" t="n">
        <v>187</v>
      </c>
      <c r="C189" s="2" t="n">
        <v>9.88215308361283E-010</v>
      </c>
      <c r="D189" s="2" t="n">
        <v>9.88215307189408E-010</v>
      </c>
      <c r="E189" s="2" t="n">
        <v>1.97647728192654E-009</v>
      </c>
    </row>
    <row r="190" customFormat="false" ht="13.8" hidden="false" customHeight="false" outlineLevel="0" collapsed="false">
      <c r="B190" s="2" t="n">
        <v>188</v>
      </c>
      <c r="C190" s="2" t="n">
        <v>1.01209134573975E-009</v>
      </c>
      <c r="D190" s="2" t="n">
        <v>1.01209134613038E-009</v>
      </c>
      <c r="E190" s="2" t="n">
        <v>2.0242316383118E-009</v>
      </c>
    </row>
    <row r="191" customFormat="false" ht="13.8" hidden="false" customHeight="false" outlineLevel="0" collapsed="false">
      <c r="B191" s="2" t="n">
        <v>189</v>
      </c>
      <c r="C191" s="2" t="n">
        <v>1.34014950195862E-009</v>
      </c>
      <c r="D191" s="2" t="n">
        <v>1.40627632202587E-009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1.3401439307474E-009</v>
      </c>
      <c r="D192" s="2" t="n">
        <v>1.40627141192717E-009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1.34013843415463E-009</v>
      </c>
      <c r="D193" s="2" t="n">
        <v>1.40626657442213E-009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1.46899889911298E-008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1.49870554738225E-008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1.52841219665011E-008</v>
      </c>
      <c r="D196" s="2" t="n">
        <v>0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1.34011698084662E-009</v>
      </c>
      <c r="D197" s="2" t="n">
        <v>1.40624776872908E-009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1.20310030718757E-009</v>
      </c>
      <c r="D198" s="2" t="n">
        <v>1.20310030635749E-009</v>
      </c>
      <c r="E198" s="2" t="n">
        <v>2.40626975940262E-009</v>
      </c>
    </row>
    <row r="199" customFormat="false" ht="13.8" hidden="false" customHeight="false" outlineLevel="0" collapsed="false">
      <c r="B199" s="2" t="n">
        <v>197</v>
      </c>
      <c r="C199" s="2" t="n">
        <v>1.22697651016304E-009</v>
      </c>
      <c r="D199" s="2" t="n">
        <v>1.22697651055366E-009</v>
      </c>
      <c r="E199" s="2" t="n">
        <v>2.45402493809501E-009</v>
      </c>
    </row>
    <row r="200" customFormat="false" ht="13.8" hidden="false" customHeight="false" outlineLevel="0" collapsed="false">
      <c r="B200" s="2" t="n">
        <v>198</v>
      </c>
      <c r="C200" s="2" t="n">
        <v>1.25085275792047E-009</v>
      </c>
      <c r="D200" s="2" t="n">
        <v>1.25085276045953E-009</v>
      </c>
      <c r="E200" s="2" t="n">
        <v>2.50178025778504E-009</v>
      </c>
    </row>
    <row r="201" customFormat="false" ht="13.8" hidden="false" customHeight="false" outlineLevel="0" collapsed="false">
      <c r="B201" s="2" t="n">
        <v>199</v>
      </c>
      <c r="C201" s="2" t="n">
        <v>1.27472905109037E-009</v>
      </c>
      <c r="D201" s="2" t="n">
        <v>1.27472905030912E-009</v>
      </c>
      <c r="E201" s="2" t="n">
        <v>2.54953572029249E-009</v>
      </c>
    </row>
    <row r="202" customFormat="false" ht="13.8" hidden="false" customHeight="false" outlineLevel="0" collapsed="false">
      <c r="B202" s="2" t="n">
        <v>200</v>
      </c>
      <c r="C202" s="2" t="n">
        <v>1.29860538655712E-009</v>
      </c>
      <c r="D202" s="2" t="n">
        <v>1.29860538655712E-009</v>
      </c>
      <c r="E202" s="2" t="n">
        <v>2.59729132484077E-009</v>
      </c>
    </row>
    <row r="203" customFormat="false" ht="13.8" hidden="false" customHeight="false" outlineLevel="0" collapsed="false">
      <c r="B203" s="2" t="n">
        <v>201</v>
      </c>
      <c r="C203" s="2" t="n">
        <v>1.32248176646356E-009</v>
      </c>
      <c r="D203" s="2" t="n">
        <v>1.32248176724481E-009</v>
      </c>
      <c r="E203" s="2" t="n">
        <v>2.64504707278444E-009</v>
      </c>
    </row>
    <row r="204" customFormat="false" ht="13.8" hidden="false" customHeight="false" outlineLevel="0" collapsed="false">
      <c r="B204" s="2" t="n">
        <v>202</v>
      </c>
      <c r="C204" s="2" t="n">
        <v>1.34635819148001E-009</v>
      </c>
      <c r="D204" s="2" t="n">
        <v>1.34635819021048E-009</v>
      </c>
      <c r="E204" s="2" t="n">
        <v>2.69280296412936E-009</v>
      </c>
    </row>
    <row r="205" customFormat="false" ht="13.8" hidden="false" customHeight="false" outlineLevel="0" collapsed="false">
      <c r="B205" s="2" t="n">
        <v>203</v>
      </c>
      <c r="C205" s="2" t="n">
        <v>1.3702346618294E-009</v>
      </c>
      <c r="D205" s="2" t="n">
        <v>1.37023466143878E-009</v>
      </c>
      <c r="E205" s="2" t="n">
        <v>2.74055900001717E-009</v>
      </c>
    </row>
    <row r="206" customFormat="false" ht="13.8" hidden="false" customHeight="false" outlineLevel="0" collapsed="false">
      <c r="B206" s="2" t="n">
        <v>204</v>
      </c>
      <c r="C206" s="2" t="n">
        <v>1.39411117684338E-009</v>
      </c>
      <c r="D206" s="2" t="n">
        <v>1.39411117801525E-009</v>
      </c>
      <c r="E206" s="2" t="n">
        <v>2.78831518154001E-009</v>
      </c>
    </row>
    <row r="207" customFormat="false" ht="13.8" hidden="false" customHeight="false" outlineLevel="0" collapsed="false">
      <c r="B207" s="2" t="n">
        <v>205</v>
      </c>
      <c r="C207" s="2" t="n">
        <v>1.41798773851191E-009</v>
      </c>
      <c r="D207" s="2" t="n">
        <v>1.41798773812128E-009</v>
      </c>
      <c r="E207" s="2" t="n">
        <v>2.83607150855253E-009</v>
      </c>
    </row>
    <row r="208" customFormat="false" ht="13.8" hidden="false" customHeight="false" outlineLevel="0" collapsed="false">
      <c r="B208" s="2" t="n">
        <v>206</v>
      </c>
      <c r="C208" s="2" t="n">
        <v>1.44186434588206E-009</v>
      </c>
      <c r="D208" s="2" t="n">
        <v>1.44186434744456E-009</v>
      </c>
      <c r="E208" s="2" t="n">
        <v>2.88382798292068E-009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0</v>
      </c>
      <c r="E209" s="2" t="n">
        <v>1.35187721448592E-016</v>
      </c>
    </row>
    <row r="210" customFormat="false" ht="13.8" hidden="false" customHeight="false" outlineLevel="0" collapsed="false">
      <c r="B210" s="2" t="n">
        <v>208</v>
      </c>
      <c r="C210" s="2" t="n">
        <v>0</v>
      </c>
      <c r="D210" s="2" t="n">
        <v>0</v>
      </c>
      <c r="E210" s="2" t="n">
        <v>1.37639666386432E-016</v>
      </c>
    </row>
    <row r="211" customFormat="false" ht="13.8" hidden="false" customHeight="false" outlineLevel="0" collapsed="false">
      <c r="B211" s="2" t="n">
        <v>209</v>
      </c>
      <c r="C211" s="2" t="n">
        <v>0</v>
      </c>
      <c r="D211" s="2" t="n">
        <v>0</v>
      </c>
      <c r="E211" s="2" t="n">
        <v>1.40419944143214E-016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1.42271936462032E-016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0</v>
      </c>
      <c r="E213" s="2" t="n">
        <v>1.45014971729734E-016</v>
      </c>
    </row>
    <row r="214" customFormat="false" ht="13.8" hidden="false" customHeight="false" outlineLevel="0" collapsed="false">
      <c r="B214" s="2" t="n">
        <v>212</v>
      </c>
      <c r="C214" s="2" t="n">
        <v>0</v>
      </c>
      <c r="D214" s="2" t="n">
        <v>0</v>
      </c>
      <c r="E214" s="2" t="n">
        <v>1.47668903108175E-016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1.50189076598872E-016</v>
      </c>
    </row>
    <row r="216" customFormat="false" ht="13.8" hidden="false" customHeight="false" outlineLevel="0" collapsed="false">
      <c r="B216" s="2" t="n">
        <v>214</v>
      </c>
      <c r="C216" s="2" t="n">
        <v>0</v>
      </c>
      <c r="D216" s="2" t="n">
        <v>0</v>
      </c>
      <c r="E216" s="2" t="n">
        <v>1.52506837216134E-016</v>
      </c>
    </row>
    <row r="217" customFormat="false" ht="13.8" hidden="false" customHeight="false" outlineLevel="0" collapsed="false">
      <c r="B217" s="2" t="n">
        <v>215</v>
      </c>
      <c r="C217" s="2" t="n">
        <v>1.34000705116238E-009</v>
      </c>
      <c r="D217" s="2" t="n">
        <v>1.40615106458568E-009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1.34000300744102E-009</v>
      </c>
      <c r="D218" s="2" t="n">
        <v>1.40614768225918E-009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1.34000179504746E-009</v>
      </c>
      <c r="D219" s="2" t="n">
        <v>1.40614713225226E-009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1.34000092903134E-009</v>
      </c>
      <c r="D220" s="2" t="n">
        <v>1.40614692810934E-009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1.65231068741055E-016</v>
      </c>
    </row>
    <row r="222" customFormat="false" ht="13.8" hidden="false" customHeight="false" outlineLevel="0" collapsed="false">
      <c r="B222" s="2" t="n">
        <v>220</v>
      </c>
      <c r="C222" s="2" t="n">
        <v>1.13311209062328E-011</v>
      </c>
      <c r="D222" s="2" t="n">
        <v>7.09843332033866E-012</v>
      </c>
      <c r="E222" s="2" t="n">
        <v>1.11963735693125E-011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1.40525233167586E-012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1.4304813615647E-012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1.45605672586259E-012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1.4819779291311E-012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1.50824447624543E-012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1.53485884345692E-012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1.56181904932563E-012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1.58912360753542E-012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1.61677400534317E-012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1.6447712323713E-012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1.67311479380854E-012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1.70180419390273E-012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1.73083943328113E-012</v>
      </c>
    </row>
    <row r="236" customFormat="false" ht="13.8" hidden="false" customHeight="false" outlineLevel="0" collapsed="false">
      <c r="B236" s="2" t="n">
        <v>234</v>
      </c>
      <c r="C236" s="2" t="n">
        <v>3.45944577564117E-011</v>
      </c>
      <c r="D236" s="2" t="n">
        <v>0</v>
      </c>
      <c r="E236" s="2" t="n">
        <v>1.76022051131646E-012</v>
      </c>
    </row>
    <row r="237" customFormat="false" ht="13.8" hidden="false" customHeight="false" outlineLevel="0" collapsed="false">
      <c r="B237" s="2" t="n">
        <v>235</v>
      </c>
      <c r="C237" s="2" t="n">
        <v>0</v>
      </c>
      <c r="D237" s="2" t="n">
        <v>0</v>
      </c>
      <c r="E237" s="2" t="n">
        <v>0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0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0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3.12500005204093E-018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5.15561167690968E-012</v>
      </c>
      <c r="D244" s="2" t="n">
        <v>5.12934558639466E-012</v>
      </c>
      <c r="E244" s="2" t="n">
        <v>5.12934089889459E-012</v>
      </c>
    </row>
    <row r="245" customFormat="false" ht="13.8" hidden="false" customHeight="false" outlineLevel="0" collapsed="false">
      <c r="B245" s="2" t="n">
        <v>243</v>
      </c>
      <c r="C245" s="2" t="n">
        <v>1.62789177369208E-019</v>
      </c>
      <c r="D245" s="2" t="n">
        <v>6.65783356559238E-018</v>
      </c>
      <c r="E245" s="2" t="n">
        <v>3.700102281729E-017</v>
      </c>
    </row>
    <row r="246" customFormat="false" ht="13.8" hidden="false" customHeight="false" outlineLevel="0" collapsed="false">
      <c r="B246" s="2" t="n">
        <v>244</v>
      </c>
      <c r="C246" s="2" t="n">
        <v>5.9327540131016E-019</v>
      </c>
      <c r="D246" s="2" t="n">
        <v>9.55459199520982E-018</v>
      </c>
      <c r="E246" s="2" t="n">
        <v>3.97013427200703E-017</v>
      </c>
    </row>
    <row r="247" customFormat="false" ht="13.8" hidden="false" customHeight="false" outlineLevel="0" collapsed="false">
      <c r="B247" s="2" t="n">
        <v>245</v>
      </c>
      <c r="C247" s="2" t="n">
        <v>0</v>
      </c>
      <c r="D247" s="2" t="n">
        <v>0</v>
      </c>
      <c r="E247" s="2" t="n">
        <v>4.55999193993511E-017</v>
      </c>
    </row>
    <row r="248" customFormat="false" ht="13.8" hidden="false" customHeight="false" outlineLevel="0" collapsed="false">
      <c r="B248" s="2" t="n">
        <v>246</v>
      </c>
      <c r="C248" s="2" t="n">
        <v>0</v>
      </c>
      <c r="D248" s="2" t="n">
        <v>0</v>
      </c>
      <c r="E248" s="2" t="n">
        <v>3.98966479049049E-017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4.10208267653539E-017</v>
      </c>
    </row>
    <row r="250" customFormat="false" ht="13.8" hidden="false" customHeight="false" outlineLevel="0" collapsed="false">
      <c r="B250" s="2" t="n">
        <v>248</v>
      </c>
      <c r="C250" s="2" t="n">
        <v>1.22181515010107E-015</v>
      </c>
      <c r="D250" s="2" t="n">
        <v>1.22213298470943E-015</v>
      </c>
      <c r="E250" s="2" t="n">
        <v>2.50238061886891E-015</v>
      </c>
    </row>
    <row r="251" customFormat="false" ht="13.8" hidden="false" customHeight="false" outlineLevel="0" collapsed="false">
      <c r="B251" s="2" t="n">
        <v>249</v>
      </c>
      <c r="C251" s="2" t="n">
        <v>2.32392740744126E-014</v>
      </c>
      <c r="D251" s="2" t="n">
        <v>2.32372551364239E-014</v>
      </c>
      <c r="E251" s="2" t="n">
        <v>4.77456206359528E-014</v>
      </c>
    </row>
    <row r="252" customFormat="false" ht="13.8" hidden="false" customHeight="false" outlineLevel="0" collapsed="false">
      <c r="B252" s="2" t="n">
        <v>250</v>
      </c>
      <c r="C252" s="2" t="n">
        <v>4.6151179803031E-014</v>
      </c>
      <c r="D252" s="2" t="n">
        <v>4.6151179803031E-014</v>
      </c>
      <c r="E252" s="2" t="n">
        <v>9.8503196758874E-014</v>
      </c>
    </row>
    <row r="253" customFormat="false" ht="13.8" hidden="false" customHeight="false" outlineLevel="0" collapsed="false">
      <c r="B253" s="2" t="n">
        <v>251</v>
      </c>
      <c r="C253" s="2" t="n">
        <v>3.28295335178615E-010</v>
      </c>
      <c r="D253" s="2" t="n">
        <v>2.78709002734981E-010</v>
      </c>
      <c r="E253" s="2" t="n">
        <v>2.78708997572529E-010</v>
      </c>
    </row>
    <row r="254" customFormat="false" ht="13.8" hidden="false" customHeight="false" outlineLevel="0" collapsed="false">
      <c r="B254" s="2" t="n">
        <v>252</v>
      </c>
      <c r="C254" s="2" t="n">
        <v>0</v>
      </c>
      <c r="D254" s="2" t="n">
        <v>0</v>
      </c>
      <c r="E254" s="2" t="n">
        <v>1.6106127341999E-019</v>
      </c>
    </row>
    <row r="255" customFormat="false" ht="13.8" hidden="false" customHeight="false" outlineLevel="0" collapsed="false">
      <c r="B255" s="2" t="n">
        <v>253</v>
      </c>
      <c r="C255" s="2" t="n">
        <v>3.66597985852214E-010</v>
      </c>
      <c r="D255" s="2" t="n">
        <v>3.17400453679606E-010</v>
      </c>
      <c r="E255" s="2" t="n">
        <v>3.17400453679593E-010</v>
      </c>
    </row>
    <row r="256" customFormat="false" ht="13.8" hidden="false" customHeight="false" outlineLevel="0" collapsed="false">
      <c r="B256" s="2" t="n">
        <v>254</v>
      </c>
      <c r="C256" s="2" t="n">
        <v>3.8579361488419E-010</v>
      </c>
      <c r="D256" s="2" t="n">
        <v>3.36746065229184E-010</v>
      </c>
      <c r="E256" s="2" t="n">
        <v>3.36746065229093E-010</v>
      </c>
    </row>
    <row r="257" customFormat="false" ht="13.8" hidden="false" customHeight="false" outlineLevel="0" collapsed="false">
      <c r="B257" s="2" t="n">
        <v>255</v>
      </c>
      <c r="C257" s="2" t="n">
        <v>4.05010446839942E-010</v>
      </c>
      <c r="D257" s="2" t="n">
        <v>3.56091683393357E-010</v>
      </c>
      <c r="E257" s="2" t="n">
        <v>3.56091684174538E-010</v>
      </c>
    </row>
    <row r="258" customFormat="false" ht="13.8" hidden="false" customHeight="false" outlineLevel="0" collapsed="false">
      <c r="B258" s="2" t="n">
        <v>256</v>
      </c>
      <c r="C258" s="2" t="n">
        <v>4.24244321959851E-010</v>
      </c>
      <c r="D258" s="2" t="n">
        <v>3.75437362022347E-010</v>
      </c>
      <c r="E258" s="2" t="n">
        <v>3.75437362021636E-010</v>
      </c>
    </row>
    <row r="259" customFormat="false" ht="13.8" hidden="false" customHeight="false" outlineLevel="0" collapsed="false">
      <c r="B259" s="2" t="n">
        <v>257</v>
      </c>
      <c r="C259" s="2" t="n">
        <v>0.0186229371256282</v>
      </c>
      <c r="D259" s="2" t="n">
        <v>1.02817184003806E-016</v>
      </c>
      <c r="E259" s="2" t="n">
        <v>0.0133302823366287</v>
      </c>
    </row>
    <row r="260" customFormat="false" ht="13.8" hidden="false" customHeight="false" outlineLevel="0" collapsed="false">
      <c r="B260" s="2" t="n">
        <v>258</v>
      </c>
      <c r="C260" s="2" t="n">
        <v>0.027272770467904</v>
      </c>
      <c r="D260" s="2" t="n">
        <v>0</v>
      </c>
      <c r="E260" s="2" t="n">
        <v>2.906052547245E-016</v>
      </c>
    </row>
    <row r="261" customFormat="false" ht="13.8" hidden="false" customHeight="false" outlineLevel="0" collapsed="false">
      <c r="B261" s="2" t="n">
        <v>259</v>
      </c>
      <c r="C261" s="2" t="n">
        <v>0.0225923214735593</v>
      </c>
      <c r="D261" s="2" t="n">
        <v>0</v>
      </c>
      <c r="E261" s="2" t="n">
        <v>3.01800014360652E-016</v>
      </c>
    </row>
    <row r="262" customFormat="false" ht="13.8" hidden="false" customHeight="false" outlineLevel="0" collapsed="false">
      <c r="B262" s="2" t="n">
        <v>260</v>
      </c>
      <c r="C262" s="2" t="n">
        <v>0.0179118724792145</v>
      </c>
      <c r="D262" s="2" t="n">
        <v>0</v>
      </c>
      <c r="E262" s="2" t="n">
        <v>3.17377775918584E-016</v>
      </c>
    </row>
    <row r="263" customFormat="false" ht="13.8" hidden="false" customHeight="false" outlineLevel="0" collapsed="false">
      <c r="B263" s="2" t="n">
        <v>261</v>
      </c>
      <c r="C263" s="2" t="n">
        <v>0.0132314234848696</v>
      </c>
      <c r="D263" s="2" t="n">
        <v>0</v>
      </c>
      <c r="E263" s="2" t="n">
        <v>3.31076106466012E-016</v>
      </c>
    </row>
    <row r="264" customFormat="false" ht="13.8" hidden="false" customHeight="false" outlineLevel="0" collapsed="false">
      <c r="B264" s="2" t="n">
        <v>262</v>
      </c>
      <c r="C264" s="2" t="n">
        <v>0.00992356761365225</v>
      </c>
      <c r="D264" s="2" t="n">
        <v>0</v>
      </c>
      <c r="E264" s="2" t="n">
        <v>3.4421822643807E-016</v>
      </c>
    </row>
    <row r="265" customFormat="false" ht="13.8" hidden="false" customHeight="false" outlineLevel="0" collapsed="false">
      <c r="B265" s="2" t="n">
        <v>263</v>
      </c>
      <c r="C265" s="2" t="n">
        <v>0.00661571174243484</v>
      </c>
      <c r="D265" s="2" t="n">
        <v>0</v>
      </c>
      <c r="E265" s="2" t="n">
        <v>3.59237346890588E-016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1.53312421893489E-015</v>
      </c>
      <c r="E266" s="2" t="n">
        <v>3.40026625955523E-016</v>
      </c>
    </row>
    <row r="267" customFormat="false" ht="13.8" hidden="false" customHeight="false" outlineLevel="0" collapsed="false">
      <c r="B267" s="2" t="n">
        <v>265</v>
      </c>
      <c r="C267" s="2" t="n">
        <v>1.09771173045052E-012</v>
      </c>
      <c r="D267" s="2" t="n">
        <v>1.0987382762846E-012</v>
      </c>
      <c r="E267" s="2" t="n">
        <v>2.19585017065887E-012</v>
      </c>
    </row>
    <row r="268" customFormat="false" ht="13.8" hidden="false" customHeight="false" outlineLevel="0" collapsed="false">
      <c r="B268" s="2" t="n">
        <v>266</v>
      </c>
      <c r="C268" s="2" t="n">
        <v>1.23519304444419E-012</v>
      </c>
      <c r="D268" s="2" t="n">
        <v>1.23621841840327E-012</v>
      </c>
      <c r="E268" s="2" t="n">
        <v>2.47082934067183E-012</v>
      </c>
    </row>
    <row r="269" customFormat="false" ht="13.8" hidden="false" customHeight="false" outlineLevel="0" collapsed="false">
      <c r="B269" s="2" t="n">
        <v>267</v>
      </c>
      <c r="C269" s="2" t="n">
        <v>1.37268956546868E-012</v>
      </c>
      <c r="D269" s="2" t="n">
        <v>1.37370556442777E-012</v>
      </c>
      <c r="E269" s="2" t="n">
        <v>2.74581823924014E-012</v>
      </c>
    </row>
    <row r="270" customFormat="false" ht="13.8" hidden="false" customHeight="false" outlineLevel="0" collapsed="false">
      <c r="B270" s="2" t="n">
        <v>268</v>
      </c>
      <c r="C270" s="2" t="n">
        <v>1.51017536997888E-012</v>
      </c>
      <c r="D270" s="2" t="n">
        <v>1.51120230643797E-012</v>
      </c>
      <c r="E270" s="2" t="n">
        <v>3.02082247245139E-012</v>
      </c>
    </row>
    <row r="271" customFormat="false" ht="13.8" hidden="false" customHeight="false" outlineLevel="0" collapsed="false">
      <c r="B271" s="2" t="n">
        <v>269</v>
      </c>
      <c r="C271" s="2" t="n">
        <v>1.64767827288041E-012</v>
      </c>
      <c r="D271" s="2" t="n">
        <v>1.6487013030895E-012</v>
      </c>
      <c r="E271" s="2" t="n">
        <v>3.29584191399473E-012</v>
      </c>
    </row>
    <row r="272" customFormat="false" ht="13.8" hidden="false" customHeight="false" outlineLevel="0" collapsed="false">
      <c r="B272" s="2" t="n">
        <v>270</v>
      </c>
      <c r="C272" s="2" t="n">
        <v>1.78518727009207E-012</v>
      </c>
      <c r="D272" s="2" t="n">
        <v>1.78621030030117E-012</v>
      </c>
      <c r="E272" s="2" t="n">
        <v>3.57087165087156E-012</v>
      </c>
    </row>
    <row r="273" customFormat="false" ht="13.8" hidden="false" customHeight="false" outlineLevel="0" collapsed="false">
      <c r="B273" s="2" t="n">
        <v>271</v>
      </c>
      <c r="C273" s="2" t="n">
        <v>1.92270347539102E-012</v>
      </c>
      <c r="D273" s="2" t="n">
        <v>1.92373002122511E-012</v>
      </c>
      <c r="E273" s="2" t="n">
        <v>3.84592168357883E-012</v>
      </c>
    </row>
    <row r="274" customFormat="false" ht="13.8" hidden="false" customHeight="false" outlineLevel="0" collapsed="false">
      <c r="B274" s="2" t="n">
        <v>272</v>
      </c>
      <c r="C274" s="2" t="n">
        <v>2.06021985319757E-012</v>
      </c>
      <c r="D274" s="2" t="n">
        <v>2.06124444590666E-012</v>
      </c>
      <c r="E274" s="2" t="n">
        <v>4.12096944919138E-012</v>
      </c>
    </row>
    <row r="275" customFormat="false" ht="13.8" hidden="false" customHeight="false" outlineLevel="0" collapsed="false">
      <c r="B275" s="2" t="n">
        <v>273</v>
      </c>
      <c r="C275" s="2" t="n">
        <v>2.19773951178866E-012</v>
      </c>
      <c r="D275" s="2" t="n">
        <v>2.19876605762276E-012</v>
      </c>
      <c r="E275" s="2" t="n">
        <v>4.39602303645558E-012</v>
      </c>
    </row>
    <row r="276" customFormat="false" ht="13.8" hidden="false" customHeight="false" outlineLevel="0" collapsed="false">
      <c r="B276" s="2" t="n">
        <v>274</v>
      </c>
      <c r="C276" s="2" t="n">
        <v>2.3352625451167E-012</v>
      </c>
      <c r="D276" s="2" t="n">
        <v>2.3362883097008E-012</v>
      </c>
      <c r="E276" s="2" t="n">
        <v>4.6710833205741E-012</v>
      </c>
    </row>
    <row r="277" customFormat="false" ht="13.8" hidden="false" customHeight="false" outlineLevel="0" collapsed="false">
      <c r="B277" s="2" t="n">
        <v>275</v>
      </c>
      <c r="C277" s="2" t="n">
        <v>2.47279057859625E-012</v>
      </c>
      <c r="D277" s="2" t="n">
        <v>2.47381360880535E-012</v>
      </c>
      <c r="E277" s="2" t="n">
        <v>4.94615160912721E-012</v>
      </c>
    </row>
    <row r="278" customFormat="false" ht="13.8" hidden="false" customHeight="false" outlineLevel="0" collapsed="false">
      <c r="B278" s="2" t="n">
        <v>276</v>
      </c>
      <c r="C278" s="2" t="n">
        <v>2.61031866748117E-012</v>
      </c>
      <c r="D278" s="2" t="n">
        <v>2.61134418702105E-012</v>
      </c>
      <c r="E278" s="2" t="n">
        <v>5.22122619336156E-012</v>
      </c>
    </row>
    <row r="279" customFormat="false" ht="13.8" hidden="false" customHeight="false" outlineLevel="0" collapsed="false">
      <c r="B279" s="2" t="n">
        <v>277</v>
      </c>
      <c r="C279" s="2" t="n">
        <v>2.74785274664394E-012</v>
      </c>
      <c r="D279" s="2" t="n">
        <v>2.74887982868383E-012</v>
      </c>
      <c r="E279" s="2" t="n">
        <v>5.49630835614134E-012</v>
      </c>
    </row>
    <row r="280" customFormat="false" ht="13.8" hidden="false" customHeight="false" outlineLevel="0" collapsed="false">
      <c r="B280" s="2" t="n">
        <v>278</v>
      </c>
      <c r="C280" s="2" t="n">
        <v>2.88538562316442E-012</v>
      </c>
      <c r="D280" s="2" t="n">
        <v>2.8864127052043E-012</v>
      </c>
      <c r="E280" s="2" t="n">
        <v>5.77138882980185E-012</v>
      </c>
    </row>
    <row r="281" customFormat="false" ht="13.8" hidden="false" customHeight="false" outlineLevel="0" collapsed="false">
      <c r="B281" s="2" t="n">
        <v>279</v>
      </c>
      <c r="C281" s="2" t="n">
        <v>3.0229342954337E-012</v>
      </c>
      <c r="D281" s="2" t="n">
        <v>3.02396006001782E-012</v>
      </c>
      <c r="E281" s="2" t="n">
        <v>6.04650073845317E-012</v>
      </c>
    </row>
    <row r="282" customFormat="false" ht="13.8" hidden="false" customHeight="false" outlineLevel="0" collapsed="false">
      <c r="B282" s="2" t="n">
        <v>280</v>
      </c>
      <c r="C282" s="2" t="n">
        <v>3.16047803940168E-012</v>
      </c>
      <c r="D282" s="2" t="n">
        <v>3.1615026321108E-012</v>
      </c>
      <c r="E282" s="2" t="n">
        <v>6.3216029482609E-012</v>
      </c>
    </row>
    <row r="283" customFormat="false" ht="13.8" hidden="false" customHeight="false" outlineLevel="0" collapsed="false">
      <c r="B283" s="2" t="n">
        <v>281</v>
      </c>
      <c r="C283" s="2" t="n">
        <v>3.29803656688574E-012</v>
      </c>
      <c r="D283" s="2" t="n">
        <v>3.29906350334487E-012</v>
      </c>
      <c r="E283" s="2" t="n">
        <v>6.59673552878615E-012</v>
      </c>
    </row>
    <row r="284" customFormat="false" ht="13.8" hidden="false" customHeight="false" outlineLevel="0" collapsed="false">
      <c r="B284" s="2" t="n">
        <v>282</v>
      </c>
      <c r="C284" s="2" t="n">
        <v>3.43559728796961E-012</v>
      </c>
      <c r="D284" s="2" t="n">
        <v>3.43662149005374E-012</v>
      </c>
      <c r="E284" s="2" t="n">
        <v>6.87186764752116E-012</v>
      </c>
    </row>
    <row r="285" customFormat="false" ht="13.8" hidden="false" customHeight="false" outlineLevel="0" collapsed="false">
      <c r="B285" s="2" t="n">
        <v>283</v>
      </c>
      <c r="C285" s="2" t="n">
        <v>3.57315486672148E-012</v>
      </c>
      <c r="D285" s="2" t="n">
        <v>3.57417945943062E-012</v>
      </c>
      <c r="E285" s="2" t="n">
        <v>7.14700085069056E-012</v>
      </c>
    </row>
    <row r="286" customFormat="false" ht="13.8" hidden="false" customHeight="false" outlineLevel="0" collapsed="false">
      <c r="B286" s="2" t="n">
        <v>284</v>
      </c>
      <c r="C286" s="2" t="n">
        <v>3.71072443851056E-012</v>
      </c>
      <c r="D286" s="2" t="n">
        <v>3.7117492265322E-012</v>
      </c>
      <c r="E286" s="2" t="n">
        <v>7.42215462425831E-012</v>
      </c>
    </row>
    <row r="287" customFormat="false" ht="13.8" hidden="false" customHeight="false" outlineLevel="0" collapsed="false">
      <c r="B287" s="2" t="n">
        <v>285</v>
      </c>
      <c r="C287" s="2" t="n">
        <v>3.84830084183988E-012</v>
      </c>
      <c r="D287" s="2" t="n">
        <v>3.84932680173652E-012</v>
      </c>
      <c r="E287" s="2" t="n">
        <v>7.69732275980461E-012</v>
      </c>
    </row>
    <row r="288" customFormat="false" ht="13.8" hidden="false" customHeight="false" outlineLevel="0" collapsed="false">
      <c r="B288" s="2" t="n">
        <v>286</v>
      </c>
      <c r="C288" s="2" t="n">
        <v>3.98588468529618E-012</v>
      </c>
      <c r="D288" s="2" t="n">
        <v>3.98690986394283E-012</v>
      </c>
      <c r="E288" s="2" t="n">
        <v>7.9725032200982E-012</v>
      </c>
    </row>
    <row r="289" customFormat="false" ht="13.8" hidden="false" customHeight="false" outlineLevel="0" collapsed="false">
      <c r="B289" s="2" t="n">
        <v>287</v>
      </c>
      <c r="C289" s="2" t="n">
        <v>4.12347357395895E-012</v>
      </c>
      <c r="D289" s="2" t="n">
        <v>4.12449836198061E-012</v>
      </c>
      <c r="E289" s="2" t="n">
        <v>8.24769736998497E-012</v>
      </c>
    </row>
    <row r="290" customFormat="false" ht="13.8" hidden="false" customHeight="false" outlineLevel="0" collapsed="false">
      <c r="B290" s="2" t="n">
        <v>288</v>
      </c>
      <c r="C290" s="2" t="n">
        <v>4.26107012071045E-012</v>
      </c>
      <c r="D290" s="2" t="n">
        <v>4.26209471341961E-012</v>
      </c>
      <c r="E290" s="2" t="n">
        <v>8.52290475694127E-012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0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4.53629185683117E-012</v>
      </c>
      <c r="D292" s="2" t="n">
        <v>4.53731815762113E-012</v>
      </c>
      <c r="E292" s="2" t="n">
        <v>9.07337658943965E-012</v>
      </c>
    </row>
    <row r="293" customFormat="false" ht="13.8" hidden="false" customHeight="false" outlineLevel="0" collapsed="false">
      <c r="B293" s="2" t="n">
        <v>291</v>
      </c>
      <c r="C293" s="2" t="n">
        <v>4.67391586425908E-012</v>
      </c>
      <c r="D293" s="2" t="n">
        <v>4.67494275098654E-012</v>
      </c>
      <c r="E293" s="2" t="n">
        <v>9.34864000195533E-012</v>
      </c>
    </row>
    <row r="294" customFormat="false" ht="13.8" hidden="false" customHeight="false" outlineLevel="0" collapsed="false">
      <c r="B294" s="2" t="n">
        <v>292</v>
      </c>
      <c r="C294" s="2" t="n">
        <v>4.81154669483861E-012</v>
      </c>
      <c r="D294" s="2" t="n">
        <v>4.81257450839685E-012</v>
      </c>
      <c r="E294" s="2" t="n">
        <v>9.62391707582227E-012</v>
      </c>
    </row>
    <row r="295" customFormat="false" ht="13.8" hidden="false" customHeight="false" outlineLevel="0" collapsed="false">
      <c r="B295" s="2" t="n">
        <v>293</v>
      </c>
      <c r="C295" s="2" t="n">
        <v>4.94918519189548E-012</v>
      </c>
      <c r="D295" s="2" t="n">
        <v>4.95021241951623E-012</v>
      </c>
      <c r="E295" s="2" t="n">
        <v>9.8992076285237E-012</v>
      </c>
    </row>
    <row r="296" customFormat="false" ht="13.8" hidden="false" customHeight="false" outlineLevel="0" collapsed="false">
      <c r="B296" s="2" t="n">
        <v>294</v>
      </c>
      <c r="C296" s="2" t="n">
        <v>5.08682937210568E-012</v>
      </c>
      <c r="D296" s="2" t="n">
        <v>5.08785645414568E-012</v>
      </c>
      <c r="E296" s="2" t="n">
        <v>1.01745114862587E-011</v>
      </c>
    </row>
    <row r="297" customFormat="false" ht="13.8" hidden="false" customHeight="false" outlineLevel="0" collapsed="false">
      <c r="B297" s="2" t="n">
        <v>295</v>
      </c>
      <c r="C297" s="2" t="n">
        <v>5.2244804789958E-012</v>
      </c>
      <c r="D297" s="2" t="n">
        <v>5.22550726806706E-012</v>
      </c>
      <c r="E297" s="2" t="n">
        <v>1.04498286995993E-011</v>
      </c>
    </row>
    <row r="298" customFormat="false" ht="13.8" hidden="false" customHeight="false" outlineLevel="0" collapsed="false">
      <c r="B298" s="2" t="n">
        <v>296</v>
      </c>
      <c r="C298" s="2" t="n">
        <v>5.36213841658729E-012</v>
      </c>
      <c r="D298" s="2" t="n">
        <v>5.36316549862732E-012</v>
      </c>
      <c r="E298" s="2" t="n">
        <v>1.07251589466241E-011</v>
      </c>
    </row>
    <row r="299" customFormat="false" ht="13.8" hidden="false" customHeight="false" outlineLevel="0" collapsed="false">
      <c r="B299" s="2" t="n">
        <v>297</v>
      </c>
      <c r="C299" s="2" t="n">
        <v>5.4998050960892E-012</v>
      </c>
      <c r="D299" s="2" t="n">
        <v>5.5008318851605E-012</v>
      </c>
      <c r="E299" s="2" t="n">
        <v>1.10005070988617E-011</v>
      </c>
    </row>
    <row r="300" customFormat="false" ht="13.8" hidden="false" customHeight="false" outlineLevel="0" collapsed="false">
      <c r="B300" s="2" t="n">
        <v>298</v>
      </c>
      <c r="C300" s="2" t="n">
        <v>5.63747266464144E-012</v>
      </c>
      <c r="D300" s="2" t="n">
        <v>5.63849935605651E-012</v>
      </c>
      <c r="E300" s="2" t="n">
        <v>1.12758569198739E-011</v>
      </c>
    </row>
    <row r="301" customFormat="false" ht="13.8" hidden="false" customHeight="false" outlineLevel="0" collapsed="false">
      <c r="B301" s="2" t="n">
        <v>299</v>
      </c>
      <c r="C301" s="2" t="n">
        <v>5.77515488907273E-012</v>
      </c>
      <c r="D301" s="2" t="n">
        <v>5.77618167814409E-012</v>
      </c>
      <c r="E301" s="2" t="n">
        <v>1.15512361082798E-011</v>
      </c>
    </row>
    <row r="302" customFormat="false" ht="13.8" hidden="false" customHeight="false" outlineLevel="0" collapsed="false">
      <c r="B302" s="2" t="n">
        <v>300</v>
      </c>
      <c r="C302" s="2" t="n">
        <v>5.91282571324364E-012</v>
      </c>
      <c r="D302" s="2" t="n">
        <v>5.91385279528378E-012</v>
      </c>
      <c r="E302" s="2" t="n">
        <v>1.18265922800159E-011</v>
      </c>
    </row>
    <row r="303" customFormat="false" ht="13.8" hidden="false" customHeight="false" outlineLevel="0" collapsed="false">
      <c r="B303" s="2" t="n">
        <v>301</v>
      </c>
      <c r="C303" s="2" t="n">
        <v>6.05050895622604E-012</v>
      </c>
      <c r="D303" s="2" t="n">
        <v>6.05153569646935E-012</v>
      </c>
      <c r="E303" s="2" t="n">
        <v>1.21019735494937E-011</v>
      </c>
    </row>
    <row r="304" customFormat="false" ht="13.8" hidden="false" customHeight="false" outlineLevel="0" collapsed="false">
      <c r="B304" s="2" t="n">
        <v>302</v>
      </c>
      <c r="C304" s="2" t="n">
        <v>6.18819884298593E-012</v>
      </c>
      <c r="D304" s="2" t="n">
        <v>6.18922563205743E-012</v>
      </c>
      <c r="E304" s="2" t="n">
        <v>1.23773684560822E-011</v>
      </c>
    </row>
    <row r="305" customFormat="false" ht="13.8" hidden="false" customHeight="false" outlineLevel="0" collapsed="false">
      <c r="B305" s="2" t="n">
        <v>303</v>
      </c>
      <c r="C305" s="2" t="n">
        <v>6.32589530372367E-012</v>
      </c>
      <c r="D305" s="2" t="n">
        <v>6.32692311728227E-012</v>
      </c>
      <c r="E305" s="2" t="n">
        <v>1.26527762861173E-011</v>
      </c>
    </row>
    <row r="306" customFormat="false" ht="13.8" hidden="false" customHeight="false" outlineLevel="0" collapsed="false">
      <c r="B306" s="2" t="n">
        <v>304</v>
      </c>
      <c r="C306" s="2" t="n">
        <v>6.46359892336369E-012</v>
      </c>
      <c r="D306" s="2" t="n">
        <v>6.46462478379739E-012</v>
      </c>
      <c r="E306" s="2" t="n">
        <v>1.29281974689406E-011</v>
      </c>
    </row>
    <row r="307" customFormat="false" ht="13.8" hidden="false" customHeight="false" outlineLevel="0" collapsed="false">
      <c r="B307" s="2" t="n">
        <v>305</v>
      </c>
      <c r="C307" s="2" t="n">
        <v>6.60130825635604E-012</v>
      </c>
      <c r="D307" s="2" t="n">
        <v>6.60233533839663E-012</v>
      </c>
      <c r="E307" s="2" t="n">
        <v>1.3203631490071E-011</v>
      </c>
    </row>
    <row r="308" customFormat="false" ht="13.8" hidden="false" customHeight="false" outlineLevel="0" collapsed="false">
      <c r="B308" s="2" t="n">
        <v>306</v>
      </c>
      <c r="C308" s="2" t="n">
        <v>6.73902494558929E-012</v>
      </c>
      <c r="D308" s="2" t="n">
        <v>6.74005183231765E-012</v>
      </c>
      <c r="E308" s="2" t="n">
        <v>1.34790797258214E-011</v>
      </c>
    </row>
    <row r="309" customFormat="false" ht="13.8" hidden="false" customHeight="false" outlineLevel="0" collapsed="false">
      <c r="B309" s="2" t="n">
        <v>307</v>
      </c>
      <c r="C309" s="2" t="n">
        <v>6.87674813026373E-012</v>
      </c>
      <c r="D309" s="2" t="n">
        <v>6.87777501699264E-012</v>
      </c>
      <c r="E309" s="2" t="n">
        <v>1.37545404531566E-011</v>
      </c>
    </row>
    <row r="310" customFormat="false" ht="13.8" hidden="false" customHeight="false" outlineLevel="0" collapsed="false">
      <c r="B310" s="2" t="n">
        <v>308</v>
      </c>
      <c r="C310" s="2" t="n">
        <v>0</v>
      </c>
      <c r="D310" s="2" t="n">
        <v>1.52882578789489E-015</v>
      </c>
      <c r="E310" s="2" t="n">
        <v>9.5690443263024E-016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0.0236780034788039</v>
      </c>
      <c r="E311" s="2" t="n">
        <v>4.661164775924E-016</v>
      </c>
    </row>
    <row r="312" customFormat="false" ht="13.8" hidden="false" customHeight="false" outlineLevel="0" collapsed="false">
      <c r="B312" s="2" t="n">
        <v>310</v>
      </c>
      <c r="C312" s="2" t="n">
        <v>0.00418059521824971</v>
      </c>
      <c r="D312" s="2" t="n">
        <v>0</v>
      </c>
      <c r="E312" s="2" t="n">
        <v>1.01822132484342E-015</v>
      </c>
    </row>
    <row r="313" customFormat="false" ht="13.8" hidden="false" customHeight="false" outlineLevel="0" collapsed="false">
      <c r="B313" s="2" t="n">
        <v>311</v>
      </c>
      <c r="C313" s="2" t="n">
        <v>0.00836119043649942</v>
      </c>
      <c r="D313" s="2" t="n">
        <v>0</v>
      </c>
      <c r="E313" s="2" t="n">
        <v>1.03230406392507E-015</v>
      </c>
    </row>
    <row r="314" customFormat="false" ht="13.8" hidden="false" customHeight="false" outlineLevel="0" collapsed="false">
      <c r="B314" s="2" t="n">
        <v>312</v>
      </c>
      <c r="C314" s="2" t="n">
        <v>0.0188898815911739</v>
      </c>
      <c r="D314" s="2" t="n">
        <v>0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0.025158819899343</v>
      </c>
      <c r="D315" s="2" t="n">
        <v>8.23409856753908E-019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0.0219824880686936</v>
      </c>
      <c r="D316" s="2" t="n">
        <v>4.70241359434629E-016</v>
      </c>
      <c r="E316" s="2" t="n">
        <v>0.00844844943911586</v>
      </c>
    </row>
    <row r="317" customFormat="false" ht="13.8" hidden="false" customHeight="false" outlineLevel="0" collapsed="false">
      <c r="B317" s="2" t="n">
        <v>315</v>
      </c>
      <c r="C317" s="2" t="n">
        <v>0.0235908758007586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2.5812244719053E-018</v>
      </c>
      <c r="D336" s="2" t="n">
        <v>0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9.52945316473862E-013</v>
      </c>
      <c r="D337" s="2" t="n">
        <v>9.52949700890309E-013</v>
      </c>
      <c r="E337" s="2" t="n">
        <v>9.52944657745976E-013</v>
      </c>
    </row>
    <row r="338" customFormat="false" ht="13.8" hidden="false" customHeight="false" outlineLevel="0" collapsed="false">
      <c r="B338" s="2" t="n">
        <v>336</v>
      </c>
      <c r="C338" s="2" t="n">
        <v>4.95959117528604E-012</v>
      </c>
      <c r="D338" s="2" t="n">
        <v>4.95960191385936E-012</v>
      </c>
      <c r="E338" s="2" t="n">
        <v>1.39919503685067E-011</v>
      </c>
    </row>
    <row r="339" customFormat="false" ht="13.8" hidden="false" customHeight="false" outlineLevel="0" collapsed="false">
      <c r="B339" s="2" t="n">
        <v>337</v>
      </c>
      <c r="C339" s="2" t="n">
        <v>5.62181192422335E-012</v>
      </c>
      <c r="D339" s="2" t="n">
        <v>5.62182673768626E-012</v>
      </c>
      <c r="E339" s="2" t="n">
        <v>1.58403608721563E-011</v>
      </c>
    </row>
    <row r="340" customFormat="false" ht="13.8" hidden="false" customHeight="false" outlineLevel="0" collapsed="false">
      <c r="B340" s="2" t="n">
        <v>338</v>
      </c>
      <c r="C340" s="2" t="n">
        <v>6.28344625939351E-012</v>
      </c>
      <c r="D340" s="2" t="n">
        <v>6.28346461154006E-012</v>
      </c>
      <c r="E340" s="2" t="n">
        <v>1.76872188669354E-011</v>
      </c>
    </row>
    <row r="341" customFormat="false" ht="13.8" hidden="false" customHeight="false" outlineLevel="0" collapsed="false">
      <c r="B341" s="2" t="n">
        <v>339</v>
      </c>
      <c r="C341" s="2" t="n">
        <v>6.94503978719327E-012</v>
      </c>
      <c r="D341" s="2" t="n">
        <v>6.94506398357122E-012</v>
      </c>
      <c r="E341" s="2" t="n">
        <v>1.95340183282393E-011</v>
      </c>
    </row>
    <row r="342" customFormat="false" ht="13.8" hidden="false" customHeight="false" outlineLevel="0" collapsed="false">
      <c r="B342" s="2" t="n">
        <v>340</v>
      </c>
      <c r="C342" s="2" t="n">
        <v>7.60660934569942E-012</v>
      </c>
      <c r="D342" s="2" t="n">
        <v>7.60663214030188E-012</v>
      </c>
      <c r="E342" s="2" t="n">
        <v>2.13807571536423E-011</v>
      </c>
    </row>
    <row r="343" customFormat="false" ht="13.8" hidden="false" customHeight="false" outlineLevel="0" collapsed="false">
      <c r="B343" s="2" t="n">
        <v>341</v>
      </c>
      <c r="C343" s="2" t="n">
        <v>8.26820882939235E-012</v>
      </c>
      <c r="D343" s="2" t="n">
        <v>8.26822774350093E-012</v>
      </c>
      <c r="E343" s="2" t="n">
        <v>2.32276215591694E-011</v>
      </c>
    </row>
    <row r="344" customFormat="false" ht="13.8" hidden="false" customHeight="false" outlineLevel="0" collapsed="false">
      <c r="B344" s="2" t="n">
        <v>342</v>
      </c>
      <c r="C344" s="2" t="n">
        <v>1.42483627927458E-010</v>
      </c>
      <c r="D344" s="2" t="n">
        <v>1.42483643788423E-010</v>
      </c>
      <c r="E344" s="2" t="n">
        <v>3.97366003768878E-010</v>
      </c>
    </row>
    <row r="345" customFormat="false" ht="13.8" hidden="false" customHeight="false" outlineLevel="0" collapsed="false">
      <c r="B345" s="2" t="n">
        <v>343</v>
      </c>
      <c r="C345" s="2" t="n">
        <v>9.59189257286467E-012</v>
      </c>
      <c r="D345" s="2" t="n">
        <v>9.59191821192218E-012</v>
      </c>
      <c r="E345" s="2" t="n">
        <v>2.69226427885138E-011</v>
      </c>
    </row>
    <row r="346" customFormat="false" ht="13.8" hidden="false" customHeight="false" outlineLevel="0" collapsed="false">
      <c r="B346" s="2" t="n">
        <v>344</v>
      </c>
      <c r="C346" s="2" t="n">
        <v>0</v>
      </c>
      <c r="D346" s="2" t="n">
        <v>0</v>
      </c>
      <c r="E346" s="2" t="n">
        <v>2.16095850086935E-015</v>
      </c>
    </row>
    <row r="347" customFormat="false" ht="13.8" hidden="false" customHeight="false" outlineLevel="0" collapsed="false">
      <c r="B347" s="2" t="n">
        <v>345</v>
      </c>
      <c r="C347" s="2" t="n">
        <v>8.07428401562388E-019</v>
      </c>
      <c r="D347" s="2" t="n">
        <v>1.94228056277137E-017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2.17066054401358E-018</v>
      </c>
      <c r="D348" s="2" t="n">
        <v>2.27958802975915E-017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1.37004901113199E-019</v>
      </c>
      <c r="D349" s="2" t="n">
        <v>2.70322613189115E-017</v>
      </c>
      <c r="E349" s="2" t="n">
        <v>0</v>
      </c>
    </row>
    <row r="350" customFormat="false" ht="13.8" hidden="false" customHeight="false" outlineLevel="0" collapsed="false">
      <c r="B350" s="2" t="n">
        <v>348</v>
      </c>
      <c r="C350" s="2" t="n">
        <v>0</v>
      </c>
      <c r="D350" s="2" t="n">
        <v>3.20873360917551E-017</v>
      </c>
      <c r="E350" s="2" t="n">
        <v>0</v>
      </c>
    </row>
    <row r="351" customFormat="false" ht="13.8" hidden="false" customHeight="false" outlineLevel="0" collapsed="false">
      <c r="B351" s="2" t="n">
        <v>349</v>
      </c>
      <c r="C351" s="2" t="n">
        <v>5.38992942901261E-019</v>
      </c>
      <c r="D351" s="2" t="n">
        <v>3.20604925301691E-017</v>
      </c>
      <c r="E351" s="2" t="n">
        <v>0</v>
      </c>
    </row>
    <row r="352" customFormat="false" ht="13.8" hidden="false" customHeight="false" outlineLevel="0" collapsed="false">
      <c r="B352" s="2" t="n">
        <v>350</v>
      </c>
      <c r="C352" s="2" t="n">
        <v>2.98487632508804E-010</v>
      </c>
      <c r="D352" s="2" t="n">
        <v>2.9848766529331E-010</v>
      </c>
      <c r="E352" s="2" t="n">
        <v>2.98487632898821E-010</v>
      </c>
    </row>
    <row r="353" customFormat="false" ht="13.8" hidden="false" customHeight="false" outlineLevel="0" collapsed="false">
      <c r="B353" s="2" t="n">
        <v>351</v>
      </c>
      <c r="C353" s="2" t="n">
        <v>3.68174204911831E-010</v>
      </c>
      <c r="D353" s="2" t="n">
        <v>3.87755752589964E-010</v>
      </c>
      <c r="E353" s="2" t="n">
        <v>9.91317924503351E-010</v>
      </c>
    </row>
    <row r="354" customFormat="false" ht="13.8" hidden="false" customHeight="false" outlineLevel="0" collapsed="false">
      <c r="B354" s="2" t="n">
        <v>352</v>
      </c>
      <c r="C354" s="2" t="n">
        <v>0.00130870979063857</v>
      </c>
      <c r="D354" s="2" t="n">
        <v>1.88037508146752E-017</v>
      </c>
      <c r="E354" s="2" t="n">
        <v>0.0158520509100844</v>
      </c>
    </row>
    <row r="355" customFormat="false" ht="13.8" hidden="false" customHeight="false" outlineLevel="0" collapsed="false">
      <c r="B355" s="2" t="n">
        <v>353</v>
      </c>
      <c r="C355" s="2" t="n">
        <v>0.0313288473017132</v>
      </c>
      <c r="D355" s="2" t="n">
        <v>3.29586760236704E-010</v>
      </c>
      <c r="E355" s="2" t="n">
        <v>8.43803648294579E-010</v>
      </c>
    </row>
    <row r="356" customFormat="false" ht="13.8" hidden="false" customHeight="false" outlineLevel="0" collapsed="false">
      <c r="B356" s="2" t="n">
        <v>354</v>
      </c>
      <c r="C356" s="2" t="n">
        <v>0.0273008371237836</v>
      </c>
      <c r="D356" s="2" t="n">
        <v>7.658653508175E-018</v>
      </c>
      <c r="E356" s="2" t="n">
        <v>1.5390565102229E-015</v>
      </c>
    </row>
    <row r="357" customFormat="false" ht="13.8" hidden="false" customHeight="false" outlineLevel="0" collapsed="false">
      <c r="B357" s="2" t="n">
        <v>355</v>
      </c>
      <c r="C357" s="2" t="n">
        <v>0.0223864993304639</v>
      </c>
      <c r="D357" s="2" t="n">
        <v>5.70667307529158E-018</v>
      </c>
      <c r="E357" s="2" t="n">
        <v>1.53983776022295E-015</v>
      </c>
    </row>
    <row r="358" customFormat="false" ht="13.8" hidden="false" customHeight="false" outlineLevel="0" collapsed="false">
      <c r="B358" s="2" t="n">
        <v>356</v>
      </c>
      <c r="C358" s="2" t="n">
        <v>0.0174721615371441</v>
      </c>
      <c r="D358" s="2" t="n">
        <v>8.45020303285763E-018</v>
      </c>
      <c r="E358" s="2" t="n">
        <v>1.53722590733749E-015</v>
      </c>
    </row>
    <row r="359" customFormat="false" ht="13.8" hidden="false" customHeight="false" outlineLevel="0" collapsed="false">
      <c r="B359" s="2" t="n">
        <v>357</v>
      </c>
      <c r="C359" s="2" t="n">
        <v>0.0125578237438243</v>
      </c>
      <c r="D359" s="2" t="n">
        <v>5.90534101849111E-018</v>
      </c>
      <c r="E359" s="2" t="n">
        <v>1.53947776575157E-015</v>
      </c>
    </row>
    <row r="360" customFormat="false" ht="13.8" hidden="false" customHeight="false" outlineLevel="0" collapsed="false">
      <c r="B360" s="2" t="n">
        <v>358</v>
      </c>
      <c r="C360" s="2" t="n">
        <v>0.00941836780786893</v>
      </c>
      <c r="D360" s="2" t="n">
        <v>9.06918028235941E-018</v>
      </c>
      <c r="E360" s="2" t="n">
        <v>1.5392211921943E-015</v>
      </c>
    </row>
    <row r="361" customFormat="false" ht="13.8" hidden="false" customHeight="false" outlineLevel="0" collapsed="false">
      <c r="B361" s="2" t="n">
        <v>359</v>
      </c>
      <c r="C361" s="2" t="n">
        <v>0.0062789118719135</v>
      </c>
      <c r="D361" s="2" t="n">
        <v>7.01765010794918E-018</v>
      </c>
      <c r="E361" s="2" t="n">
        <v>1.53921830986227E-015</v>
      </c>
    </row>
    <row r="362" customFormat="false" ht="13.8" hidden="false" customHeight="false" outlineLevel="0" collapsed="false">
      <c r="B362" s="2" t="n">
        <v>360</v>
      </c>
      <c r="C362" s="2" t="n">
        <v>0.00313945593595803</v>
      </c>
      <c r="D362" s="2" t="n">
        <v>4.17933557787191E-018</v>
      </c>
      <c r="E362" s="2" t="n">
        <v>1.54005581971838E-015</v>
      </c>
    </row>
    <row r="363" customFormat="false" ht="13.8" hidden="false" customHeight="false" outlineLevel="0" collapsed="false">
      <c r="B363" s="2" t="n">
        <v>361</v>
      </c>
      <c r="C363" s="2" t="n">
        <v>5.50255277451165E-017</v>
      </c>
      <c r="D363" s="2" t="n">
        <v>0</v>
      </c>
      <c r="E363" s="2" t="n">
        <v>1.58768259175469E-015</v>
      </c>
    </row>
    <row r="364" customFormat="false" ht="13.8" hidden="false" customHeight="false" outlineLevel="0" collapsed="false">
      <c r="B364" s="2" t="n">
        <v>362</v>
      </c>
      <c r="C364" s="2" t="n">
        <v>5.56775447441215E-017</v>
      </c>
      <c r="D364" s="2" t="n">
        <v>0</v>
      </c>
      <c r="E364" s="2" t="n">
        <v>1.58734651692558E-015</v>
      </c>
    </row>
    <row r="365" customFormat="false" ht="13.8" hidden="false" customHeight="false" outlineLevel="0" collapsed="false">
      <c r="B365" s="2" t="n">
        <v>363</v>
      </c>
      <c r="C365" s="2" t="n">
        <v>5.56708338577212E-017</v>
      </c>
      <c r="D365" s="2" t="n">
        <v>0</v>
      </c>
      <c r="E365" s="2" t="n">
        <v>1.58766916998189E-015</v>
      </c>
    </row>
    <row r="366" customFormat="false" ht="13.8" hidden="false" customHeight="false" outlineLevel="0" collapsed="false">
      <c r="B366" s="2" t="n">
        <v>364</v>
      </c>
      <c r="C366" s="2" t="n">
        <v>2.86761825009634E-009</v>
      </c>
      <c r="D366" s="2" t="n">
        <v>0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2.86743142275423E-009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2.86724877286722E-009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2.86707022577878E-009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2.8668956984147E-009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2.86672511460916E-009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2.86655840810555E-009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5.32146245509103E-017</v>
      </c>
      <c r="D373" s="2" t="n">
        <v>1.51078706558427E-017</v>
      </c>
      <c r="E373" s="2" t="n">
        <v>1.58731204817736E-015</v>
      </c>
    </row>
    <row r="374" customFormat="false" ht="13.8" hidden="false" customHeight="false" outlineLevel="0" collapsed="false">
      <c r="B374" s="2" t="n">
        <v>372</v>
      </c>
      <c r="C374" s="2" t="n">
        <v>5.61642441901303E-017</v>
      </c>
      <c r="D374" s="2" t="n">
        <v>1.51775345242496E-017</v>
      </c>
      <c r="E374" s="2" t="n">
        <v>1.58678386348621E-015</v>
      </c>
    </row>
    <row r="375" customFormat="false" ht="13.8" hidden="false" customHeight="false" outlineLevel="0" collapsed="false">
      <c r="B375" s="2" t="n">
        <v>373</v>
      </c>
      <c r="C375" s="2" t="n">
        <v>5.28235801205095E-017</v>
      </c>
      <c r="D375" s="2" t="n">
        <v>1.31543262254403E-017</v>
      </c>
      <c r="E375" s="2" t="n">
        <v>1.58686224329024E-015</v>
      </c>
    </row>
    <row r="376" customFormat="false" ht="13.8" hidden="false" customHeight="false" outlineLevel="0" collapsed="false">
      <c r="B376" s="2" t="n">
        <v>374</v>
      </c>
      <c r="C376" s="2" t="n">
        <v>5.448300696492E-017</v>
      </c>
      <c r="D376" s="2" t="n">
        <v>1.71575030698522E-017</v>
      </c>
      <c r="E376" s="2" t="n">
        <v>1.58710367578182E-015</v>
      </c>
    </row>
    <row r="377" customFormat="false" ht="13.8" hidden="false" customHeight="false" outlineLevel="0" collapsed="false">
      <c r="B377" s="2" t="n">
        <v>375</v>
      </c>
      <c r="C377" s="2" t="n">
        <v>2.86575390255722E-009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2.86559841881507E-009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5.34403649659141E-017</v>
      </c>
      <c r="D379" s="2" t="n">
        <v>1.52110889562493E-017</v>
      </c>
      <c r="E379" s="2" t="n">
        <v>1.58689501184138E-015</v>
      </c>
    </row>
    <row r="380" customFormat="false" ht="13.8" hidden="false" customHeight="false" outlineLevel="0" collapsed="false">
      <c r="B380" s="2" t="n">
        <v>378</v>
      </c>
      <c r="C380" s="2" t="n">
        <v>2.86529511291924E-009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2.86514715569061E-009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2.86500237258483E-009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5.27950588533094E-017</v>
      </c>
      <c r="D383" s="2" t="n">
        <v>1.63963857290509E-017</v>
      </c>
      <c r="E383" s="2" t="n">
        <v>1.58716020363372E-015</v>
      </c>
    </row>
    <row r="384" customFormat="false" ht="13.8" hidden="false" customHeight="false" outlineLevel="0" collapsed="false">
      <c r="B384" s="2" t="n">
        <v>382</v>
      </c>
      <c r="C384" s="2" t="n">
        <v>5.42283258523156E-017</v>
      </c>
      <c r="D384" s="2" t="n">
        <v>1.66768789285987E-017</v>
      </c>
      <c r="E384" s="2" t="n">
        <v>1.58707403409367E-015</v>
      </c>
    </row>
    <row r="385" customFormat="false" ht="13.8" hidden="false" customHeight="false" outlineLevel="0" collapsed="false">
      <c r="B385" s="2" t="n">
        <v>383</v>
      </c>
      <c r="C385" s="2" t="n">
        <v>2.86457985482074E-009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5.43667998597112E-017</v>
      </c>
      <c r="D386" s="2" t="n">
        <v>0</v>
      </c>
      <c r="E386" s="2" t="n">
        <v>1.58843897589013E-015</v>
      </c>
    </row>
    <row r="387" customFormat="false" ht="13.8" hidden="false" customHeight="false" outlineLevel="0" collapsed="false">
      <c r="B387" s="2" t="n">
        <v>385</v>
      </c>
      <c r="C387" s="2" t="n">
        <v>5.39732414069103E-017</v>
      </c>
      <c r="D387" s="2" t="n">
        <v>0</v>
      </c>
      <c r="E387" s="2" t="n">
        <v>1.58846342981494E-015</v>
      </c>
    </row>
    <row r="388" customFormat="false" ht="13.8" hidden="false" customHeight="false" outlineLevel="0" collapsed="false">
      <c r="B388" s="2" t="n">
        <v>386</v>
      </c>
      <c r="C388" s="2" t="n">
        <v>2.8641709178168E-009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2.86403811637274E-009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2.86390798929036E-009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2.86378047943479E-009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2.86365552534287E-009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2.86353307276077E-009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2.86341306297192E-009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2.86329544254067E-009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2.86318015398253E-009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2.86306714734822E-009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2.86295636624525E-009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2.86284776129115E-009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2.86274127845611E-009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2.86263687093131E-009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2.86253448572105E-009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5.36558101251143E-017</v>
      </c>
      <c r="D403" s="2" t="n">
        <v>1.46950158446419E-017</v>
      </c>
      <c r="E403" s="2" t="n">
        <v>1.58749627846284E-015</v>
      </c>
    </row>
    <row r="404" customFormat="false" ht="13.8" hidden="false" customHeight="false" outlineLevel="0" collapsed="false">
      <c r="B404" s="2" t="n">
        <v>402</v>
      </c>
      <c r="C404" s="2" t="n">
        <v>5.38242790795147E-017</v>
      </c>
      <c r="D404" s="2" t="n">
        <v>1.59856280698501E-017</v>
      </c>
      <c r="E404" s="2" t="n">
        <v>1.58756709116724E-015</v>
      </c>
    </row>
    <row r="405" customFormat="false" ht="13.8" hidden="false" customHeight="false" outlineLevel="0" collapsed="false">
      <c r="B405" s="2" t="n">
        <v>403</v>
      </c>
      <c r="C405" s="2" t="n">
        <v>2.86223483351408E-009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2.86213730232969E-009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5.34470758523139E-017</v>
      </c>
      <c r="D407" s="2" t="n">
        <v>1.5340321957246E-017</v>
      </c>
      <c r="E407" s="2" t="n">
        <v>1.58748285669003E-015</v>
      </c>
    </row>
    <row r="408" customFormat="false" ht="13.8" hidden="false" customHeight="false" outlineLevel="0" collapsed="false">
      <c r="B408" s="2" t="n">
        <v>406</v>
      </c>
      <c r="C408" s="2" t="n">
        <v>0.00360723353390801</v>
      </c>
      <c r="D408" s="2" t="n">
        <v>7.10202391031257E-018</v>
      </c>
      <c r="E408" s="2" t="n">
        <v>1.53977915559664E-015</v>
      </c>
    </row>
    <row r="409" customFormat="false" ht="13.8" hidden="false" customHeight="false" outlineLevel="0" collapsed="false">
      <c r="B409" s="2" t="n">
        <v>407</v>
      </c>
      <c r="C409" s="2" t="n">
        <v>0.00721446706781336</v>
      </c>
      <c r="D409" s="2" t="n">
        <v>7.43101144884935E-018</v>
      </c>
      <c r="E409" s="2" t="n">
        <v>1.53995316226721E-015</v>
      </c>
    </row>
    <row r="410" customFormat="false" ht="13.8" hidden="false" customHeight="false" outlineLevel="0" collapsed="false">
      <c r="B410" s="2" t="n">
        <v>408</v>
      </c>
      <c r="C410" s="2" t="n">
        <v>0.0108217006017187</v>
      </c>
      <c r="D410" s="2" t="n">
        <v>7.91187162227386E-018</v>
      </c>
      <c r="E410" s="2" t="n">
        <v>1.54056351382971E-015</v>
      </c>
    </row>
    <row r="411" customFormat="false" ht="13.8" hidden="false" customHeight="false" outlineLevel="0" collapsed="false">
      <c r="B411" s="2" t="n">
        <v>409</v>
      </c>
      <c r="C411" s="2" t="n">
        <v>0.0144289341356241</v>
      </c>
      <c r="D411" s="2" t="n">
        <v>7.99038405357612E-018</v>
      </c>
      <c r="E411" s="2" t="n">
        <v>1.54031937320471E-015</v>
      </c>
    </row>
    <row r="412" customFormat="false" ht="13.8" hidden="false" customHeight="false" outlineLevel="0" collapsed="false">
      <c r="B412" s="2" t="n">
        <v>410</v>
      </c>
      <c r="C412" s="2" t="n">
        <v>0.0115869197596562</v>
      </c>
      <c r="D412" s="2" t="n">
        <v>0</v>
      </c>
      <c r="E412" s="2" t="n">
        <v>0.000485249606699185</v>
      </c>
    </row>
    <row r="413" customFormat="false" ht="13.8" hidden="false" customHeight="false" outlineLevel="0" collapsed="false">
      <c r="B413" s="2" t="n">
        <v>411</v>
      </c>
      <c r="C413" s="2" t="n">
        <v>0.0180900580427488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2.14748332535668E-019</v>
      </c>
      <c r="D431" s="2" t="n">
        <v>0</v>
      </c>
      <c r="E431" s="2" t="n">
        <v>2.14748332535668E-019</v>
      </c>
    </row>
    <row r="432" customFormat="false" ht="13.8" hidden="false" customHeight="false" outlineLevel="0" collapsed="false">
      <c r="B432" s="2" t="n">
        <v>430</v>
      </c>
      <c r="C432" s="2" t="n">
        <v>5.44168567939336E-017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2.00058364402001E-011</v>
      </c>
      <c r="D433" s="2" t="n">
        <v>2.00058051196501E-011</v>
      </c>
      <c r="E433" s="2" t="n">
        <v>2.0005801984886E-011</v>
      </c>
    </row>
    <row r="434" customFormat="false" ht="13.8" hidden="false" customHeight="false" outlineLevel="0" collapsed="false">
      <c r="B434" s="2" t="n">
        <v>432</v>
      </c>
      <c r="C434" s="2" t="n">
        <v>1.81175531535881E-009</v>
      </c>
      <c r="D434" s="2" t="n">
        <v>2.0931593841337E-009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2.3866391237646E-009</v>
      </c>
      <c r="D435" s="2" t="n">
        <v>2.6680423066953E-009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2.96284714667809E-009</v>
      </c>
      <c r="D436" s="2" t="n">
        <v>3.24425078224344E-009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3.54037982657554E-009</v>
      </c>
      <c r="D437" s="2" t="n">
        <v>3.82178469252743E-009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4.10113700130969E-009</v>
      </c>
      <c r="D438" s="2" t="n">
        <v>4.38254239536571E-009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4.64846854730301E-009</v>
      </c>
      <c r="D439" s="2" t="n">
        <v>4.92987392006438E-009</v>
      </c>
      <c r="E439" s="2" t="n">
        <v>0</v>
      </c>
    </row>
    <row r="440" customFormat="false" ht="13.8" hidden="false" customHeight="false" outlineLevel="0" collapsed="false">
      <c r="B440" s="2" t="n">
        <v>438</v>
      </c>
      <c r="C440" s="2" t="n">
        <v>2.41460579805046E-009</v>
      </c>
      <c r="D440" s="2" t="n">
        <v>2.69523071403518E-009</v>
      </c>
      <c r="E440" s="2" t="n">
        <v>0</v>
      </c>
    </row>
    <row r="441" customFormat="false" ht="13.8" hidden="false" customHeight="false" outlineLevel="0" collapsed="false">
      <c r="B441" s="2" t="n">
        <v>439</v>
      </c>
      <c r="C441" s="2" t="n">
        <v>3.64362150188249E-017</v>
      </c>
      <c r="D441" s="2" t="n">
        <v>0</v>
      </c>
      <c r="E441" s="2" t="n">
        <v>0</v>
      </c>
    </row>
    <row r="442" customFormat="false" ht="13.8" hidden="false" customHeight="false" outlineLevel="0" collapsed="false">
      <c r="B442" s="2" t="n">
        <v>440</v>
      </c>
      <c r="C442" s="2" t="n">
        <v>3.24821214307329E-017</v>
      </c>
      <c r="D442" s="2" t="n">
        <v>0</v>
      </c>
      <c r="E442" s="2" t="n">
        <v>0</v>
      </c>
    </row>
    <row r="443" customFormat="false" ht="13.8" hidden="false" customHeight="false" outlineLevel="0" collapsed="false">
      <c r="B443" s="2" t="n">
        <v>441</v>
      </c>
      <c r="C443" s="2" t="n">
        <v>0</v>
      </c>
      <c r="D443" s="2" t="n">
        <v>7.59634037731459E-011</v>
      </c>
      <c r="E443" s="2" t="n">
        <v>0</v>
      </c>
    </row>
    <row r="444" customFormat="false" ht="13.8" hidden="false" customHeight="false" outlineLevel="0" collapsed="false">
      <c r="B444" s="2" t="n">
        <v>442</v>
      </c>
      <c r="C444" s="2" t="n">
        <v>3.59536962176972E-017</v>
      </c>
      <c r="D444" s="2" t="n">
        <v>0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3.40618280267119E-017</v>
      </c>
      <c r="D445" s="2" t="n">
        <v>0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2.7693090724657E-017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3.59805397021188E-017</v>
      </c>
      <c r="D447" s="2" t="n">
        <v>0</v>
      </c>
      <c r="E447" s="2" t="n">
        <v>2.95191061167178E-018</v>
      </c>
    </row>
    <row r="448" customFormat="false" ht="13.8" hidden="false" customHeight="false" outlineLevel="0" collapsed="false">
      <c r="B448" s="2" t="n">
        <v>446</v>
      </c>
      <c r="C448" s="2" t="n">
        <v>3.50230804756559E-017</v>
      </c>
      <c r="D448" s="2" t="n">
        <v>0</v>
      </c>
      <c r="E448" s="2" t="n">
        <v>4.26541103773848E-018</v>
      </c>
    </row>
    <row r="449" customFormat="false" ht="13.8" hidden="false" customHeight="false" outlineLevel="0" collapsed="false">
      <c r="B449" s="2" t="n">
        <v>447</v>
      </c>
      <c r="C449" s="2" t="n">
        <v>3.59536961272436E-017</v>
      </c>
      <c r="D449" s="2" t="n">
        <v>0</v>
      </c>
      <c r="E449" s="2" t="n">
        <v>7.61256718322092E-018</v>
      </c>
    </row>
    <row r="450" customFormat="false" ht="13.8" hidden="false" customHeight="false" outlineLevel="0" collapsed="false">
      <c r="B450" s="2" t="n">
        <v>448</v>
      </c>
      <c r="C450" s="2" t="n">
        <v>3.24552777429472E-017</v>
      </c>
      <c r="D450" s="2" t="n">
        <v>0</v>
      </c>
      <c r="E450" s="2" t="n">
        <v>9.41064503373596E-018</v>
      </c>
    </row>
    <row r="451" customFormat="false" ht="13.8" hidden="false" customHeight="false" outlineLevel="0" collapsed="false">
      <c r="B451" s="2" t="n">
        <v>449</v>
      </c>
      <c r="C451" s="2" t="n">
        <v>3.37630966276745E-017</v>
      </c>
      <c r="D451" s="2" t="n">
        <v>0</v>
      </c>
      <c r="E451" s="2" t="n">
        <v>1.19631293740745E-017</v>
      </c>
    </row>
    <row r="452" customFormat="false" ht="13.8" hidden="false" customHeight="false" outlineLevel="0" collapsed="false">
      <c r="B452" s="2" t="n">
        <v>450</v>
      </c>
      <c r="C452" s="2" t="n">
        <v>3.59440592059125E-017</v>
      </c>
      <c r="D452" s="2" t="n">
        <v>0</v>
      </c>
      <c r="E452" s="2" t="n">
        <v>0</v>
      </c>
    </row>
    <row r="453" customFormat="false" ht="13.8" hidden="false" customHeight="false" outlineLevel="0" collapsed="false">
      <c r="B453" s="2" t="n">
        <v>451</v>
      </c>
      <c r="C453" s="2" t="n">
        <v>0.0184029366365383</v>
      </c>
      <c r="D453" s="2" t="n">
        <v>0</v>
      </c>
      <c r="E453" s="2" t="n">
        <v>0.00777511529932409</v>
      </c>
    </row>
    <row r="454" customFormat="false" ht="13.8" hidden="false" customHeight="false" outlineLevel="0" collapsed="false">
      <c r="B454" s="2" t="n">
        <v>452</v>
      </c>
      <c r="C454" s="2" t="n">
        <v>3.48382636804005E-017</v>
      </c>
      <c r="D454" s="2" t="n">
        <v>0</v>
      </c>
      <c r="E454" s="2" t="n">
        <v>0</v>
      </c>
    </row>
    <row r="455" customFormat="false" ht="13.8" hidden="false" customHeight="false" outlineLevel="0" collapsed="false">
      <c r="B455" s="2" t="n">
        <v>453</v>
      </c>
      <c r="C455" s="2" t="n">
        <v>0.0350993449573918</v>
      </c>
      <c r="D455" s="2" t="n">
        <v>2.81278107045051E-017</v>
      </c>
      <c r="E455" s="2" t="n">
        <v>0.0215477003706153</v>
      </c>
    </row>
    <row r="456" customFormat="false" ht="13.8" hidden="false" customHeight="false" outlineLevel="0" collapsed="false">
      <c r="B456" s="2" t="n">
        <v>454</v>
      </c>
      <c r="C456" s="2" t="n">
        <v>0.00569201710111699</v>
      </c>
      <c r="D456" s="2" t="n">
        <v>0</v>
      </c>
      <c r="E456" s="2" t="n">
        <v>0.00134252451655147</v>
      </c>
    </row>
    <row r="457" customFormat="false" ht="13.8" hidden="false" customHeight="false" outlineLevel="0" collapsed="false">
      <c r="B457" s="2" t="n">
        <v>455</v>
      </c>
      <c r="C457" s="2" t="n">
        <v>0.0247601365132001</v>
      </c>
      <c r="D457" s="2" t="n">
        <v>3.27281189769585E-017</v>
      </c>
      <c r="E457" s="2" t="n">
        <v>0</v>
      </c>
    </row>
    <row r="458" customFormat="false" ht="13.8" hidden="false" customHeight="false" outlineLevel="0" collapsed="false">
      <c r="B458" s="2" t="n">
        <v>456</v>
      </c>
      <c r="C458" s="2" t="n">
        <v>0.0125805443700064</v>
      </c>
      <c r="D458" s="2" t="n">
        <v>3.19569353065585E-017</v>
      </c>
      <c r="E458" s="2" t="n">
        <v>0</v>
      </c>
    </row>
    <row r="459" customFormat="false" ht="13.8" hidden="false" customHeight="false" outlineLevel="0" collapsed="false">
      <c r="B459" s="2" t="n">
        <v>457</v>
      </c>
      <c r="C459" s="2" t="n">
        <v>3.1635409469597E-017</v>
      </c>
      <c r="D459" s="2" t="n">
        <v>0</v>
      </c>
      <c r="E459" s="2" t="n">
        <v>0</v>
      </c>
    </row>
    <row r="460" customFormat="false" ht="13.8" hidden="false" customHeight="false" outlineLevel="0" collapsed="false">
      <c r="B460" s="2" t="n">
        <v>458</v>
      </c>
      <c r="C460" s="2" t="n">
        <v>3.1642120355997E-017</v>
      </c>
      <c r="D460" s="2" t="n">
        <v>0</v>
      </c>
      <c r="E460" s="2" t="n">
        <v>0</v>
      </c>
    </row>
    <row r="461" customFormat="false" ht="13.8" hidden="false" customHeight="false" outlineLevel="0" collapsed="false">
      <c r="B461" s="2" t="n">
        <v>459</v>
      </c>
      <c r="C461" s="2" t="n">
        <v>3.2975753423997E-017</v>
      </c>
      <c r="D461" s="2" t="n">
        <v>0</v>
      </c>
      <c r="E461" s="2" t="n">
        <v>0</v>
      </c>
    </row>
    <row r="462" customFormat="false" ht="13.8" hidden="false" customHeight="false" outlineLevel="0" collapsed="false">
      <c r="B462" s="2" t="n">
        <v>460</v>
      </c>
      <c r="C462" s="2" t="n">
        <v>3.3056284060797E-017</v>
      </c>
      <c r="D462" s="2" t="n">
        <v>0</v>
      </c>
      <c r="E462" s="2" t="n">
        <v>0</v>
      </c>
    </row>
    <row r="463" customFormat="false" ht="13.8" hidden="false" customHeight="false" outlineLevel="0" collapsed="false">
      <c r="B463" s="2" t="n">
        <v>461</v>
      </c>
      <c r="C463" s="2" t="n">
        <v>3.4982565515197E-017</v>
      </c>
      <c r="D463" s="2" t="n">
        <v>0</v>
      </c>
      <c r="E463" s="2" t="n">
        <v>0</v>
      </c>
    </row>
    <row r="464" customFormat="false" ht="13.8" hidden="false" customHeight="false" outlineLevel="0" collapsed="false">
      <c r="B464" s="2" t="n">
        <v>462</v>
      </c>
      <c r="C464" s="2" t="n">
        <v>3.3399932855997E-017</v>
      </c>
      <c r="D464" s="2" t="n">
        <v>0</v>
      </c>
      <c r="E464" s="2" t="n">
        <v>0</v>
      </c>
    </row>
    <row r="465" customFormat="false" ht="13.8" hidden="false" customHeight="false" outlineLevel="0" collapsed="false">
      <c r="B465" s="2" t="n">
        <v>463</v>
      </c>
      <c r="C465" s="2" t="n">
        <v>3.3069705833597E-017</v>
      </c>
      <c r="D465" s="2" t="n">
        <v>0</v>
      </c>
      <c r="E465" s="2" t="n">
        <v>0</v>
      </c>
    </row>
    <row r="466" customFormat="false" ht="13.8" hidden="false" customHeight="false" outlineLevel="0" collapsed="false">
      <c r="B466" s="2" t="n">
        <v>464</v>
      </c>
      <c r="C466" s="2" t="n">
        <v>3.3042862287997E-017</v>
      </c>
      <c r="D466" s="2" t="n">
        <v>0</v>
      </c>
      <c r="E466" s="2" t="n">
        <v>0</v>
      </c>
    </row>
    <row r="467" customFormat="false" ht="13.8" hidden="false" customHeight="false" outlineLevel="0" collapsed="false">
      <c r="B467" s="2" t="n">
        <v>465</v>
      </c>
      <c r="C467" s="2" t="n">
        <v>2.9917862287997E-017</v>
      </c>
      <c r="D467" s="2" t="n">
        <v>0</v>
      </c>
      <c r="E467" s="2" t="n">
        <v>0</v>
      </c>
    </row>
    <row r="468" customFormat="false" ht="13.8" hidden="false" customHeight="false" outlineLevel="0" collapsed="false">
      <c r="B468" s="2" t="n">
        <v>466</v>
      </c>
      <c r="C468" s="2" t="n">
        <v>3.5353057855997E-017</v>
      </c>
      <c r="D468" s="2" t="n">
        <v>0</v>
      </c>
      <c r="E468" s="2" t="n">
        <v>0</v>
      </c>
    </row>
    <row r="469" customFormat="false" ht="13.8" hidden="false" customHeight="false" outlineLevel="0" collapsed="false">
      <c r="B469" s="2" t="n">
        <v>467</v>
      </c>
      <c r="C469" s="2" t="n">
        <v>3.3034473679997E-017</v>
      </c>
      <c r="D469" s="2" t="n">
        <v>0</v>
      </c>
      <c r="E469" s="2" t="n">
        <v>0</v>
      </c>
    </row>
    <row r="470" customFormat="false" ht="13.8" hidden="false" customHeight="false" outlineLevel="0" collapsed="false">
      <c r="B470" s="2" t="n">
        <v>468</v>
      </c>
      <c r="C470" s="2" t="n">
        <v>3.5379901401597E-017</v>
      </c>
      <c r="D470" s="2" t="n">
        <v>0</v>
      </c>
      <c r="E470" s="2" t="n">
        <v>0</v>
      </c>
    </row>
    <row r="471" customFormat="false" ht="13.8" hidden="false" customHeight="false" outlineLevel="0" collapsed="false">
      <c r="B471" s="2" t="n">
        <v>469</v>
      </c>
      <c r="C471" s="2" t="n">
        <v>3.3426776401597E-017</v>
      </c>
      <c r="D471" s="2" t="n">
        <v>0</v>
      </c>
      <c r="E471" s="2" t="n">
        <v>0</v>
      </c>
    </row>
    <row r="472" customFormat="false" ht="13.8" hidden="false" customHeight="false" outlineLevel="0" collapsed="false">
      <c r="B472" s="2" t="n">
        <v>470</v>
      </c>
      <c r="C472" s="2" t="n">
        <v>3.3042862287997E-017</v>
      </c>
      <c r="D472" s="2" t="n">
        <v>0</v>
      </c>
      <c r="E472" s="2" t="n">
        <v>0</v>
      </c>
    </row>
    <row r="473" customFormat="false" ht="13.8" hidden="false" customHeight="false" outlineLevel="0" collapsed="false">
      <c r="B473" s="2" t="n">
        <v>471</v>
      </c>
      <c r="C473" s="2" t="n">
        <v>3.1837432855997E-017</v>
      </c>
      <c r="D473" s="2" t="n">
        <v>0</v>
      </c>
      <c r="E473" s="2" t="n">
        <v>0</v>
      </c>
    </row>
    <row r="474" customFormat="false" ht="13.8" hidden="false" customHeight="false" outlineLevel="0" collapsed="false">
      <c r="B474" s="2" t="n">
        <v>472</v>
      </c>
      <c r="C474" s="2" t="n">
        <v>4.2384307855997E-017</v>
      </c>
      <c r="D474" s="2" t="n">
        <v>0</v>
      </c>
      <c r="E474" s="2" t="n">
        <v>0</v>
      </c>
    </row>
    <row r="475" customFormat="false" ht="13.8" hidden="false" customHeight="false" outlineLevel="0" collapsed="false">
      <c r="B475" s="2" t="n">
        <v>473</v>
      </c>
      <c r="C475" s="2" t="n">
        <v>3.1837432855997E-017</v>
      </c>
      <c r="D475" s="2" t="n">
        <v>0</v>
      </c>
      <c r="E475" s="2" t="n">
        <v>0</v>
      </c>
    </row>
    <row r="476" customFormat="false" ht="13.8" hidden="false" customHeight="false" outlineLevel="0" collapsed="false">
      <c r="B476" s="2" t="n">
        <v>474</v>
      </c>
      <c r="C476" s="2" t="n">
        <v>3.3406643742397E-017</v>
      </c>
      <c r="D476" s="2" t="n">
        <v>0</v>
      </c>
      <c r="E476" s="2" t="n">
        <v>0</v>
      </c>
    </row>
    <row r="477" customFormat="false" ht="13.8" hidden="false" customHeight="false" outlineLevel="0" collapsed="false">
      <c r="B477" s="2" t="n">
        <v>475</v>
      </c>
      <c r="C477" s="2" t="n">
        <v>3.3233141623197E-017</v>
      </c>
      <c r="D477" s="2" t="n">
        <v>0</v>
      </c>
      <c r="E477" s="2" t="n">
        <v>0</v>
      </c>
    </row>
    <row r="478" customFormat="false" ht="13.8" hidden="false" customHeight="false" outlineLevel="0" collapsed="false">
      <c r="B478" s="2" t="n">
        <v>476</v>
      </c>
      <c r="C478" s="2" t="n">
        <v>3.4195506363197E-017</v>
      </c>
      <c r="D478" s="2" t="n">
        <v>0</v>
      </c>
      <c r="E478" s="2" t="n">
        <v>0</v>
      </c>
    </row>
    <row r="479" customFormat="false" ht="13.8" hidden="false" customHeight="false" outlineLevel="0" collapsed="false">
      <c r="B479" s="2" t="n">
        <v>477</v>
      </c>
      <c r="C479" s="2" t="n">
        <v>3.4194604628797E-017</v>
      </c>
      <c r="D479" s="2" t="n">
        <v>0</v>
      </c>
      <c r="E479" s="2" t="n">
        <v>0</v>
      </c>
    </row>
    <row r="480" customFormat="false" ht="13.8" hidden="false" customHeight="false" outlineLevel="0" collapsed="false">
      <c r="B480" s="2" t="n">
        <v>478</v>
      </c>
      <c r="C480" s="2" t="n">
        <v>3.3233561053597E-017</v>
      </c>
      <c r="D480" s="2" t="n">
        <v>0</v>
      </c>
      <c r="E480" s="2" t="n">
        <v>0</v>
      </c>
    </row>
    <row r="481" customFormat="false" ht="13.8" hidden="false" customHeight="false" outlineLevel="0" collapsed="false">
      <c r="B481" s="2" t="n">
        <v>479</v>
      </c>
      <c r="C481" s="2" t="n">
        <v>3.2443503015197E-017</v>
      </c>
      <c r="D481" s="2" t="n">
        <v>0</v>
      </c>
      <c r="E481" s="2" t="n">
        <v>0</v>
      </c>
    </row>
    <row r="482" customFormat="false" ht="13.8" hidden="false" customHeight="false" outlineLevel="0" collapsed="false">
      <c r="B482" s="2" t="n">
        <v>480</v>
      </c>
      <c r="C482" s="2" t="n">
        <v>3.3360332199797E-017</v>
      </c>
      <c r="D482" s="2" t="n">
        <v>0</v>
      </c>
      <c r="E482" s="2" t="n">
        <v>0</v>
      </c>
    </row>
    <row r="483" customFormat="false" ht="13.8" hidden="false" customHeight="false" outlineLevel="0" collapsed="false">
      <c r="B483" s="2" t="n">
        <v>481</v>
      </c>
      <c r="C483" s="2" t="n">
        <v>3.3359807502197E-017</v>
      </c>
      <c r="D483" s="2" t="n">
        <v>0</v>
      </c>
      <c r="E483" s="2" t="n">
        <v>0</v>
      </c>
    </row>
    <row r="484" customFormat="false" ht="13.8" hidden="false" customHeight="false" outlineLevel="0" collapsed="false">
      <c r="B484" s="2" t="n">
        <v>482</v>
      </c>
      <c r="C484" s="2" t="n">
        <v>3.3415661495997E-017</v>
      </c>
      <c r="D484" s="2" t="n">
        <v>0</v>
      </c>
      <c r="E484" s="2" t="n">
        <v>0</v>
      </c>
    </row>
    <row r="485" customFormat="false" ht="13.8" hidden="false" customHeight="false" outlineLevel="0" collapsed="false">
      <c r="B485" s="2" t="n">
        <v>483</v>
      </c>
      <c r="C485" s="2" t="n">
        <v>3.3042862287997E-017</v>
      </c>
      <c r="D485" s="2" t="n">
        <v>0</v>
      </c>
      <c r="E485" s="2" t="n">
        <v>0</v>
      </c>
    </row>
    <row r="486" customFormat="false" ht="13.8" hidden="false" customHeight="false" outlineLevel="0" collapsed="false">
      <c r="B486" s="2" t="n">
        <v>484</v>
      </c>
      <c r="C486" s="2" t="n">
        <v>3.5177878015197E-017</v>
      </c>
      <c r="D486" s="2" t="n">
        <v>0</v>
      </c>
      <c r="E486" s="2" t="n">
        <v>0</v>
      </c>
    </row>
    <row r="487" customFormat="false" ht="13.8" hidden="false" customHeight="false" outlineLevel="0" collapsed="false">
      <c r="B487" s="2" t="n">
        <v>485</v>
      </c>
      <c r="C487" s="2" t="n">
        <v>3.3598600799197E-017</v>
      </c>
      <c r="D487" s="2" t="n">
        <v>0</v>
      </c>
      <c r="E487" s="2" t="n">
        <v>0</v>
      </c>
    </row>
    <row r="488" customFormat="false" ht="13.8" hidden="false" customHeight="false" outlineLevel="0" collapsed="false">
      <c r="B488" s="2" t="n">
        <v>486</v>
      </c>
      <c r="C488" s="2" t="n">
        <v>3.4110370151597E-017</v>
      </c>
      <c r="D488" s="2" t="n">
        <v>0</v>
      </c>
      <c r="E488" s="2" t="n">
        <v>0</v>
      </c>
    </row>
    <row r="489" customFormat="false" ht="13.8" hidden="false" customHeight="false" outlineLevel="0" collapsed="false">
      <c r="B489" s="2" t="n">
        <v>487</v>
      </c>
      <c r="C489" s="2" t="n">
        <v>3.4191249185597E-017</v>
      </c>
      <c r="D489" s="2" t="n">
        <v>0</v>
      </c>
      <c r="E489" s="2" t="n">
        <v>0</v>
      </c>
    </row>
    <row r="490" customFormat="false" ht="13.8" hidden="false" customHeight="false" outlineLevel="0" collapsed="false">
      <c r="B490" s="2" t="n">
        <v>488</v>
      </c>
      <c r="C490" s="2" t="n">
        <v>3.3364526503797E-017</v>
      </c>
      <c r="D490" s="2" t="n">
        <v>0</v>
      </c>
      <c r="E490" s="2" t="n">
        <v>0</v>
      </c>
    </row>
    <row r="491" customFormat="false" ht="13.8" hidden="false" customHeight="false" outlineLevel="0" collapsed="false">
      <c r="B491" s="2" t="n">
        <v>489</v>
      </c>
      <c r="C491" s="2" t="n">
        <v>3.3403288299197E-017</v>
      </c>
      <c r="D491" s="2" t="n">
        <v>0</v>
      </c>
      <c r="E491" s="2" t="n">
        <v>0</v>
      </c>
    </row>
    <row r="492" customFormat="false" ht="13.8" hidden="false" customHeight="false" outlineLevel="0" collapsed="false">
      <c r="B492" s="2" t="n">
        <v>490</v>
      </c>
      <c r="C492" s="2" t="n">
        <v>3.3416710071997E-017</v>
      </c>
      <c r="D492" s="2" t="n">
        <v>0</v>
      </c>
      <c r="E492" s="2" t="n">
        <v>0</v>
      </c>
    </row>
    <row r="493" customFormat="false" ht="13.8" hidden="false" customHeight="false" outlineLevel="0" collapsed="false">
      <c r="B493" s="2" t="n">
        <v>491</v>
      </c>
      <c r="C493" s="2" t="n">
        <v>3.75222186165501E-013</v>
      </c>
      <c r="D493" s="2" t="n">
        <v>3.75022186165501E-013</v>
      </c>
      <c r="E493" s="2" t="n">
        <v>7.50213104166387E-013</v>
      </c>
    </row>
    <row r="494" customFormat="false" ht="13.8" hidden="false" customHeight="false" outlineLevel="0" collapsed="false">
      <c r="B494" s="2" t="n">
        <v>492</v>
      </c>
      <c r="C494" s="2" t="n">
        <v>8.1120629043863E-012</v>
      </c>
      <c r="D494" s="2" t="n">
        <v>8.1118613418863E-012</v>
      </c>
      <c r="E494" s="2" t="n">
        <v>1.62238895795811E-011</v>
      </c>
    </row>
    <row r="495" customFormat="false" ht="13.8" hidden="false" customHeight="false" outlineLevel="0" collapsed="false">
      <c r="B495" s="2" t="n">
        <v>493</v>
      </c>
      <c r="C495" s="2" t="n">
        <v>4.9343866234832E-016</v>
      </c>
      <c r="D495" s="2" t="n">
        <v>0.00242476008296418</v>
      </c>
      <c r="E495" s="2" t="n">
        <v>0</v>
      </c>
    </row>
    <row r="496" customFormat="false" ht="13.8" hidden="false" customHeight="false" outlineLevel="0" collapsed="false">
      <c r="B496" s="2" t="n">
        <v>494</v>
      </c>
      <c r="C496" s="2" t="n">
        <v>4.9660734913081E-016</v>
      </c>
      <c r="D496" s="2" t="n">
        <v>0.0227188151838321</v>
      </c>
      <c r="E496" s="2" t="n">
        <v>0</v>
      </c>
    </row>
    <row r="497" customFormat="false" ht="13.8" hidden="false" customHeight="false" outlineLevel="0" collapsed="false">
      <c r="B497" s="2" t="n">
        <v>495</v>
      </c>
      <c r="C497" s="2" t="n">
        <v>4.96741400573512E-016</v>
      </c>
      <c r="D497" s="2" t="n">
        <v>0.0316957787932463</v>
      </c>
      <c r="E497" s="2" t="n">
        <v>0</v>
      </c>
    </row>
    <row r="498" customFormat="false" ht="13.8" hidden="false" customHeight="false" outlineLevel="0" collapsed="false">
      <c r="B498" s="2" t="n">
        <v>496</v>
      </c>
      <c r="C498" s="2" t="n">
        <v>4.96936713073512E-016</v>
      </c>
      <c r="D498" s="2" t="n">
        <v>0.0348502712985654</v>
      </c>
      <c r="E498" s="2" t="n">
        <v>0</v>
      </c>
    </row>
    <row r="499" customFormat="false" ht="13.8" hidden="false" customHeight="false" outlineLevel="0" collapsed="false">
      <c r="B499" s="2" t="n">
        <v>497</v>
      </c>
      <c r="C499" s="2" t="n">
        <v>4.97132025573512E-016</v>
      </c>
      <c r="D499" s="2" t="n">
        <v>0.0339648352491737</v>
      </c>
      <c r="E499" s="2" t="n">
        <v>0</v>
      </c>
    </row>
    <row r="500" customFormat="false" ht="13.8" hidden="false" customHeight="false" outlineLevel="0" collapsed="false">
      <c r="B500" s="2" t="n">
        <v>498</v>
      </c>
      <c r="C500" s="2" t="n">
        <v>4.98108588073512E-016</v>
      </c>
      <c r="D500" s="2" t="n">
        <v>0.0287133445943728</v>
      </c>
      <c r="E500" s="2" t="n">
        <v>0</v>
      </c>
    </row>
    <row r="501" customFormat="false" ht="13.8" hidden="false" customHeight="false" outlineLevel="0" collapsed="false">
      <c r="B501" s="2" t="n">
        <v>499</v>
      </c>
      <c r="C501" s="2" t="n">
        <v>4.96759598169863E-016</v>
      </c>
      <c r="D501" s="2" t="n">
        <v>0.0156163402334617</v>
      </c>
      <c r="E501" s="2" t="n">
        <v>0</v>
      </c>
    </row>
    <row r="502" customFormat="false" ht="13.8" hidden="false" customHeight="false" outlineLevel="0" collapsed="false">
      <c r="B502" s="2" t="n">
        <v>500</v>
      </c>
      <c r="C502" s="2" t="n">
        <v>4.96131500813109E-016</v>
      </c>
      <c r="D502" s="2" t="n">
        <v>0.0129110348636925</v>
      </c>
      <c r="E502" s="2" t="n">
        <v>0</v>
      </c>
    </row>
    <row r="503" customFormat="false" ht="13.8" hidden="false" customHeight="false" outlineLevel="0" collapsed="false">
      <c r="B503" s="2" t="n">
        <v>501</v>
      </c>
      <c r="C503" s="2" t="n">
        <v>4.95875830860004E-016</v>
      </c>
      <c r="D503" s="2" t="n">
        <v>0.0282223811046066</v>
      </c>
      <c r="E503" s="2" t="n">
        <v>0</v>
      </c>
    </row>
    <row r="504" customFormat="false" ht="13.8" hidden="false" customHeight="false" outlineLevel="0" collapsed="false">
      <c r="B504" s="2" t="n">
        <v>502</v>
      </c>
      <c r="C504" s="2" t="n">
        <v>5.23584436391213E-016</v>
      </c>
      <c r="D504" s="2" t="n">
        <v>0.0095192344772191</v>
      </c>
      <c r="E504" s="2" t="n">
        <v>0</v>
      </c>
    </row>
    <row r="505" customFormat="false" ht="13.8" hidden="false" customHeight="false" outlineLevel="0" collapsed="false">
      <c r="B505" s="2" t="n">
        <v>503</v>
      </c>
      <c r="C505" s="2" t="n">
        <v>4.96205194802705E-016</v>
      </c>
      <c r="D505" s="2" t="n">
        <v>0.0713129543631843</v>
      </c>
      <c r="E505" s="2" t="n">
        <v>0</v>
      </c>
    </row>
    <row r="506" customFormat="false" ht="13.8" hidden="false" customHeight="false" outlineLevel="0" collapsed="false">
      <c r="B506" s="2" t="n">
        <v>504</v>
      </c>
      <c r="C506" s="2" t="n">
        <v>0.000461095060834905</v>
      </c>
      <c r="D506" s="2" t="n">
        <v>1.6270359029986E-017</v>
      </c>
      <c r="E506" s="2" t="n">
        <v>0</v>
      </c>
    </row>
    <row r="507" customFormat="false" ht="13.8" hidden="false" customHeight="false" outlineLevel="0" collapsed="false">
      <c r="B507" s="2" t="n">
        <v>505</v>
      </c>
      <c r="C507" s="2" t="n">
        <v>0.000614793414447092</v>
      </c>
      <c r="D507" s="2" t="n">
        <v>1.5354536563936E-017</v>
      </c>
      <c r="E507" s="2" t="n">
        <v>0</v>
      </c>
    </row>
    <row r="508" customFormat="false" ht="13.8" hidden="false" customHeight="false" outlineLevel="0" collapsed="false">
      <c r="B508" s="2" t="n">
        <v>506</v>
      </c>
      <c r="C508" s="2" t="n">
        <v>0.00223330390335355</v>
      </c>
      <c r="D508" s="2" t="n">
        <v>2.80886636041985E-017</v>
      </c>
      <c r="E508" s="2" t="n">
        <v>0</v>
      </c>
    </row>
    <row r="509" customFormat="false" ht="13.8" hidden="false" customHeight="false" outlineLevel="0" collapsed="false">
      <c r="B509" s="2" t="n">
        <v>507</v>
      </c>
      <c r="C509" s="2" t="n">
        <v>0.00483297785724693</v>
      </c>
      <c r="D509" s="2" t="n">
        <v>0</v>
      </c>
      <c r="E509" s="2" t="n">
        <v>1.273193359375E-017</v>
      </c>
    </row>
    <row r="510" customFormat="false" ht="13.8" hidden="false" customHeight="false" outlineLevel="0" collapsed="false">
      <c r="B510" s="2" t="n">
        <v>508</v>
      </c>
      <c r="C510" s="2" t="n">
        <v>0.00547032488116737</v>
      </c>
      <c r="D510" s="2" t="n">
        <v>1.63943276666985E-017</v>
      </c>
      <c r="E510" s="2" t="n">
        <v>0</v>
      </c>
    </row>
    <row r="511" customFormat="false" ht="13.8" hidden="false" customHeight="false" outlineLevel="0" collapsed="false">
      <c r="B511" s="2" t="n">
        <v>509</v>
      </c>
      <c r="C511" s="2" t="n">
        <v>0.00708883537007414</v>
      </c>
      <c r="D511" s="2" t="n">
        <v>1.67655717689985E-017</v>
      </c>
      <c r="E511" s="2" t="n">
        <v>0</v>
      </c>
    </row>
    <row r="512" customFormat="false" ht="13.8" hidden="false" customHeight="false" outlineLevel="0" collapsed="false">
      <c r="B512" s="2" t="n">
        <v>510</v>
      </c>
      <c r="C512" s="2" t="n">
        <v>0.00870018275634592</v>
      </c>
      <c r="D512" s="2" t="n">
        <v>0</v>
      </c>
      <c r="E512" s="2" t="n">
        <v>0.020928850297774</v>
      </c>
    </row>
    <row r="513" customFormat="false" ht="13.8" hidden="false" customHeight="false" outlineLevel="0" collapsed="false">
      <c r="B513" s="2" t="n">
        <v>511</v>
      </c>
      <c r="C513" s="2" t="n">
        <v>0.0417750572177522</v>
      </c>
      <c r="D513" s="2" t="n">
        <v>0</v>
      </c>
      <c r="E513" s="2" t="n">
        <v>1.71875000000001E-017</v>
      </c>
    </row>
    <row r="514" customFormat="false" ht="13.8" hidden="false" customHeight="false" outlineLevel="0" collapsed="false">
      <c r="B514" s="2" t="n">
        <v>512</v>
      </c>
      <c r="C514" s="2" t="n">
        <v>2.1088526699178E-011</v>
      </c>
      <c r="D514" s="2" t="n">
        <v>2.10885350976155E-011</v>
      </c>
      <c r="E514" s="2" t="n">
        <v>4.21768518252353E-011</v>
      </c>
    </row>
    <row r="515" customFormat="false" ht="13.8" hidden="false" customHeight="false" outlineLevel="0" collapsed="false">
      <c r="B515" s="2" t="n">
        <v>513</v>
      </c>
      <c r="C515" s="2" t="n">
        <v>2.13155633519722E-011</v>
      </c>
      <c r="D515" s="2" t="n">
        <v>2.13155715550972E-011</v>
      </c>
      <c r="E515" s="2" t="n">
        <v>4.26309251506789E-011</v>
      </c>
    </row>
    <row r="516" customFormat="false" ht="13.8" hidden="false" customHeight="false" outlineLevel="0" collapsed="false">
      <c r="B516" s="2" t="n">
        <v>514</v>
      </c>
      <c r="C516" s="2" t="n">
        <v>2.15378817529314E-011</v>
      </c>
      <c r="D516" s="2" t="n">
        <v>2.15378903466814E-011</v>
      </c>
      <c r="E516" s="2" t="n">
        <v>4.30755623531653E-011</v>
      </c>
    </row>
    <row r="517" customFormat="false" ht="13.8" hidden="false" customHeight="false" outlineLevel="0" collapsed="false">
      <c r="B517" s="2" t="n">
        <v>515</v>
      </c>
      <c r="C517" s="2" t="n">
        <v>2.17542073572172E-011</v>
      </c>
      <c r="D517" s="2" t="n">
        <v>2.17542151697172E-011</v>
      </c>
      <c r="E517" s="2" t="n">
        <v>4.35082140343231E-011</v>
      </c>
    </row>
    <row r="518" customFormat="false" ht="13.8" hidden="false" customHeight="false" outlineLevel="0" collapsed="false">
      <c r="B518" s="2" t="n">
        <v>516</v>
      </c>
      <c r="C518" s="2" t="n">
        <v>2.19629162977448E-011</v>
      </c>
      <c r="D518" s="2" t="n">
        <v>2.1962924598526E-011</v>
      </c>
      <c r="E518" s="2" t="n">
        <v>4.39256307899355E-011</v>
      </c>
    </row>
    <row r="519" customFormat="false" ht="13.8" hidden="false" customHeight="false" outlineLevel="0" collapsed="false">
      <c r="B519" s="2" t="n">
        <v>517</v>
      </c>
      <c r="C519" s="2" t="n">
        <v>2.21623764811475E-011</v>
      </c>
      <c r="D519" s="2" t="n">
        <v>2.2162384879585E-011</v>
      </c>
      <c r="E519" s="2" t="n">
        <v>4.4324550936769E-011</v>
      </c>
    </row>
    <row r="520" customFormat="false" ht="13.8" hidden="false" customHeight="false" outlineLevel="0" collapsed="false">
      <c r="B520" s="2" t="n">
        <v>518</v>
      </c>
      <c r="C520" s="2" t="n">
        <v>2.23496764312398E-011</v>
      </c>
      <c r="D520" s="2" t="n">
        <v>2.23496850011289E-011</v>
      </c>
      <c r="E520" s="2" t="n">
        <v>4.46991535259416E-011</v>
      </c>
    </row>
    <row r="521" customFormat="false" ht="13.8" hidden="false" customHeight="false" outlineLevel="0" collapsed="false">
      <c r="B521" s="2" t="n">
        <v>519</v>
      </c>
      <c r="C521" s="2" t="n">
        <v>2.25254928449093E-011</v>
      </c>
      <c r="D521" s="2" t="n">
        <v>2.25255010480343E-011</v>
      </c>
      <c r="E521" s="2" t="n">
        <v>4.50507854691897E-011</v>
      </c>
    </row>
    <row r="522" customFormat="false" ht="13.8" hidden="false" customHeight="false" outlineLevel="0" collapsed="false">
      <c r="B522" s="2" t="n">
        <v>520</v>
      </c>
      <c r="C522" s="2" t="n">
        <v>2.26892160492011E-011</v>
      </c>
      <c r="D522" s="2" t="n">
        <v>2.26892242523261E-011</v>
      </c>
      <c r="E522" s="2" t="n">
        <v>4.53782333826095E-011</v>
      </c>
    </row>
    <row r="523" customFormat="false" ht="13.8" hidden="false" customHeight="false" outlineLevel="0" collapsed="false">
      <c r="B523" s="2" t="n">
        <v>521</v>
      </c>
      <c r="C523" s="2" t="n">
        <v>2.28402346143758E-011</v>
      </c>
      <c r="D523" s="2" t="n">
        <v>2.28402420362508E-011</v>
      </c>
      <c r="E523" s="2" t="n">
        <v>4.56802680630127E-011</v>
      </c>
    </row>
    <row r="524" customFormat="false" ht="13.8" hidden="false" customHeight="false" outlineLevel="0" collapsed="false">
      <c r="B524" s="2" t="n">
        <v>522</v>
      </c>
      <c r="C524" s="2" t="n">
        <v>2.29799733684762E-011</v>
      </c>
      <c r="D524" s="2" t="n">
        <v>2.29799807903512E-011</v>
      </c>
      <c r="E524" s="2" t="n">
        <v>4.59597442212701E-011</v>
      </c>
    </row>
    <row r="525" customFormat="false" ht="13.8" hidden="false" customHeight="false" outlineLevel="0" collapsed="false">
      <c r="B525" s="2" t="n">
        <v>523</v>
      </c>
      <c r="C525" s="2" t="n">
        <v>2.31041034908288E-011</v>
      </c>
      <c r="D525" s="2" t="n">
        <v>2.31041097408288E-011</v>
      </c>
      <c r="E525" s="2" t="n">
        <v>4.62080017866487E-011</v>
      </c>
    </row>
    <row r="526" customFormat="false" ht="13.8" hidden="false" customHeight="false" outlineLevel="0" collapsed="false">
      <c r="B526" s="2" t="n">
        <v>524</v>
      </c>
      <c r="C526" s="2" t="n">
        <v>2.32103287169202E-011</v>
      </c>
      <c r="D526" s="2" t="n">
        <v>2.32103357897314E-011</v>
      </c>
      <c r="E526" s="2" t="n">
        <v>4.64204554321017E-011</v>
      </c>
    </row>
    <row r="527" customFormat="false" ht="13.8" hidden="false" customHeight="false" outlineLevel="0" collapsed="false">
      <c r="B527" s="2" t="n">
        <v>525</v>
      </c>
      <c r="C527" s="2" t="n">
        <v>2.32963555993073E-011</v>
      </c>
      <c r="D527" s="2" t="n">
        <v>2.32963610680573E-011</v>
      </c>
      <c r="E527" s="2" t="n">
        <v>4.65925084874962E-011</v>
      </c>
    </row>
    <row r="528" customFormat="false" ht="13.8" hidden="false" customHeight="false" outlineLevel="0" collapsed="false">
      <c r="B528" s="2" t="n">
        <v>526</v>
      </c>
      <c r="C528" s="2" t="n">
        <v>2.33554240429338E-011</v>
      </c>
      <c r="D528" s="2" t="n">
        <v>2.33554357616838E-011</v>
      </c>
      <c r="E528" s="2" t="n">
        <v>4.67106452912771E-011</v>
      </c>
    </row>
    <row r="529" customFormat="false" ht="13.8" hidden="false" customHeight="false" outlineLevel="0" collapsed="false">
      <c r="B529" s="2" t="n">
        <v>527</v>
      </c>
      <c r="C529" s="2" t="n">
        <v>2.33932632067321E-011</v>
      </c>
      <c r="D529" s="2" t="n">
        <v>2.33932698889183E-011</v>
      </c>
      <c r="E529" s="2" t="n">
        <v>4.6786324592294E-011</v>
      </c>
    </row>
    <row r="530" customFormat="false" ht="13.8" hidden="false" customHeight="false" outlineLevel="0" collapsed="false">
      <c r="B530" s="2" t="n">
        <v>528</v>
      </c>
      <c r="C530" s="2" t="n">
        <v>2.34111453809636E-011</v>
      </c>
      <c r="D530" s="2" t="n">
        <v>2.34111516309636E-011</v>
      </c>
      <c r="E530" s="2" t="n">
        <v>4.68220859675057E-011</v>
      </c>
    </row>
    <row r="531" customFormat="false" ht="13.8" hidden="false" customHeight="false" outlineLevel="0" collapsed="false">
      <c r="B531" s="2" t="n">
        <v>529</v>
      </c>
      <c r="C531" s="2" t="n">
        <v>2.34103269183189E-011</v>
      </c>
      <c r="D531" s="2" t="n">
        <v>2.34103351630051E-011</v>
      </c>
      <c r="E531" s="2" t="n">
        <v>4.6820455882229E-011</v>
      </c>
    </row>
    <row r="532" customFormat="false" ht="13.8" hidden="false" customHeight="false" outlineLevel="0" collapsed="false">
      <c r="B532" s="2" t="n">
        <v>530</v>
      </c>
      <c r="C532" s="2" t="n">
        <v>2.3392938531518E-011</v>
      </c>
      <c r="D532" s="2" t="n">
        <v>2.33929425330163E-011</v>
      </c>
      <c r="E532" s="2" t="n">
        <v>4.67856732569146E-011</v>
      </c>
    </row>
    <row r="533" customFormat="false" ht="13.8" hidden="false" customHeight="false" outlineLevel="0" collapsed="false">
      <c r="B533" s="2" t="n">
        <v>531</v>
      </c>
      <c r="C533" s="2" t="n">
        <v>2.33586435356033E-011</v>
      </c>
      <c r="D533" s="2" t="n">
        <v>2.33586517387283E-011</v>
      </c>
      <c r="E533" s="2" t="n">
        <v>4.67170850964815E-011</v>
      </c>
    </row>
    <row r="534" customFormat="false" ht="13.8" hidden="false" customHeight="false" outlineLevel="0" collapsed="false">
      <c r="B534" s="2" t="n">
        <v>532</v>
      </c>
      <c r="C534" s="2" t="n">
        <v>2.33079800805533E-011</v>
      </c>
      <c r="D534" s="2" t="n">
        <v>2.33079876977408E-011</v>
      </c>
      <c r="E534" s="2" t="n">
        <v>4.66157593360724E-011</v>
      </c>
    </row>
    <row r="535" customFormat="false" ht="13.8" hidden="false" customHeight="false" outlineLevel="0" collapsed="false">
      <c r="B535" s="2" t="n">
        <v>533</v>
      </c>
      <c r="C535" s="2" t="n">
        <v>0</v>
      </c>
      <c r="D535" s="2" t="n">
        <v>1.44236989131924E-017</v>
      </c>
      <c r="E535" s="2" t="n">
        <v>0.00335123252670395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1.30946922124563E-017</v>
      </c>
      <c r="E536" s="2" t="n">
        <v>0.0190896935867854</v>
      </c>
    </row>
    <row r="537" customFormat="false" ht="13.8" hidden="false" customHeight="false" outlineLevel="0" collapsed="false">
      <c r="B537" s="2" t="n">
        <v>535</v>
      </c>
      <c r="C537" s="2" t="n">
        <v>0</v>
      </c>
      <c r="D537" s="2" t="n">
        <v>1.24493860998532E-017</v>
      </c>
      <c r="E537" s="2" t="n">
        <v>0.0474948879802002</v>
      </c>
    </row>
    <row r="538" customFormat="false" ht="13.8" hidden="false" customHeight="false" outlineLevel="0" collapsed="false">
      <c r="B538" s="2" t="n">
        <v>536</v>
      </c>
      <c r="C538" s="2" t="n">
        <v>2.29983323241906E-011</v>
      </c>
      <c r="D538" s="2" t="n">
        <v>2.29983380519396E-011</v>
      </c>
      <c r="E538" s="2" t="n">
        <v>4.59964645053277E-011</v>
      </c>
    </row>
    <row r="539" customFormat="false" ht="13.8" hidden="false" customHeight="false" outlineLevel="0" collapsed="false">
      <c r="B539" s="2" t="n">
        <v>537</v>
      </c>
      <c r="C539" s="2" t="n">
        <v>2.29064441239913E-011</v>
      </c>
      <c r="D539" s="2" t="n">
        <v>2.29064542802413E-011</v>
      </c>
      <c r="E539" s="2" t="n">
        <v>4.58126909523691E-011</v>
      </c>
    </row>
    <row r="540" customFormat="false" ht="13.8" hidden="false" customHeight="false" outlineLevel="0" collapsed="false">
      <c r="B540" s="2" t="n">
        <v>538</v>
      </c>
      <c r="C540" s="2" t="n">
        <v>2.28150572423354E-011</v>
      </c>
      <c r="D540" s="2" t="n">
        <v>2.28150662267104E-011</v>
      </c>
      <c r="E540" s="2" t="n">
        <v>4.56299114914026E-011</v>
      </c>
    </row>
    <row r="541" customFormat="false" ht="13.8" hidden="false" customHeight="false" outlineLevel="0" collapsed="false">
      <c r="B541" s="2" t="n">
        <v>539</v>
      </c>
      <c r="C541" s="2" t="n">
        <v>0.0091804789792763</v>
      </c>
      <c r="D541" s="2" t="n">
        <v>0</v>
      </c>
      <c r="E541" s="2" t="n">
        <v>0.0105894389874702</v>
      </c>
    </row>
    <row r="542" customFormat="false" ht="13.8" hidden="false" customHeight="false" outlineLevel="0" collapsed="false">
      <c r="B542" s="2" t="n">
        <v>540</v>
      </c>
      <c r="C542" s="2" t="n">
        <v>0.00584915936120508</v>
      </c>
      <c r="D542" s="2" t="n">
        <v>0</v>
      </c>
      <c r="E542" s="2" t="n">
        <v>0.0127713655633946</v>
      </c>
    </row>
    <row r="543" customFormat="false" ht="13.8" hidden="false" customHeight="false" outlineLevel="0" collapsed="false">
      <c r="B543" s="2" t="n">
        <v>541</v>
      </c>
      <c r="C543" s="2" t="n">
        <v>0.00918314513843135</v>
      </c>
      <c r="D543" s="2" t="n">
        <v>0</v>
      </c>
      <c r="E543" s="2" t="n">
        <v>0.0100251395408165</v>
      </c>
    </row>
    <row r="544" customFormat="false" ht="13.8" hidden="false" customHeight="false" outlineLevel="0" collapsed="false">
      <c r="B544" s="2" t="n">
        <v>542</v>
      </c>
      <c r="C544" s="2" t="n">
        <v>0.0448559573897228</v>
      </c>
      <c r="D544" s="2" t="n">
        <v>1.53396349246429E-016</v>
      </c>
      <c r="E544" s="2" t="n">
        <v>1.97582221453189E-017</v>
      </c>
    </row>
    <row r="545" customFormat="false" ht="13.8" hidden="false" customHeight="false" outlineLevel="0" collapsed="false">
      <c r="B545" s="2" t="n">
        <v>543</v>
      </c>
      <c r="C545" s="2" t="n">
        <v>0.05336238635466</v>
      </c>
      <c r="D545" s="2" t="n">
        <v>0</v>
      </c>
      <c r="E545" s="2" t="n">
        <v>2.40435678172142E-017</v>
      </c>
    </row>
    <row r="546" customFormat="false" ht="13.8" hidden="false" customHeight="false" outlineLevel="0" collapsed="false">
      <c r="B546" s="2" t="n">
        <v>544</v>
      </c>
      <c r="C546" s="2" t="n">
        <v>0.0223687653195973</v>
      </c>
      <c r="D546" s="2" t="n">
        <v>0</v>
      </c>
      <c r="E546" s="2" t="n">
        <v>2.61556101245126E-017</v>
      </c>
    </row>
    <row r="547" customFormat="false" ht="13.8" hidden="false" customHeight="false" outlineLevel="0" collapsed="false">
      <c r="B547" s="2" t="n">
        <v>545</v>
      </c>
      <c r="C547" s="2" t="n">
        <v>0.0114672336868863</v>
      </c>
      <c r="D547" s="2" t="n">
        <v>0</v>
      </c>
      <c r="E547" s="2" t="n">
        <v>9.61530868181104E-018</v>
      </c>
    </row>
    <row r="548" customFormat="false" ht="13.8" hidden="false" customHeight="false" outlineLevel="0" collapsed="false">
      <c r="B548" s="2" t="n">
        <v>546</v>
      </c>
      <c r="C548" s="2" t="n">
        <v>0.0196188865294235</v>
      </c>
      <c r="D548" s="2" t="n">
        <v>2.60130832051775E-017</v>
      </c>
      <c r="E548" s="2" t="n">
        <v>2.17246836818111E-017</v>
      </c>
    </row>
    <row r="549" customFormat="false" ht="13.8" hidden="false" customHeight="false" outlineLevel="0" collapsed="false">
      <c r="B549" s="2" t="n">
        <v>547</v>
      </c>
      <c r="C549" s="2" t="n">
        <v>0.00945445350827827</v>
      </c>
      <c r="D549" s="2" t="n">
        <v>0</v>
      </c>
      <c r="E549" s="2" t="n">
        <v>2.28486341610048E-017</v>
      </c>
    </row>
    <row r="550" customFormat="false" ht="13.8" hidden="false" customHeight="false" outlineLevel="0" collapsed="false">
      <c r="B550" s="2" t="n">
        <v>548</v>
      </c>
      <c r="C550" s="2" t="n">
        <v>0.00844806341897454</v>
      </c>
      <c r="D550" s="2" t="n">
        <v>0</v>
      </c>
      <c r="E550" s="2" t="n">
        <v>2.48305824812665E-017</v>
      </c>
    </row>
    <row r="551" customFormat="false" ht="13.8" hidden="false" customHeight="false" outlineLevel="0" collapsed="false">
      <c r="B551" s="2" t="n">
        <v>549</v>
      </c>
      <c r="C551" s="2" t="n">
        <v>0.00744167332967083</v>
      </c>
      <c r="D551" s="2" t="n">
        <v>0</v>
      </c>
      <c r="E551" s="2" t="n">
        <v>2.46108559187665E-017</v>
      </c>
    </row>
    <row r="552" customFormat="false" ht="13.8" hidden="false" customHeight="false" outlineLevel="0" collapsed="false">
      <c r="B552" s="2" t="n">
        <v>550</v>
      </c>
      <c r="C552" s="2" t="n">
        <v>0.0122213337973811</v>
      </c>
      <c r="D552" s="2" t="n">
        <v>0</v>
      </c>
      <c r="E552" s="2" t="n">
        <v>2.04369548354603E-017</v>
      </c>
    </row>
    <row r="553" customFormat="false" ht="13.8" hidden="false" customHeight="false" outlineLevel="0" collapsed="false">
      <c r="B553" s="2" t="n">
        <v>551</v>
      </c>
      <c r="C553" s="2" t="n">
        <v>0.0224675067413137</v>
      </c>
      <c r="D553" s="2" t="n">
        <v>0</v>
      </c>
      <c r="E553" s="2" t="n">
        <v>2.61804759891095E-017</v>
      </c>
    </row>
    <row r="554" customFormat="false" ht="13.8" hidden="false" customHeight="false" outlineLevel="0" collapsed="false">
      <c r="B554" s="2" t="n">
        <v>552</v>
      </c>
      <c r="C554" s="2" t="n">
        <v>4.60414066327714E-010</v>
      </c>
      <c r="D554" s="2" t="n">
        <v>2.11334631925764E-010</v>
      </c>
      <c r="E554" s="2" t="n">
        <v>1.05667322818536E-010</v>
      </c>
    </row>
    <row r="555" customFormat="false" ht="13.8" hidden="false" customHeight="false" outlineLevel="0" collapsed="false">
      <c r="B555" s="2" t="n">
        <v>553</v>
      </c>
      <c r="C555" s="2" t="n">
        <v>5.72988152149816E-010</v>
      </c>
      <c r="D555" s="2" t="n">
        <v>2.11319076837897E-010</v>
      </c>
      <c r="E555" s="2" t="n">
        <v>1.05659544195732E-010</v>
      </c>
    </row>
    <row r="556" customFormat="false" ht="13.8" hidden="false" customHeight="false" outlineLevel="0" collapsed="false">
      <c r="B556" s="2" t="n">
        <v>554</v>
      </c>
      <c r="C556" s="2" t="n">
        <v>6.85563284598771E-010</v>
      </c>
      <c r="D556" s="2" t="n">
        <v>2.11303457734604E-010</v>
      </c>
      <c r="E556" s="2" t="n">
        <v>1.05651733491096E-010</v>
      </c>
    </row>
    <row r="557" customFormat="false" ht="13.8" hidden="false" customHeight="false" outlineLevel="0" collapsed="false">
      <c r="B557" s="2" t="n">
        <v>555</v>
      </c>
      <c r="C557" s="2" t="n">
        <v>7.98140196036166E-010</v>
      </c>
      <c r="D557" s="2" t="n">
        <v>2.11288364106385E-010</v>
      </c>
      <c r="E557" s="2" t="n">
        <v>1.05644187909965E-010</v>
      </c>
    </row>
    <row r="558" customFormat="false" ht="13.8" hidden="false" customHeight="false" outlineLevel="0" collapsed="false">
      <c r="B558" s="2" t="n">
        <v>556</v>
      </c>
      <c r="C558" s="2" t="n">
        <v>9.10718886215351E-010</v>
      </c>
      <c r="D558" s="2" t="n">
        <v>2.11273807034714E-010</v>
      </c>
      <c r="E558" s="2" t="n">
        <v>1.05636905936155E-010</v>
      </c>
    </row>
    <row r="559" customFormat="false" ht="13.8" hidden="false" customHeight="false" outlineLevel="0" collapsed="false">
      <c r="B559" s="2" t="n">
        <v>557</v>
      </c>
      <c r="C559" s="2" t="n">
        <v>1.02329932601026E-009</v>
      </c>
      <c r="D559" s="2" t="n">
        <v>2.11259758956031E-010</v>
      </c>
      <c r="E559" s="2" t="n">
        <v>1.05629885689703E-010</v>
      </c>
    </row>
    <row r="560" customFormat="false" ht="13.8" hidden="false" customHeight="false" outlineLevel="0" collapsed="false">
      <c r="B560" s="2" t="n">
        <v>558</v>
      </c>
      <c r="C560" s="2" t="n">
        <v>1.13588153629232E-009</v>
      </c>
      <c r="D560" s="2" t="n">
        <v>2.11246232147998E-010</v>
      </c>
      <c r="E560" s="2" t="n">
        <v>1.05623121870143E-010</v>
      </c>
    </row>
    <row r="561" customFormat="false" ht="13.8" hidden="false" customHeight="false" outlineLevel="0" collapsed="false">
      <c r="B561" s="2" t="n">
        <v>559</v>
      </c>
      <c r="C561" s="2" t="n">
        <v>1.2484654927604E-009</v>
      </c>
      <c r="D561" s="2" t="n">
        <v>2.11233218520438E-010</v>
      </c>
      <c r="E561" s="2" t="n">
        <v>1.05616614590424E-010</v>
      </c>
    </row>
    <row r="562" customFormat="false" ht="13.8" hidden="false" customHeight="false" outlineLevel="0" collapsed="false">
      <c r="B562" s="2" t="n">
        <v>560</v>
      </c>
      <c r="C562" s="2" t="n">
        <v>1.36105119852312E-009</v>
      </c>
      <c r="D562" s="2" t="n">
        <v>2.11220708096022E-010</v>
      </c>
      <c r="E562" s="2" t="n">
        <v>1.05610359244312E-010</v>
      </c>
    </row>
    <row r="563" customFormat="false" ht="13.8" hidden="false" customHeight="false" outlineLevel="0" collapsed="false">
      <c r="B563" s="2" t="n">
        <v>561</v>
      </c>
      <c r="C563" s="2" t="n">
        <v>1.47363863065503E-009</v>
      </c>
      <c r="D563" s="2" t="n">
        <v>2.11208694160251E-010</v>
      </c>
      <c r="E563" s="2" t="n">
        <v>1.05604351998167E-010</v>
      </c>
    </row>
    <row r="564" customFormat="false" ht="13.8" hidden="false" customHeight="false" outlineLevel="0" collapsed="false">
      <c r="B564" s="2" t="n">
        <v>562</v>
      </c>
      <c r="C564" s="2" t="n">
        <v>1.5862278140636E-009</v>
      </c>
      <c r="D564" s="2" t="n">
        <v>2.11197172519011E-010</v>
      </c>
      <c r="E564" s="2" t="n">
        <v>1.055985935651E-010</v>
      </c>
    </row>
    <row r="565" customFormat="false" ht="13.8" hidden="false" customHeight="false" outlineLevel="0" collapsed="false">
      <c r="B565" s="2" t="n">
        <v>563</v>
      </c>
      <c r="C565" s="2" t="n">
        <v>1.69881870128165E-009</v>
      </c>
      <c r="D565" s="2" t="n">
        <v>2.11186144533271E-010</v>
      </c>
      <c r="E565" s="2" t="n">
        <v>1.05593077029715E-010</v>
      </c>
    </row>
    <row r="566" customFormat="false" ht="13.8" hidden="false" customHeight="false" outlineLevel="0" collapsed="false">
      <c r="B566" s="2" t="n">
        <v>564</v>
      </c>
      <c r="C566" s="2" t="n">
        <v>1.8232911538364E-009</v>
      </c>
      <c r="D566" s="2" t="n">
        <v>2.10047314057444E-010</v>
      </c>
      <c r="E566" s="2" t="n">
        <v>1.04459519503259E-010</v>
      </c>
    </row>
    <row r="567" customFormat="false" ht="13.8" hidden="false" customHeight="false" outlineLevel="0" collapsed="false">
      <c r="B567" s="2" t="n">
        <v>565</v>
      </c>
      <c r="C567" s="2" t="n">
        <v>2.01754242269303E-009</v>
      </c>
      <c r="D567" s="2" t="n">
        <v>2.0229393605742E-010</v>
      </c>
      <c r="E567" s="2" t="n">
        <v>9.67111789057251E-011</v>
      </c>
    </row>
    <row r="568" customFormat="false" ht="13.8" hidden="false" customHeight="false" outlineLevel="0" collapsed="false">
      <c r="B568" s="2" t="n">
        <v>566</v>
      </c>
      <c r="C568" s="2" t="n">
        <v>2.21202869387718E-009</v>
      </c>
      <c r="D568" s="2" t="n">
        <v>1.94541196121951E-010</v>
      </c>
      <c r="E568" s="2" t="n">
        <v>8.89632365686629E-011</v>
      </c>
    </row>
    <row r="569" customFormat="false" ht="13.8" hidden="false" customHeight="false" outlineLevel="0" collapsed="false">
      <c r="B569" s="2" t="n">
        <v>567</v>
      </c>
      <c r="C569" s="2" t="n">
        <v>2.40677139374519E-009</v>
      </c>
      <c r="D569" s="2" t="n">
        <v>1.86789087965209E-010</v>
      </c>
      <c r="E569" s="2" t="n">
        <v>8.12156894563666E-011</v>
      </c>
    </row>
    <row r="570" customFormat="false" ht="13.8" hidden="false" customHeight="false" outlineLevel="0" collapsed="false">
      <c r="B570" s="2" t="n">
        <v>568</v>
      </c>
      <c r="C570" s="2" t="n">
        <v>2.60179448267042E-009</v>
      </c>
      <c r="D570" s="2" t="n">
        <v>1.79037598665721E-010</v>
      </c>
      <c r="E570" s="2" t="n">
        <v>7.34685298933344E-011</v>
      </c>
    </row>
    <row r="571" customFormat="false" ht="13.8" hidden="false" customHeight="false" outlineLevel="0" collapsed="false">
      <c r="B571" s="2" t="n">
        <v>569</v>
      </c>
      <c r="C571" s="2" t="n">
        <v>2.79712473808671E-009</v>
      </c>
      <c r="D571" s="2" t="n">
        <v>1.7128672671857E-010</v>
      </c>
      <c r="E571" s="2" t="n">
        <v>6.57217554560708E-011</v>
      </c>
    </row>
    <row r="572" customFormat="false" ht="13.8" hidden="false" customHeight="false" outlineLevel="0" collapsed="false">
      <c r="B572" s="2" t="n">
        <v>570</v>
      </c>
      <c r="C572" s="2" t="n">
        <v>2.99279216968683E-009</v>
      </c>
      <c r="D572" s="2" t="n">
        <v>1.63536467186506E-010</v>
      </c>
      <c r="E572" s="2" t="n">
        <v>5.79753619885754E-011</v>
      </c>
    </row>
    <row r="573" customFormat="false" ht="13.8" hidden="false" customHeight="false" outlineLevel="0" collapsed="false">
      <c r="B573" s="2" t="n">
        <v>571</v>
      </c>
      <c r="C573" s="2" t="n">
        <v>3.18883050926906E-009</v>
      </c>
      <c r="D573" s="2" t="n">
        <v>1.55786804864236E-010</v>
      </c>
      <c r="E573" s="2" t="n">
        <v>5.02293444967374E-011</v>
      </c>
    </row>
    <row r="574" customFormat="false" ht="13.8" hidden="false" customHeight="false" outlineLevel="0" collapsed="false">
      <c r="B574" s="2" t="n">
        <v>572</v>
      </c>
      <c r="C574" s="2" t="n">
        <v>3.38527767085074E-009</v>
      </c>
      <c r="D574" s="2" t="n">
        <v>1.4803775397683E-010</v>
      </c>
      <c r="E574" s="2" t="n">
        <v>4.24837054990839E-011</v>
      </c>
    </row>
    <row r="575" customFormat="false" ht="13.8" hidden="false" customHeight="false" outlineLevel="0" collapsed="false">
      <c r="B575" s="2" t="n">
        <v>573</v>
      </c>
      <c r="C575" s="2" t="n">
        <v>3.58217646902333E-009</v>
      </c>
      <c r="D575" s="2" t="n">
        <v>1.4028929095209E-010</v>
      </c>
      <c r="E575" s="2" t="n">
        <v>3.47384346802526E-011</v>
      </c>
    </row>
    <row r="576" customFormat="false" ht="13.8" hidden="false" customHeight="false" outlineLevel="0" collapsed="false">
      <c r="B576" s="2" t="n">
        <v>574</v>
      </c>
      <c r="C576" s="2" t="n">
        <v>3.7795752581789E-009</v>
      </c>
      <c r="D576" s="2" t="n">
        <v>1.32541427396907E-010</v>
      </c>
      <c r="E576" s="2" t="n">
        <v>2.69935355782865E-011</v>
      </c>
    </row>
    <row r="577" customFormat="false" ht="13.8" hidden="false" customHeight="false" outlineLevel="0" collapsed="false">
      <c r="B577" s="2" t="n">
        <v>575</v>
      </c>
      <c r="C577" s="2" t="n">
        <v>3.97752876709292E-009</v>
      </c>
      <c r="D577" s="2" t="n">
        <v>1.24794143397686E-010</v>
      </c>
      <c r="E577" s="2" t="n">
        <v>1.9248999870167E-011</v>
      </c>
    </row>
    <row r="578" customFormat="false" ht="13.8" hidden="false" customHeight="false" outlineLevel="0" collapsed="false">
      <c r="B578" s="2" t="n">
        <v>576</v>
      </c>
      <c r="C578" s="2" t="n">
        <v>4.17609900507668E-009</v>
      </c>
      <c r="D578" s="2" t="n">
        <v>1.17047447617418E-010</v>
      </c>
      <c r="E578" s="2" t="n">
        <v>1.15048284386534E-011</v>
      </c>
    </row>
    <row r="579" customFormat="false" ht="13.8" hidden="false" customHeight="false" outlineLevel="0" collapsed="false">
      <c r="B579" s="2" t="n">
        <v>577</v>
      </c>
      <c r="C579" s="2" t="n">
        <v>3.35752084942236E-009</v>
      </c>
      <c r="D579" s="2" t="n">
        <v>0</v>
      </c>
      <c r="E579" s="2" t="n">
        <v>0</v>
      </c>
    </row>
    <row r="580" customFormat="false" ht="13.8" hidden="false" customHeight="false" outlineLevel="0" collapsed="false">
      <c r="B580" s="2" t="n">
        <v>578</v>
      </c>
      <c r="C580" s="2" t="n">
        <v>3.61289498183662E-009</v>
      </c>
      <c r="D580" s="2" t="n">
        <v>0</v>
      </c>
      <c r="E580" s="2" t="n">
        <v>0</v>
      </c>
    </row>
    <row r="581" customFormat="false" ht="13.8" hidden="false" customHeight="false" outlineLevel="0" collapsed="false">
      <c r="B581" s="2" t="n">
        <v>579</v>
      </c>
      <c r="C581" s="2" t="n">
        <v>3.8682645301605E-009</v>
      </c>
      <c r="D581" s="2" t="n">
        <v>0</v>
      </c>
      <c r="E581" s="2" t="n">
        <v>0</v>
      </c>
    </row>
    <row r="582" customFormat="false" ht="13.8" hidden="false" customHeight="false" outlineLevel="0" collapsed="false">
      <c r="B582" s="2" t="n">
        <v>580</v>
      </c>
      <c r="C582" s="2" t="n">
        <v>4.97810800467226E-009</v>
      </c>
      <c r="D582" s="2" t="n">
        <v>8.60663871398987E-011</v>
      </c>
      <c r="E582" s="2" t="n">
        <v>0</v>
      </c>
    </row>
    <row r="583" customFormat="false" ht="13.8" hidden="false" customHeight="false" outlineLevel="0" collapsed="false">
      <c r="B583" s="2" t="n">
        <v>581</v>
      </c>
      <c r="C583" s="2" t="n">
        <v>5.18103147566205E-009</v>
      </c>
      <c r="D583" s="2" t="n">
        <v>7.83225462052059E-011</v>
      </c>
      <c r="E583" s="2" t="n">
        <v>0</v>
      </c>
    </row>
    <row r="584" customFormat="false" ht="13.8" hidden="false" customHeight="false" outlineLevel="0" collapsed="false">
      <c r="B584" s="2" t="n">
        <v>582</v>
      </c>
      <c r="C584" s="2" t="n">
        <v>5.38516758685003E-009</v>
      </c>
      <c r="D584" s="2" t="n">
        <v>7.05792604173335E-011</v>
      </c>
      <c r="E584" s="2" t="n">
        <v>0</v>
      </c>
    </row>
    <row r="585" customFormat="false" ht="13.8" hidden="false" customHeight="false" outlineLevel="0" collapsed="false">
      <c r="B585" s="2" t="n">
        <v>583</v>
      </c>
      <c r="C585" s="2" t="n">
        <v>5.59066749690772E-009</v>
      </c>
      <c r="D585" s="2" t="n">
        <v>6.28365398197694E-011</v>
      </c>
      <c r="E585" s="2" t="n">
        <v>0</v>
      </c>
    </row>
    <row r="586" customFormat="false" ht="13.8" hidden="false" customHeight="false" outlineLevel="0" collapsed="false">
      <c r="B586" s="2" t="n">
        <v>584</v>
      </c>
      <c r="C586" s="2" t="n">
        <v>5.79770165161184E-009</v>
      </c>
      <c r="D586" s="2" t="n">
        <v>5.50943788910772E-011</v>
      </c>
      <c r="E586" s="2" t="n">
        <v>0</v>
      </c>
    </row>
    <row r="587" customFormat="false" ht="13.8" hidden="false" customHeight="false" outlineLevel="0" collapsed="false">
      <c r="B587" s="2" t="n">
        <v>585</v>
      </c>
      <c r="C587" s="2" t="n">
        <v>6.00646128700488E-009</v>
      </c>
      <c r="D587" s="2" t="n">
        <v>4.73527739721464E-011</v>
      </c>
      <c r="E587" s="2" t="n">
        <v>0</v>
      </c>
    </row>
    <row r="588" customFormat="false" ht="13.8" hidden="false" customHeight="false" outlineLevel="0" collapsed="false">
      <c r="B588" s="2" t="n">
        <v>586</v>
      </c>
      <c r="C588" s="2" t="n">
        <v>6.21715909917974E-009</v>
      </c>
      <c r="D588" s="2" t="n">
        <v>3.96117231478711E-011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6.43002913937916E-009</v>
      </c>
      <c r="D589" s="2" t="n">
        <v>3.18712269369245E-011</v>
      </c>
      <c r="E589" s="2" t="n">
        <v>0</v>
      </c>
    </row>
    <row r="590" customFormat="false" ht="13.8" hidden="false" customHeight="false" outlineLevel="0" collapsed="false">
      <c r="B590" s="2" t="n">
        <v>588</v>
      </c>
      <c r="C590" s="2" t="n">
        <v>6.6453249329084E-009</v>
      </c>
      <c r="D590" s="2" t="n">
        <v>2.41312800986995E-011</v>
      </c>
      <c r="E590" s="2" t="n">
        <v>0</v>
      </c>
    </row>
    <row r="591" customFormat="false" ht="13.8" hidden="false" customHeight="false" outlineLevel="0" collapsed="false">
      <c r="B591" s="2" t="n">
        <v>589</v>
      </c>
      <c r="C591" s="2" t="n">
        <v>6.86331532050085E-009</v>
      </c>
      <c r="D591" s="2" t="n">
        <v>1.63918868431409E-011</v>
      </c>
      <c r="E591" s="2" t="n">
        <v>0</v>
      </c>
    </row>
    <row r="592" customFormat="false" ht="13.8" hidden="false" customHeight="false" outlineLevel="0" collapsed="false">
      <c r="B592" s="2" t="n">
        <v>590</v>
      </c>
      <c r="C592" s="2" t="n">
        <v>7.08427721714852E-009</v>
      </c>
      <c r="D592" s="2" t="n">
        <v>8.65304226348114E-012</v>
      </c>
      <c r="E592" s="2" t="n">
        <v>0</v>
      </c>
    </row>
    <row r="593" customFormat="false" ht="13.8" hidden="false" customHeight="false" outlineLevel="0" collapsed="false">
      <c r="B593" s="2" t="n">
        <v>591</v>
      </c>
      <c r="C593" s="2" t="n">
        <v>7.30848408400579E-009</v>
      </c>
      <c r="D593" s="2" t="n">
        <v>9.14746724922305E-013</v>
      </c>
      <c r="E593" s="2" t="n">
        <v>0</v>
      </c>
    </row>
    <row r="594" customFormat="false" ht="13.8" hidden="false" customHeight="false" outlineLevel="0" collapsed="false">
      <c r="B594" s="2" t="n">
        <v>592</v>
      </c>
      <c r="C594" s="2" t="n">
        <v>7.53618984676005E-009</v>
      </c>
      <c r="D594" s="2" t="n">
        <v>0</v>
      </c>
      <c r="E594" s="2" t="n">
        <v>0</v>
      </c>
    </row>
    <row r="595" customFormat="false" ht="13.8" hidden="false" customHeight="false" outlineLevel="0" collapsed="false">
      <c r="B595" s="2" t="n">
        <v>593</v>
      </c>
      <c r="C595" s="2" t="n">
        <v>7.76760776026337E-009</v>
      </c>
      <c r="D595" s="2" t="n">
        <v>0</v>
      </c>
      <c r="E595" s="2" t="n">
        <v>0</v>
      </c>
    </row>
    <row r="596" customFormat="false" ht="13.8" hidden="false" customHeight="false" outlineLevel="0" collapsed="false">
      <c r="B596" s="2" t="n">
        <v>594</v>
      </c>
      <c r="C596" s="2" t="n">
        <v>8.00288538420661E-009</v>
      </c>
      <c r="D596" s="2" t="n">
        <v>0</v>
      </c>
      <c r="E596" s="2" t="n">
        <v>0</v>
      </c>
    </row>
    <row r="597" customFormat="false" ht="13.8" hidden="false" customHeight="false" outlineLevel="0" collapsed="false">
      <c r="B597" s="2" t="n">
        <v>595</v>
      </c>
      <c r="C597" s="2" t="n">
        <v>8.24207834932913E-009</v>
      </c>
      <c r="D597" s="2" t="n">
        <v>0</v>
      </c>
      <c r="E597" s="2" t="n">
        <v>0</v>
      </c>
    </row>
    <row r="598" customFormat="false" ht="13.8" hidden="false" customHeight="false" outlineLevel="0" collapsed="false">
      <c r="B598" s="2" t="n">
        <v>596</v>
      </c>
      <c r="C598" s="2" t="n">
        <v>8.48512617282413E-009</v>
      </c>
      <c r="D598" s="2" t="n">
        <v>0</v>
      </c>
      <c r="E598" s="2" t="n">
        <v>0</v>
      </c>
    </row>
    <row r="599" customFormat="false" ht="13.8" hidden="false" customHeight="false" outlineLevel="0" collapsed="false">
      <c r="B599" s="2" t="n">
        <v>597</v>
      </c>
      <c r="C599" s="2" t="n">
        <v>8.73183693939824E-009</v>
      </c>
      <c r="D599" s="2" t="n">
        <v>0</v>
      </c>
      <c r="E599" s="2" t="n">
        <v>0</v>
      </c>
    </row>
    <row r="600" customFormat="false" ht="13.8" hidden="false" customHeight="false" outlineLevel="0" collapsed="false">
      <c r="B600" s="2" t="n">
        <v>598</v>
      </c>
      <c r="C600" s="2" t="n">
        <v>0.0220298622018452</v>
      </c>
      <c r="D600" s="2" t="n">
        <v>6.46111722016429E-017</v>
      </c>
      <c r="E600" s="2" t="n">
        <v>2.09980264708634E-017</v>
      </c>
    </row>
    <row r="601" customFormat="false" ht="13.8" hidden="false" customHeight="false" outlineLevel="0" collapsed="false">
      <c r="B601" s="2" t="n">
        <v>599</v>
      </c>
      <c r="C601" s="2" t="n">
        <v>0.00624148966407357</v>
      </c>
      <c r="D601" s="2" t="n">
        <v>0</v>
      </c>
      <c r="E601" s="2" t="n">
        <v>2.33388941388372E-017</v>
      </c>
    </row>
    <row r="602" customFormat="false" ht="13.8" hidden="false" customHeight="false" outlineLevel="0" collapsed="false">
      <c r="B602" s="2" t="n">
        <v>600</v>
      </c>
      <c r="C602" s="2" t="n">
        <v>0.00936223449611099</v>
      </c>
      <c r="D602" s="2" t="n">
        <v>0</v>
      </c>
      <c r="E602" s="2" t="n">
        <v>2.42024851245126E-017</v>
      </c>
    </row>
    <row r="603" customFormat="false" ht="13.8" hidden="false" customHeight="false" outlineLevel="0" collapsed="false">
      <c r="B603" s="2" t="n">
        <v>601</v>
      </c>
      <c r="C603" s="2" t="n">
        <v>0.0124829793281484</v>
      </c>
      <c r="D603" s="2" t="n">
        <v>0</v>
      </c>
      <c r="E603" s="2" t="n">
        <v>2.41354594031618E-017</v>
      </c>
    </row>
    <row r="604" customFormat="false" ht="13.8" hidden="false" customHeight="false" outlineLevel="0" collapsed="false">
      <c r="B604" s="2" t="n">
        <v>602</v>
      </c>
      <c r="C604" s="2" t="n">
        <v>0.0165414919483771</v>
      </c>
      <c r="D604" s="2" t="n">
        <v>0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0.022381668422711</v>
      </c>
      <c r="D605" s="2" t="n">
        <v>0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8.38736701764356E-011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1.56250001301023E-018</v>
      </c>
    </row>
    <row r="624" customFormat="false" ht="13.8" hidden="false" customHeight="false" outlineLevel="0" collapsed="false">
      <c r="B624" s="2" t="n">
        <v>622</v>
      </c>
      <c r="C624" s="2" t="n">
        <v>1.28202712220367E-020</v>
      </c>
      <c r="D624" s="2" t="n">
        <v>1.3421772790687E-020</v>
      </c>
      <c r="E624" s="2" t="n">
        <v>6.06810940302788E-018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4.02653181485455E-020</v>
      </c>
      <c r="E625" s="2" t="n">
        <v>9.41526555233038E-018</v>
      </c>
    </row>
    <row r="626" customFormat="false" ht="13.8" hidden="false" customHeight="false" outlineLevel="0" collapsed="false">
      <c r="B626" s="2" t="n">
        <v>624</v>
      </c>
      <c r="C626" s="2" t="n">
        <v>8.28744904789224E-018</v>
      </c>
      <c r="D626" s="2" t="n">
        <v>0</v>
      </c>
      <c r="E626" s="2" t="n">
        <v>1.08301260717027E-017</v>
      </c>
    </row>
    <row r="627" customFormat="false" ht="13.8" hidden="false" customHeight="false" outlineLevel="0" collapsed="false">
      <c r="B627" s="2" t="n">
        <v>625</v>
      </c>
      <c r="C627" s="2" t="n">
        <v>4.06731132646795E-018</v>
      </c>
      <c r="D627" s="2" t="n">
        <v>1.61061272258923E-019</v>
      </c>
      <c r="E627" s="2" t="n">
        <v>1.61061272258923E-019</v>
      </c>
    </row>
    <row r="628" customFormat="false" ht="13.8" hidden="false" customHeight="false" outlineLevel="0" collapsed="false">
      <c r="B628" s="2" t="n">
        <v>626</v>
      </c>
      <c r="C628" s="2" t="n">
        <v>7.5292493289028E-018</v>
      </c>
      <c r="D628" s="2" t="n">
        <v>1.07374182132585E-019</v>
      </c>
      <c r="E628" s="2" t="n">
        <v>1.07374182132585E-019</v>
      </c>
    </row>
    <row r="629" customFormat="false" ht="13.8" hidden="false" customHeight="false" outlineLevel="0" collapsed="false">
      <c r="B629" s="2" t="n">
        <v>627</v>
      </c>
      <c r="C629" s="2" t="n">
        <v>1.35455682917218E-017</v>
      </c>
      <c r="D629" s="2" t="n">
        <v>0</v>
      </c>
      <c r="E629" s="2" t="n">
        <v>0</v>
      </c>
    </row>
    <row r="630" customFormat="false" ht="13.8" hidden="false" customHeight="false" outlineLevel="0" collapsed="false">
      <c r="B630" s="2" t="n">
        <v>628</v>
      </c>
      <c r="C630" s="2" t="n">
        <v>2.41292008024181E-010</v>
      </c>
      <c r="D630" s="2" t="n">
        <v>3.33067032482587E-010</v>
      </c>
      <c r="E630" s="2" t="n">
        <v>1.77895582458421E-010</v>
      </c>
    </row>
    <row r="631" customFormat="false" ht="13.8" hidden="false" customHeight="false" outlineLevel="0" collapsed="false">
      <c r="B631" s="2" t="n">
        <v>629</v>
      </c>
      <c r="C631" s="2" t="n">
        <v>2.40605925583212E-010</v>
      </c>
      <c r="D631" s="2" t="n">
        <v>3.26480954809498E-010</v>
      </c>
      <c r="E631" s="2" t="n">
        <v>1.77904065346255E-010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1.01830937740888E-017</v>
      </c>
      <c r="E632" s="2" t="n">
        <v>0</v>
      </c>
    </row>
    <row r="633" customFormat="false" ht="13.8" hidden="false" customHeight="false" outlineLevel="0" collapsed="false">
      <c r="B633" s="2" t="n">
        <v>631</v>
      </c>
      <c r="C633" s="2" t="n">
        <v>2.39653276668018E-010</v>
      </c>
      <c r="D633" s="2" t="n">
        <v>3.18633150377634E-010</v>
      </c>
      <c r="E633" s="2" t="n">
        <v>1.77911746378172E-010</v>
      </c>
    </row>
    <row r="634" customFormat="false" ht="13.8" hidden="false" customHeight="false" outlineLevel="0" collapsed="false">
      <c r="B634" s="2" t="n">
        <v>632</v>
      </c>
      <c r="C634" s="2" t="n">
        <v>2.39312370541408E-010</v>
      </c>
      <c r="D634" s="2" t="n">
        <v>3.16115950000885E-010</v>
      </c>
      <c r="E634" s="2" t="n">
        <v>1.77916394567263E-010</v>
      </c>
    </row>
    <row r="635" customFormat="false" ht="13.8" hidden="false" customHeight="false" outlineLevel="0" collapsed="false">
      <c r="B635" s="2" t="n">
        <v>633</v>
      </c>
      <c r="C635" s="2" t="n">
        <v>0</v>
      </c>
      <c r="D635" s="2" t="n">
        <v>0</v>
      </c>
      <c r="E635" s="2" t="n">
        <v>1.34175874559318E-019</v>
      </c>
    </row>
    <row r="636" customFormat="false" ht="13.8" hidden="false" customHeight="false" outlineLevel="0" collapsed="false">
      <c r="B636" s="2" t="n">
        <v>634</v>
      </c>
      <c r="C636" s="2" t="n">
        <v>1.60305316365835E-010</v>
      </c>
      <c r="D636" s="2" t="n">
        <v>1.60305316365835E-010</v>
      </c>
      <c r="E636" s="2" t="n">
        <v>1.60305316365756E-010</v>
      </c>
    </row>
    <row r="637" customFormat="false" ht="13.8" hidden="false" customHeight="false" outlineLevel="0" collapsed="false">
      <c r="B637" s="2" t="n">
        <v>635</v>
      </c>
      <c r="C637" s="2" t="n">
        <v>1.79650438622215E-010</v>
      </c>
      <c r="D637" s="2" t="n">
        <v>1.7965044057534E-010</v>
      </c>
      <c r="E637" s="2" t="n">
        <v>1.79650440574857E-010</v>
      </c>
    </row>
    <row r="638" customFormat="false" ht="13.8" hidden="false" customHeight="false" outlineLevel="0" collapsed="false">
      <c r="B638" s="2" t="n">
        <v>636</v>
      </c>
      <c r="C638" s="2" t="n">
        <v>5.36870911680715E-020</v>
      </c>
      <c r="D638" s="2" t="n">
        <v>5.36870911680715E-020</v>
      </c>
      <c r="E638" s="2" t="n">
        <v>5.35028592143421E-020</v>
      </c>
    </row>
    <row r="639" customFormat="false" ht="13.8" hidden="false" customHeight="false" outlineLevel="0" collapsed="false">
      <c r="B639" s="2" t="n">
        <v>637</v>
      </c>
      <c r="C639" s="2" t="n">
        <v>0</v>
      </c>
      <c r="D639" s="2" t="n">
        <v>1.13549686695156E-017</v>
      </c>
      <c r="E639" s="2" t="n">
        <v>0.054247963488733</v>
      </c>
    </row>
    <row r="640" customFormat="false" ht="13.8" hidden="false" customHeight="false" outlineLevel="0" collapsed="false">
      <c r="B640" s="2" t="n">
        <v>638</v>
      </c>
      <c r="C640" s="2" t="n">
        <v>4.03069117434005E-010</v>
      </c>
      <c r="D640" s="2" t="n">
        <v>4.68507394762203E-010</v>
      </c>
      <c r="E640" s="2" t="n">
        <v>3.95071116746012E-010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0</v>
      </c>
      <c r="E641" s="2" t="n">
        <v>0.0904881088341749</v>
      </c>
    </row>
    <row r="642" customFormat="false" ht="13.8" hidden="false" customHeight="false" outlineLevel="0" collapsed="false">
      <c r="B642" s="2" t="n">
        <v>640</v>
      </c>
      <c r="C642" s="2" t="n">
        <v>0.0350743288656344</v>
      </c>
      <c r="D642" s="2" t="n">
        <v>0</v>
      </c>
      <c r="E642" s="2" t="n">
        <v>0.00983632998817352</v>
      </c>
    </row>
    <row r="643" customFormat="false" ht="13.8" hidden="false" customHeight="false" outlineLevel="0" collapsed="false">
      <c r="B643" s="2" t="n">
        <v>641</v>
      </c>
      <c r="C643" s="2" t="n">
        <v>0.0191655163700651</v>
      </c>
      <c r="D643" s="2" t="n">
        <v>0</v>
      </c>
      <c r="E643" s="2" t="n">
        <v>2.36377619577018E-009</v>
      </c>
    </row>
    <row r="644" customFormat="false" ht="13.8" hidden="false" customHeight="false" outlineLevel="0" collapsed="false">
      <c r="B644" s="2" t="n">
        <v>642</v>
      </c>
      <c r="C644" s="2" t="n">
        <v>0.0166135739069436</v>
      </c>
      <c r="D644" s="2" t="n">
        <v>1.78087115620938E-018</v>
      </c>
      <c r="E644" s="2" t="n">
        <v>0.000801117739365552</v>
      </c>
    </row>
    <row r="645" customFormat="false" ht="13.8" hidden="false" customHeight="false" outlineLevel="0" collapsed="false">
      <c r="B645" s="2" t="n">
        <v>643</v>
      </c>
      <c r="C645" s="2" t="n">
        <v>0.0156638669225528</v>
      </c>
      <c r="D645" s="2" t="n">
        <v>0</v>
      </c>
      <c r="E645" s="2" t="n">
        <v>2.36382346868327E-009</v>
      </c>
    </row>
    <row r="646" customFormat="false" ht="13.8" hidden="false" customHeight="false" outlineLevel="0" collapsed="false">
      <c r="B646" s="2" t="n">
        <v>644</v>
      </c>
      <c r="C646" s="2" t="n">
        <v>0.0139130421987966</v>
      </c>
      <c r="D646" s="2" t="n">
        <v>0</v>
      </c>
      <c r="E646" s="2" t="n">
        <v>2.36384710658361E-009</v>
      </c>
    </row>
    <row r="647" customFormat="false" ht="13.8" hidden="false" customHeight="false" outlineLevel="0" collapsed="false">
      <c r="B647" s="2" t="n">
        <v>645</v>
      </c>
      <c r="C647" s="2" t="n">
        <v>0.0121622174750404</v>
      </c>
      <c r="D647" s="2" t="n">
        <v>0</v>
      </c>
      <c r="E647" s="2" t="n">
        <v>2.36387074689286E-009</v>
      </c>
    </row>
    <row r="648" customFormat="false" ht="13.8" hidden="false" customHeight="false" outlineLevel="0" collapsed="false">
      <c r="B648" s="2" t="n">
        <v>646</v>
      </c>
      <c r="C648" s="2" t="n">
        <v>0.00912166308836512</v>
      </c>
      <c r="D648" s="2" t="n">
        <v>0</v>
      </c>
      <c r="E648" s="2" t="n">
        <v>2.36389438505816E-009</v>
      </c>
    </row>
    <row r="649" customFormat="false" ht="13.8" hidden="false" customHeight="false" outlineLevel="0" collapsed="false">
      <c r="B649" s="2" t="n">
        <v>647</v>
      </c>
      <c r="C649" s="2" t="n">
        <v>0.00608110870168978</v>
      </c>
      <c r="D649" s="2" t="n">
        <v>0</v>
      </c>
      <c r="E649" s="2" t="n">
        <v>2.36391802479226E-009</v>
      </c>
    </row>
    <row r="650" customFormat="false" ht="13.8" hidden="false" customHeight="false" outlineLevel="0" collapsed="false">
      <c r="B650" s="2" t="n">
        <v>648</v>
      </c>
      <c r="C650" s="2" t="n">
        <v>0.0030405543150145</v>
      </c>
      <c r="D650" s="2" t="n">
        <v>0</v>
      </c>
      <c r="E650" s="2" t="n">
        <v>2.36394166467932E-009</v>
      </c>
    </row>
    <row r="651" customFormat="false" ht="13.8" hidden="false" customHeight="false" outlineLevel="0" collapsed="false">
      <c r="B651" s="2" t="n">
        <v>649</v>
      </c>
      <c r="C651" s="2" t="n">
        <v>3.05075431145252E-010</v>
      </c>
      <c r="D651" s="2" t="n">
        <v>3.93759236721295E-010</v>
      </c>
      <c r="E651" s="2" t="n">
        <v>2.33414357471041E-010</v>
      </c>
    </row>
    <row r="652" customFormat="false" ht="13.8" hidden="false" customHeight="false" outlineLevel="0" collapsed="false">
      <c r="B652" s="2" t="n">
        <v>650</v>
      </c>
      <c r="C652" s="2" t="n">
        <v>3.05073228399721E-010</v>
      </c>
      <c r="D652" s="2" t="n">
        <v>3.93757934365443E-010</v>
      </c>
      <c r="E652" s="2" t="n">
        <v>2.33411437348117E-010</v>
      </c>
    </row>
    <row r="653" customFormat="false" ht="13.8" hidden="false" customHeight="false" outlineLevel="0" collapsed="false">
      <c r="B653" s="2" t="n">
        <v>651</v>
      </c>
      <c r="C653" s="2" t="n">
        <v>2.33597063823306E-009</v>
      </c>
      <c r="D653" s="2" t="n">
        <v>0</v>
      </c>
      <c r="E653" s="2" t="n">
        <v>4.76301816758916E-009</v>
      </c>
    </row>
    <row r="654" customFormat="false" ht="13.8" hidden="false" customHeight="false" outlineLevel="0" collapsed="false">
      <c r="B654" s="2" t="n">
        <v>652</v>
      </c>
      <c r="C654" s="2" t="n">
        <v>2.3359939906659E-009</v>
      </c>
      <c r="D654" s="2" t="n">
        <v>0</v>
      </c>
      <c r="E654" s="2" t="n">
        <v>4.76306578842135E-009</v>
      </c>
    </row>
    <row r="655" customFormat="false" ht="13.8" hidden="false" customHeight="false" outlineLevel="0" collapsed="false">
      <c r="B655" s="2" t="n">
        <v>653</v>
      </c>
      <c r="C655" s="2" t="n">
        <v>2.92555749949613E-010</v>
      </c>
      <c r="D655" s="2" t="n">
        <v>3.6873035414639E-010</v>
      </c>
      <c r="E655" s="2" t="n">
        <v>2.20891809057767E-010</v>
      </c>
    </row>
    <row r="656" customFormat="false" ht="13.8" hidden="false" customHeight="false" outlineLevel="0" collapsed="false">
      <c r="B656" s="2" t="n">
        <v>654</v>
      </c>
      <c r="C656" s="2" t="n">
        <v>2.3360407200678E-009</v>
      </c>
      <c r="D656" s="2" t="n">
        <v>0</v>
      </c>
      <c r="E656" s="2" t="n">
        <v>4.76316106083729E-009</v>
      </c>
    </row>
    <row r="657" customFormat="false" ht="13.8" hidden="false" customHeight="false" outlineLevel="0" collapsed="false">
      <c r="B657" s="2" t="n">
        <v>655</v>
      </c>
      <c r="C657" s="2" t="n">
        <v>2.33606407065755E-009</v>
      </c>
      <c r="D657" s="2" t="n">
        <v>0</v>
      </c>
      <c r="E657" s="2" t="n">
        <v>4.76320868369693E-009</v>
      </c>
    </row>
    <row r="658" customFormat="false" ht="13.8" hidden="false" customHeight="false" outlineLevel="0" collapsed="false">
      <c r="B658" s="2" t="n">
        <v>656</v>
      </c>
      <c r="C658" s="2" t="n">
        <v>2.33608744085669E-009</v>
      </c>
      <c r="D658" s="2" t="n">
        <v>0</v>
      </c>
      <c r="E658" s="2" t="n">
        <v>4.76325632567685E-009</v>
      </c>
    </row>
    <row r="659" customFormat="false" ht="13.8" hidden="false" customHeight="false" outlineLevel="0" collapsed="false">
      <c r="B659" s="2" t="n">
        <v>657</v>
      </c>
      <c r="C659" s="2" t="n">
        <v>2.3361108019377E-009</v>
      </c>
      <c r="D659" s="2" t="n">
        <v>0</v>
      </c>
      <c r="E659" s="2" t="n">
        <v>4.76330395868541E-009</v>
      </c>
    </row>
    <row r="660" customFormat="false" ht="13.8" hidden="false" customHeight="false" outlineLevel="0" collapsed="false">
      <c r="B660" s="2" t="n">
        <v>658</v>
      </c>
      <c r="C660" s="2" t="n">
        <v>2.33613415541481E-009</v>
      </c>
      <c r="D660" s="2" t="n">
        <v>0</v>
      </c>
      <c r="E660" s="2" t="n">
        <v>4.76335158316109E-009</v>
      </c>
    </row>
    <row r="661" customFormat="false" ht="13.8" hidden="false" customHeight="false" outlineLevel="0" collapsed="false">
      <c r="B661" s="2" t="n">
        <v>659</v>
      </c>
      <c r="C661" s="2" t="n">
        <v>2.33615752368692E-009</v>
      </c>
      <c r="D661" s="2" t="n">
        <v>0</v>
      </c>
      <c r="E661" s="2" t="n">
        <v>4.76339922621859E-009</v>
      </c>
    </row>
    <row r="662" customFormat="false" ht="13.8" hidden="false" customHeight="false" outlineLevel="0" collapsed="false">
      <c r="B662" s="2" t="n">
        <v>660</v>
      </c>
      <c r="C662" s="2" t="n">
        <v>2.92550103993575E-010</v>
      </c>
      <c r="D662" s="2" t="n">
        <v>3.68730041036454E-010</v>
      </c>
      <c r="E662" s="2" t="n">
        <v>2.20881146763896E-010</v>
      </c>
    </row>
    <row r="663" customFormat="false" ht="13.8" hidden="false" customHeight="false" outlineLevel="0" collapsed="false">
      <c r="B663" s="2" t="n">
        <v>661</v>
      </c>
      <c r="C663" s="2" t="n">
        <v>2.92550112676416E-010</v>
      </c>
      <c r="D663" s="2" t="n">
        <v>3.68730811444327E-010</v>
      </c>
      <c r="E663" s="2" t="n">
        <v>2.20880437977997E-010</v>
      </c>
    </row>
    <row r="664" customFormat="false" ht="13.8" hidden="false" customHeight="false" outlineLevel="0" collapsed="false">
      <c r="B664" s="2" t="n">
        <v>662</v>
      </c>
      <c r="C664" s="2" t="n">
        <v>2.33622760753652E-009</v>
      </c>
      <c r="D664" s="2" t="n">
        <v>0</v>
      </c>
      <c r="E664" s="2" t="n">
        <v>4.76354213130875E-009</v>
      </c>
    </row>
    <row r="665" customFormat="false" ht="13.8" hidden="false" customHeight="false" outlineLevel="0" collapsed="false">
      <c r="B665" s="2" t="n">
        <v>663</v>
      </c>
      <c r="C665" s="2" t="n">
        <v>2.33625097524737E-009</v>
      </c>
      <c r="D665" s="2" t="n">
        <v>0</v>
      </c>
      <c r="E665" s="2" t="n">
        <v>4.76358976655398E-009</v>
      </c>
    </row>
    <row r="666" customFormat="false" ht="13.8" hidden="false" customHeight="false" outlineLevel="0" collapsed="false">
      <c r="B666" s="2" t="n">
        <v>664</v>
      </c>
      <c r="C666" s="2" t="n">
        <v>2.33627433641171E-009</v>
      </c>
      <c r="D666" s="2" t="n">
        <v>0</v>
      </c>
      <c r="E666" s="2" t="n">
        <v>4.76363740337106E-009</v>
      </c>
    </row>
    <row r="667" customFormat="false" ht="13.8" hidden="false" customHeight="false" outlineLevel="0" collapsed="false">
      <c r="B667" s="2" t="n">
        <v>665</v>
      </c>
      <c r="C667" s="2" t="n">
        <v>2.33629769115849E-009</v>
      </c>
      <c r="D667" s="2" t="n">
        <v>0</v>
      </c>
      <c r="E667" s="2" t="n">
        <v>4.76368503050612E-009</v>
      </c>
    </row>
    <row r="668" customFormat="false" ht="13.8" hidden="false" customHeight="false" outlineLevel="0" collapsed="false">
      <c r="B668" s="2" t="n">
        <v>666</v>
      </c>
      <c r="C668" s="2" t="n">
        <v>2.33632106373436E-009</v>
      </c>
      <c r="D668" s="2" t="n">
        <v>0</v>
      </c>
      <c r="E668" s="2" t="n">
        <v>4.76373267751501E-009</v>
      </c>
    </row>
    <row r="669" customFormat="false" ht="13.8" hidden="false" customHeight="false" outlineLevel="0" collapsed="false">
      <c r="B669" s="2" t="n">
        <v>667</v>
      </c>
      <c r="C669" s="2" t="n">
        <v>2.33634442731659E-009</v>
      </c>
      <c r="D669" s="2" t="n">
        <v>0</v>
      </c>
      <c r="E669" s="2" t="n">
        <v>4.76378031522678E-009</v>
      </c>
    </row>
    <row r="670" customFormat="false" ht="13.8" hidden="false" customHeight="false" outlineLevel="0" collapsed="false">
      <c r="B670" s="2" t="n">
        <v>668</v>
      </c>
      <c r="C670" s="2" t="n">
        <v>2.92555821797541E-010</v>
      </c>
      <c r="D670" s="2" t="n">
        <v>3.68741852650914E-010</v>
      </c>
      <c r="E670" s="2" t="n">
        <v>2.20881130194452E-010</v>
      </c>
    </row>
    <row r="671" customFormat="false" ht="13.8" hidden="false" customHeight="false" outlineLevel="0" collapsed="false">
      <c r="B671" s="2" t="n">
        <v>669</v>
      </c>
      <c r="C671" s="2" t="n">
        <v>2.92557438585838E-010</v>
      </c>
      <c r="D671" s="2" t="n">
        <v>3.68744231948422E-010</v>
      </c>
      <c r="E671" s="2" t="n">
        <v>2.20882030282188E-010</v>
      </c>
    </row>
    <row r="672" customFormat="false" ht="13.8" hidden="false" customHeight="false" outlineLevel="0" collapsed="false">
      <c r="B672" s="2" t="n">
        <v>670</v>
      </c>
      <c r="C672" s="2" t="n">
        <v>2.92559491797667E-010</v>
      </c>
      <c r="D672" s="2" t="n">
        <v>3.68747046888993E-010</v>
      </c>
      <c r="E672" s="2" t="n">
        <v>2.2088336679271E-010</v>
      </c>
    </row>
    <row r="673" customFormat="false" ht="13.8" hidden="false" customHeight="false" outlineLevel="0" collapsed="false">
      <c r="B673" s="2" t="n">
        <v>671</v>
      </c>
      <c r="C673" s="2" t="n">
        <v>2.92561981177175E-010</v>
      </c>
      <c r="D673" s="2" t="n">
        <v>3.68750298388665E-010</v>
      </c>
      <c r="E673" s="2" t="n">
        <v>2.20885139567822E-010</v>
      </c>
    </row>
    <row r="674" customFormat="false" ht="13.8" hidden="false" customHeight="false" outlineLevel="0" collapsed="false">
      <c r="B674" s="2" t="n">
        <v>672</v>
      </c>
      <c r="C674" s="2" t="n">
        <v>3.13338107702749E-013</v>
      </c>
      <c r="D674" s="2" t="n">
        <v>3.13337912390246E-013</v>
      </c>
      <c r="E674" s="2" t="n">
        <v>3.13338049775974E-013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1" sqref="I2:I4 C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6" t="n">
        <f aca="false">SUM(C3:C674)</f>
        <v>0.438928874713249</v>
      </c>
      <c r="D2" s="6" t="n">
        <f aca="false">SUM(D3:D674)</f>
        <v>1.8232538545025</v>
      </c>
      <c r="E2" s="6" t="n">
        <f aca="false">SUM(E3:E674)</f>
        <v>0.390356966366769</v>
      </c>
      <c r="F2" s="7" t="n">
        <f aca="false">0.439+1.823+0.39</f>
        <v>2.652</v>
      </c>
    </row>
    <row r="3" customFormat="false" ht="13.8" hidden="false" customHeight="false" outlineLevel="0" collapsed="false">
      <c r="B3" s="2" t="n">
        <v>1</v>
      </c>
      <c r="C3" s="2" t="n">
        <v>0</v>
      </c>
      <c r="D3" s="2" t="n">
        <v>0</v>
      </c>
      <c r="E3" s="2" t="n">
        <v>3.22653056301561E-019</v>
      </c>
    </row>
    <row r="4" customFormat="false" ht="13.8" hidden="false" customHeight="false" outlineLevel="0" collapsed="false">
      <c r="B4" s="2" t="n">
        <v>2</v>
      </c>
      <c r="C4" s="2" t="n">
        <v>1.62186861260306E-018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0</v>
      </c>
      <c r="D5" s="2" t="n">
        <v>0</v>
      </c>
      <c r="E5" s="2" t="n">
        <v>6.49607778150768E-019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0</v>
      </c>
      <c r="E6" s="2" t="n">
        <v>0</v>
      </c>
    </row>
    <row r="7" customFormat="false" ht="13.8" hidden="false" customHeight="false" outlineLevel="0" collapsed="false">
      <c r="B7" s="2" t="n">
        <v>5</v>
      </c>
      <c r="C7" s="2" t="n">
        <v>9.69851613599956E-019</v>
      </c>
      <c r="D7" s="2" t="n">
        <v>0</v>
      </c>
      <c r="E7" s="2" t="n">
        <v>8.10934306301572E-019</v>
      </c>
    </row>
    <row r="8" customFormat="false" ht="13.8" hidden="false" customHeight="false" outlineLevel="0" collapsed="false">
      <c r="B8" s="2" t="n">
        <v>6</v>
      </c>
      <c r="C8" s="2" t="n">
        <v>0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1.28725678215353E-018</v>
      </c>
      <c r="E10" s="2" t="n">
        <v>6.22764232550775E-019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6.4530611260312E-019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3.22653056301561E-019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6.71088640000005E-021</v>
      </c>
      <c r="D14" s="2" t="n">
        <v>6.71088640000005E-021</v>
      </c>
      <c r="E14" s="2" t="n">
        <v>0</v>
      </c>
    </row>
    <row r="15" customFormat="false" ht="13.8" hidden="false" customHeight="false" outlineLevel="0" collapsed="false">
      <c r="B15" s="2" t="n">
        <v>13</v>
      </c>
      <c r="C15" s="2" t="n">
        <v>0</v>
      </c>
      <c r="D15" s="2" t="n">
        <v>0</v>
      </c>
      <c r="E15" s="2" t="n">
        <v>7.84090760701572E-019</v>
      </c>
    </row>
    <row r="16" customFormat="false" ht="13.8" hidden="false" customHeight="false" outlineLevel="0" collapsed="false">
      <c r="B16" s="2" t="n">
        <v>14</v>
      </c>
      <c r="C16" s="2" t="n">
        <v>0</v>
      </c>
      <c r="D16" s="2" t="n">
        <v>1.94976955679982E-018</v>
      </c>
      <c r="E16" s="2" t="n">
        <v>1.61326528150787E-019</v>
      </c>
    </row>
    <row r="17" customFormat="false" ht="13.8" hidden="false" customHeight="false" outlineLevel="0" collapsed="false">
      <c r="B17" s="2" t="n">
        <v>15</v>
      </c>
      <c r="C17" s="2" t="n">
        <v>0</v>
      </c>
      <c r="D17" s="2" t="n">
        <v>0</v>
      </c>
      <c r="E17" s="2" t="n">
        <v>0</v>
      </c>
    </row>
    <row r="18" customFormat="false" ht="13.8" hidden="false" customHeight="false" outlineLevel="0" collapsed="false">
      <c r="B18" s="2" t="n">
        <v>16</v>
      </c>
      <c r="C18" s="2" t="n">
        <v>1.68123722520621E-018</v>
      </c>
      <c r="D18" s="2" t="n">
        <v>0</v>
      </c>
      <c r="E18" s="2" t="n">
        <v>2.17297079399998E-019</v>
      </c>
    </row>
    <row r="19" customFormat="false" ht="13.8" hidden="false" customHeight="false" outlineLevel="0" collapsed="false">
      <c r="B19" s="2" t="n">
        <v>17</v>
      </c>
      <c r="C19" s="2" t="n">
        <v>1.32223948665999E-008</v>
      </c>
      <c r="D19" s="2" t="n">
        <v>1.32086364520433E-008</v>
      </c>
      <c r="E19" s="2" t="n">
        <v>9.34298467210391E-010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1.27719045240623E-018</v>
      </c>
      <c r="E20" s="2" t="n">
        <v>6.1846256700312E-019</v>
      </c>
    </row>
    <row r="21" customFormat="false" ht="13.8" hidden="false" customHeight="false" outlineLevel="0" collapsed="false">
      <c r="B21" s="2" t="n">
        <v>19</v>
      </c>
      <c r="C21" s="2" t="n">
        <v>6.4488668220312E-019</v>
      </c>
      <c r="D21" s="2" t="n">
        <v>0</v>
      </c>
      <c r="E21" s="2" t="n">
        <v>0</v>
      </c>
    </row>
    <row r="22" customFormat="false" ht="13.8" hidden="false" customHeight="false" outlineLevel="0" collapsed="false">
      <c r="B22" s="2" t="n">
        <v>20</v>
      </c>
      <c r="C22" s="2" t="n">
        <v>0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3.65523169832318E-010</v>
      </c>
      <c r="D23" s="2" t="n">
        <v>3.65929957177709E-010</v>
      </c>
      <c r="E23" s="2" t="n">
        <v>7.30516286575068E-010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0.000153698353612121</v>
      </c>
      <c r="E24" s="2" t="n">
        <v>2.74239028577244E-017</v>
      </c>
    </row>
    <row r="25" customFormat="false" ht="13.8" hidden="false" customHeight="false" outlineLevel="0" collapsed="false">
      <c r="B25" s="2" t="n">
        <v>23</v>
      </c>
      <c r="C25" s="2" t="n">
        <v>2.87433909260962E-019</v>
      </c>
      <c r="D25" s="2" t="n">
        <v>0.000307396707224244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0.000461095060836365</v>
      </c>
      <c r="E26" s="2" t="n">
        <v>1.71076315381728E-017</v>
      </c>
    </row>
    <row r="27" customFormat="false" ht="13.8" hidden="false" customHeight="false" outlineLevel="0" collapsed="false">
      <c r="B27" s="2" t="n">
        <v>25</v>
      </c>
      <c r="C27" s="2" t="n">
        <v>4.11987304687494E-019</v>
      </c>
      <c r="D27" s="2" t="n">
        <v>0.000614793414448487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2.45224699863771E-017</v>
      </c>
      <c r="D28" s="2" t="n">
        <v>0.00557323595271782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2.05078125E-018</v>
      </c>
      <c r="D29" s="2" t="n">
        <v>0.0105316784909871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0.0154901210292565</v>
      </c>
      <c r="E30" s="2" t="n">
        <v>0.00122265251880819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0.0204485635675258</v>
      </c>
      <c r="E31" s="2" t="n">
        <v>1.953125E-019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0.0308407425574545</v>
      </c>
      <c r="E32" s="2" t="n">
        <v>0.0165868349987935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0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0</v>
      </c>
      <c r="D55" s="2" t="n">
        <v>0</v>
      </c>
      <c r="E55" s="2" t="n">
        <v>6.09228782637521E-010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2.58122288707763E-018</v>
      </c>
    </row>
    <row r="57" customFormat="false" ht="13.8" hidden="false" customHeight="false" outlineLevel="0" collapsed="false">
      <c r="B57" s="2" t="n">
        <v>55</v>
      </c>
      <c r="C57" s="2" t="n">
        <v>0</v>
      </c>
      <c r="D57" s="2" t="n">
        <v>0</v>
      </c>
      <c r="E57" s="2" t="n">
        <v>1.8732384420074E-009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1.82854415332855E-018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2.85311221774495E-018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0</v>
      </c>
      <c r="D61" s="2" t="n">
        <v>1.81339622109709E-018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0</v>
      </c>
      <c r="D62" s="2" t="n">
        <v>0</v>
      </c>
      <c r="E62" s="2" t="n">
        <v>5.29626886784032E-009</v>
      </c>
    </row>
    <row r="63" customFormat="false" ht="13.8" hidden="false" customHeight="false" outlineLevel="0" collapsed="false">
      <c r="B63" s="2" t="n">
        <v>61</v>
      </c>
      <c r="C63" s="2" t="n">
        <v>0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4.79281543565051E-018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0.0362788476853465</v>
      </c>
      <c r="D65" s="2" t="n">
        <v>3.44453079659149E-018</v>
      </c>
      <c r="E65" s="2" t="n">
        <v>1.681237225206E-018</v>
      </c>
    </row>
    <row r="66" customFormat="false" ht="13.8" hidden="false" customHeight="false" outlineLevel="0" collapsed="false">
      <c r="B66" s="2" t="n">
        <v>64</v>
      </c>
      <c r="C66" s="2" t="n">
        <v>0.0452629914701721</v>
      </c>
      <c r="D66" s="2" t="n">
        <v>0</v>
      </c>
      <c r="E66" s="2" t="n">
        <v>6.31884339803126E-019</v>
      </c>
    </row>
    <row r="67" customFormat="false" ht="13.8" hidden="false" customHeight="false" outlineLevel="0" collapsed="false">
      <c r="B67" s="2" t="n">
        <v>65</v>
      </c>
      <c r="C67" s="2" t="n">
        <v>0.0614138185883312</v>
      </c>
      <c r="D67" s="2" t="n">
        <v>1.92249656468713E-018</v>
      </c>
      <c r="E67" s="2" t="n">
        <v>6.05040794211658E-019</v>
      </c>
    </row>
    <row r="68" customFormat="false" ht="13.8" hidden="false" customHeight="false" outlineLevel="0" collapsed="false">
      <c r="B68" s="2" t="n">
        <v>66</v>
      </c>
      <c r="C68" s="2" t="n">
        <v>0</v>
      </c>
      <c r="D68" s="2" t="n">
        <v>0</v>
      </c>
      <c r="E68" s="2" t="n">
        <v>4.6806234562789E-009</v>
      </c>
    </row>
    <row r="69" customFormat="false" ht="13.8" hidden="false" customHeight="false" outlineLevel="0" collapsed="false">
      <c r="B69" s="2" t="n">
        <v>67</v>
      </c>
      <c r="C69" s="2" t="n">
        <v>0</v>
      </c>
      <c r="D69" s="2" t="n">
        <v>0</v>
      </c>
      <c r="E69" s="2" t="n">
        <v>4.68723801586094E-009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0.0515697314466443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</v>
      </c>
      <c r="D71" s="2" t="n">
        <v>0.0444843130576163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0.0627989459876408</v>
      </c>
      <c r="D72" s="2" t="n">
        <v>0.0333632347932122</v>
      </c>
      <c r="E72" s="2" t="n">
        <v>0</v>
      </c>
    </row>
    <row r="73" customFormat="false" ht="13.8" hidden="false" customHeight="false" outlineLevel="0" collapsed="false">
      <c r="B73" s="2" t="n">
        <v>71</v>
      </c>
      <c r="C73" s="2" t="n">
        <v>2.23384515227405E-010</v>
      </c>
      <c r="D73" s="2" t="n">
        <v>0.0237888536111678</v>
      </c>
      <c r="E73" s="2" t="n">
        <v>0</v>
      </c>
    </row>
    <row r="74" customFormat="false" ht="13.8" hidden="false" customHeight="false" outlineLevel="0" collapsed="false">
      <c r="B74" s="2" t="n">
        <v>72</v>
      </c>
      <c r="C74" s="2" t="n">
        <v>4.87429014101021E-010</v>
      </c>
      <c r="D74" s="2" t="n">
        <v>0.0111210782578993</v>
      </c>
      <c r="E74" s="2" t="n">
        <v>0</v>
      </c>
    </row>
    <row r="75" customFormat="false" ht="13.8" hidden="false" customHeight="false" outlineLevel="0" collapsed="false">
      <c r="B75" s="2" t="n">
        <v>73</v>
      </c>
      <c r="C75" s="2" t="n">
        <v>3.84884030902166E-010</v>
      </c>
      <c r="D75" s="2" t="n">
        <v>2.80622064433117E-010</v>
      </c>
      <c r="E75" s="2" t="n">
        <v>4.4224580669075E-011</v>
      </c>
    </row>
    <row r="76" customFormat="false" ht="13.8" hidden="false" customHeight="false" outlineLevel="0" collapsed="false">
      <c r="B76" s="2" t="n">
        <v>74</v>
      </c>
      <c r="C76" s="2" t="n">
        <v>5.16381531333493E-010</v>
      </c>
      <c r="D76" s="2" t="n">
        <v>4.12281853450713E-010</v>
      </c>
      <c r="E76" s="2" t="n">
        <v>5.97137518680713E-011</v>
      </c>
    </row>
    <row r="77" customFormat="false" ht="13.8" hidden="false" customHeight="false" outlineLevel="0" collapsed="false">
      <c r="B77" s="2" t="n">
        <v>75</v>
      </c>
      <c r="C77" s="2" t="n">
        <v>6.47881129360315E-010</v>
      </c>
      <c r="D77" s="2" t="n">
        <v>5.4394103614431E-010</v>
      </c>
      <c r="E77" s="2" t="n">
        <v>7.52028092797233E-011</v>
      </c>
    </row>
    <row r="78" customFormat="false" ht="13.8" hidden="false" customHeight="false" outlineLevel="0" collapsed="false">
      <c r="B78" s="2" t="n">
        <v>76</v>
      </c>
      <c r="C78" s="2" t="n">
        <v>7.7938277446456E-010</v>
      </c>
      <c r="D78" s="2" t="n">
        <v>6.75599658107069E-010</v>
      </c>
      <c r="E78" s="2" t="n">
        <v>9.06917584963261E-011</v>
      </c>
    </row>
    <row r="79" customFormat="false" ht="13.8" hidden="false" customHeight="false" outlineLevel="0" collapsed="false">
      <c r="B79" s="2" t="n">
        <v>77</v>
      </c>
      <c r="C79" s="2" t="n">
        <v>9.10886435082633E-010</v>
      </c>
      <c r="D79" s="2" t="n">
        <v>8.07257764540483E-010</v>
      </c>
      <c r="E79" s="2" t="n">
        <v>1.06180604578256E-010</v>
      </c>
    </row>
    <row r="80" customFormat="false" ht="13.8" hidden="false" customHeight="false" outlineLevel="0" collapsed="false">
      <c r="B80" s="2" t="n">
        <v>78</v>
      </c>
      <c r="C80" s="2" t="n">
        <v>1.04239208720848E-009</v>
      </c>
      <c r="D80" s="2" t="n">
        <v>9.41006208572288E-010</v>
      </c>
      <c r="E80" s="2" t="n">
        <v>1.21669355652229E-010</v>
      </c>
    </row>
    <row r="81" customFormat="false" ht="13.8" hidden="false" customHeight="false" outlineLevel="0" collapsed="false">
      <c r="B81" s="2" t="n">
        <v>79</v>
      </c>
      <c r="C81" s="2" t="n">
        <v>1.17389971437368E-009</v>
      </c>
      <c r="D81" s="2" t="n">
        <v>1.07263283296375E-009</v>
      </c>
      <c r="E81" s="2" t="n">
        <v>1.37158011592967E-010</v>
      </c>
    </row>
    <row r="82" customFormat="false" ht="13.8" hidden="false" customHeight="false" outlineLevel="0" collapsed="false">
      <c r="B82" s="2" t="n">
        <v>80</v>
      </c>
      <c r="C82" s="2" t="n">
        <v>1.30540930348871E-009</v>
      </c>
      <c r="D82" s="2" t="n">
        <v>1.20425923310224E-009</v>
      </c>
      <c r="E82" s="2" t="n">
        <v>1.52646581891819E-010</v>
      </c>
    </row>
    <row r="83" customFormat="false" ht="13.8" hidden="false" customHeight="false" outlineLevel="0" collapsed="false">
      <c r="B83" s="2" t="n">
        <v>81</v>
      </c>
      <c r="C83" s="2" t="n">
        <v>1.43692083543611E-009</v>
      </c>
      <c r="D83" s="2" t="n">
        <v>1.33588544714973E-009</v>
      </c>
      <c r="E83" s="2" t="n">
        <v>1.68135070347594E-010</v>
      </c>
    </row>
    <row r="84" customFormat="false" ht="13.8" hidden="false" customHeight="false" outlineLevel="0" collapsed="false">
      <c r="B84" s="2" t="n">
        <v>82</v>
      </c>
      <c r="C84" s="2" t="n">
        <v>1.56843429647972E-009</v>
      </c>
      <c r="D84" s="2" t="n">
        <v>1.46751149798528E-009</v>
      </c>
      <c r="E84" s="2" t="n">
        <v>1.83623480968258E-010</v>
      </c>
    </row>
    <row r="85" customFormat="false" ht="13.8" hidden="false" customHeight="false" outlineLevel="0" collapsed="false">
      <c r="B85" s="2" t="n">
        <v>83</v>
      </c>
      <c r="C85" s="2" t="n">
        <v>1.69994967386813E-009</v>
      </c>
      <c r="D85" s="2" t="n">
        <v>1.59913743574508E-009</v>
      </c>
      <c r="E85" s="2" t="n">
        <v>1.99111820017328E-010</v>
      </c>
    </row>
    <row r="86" customFormat="false" ht="13.8" hidden="false" customHeight="false" outlineLevel="0" collapsed="false">
      <c r="B86" s="2" t="n">
        <v>84</v>
      </c>
      <c r="C86" s="2" t="n">
        <v>1.83146695467128E-009</v>
      </c>
      <c r="D86" s="2" t="n">
        <v>1.73076327293255E-009</v>
      </c>
      <c r="E86" s="2" t="n">
        <v>2.14600091209438E-010</v>
      </c>
    </row>
    <row r="87" customFormat="false" ht="13.8" hidden="false" customHeight="false" outlineLevel="0" collapsed="false">
      <c r="B87" s="2" t="n">
        <v>85</v>
      </c>
      <c r="C87" s="2" t="n">
        <v>1.96298612240505E-009</v>
      </c>
      <c r="D87" s="2" t="n">
        <v>1.86238904983187E-009</v>
      </c>
      <c r="E87" s="2" t="n">
        <v>2.30088300331775E-010</v>
      </c>
    </row>
    <row r="88" customFormat="false" ht="13.8" hidden="false" customHeight="false" outlineLevel="0" collapsed="false">
      <c r="B88" s="2" t="n">
        <v>86</v>
      </c>
      <c r="C88" s="2" t="n">
        <v>2.09450716699165E-009</v>
      </c>
      <c r="D88" s="2" t="n">
        <v>1.99401479515E-009</v>
      </c>
      <c r="E88" s="2" t="n">
        <v>2.45576451164579E-010</v>
      </c>
    </row>
    <row r="89" customFormat="false" ht="13.8" hidden="false" customHeight="false" outlineLevel="0" collapsed="false">
      <c r="B89" s="2" t="n">
        <v>87</v>
      </c>
      <c r="C89" s="2" t="n">
        <v>4.03174706815892E-009</v>
      </c>
      <c r="D89" s="2" t="n">
        <v>3.81143127601361E-009</v>
      </c>
      <c r="E89" s="2" t="n">
        <v>0</v>
      </c>
    </row>
    <row r="90" customFormat="false" ht="13.8" hidden="false" customHeight="false" outlineLevel="0" collapsed="false">
      <c r="B90" s="2" t="n">
        <v>88</v>
      </c>
      <c r="C90" s="2" t="n">
        <v>4.27676026355255E-009</v>
      </c>
      <c r="D90" s="2" t="n">
        <v>4.05644581551649E-009</v>
      </c>
      <c r="E90" s="2" t="n">
        <v>0</v>
      </c>
    </row>
    <row r="91" customFormat="false" ht="13.8" hidden="false" customHeight="false" outlineLevel="0" collapsed="false">
      <c r="B91" s="2" t="n">
        <v>89</v>
      </c>
      <c r="C91" s="2" t="n">
        <v>4.52177633568884E-009</v>
      </c>
      <c r="D91" s="2" t="n">
        <v>4.30146282733987E-009</v>
      </c>
      <c r="E91" s="2" t="n">
        <v>0</v>
      </c>
    </row>
    <row r="92" customFormat="false" ht="13.8" hidden="false" customHeight="false" outlineLevel="0" collapsed="false">
      <c r="B92" s="2" t="n">
        <v>90</v>
      </c>
      <c r="C92" s="2" t="n">
        <v>4.76679521535016E-009</v>
      </c>
      <c r="D92" s="2" t="n">
        <v>4.54648230411886E-009</v>
      </c>
      <c r="E92" s="2" t="n">
        <v>0</v>
      </c>
    </row>
    <row r="93" customFormat="false" ht="13.8" hidden="false" customHeight="false" outlineLevel="0" collapsed="false">
      <c r="B93" s="2" t="n">
        <v>91</v>
      </c>
      <c r="C93" s="2" t="n">
        <v>5.01181684521611E-009</v>
      </c>
      <c r="D93" s="2" t="n">
        <v>4.79150424541561E-009</v>
      </c>
      <c r="E93" s="2" t="n">
        <v>0</v>
      </c>
    </row>
    <row r="94" customFormat="false" ht="13.8" hidden="false" customHeight="false" outlineLevel="0" collapsed="false">
      <c r="B94" s="2" t="n">
        <v>92</v>
      </c>
      <c r="C94" s="2" t="n">
        <v>5.25684118038556E-009</v>
      </c>
      <c r="D94" s="2" t="n">
        <v>5.03652864477964E-009</v>
      </c>
      <c r="E94" s="2" t="n">
        <v>0</v>
      </c>
    </row>
    <row r="95" customFormat="false" ht="13.8" hidden="false" customHeight="false" outlineLevel="0" collapsed="false">
      <c r="B95" s="2" t="n">
        <v>93</v>
      </c>
      <c r="C95" s="2" t="n">
        <v>5.5018681858804E-009</v>
      </c>
      <c r="D95" s="2" t="n">
        <v>5.28155550465703E-009</v>
      </c>
      <c r="E95" s="2" t="n">
        <v>0</v>
      </c>
    </row>
    <row r="96" customFormat="false" ht="13.8" hidden="false" customHeight="false" outlineLevel="0" collapsed="false">
      <c r="B96" s="2" t="n">
        <v>94</v>
      </c>
      <c r="C96" s="2" t="n">
        <v>5.74689783012472E-009</v>
      </c>
      <c r="D96" s="2" t="n">
        <v>5.52658481893674E-009</v>
      </c>
      <c r="E96" s="2" t="n">
        <v>0</v>
      </c>
    </row>
    <row r="97" customFormat="false" ht="13.8" hidden="false" customHeight="false" outlineLevel="0" collapsed="false">
      <c r="B97" s="2" t="n">
        <v>95</v>
      </c>
      <c r="C97" s="2" t="n">
        <v>3.27826576247084E-009</v>
      </c>
      <c r="D97" s="2" t="n">
        <v>3.17868172624301E-009</v>
      </c>
      <c r="E97" s="2" t="n">
        <v>3.84972858477934E-010</v>
      </c>
    </row>
    <row r="98" customFormat="false" ht="13.8" hidden="false" customHeight="false" outlineLevel="0" collapsed="false">
      <c r="B98" s="2" t="n">
        <v>96</v>
      </c>
      <c r="C98" s="2" t="n">
        <v>3.40980204418561E-009</v>
      </c>
      <c r="D98" s="2" t="n">
        <v>3.3103156298085E-009</v>
      </c>
      <c r="E98" s="2" t="n">
        <v>4.00461737706023E-010</v>
      </c>
    </row>
    <row r="99" customFormat="false" ht="13.8" hidden="false" customHeight="false" outlineLevel="0" collapsed="false">
      <c r="B99" s="2" t="n">
        <v>97</v>
      </c>
      <c r="C99" s="2" t="n">
        <v>3.54134007136802E-009</v>
      </c>
      <c r="D99" s="2" t="n">
        <v>3.44194981446973E-009</v>
      </c>
      <c r="E99" s="2" t="n">
        <v>4.1595060765728E-010</v>
      </c>
    </row>
    <row r="100" customFormat="false" ht="13.8" hidden="false" customHeight="false" outlineLevel="0" collapsed="false">
      <c r="B100" s="2" t="n">
        <v>98</v>
      </c>
      <c r="C100" s="2" t="n">
        <v>3.67287983229206E-009</v>
      </c>
      <c r="D100" s="2" t="n">
        <v>3.57358431274701E-009</v>
      </c>
      <c r="E100" s="2" t="n">
        <v>4.31439472481773E-010</v>
      </c>
    </row>
    <row r="101" customFormat="false" ht="13.8" hidden="false" customHeight="false" outlineLevel="0" collapsed="false">
      <c r="B101" s="2" t="n">
        <v>99</v>
      </c>
      <c r="C101" s="2" t="n">
        <v>3.8044213151463E-009</v>
      </c>
      <c r="D101" s="2" t="n">
        <v>3.70521914411204E-009</v>
      </c>
      <c r="E101" s="2" t="n">
        <v>4.46928335946175E-010</v>
      </c>
    </row>
    <row r="102" customFormat="false" ht="13.8" hidden="false" customHeight="false" outlineLevel="0" collapsed="false">
      <c r="B102" s="2" t="n">
        <v>100</v>
      </c>
      <c r="C102" s="2" t="n">
        <v>3.93596451022524E-009</v>
      </c>
      <c r="D102" s="2" t="n">
        <v>3.83685433790201E-009</v>
      </c>
      <c r="E102" s="2" t="n">
        <v>4.62417203279031E-010</v>
      </c>
    </row>
    <row r="103" customFormat="false" ht="13.8" hidden="false" customHeight="false" outlineLevel="0" collapsed="false">
      <c r="B103" s="2" t="n">
        <v>101</v>
      </c>
      <c r="C103" s="2" t="n">
        <v>4.06750940580054E-009</v>
      </c>
      <c r="D103" s="2" t="n">
        <v>3.96848992417957E-009</v>
      </c>
      <c r="E103" s="2" t="n">
        <v>4.77906076103116E-010</v>
      </c>
    </row>
    <row r="104" customFormat="false" ht="13.8" hidden="false" customHeight="false" outlineLevel="0" collapsed="false">
      <c r="B104" s="2" t="n">
        <v>102</v>
      </c>
      <c r="C104" s="2" t="n">
        <v>4.19905599194839E-009</v>
      </c>
      <c r="D104" s="2" t="n">
        <v>4.10012592140598E-009</v>
      </c>
      <c r="E104" s="2" t="n">
        <v>4.93394960995206E-010</v>
      </c>
    </row>
    <row r="105" customFormat="false" ht="13.8" hidden="false" customHeight="false" outlineLevel="0" collapsed="false">
      <c r="B105" s="2" t="n">
        <v>103</v>
      </c>
      <c r="C105" s="2" t="n">
        <v>4.3306042571139E-009</v>
      </c>
      <c r="D105" s="2" t="n">
        <v>4.23176236322222E-009</v>
      </c>
      <c r="E105" s="2" t="n">
        <v>5.08883860206373E-010</v>
      </c>
    </row>
    <row r="106" customFormat="false" ht="13.8" hidden="false" customHeight="false" outlineLevel="0" collapsed="false">
      <c r="B106" s="2" t="n">
        <v>104</v>
      </c>
      <c r="C106" s="2" t="n">
        <v>4.46215419088019E-009</v>
      </c>
      <c r="D106" s="2" t="n">
        <v>4.36339926672374E-009</v>
      </c>
      <c r="E106" s="2" t="n">
        <v>5.24372778879584E-010</v>
      </c>
    </row>
    <row r="107" customFormat="false" ht="13.8" hidden="false" customHeight="false" outlineLevel="0" collapsed="false">
      <c r="B107" s="2" t="n">
        <v>105</v>
      </c>
      <c r="C107" s="2" t="n">
        <v>4.59370578362568E-009</v>
      </c>
      <c r="D107" s="2" t="n">
        <v>4.49503666338489E-009</v>
      </c>
      <c r="E107" s="2" t="n">
        <v>5.39861719594664E-010</v>
      </c>
    </row>
    <row r="108" customFormat="false" ht="13.8" hidden="false" customHeight="false" outlineLevel="0" collapsed="false">
      <c r="B108" s="2" t="n">
        <v>106</v>
      </c>
      <c r="C108" s="2" t="n">
        <v>4.72525902488671E-009</v>
      </c>
      <c r="D108" s="2" t="n">
        <v>4.62667457463144E-009</v>
      </c>
      <c r="E108" s="2" t="n">
        <v>5.55350687151874E-010</v>
      </c>
    </row>
    <row r="109" customFormat="false" ht="13.8" hidden="false" customHeight="false" outlineLevel="0" collapsed="false">
      <c r="B109" s="2" t="n">
        <v>107</v>
      </c>
      <c r="C109" s="2" t="n">
        <v>4.85681390415082E-009</v>
      </c>
      <c r="D109" s="2" t="n">
        <v>4.75831302627765E-009</v>
      </c>
      <c r="E109" s="2" t="n">
        <v>5.70839684855222E-010</v>
      </c>
    </row>
    <row r="110" customFormat="false" ht="13.8" hidden="false" customHeight="false" outlineLevel="0" collapsed="false">
      <c r="B110" s="2" t="n">
        <v>108</v>
      </c>
      <c r="C110" s="2" t="n">
        <v>4.98837041166397E-009</v>
      </c>
      <c r="D110" s="2" t="n">
        <v>4.88995203925878E-009</v>
      </c>
      <c r="E110" s="2" t="n">
        <v>5.86328716452927E-010</v>
      </c>
    </row>
    <row r="111" customFormat="false" ht="13.8" hidden="false" customHeight="false" outlineLevel="0" collapsed="false">
      <c r="B111" s="2" t="n">
        <v>109</v>
      </c>
      <c r="C111" s="2" t="n">
        <v>5.11992853856333E-009</v>
      </c>
      <c r="D111" s="2" t="n">
        <v>5.02159164183066E-009</v>
      </c>
      <c r="E111" s="2" t="n">
        <v>6.01817785444471E-010</v>
      </c>
    </row>
    <row r="112" customFormat="false" ht="13.8" hidden="false" customHeight="false" outlineLevel="0" collapsed="false">
      <c r="B112" s="2" t="n">
        <v>110</v>
      </c>
      <c r="C112" s="2" t="n">
        <v>5.25148827390471E-009</v>
      </c>
      <c r="D112" s="2" t="n">
        <v>5.15323185242591E-009</v>
      </c>
      <c r="E112" s="2" t="n">
        <v>6.17306895858619E-010</v>
      </c>
    </row>
    <row r="113" customFormat="false" ht="13.8" hidden="false" customHeight="false" outlineLevel="0" collapsed="false">
      <c r="B113" s="2" t="n">
        <v>111</v>
      </c>
      <c r="C113" s="2" t="n">
        <v>5.38304960839643E-009</v>
      </c>
      <c r="D113" s="2" t="n">
        <v>5.28487269838211E-009</v>
      </c>
      <c r="E113" s="2" t="n">
        <v>6.32796050716064E-010</v>
      </c>
    </row>
    <row r="114" customFormat="false" ht="13.8" hidden="false" customHeight="false" outlineLevel="0" collapsed="false">
      <c r="B114" s="2" t="n">
        <v>112</v>
      </c>
      <c r="C114" s="2" t="n">
        <v>5.51461253380784E-009</v>
      </c>
      <c r="D114" s="2" t="n">
        <v>5.41651420031161E-009</v>
      </c>
      <c r="E114" s="2" t="n">
        <v>6.4828525394281E-010</v>
      </c>
    </row>
    <row r="115" customFormat="false" ht="13.8" hidden="false" customHeight="false" outlineLevel="0" collapsed="false">
      <c r="B115" s="2" t="n">
        <v>113</v>
      </c>
      <c r="C115" s="2" t="n">
        <v>5.64617703810017E-009</v>
      </c>
      <c r="D115" s="2" t="n">
        <v>5.54815638161564E-009</v>
      </c>
      <c r="E115" s="2" t="n">
        <v>6.63774508882765E-010</v>
      </c>
    </row>
    <row r="116" customFormat="false" ht="13.8" hidden="false" customHeight="false" outlineLevel="0" collapsed="false">
      <c r="B116" s="2" t="n">
        <v>114</v>
      </c>
      <c r="C116" s="2" t="n">
        <v>5.77774311538112E-009</v>
      </c>
      <c r="D116" s="2" t="n">
        <v>5.67979926401839E-009</v>
      </c>
      <c r="E116" s="2" t="n">
        <v>6.79263819512205E-010</v>
      </c>
    </row>
    <row r="117" customFormat="false" ht="13.8" hidden="false" customHeight="false" outlineLevel="0" collapsed="false">
      <c r="B117" s="2" t="n">
        <v>115</v>
      </c>
      <c r="C117" s="2" t="n">
        <v>5.90931075180217E-009</v>
      </c>
      <c r="D117" s="2" t="n">
        <v>5.81144287110905E-009</v>
      </c>
      <c r="E117" s="2" t="n">
        <v>6.94753188020666E-010</v>
      </c>
    </row>
    <row r="118" customFormat="false" ht="13.8" hidden="false" customHeight="false" outlineLevel="0" collapsed="false">
      <c r="B118" s="2" t="n">
        <v>116</v>
      </c>
      <c r="C118" s="2" t="n">
        <v>6.04087994289944E-009</v>
      </c>
      <c r="D118" s="2" t="n">
        <v>5.94308722258933E-009</v>
      </c>
      <c r="E118" s="2" t="n">
        <v>7.10242619022632E-010</v>
      </c>
    </row>
    <row r="119" customFormat="false" ht="13.8" hidden="false" customHeight="false" outlineLevel="0" collapsed="false">
      <c r="B119" s="2" t="n">
        <v>117</v>
      </c>
      <c r="C119" s="2" t="n">
        <v>6.17245067694604E-009</v>
      </c>
      <c r="D119" s="2" t="n">
        <v>6.07473234400431E-009</v>
      </c>
      <c r="E119" s="2" t="n">
        <v>7.25732115137204E-010</v>
      </c>
    </row>
    <row r="120" customFormat="false" ht="13.8" hidden="false" customHeight="false" outlineLevel="0" collapsed="false">
      <c r="B120" s="2" t="n">
        <v>118</v>
      </c>
      <c r="C120" s="2" t="n">
        <v>6.35483953094342E-009</v>
      </c>
      <c r="D120" s="2" t="n">
        <v>6.08097604592085E-009</v>
      </c>
      <c r="E120" s="2" t="n">
        <v>7.21607541641569E-010</v>
      </c>
    </row>
    <row r="121" customFormat="false" ht="13.8" hidden="false" customHeight="false" outlineLevel="0" collapsed="false">
      <c r="B121" s="2" t="n">
        <v>119</v>
      </c>
      <c r="C121" s="2" t="n">
        <v>6.48645830810661E-009</v>
      </c>
      <c r="D121" s="2" t="n">
        <v>6.21259257707132E-009</v>
      </c>
      <c r="E121" s="2" t="n">
        <v>7.37099369439829E-010</v>
      </c>
    </row>
    <row r="122" customFormat="false" ht="13.8" hidden="false" customHeight="false" outlineLevel="0" collapsed="false">
      <c r="B122" s="2" t="n">
        <v>120</v>
      </c>
      <c r="C122" s="2" t="n">
        <v>6.61807861143681E-009</v>
      </c>
      <c r="D122" s="2" t="n">
        <v>6.3442106163738E-009</v>
      </c>
      <c r="E122" s="2" t="n">
        <v>7.52591433502041E-010</v>
      </c>
    </row>
    <row r="123" customFormat="false" ht="13.8" hidden="false" customHeight="false" outlineLevel="0" collapsed="false">
      <c r="B123" s="2" t="n">
        <v>121</v>
      </c>
      <c r="C123" s="2" t="n">
        <v>0.00744932604580571</v>
      </c>
      <c r="D123" s="2" t="n">
        <v>2.47022957026164E-019</v>
      </c>
      <c r="E123" s="2" t="n">
        <v>0.00367643230954136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0.0307984770490238</v>
      </c>
      <c r="E124" s="2" t="n">
        <v>1.19295597520625E-018</v>
      </c>
    </row>
    <row r="125" customFormat="false" ht="13.8" hidden="false" customHeight="false" outlineLevel="0" collapsed="false">
      <c r="B125" s="2" t="n">
        <v>123</v>
      </c>
      <c r="C125" s="2" t="n">
        <v>0</v>
      </c>
      <c r="D125" s="2" t="n">
        <v>3.18726055926309E-020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0.019392218984934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1.76074708805673E-025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8.84672109991757E-025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3.69760295110944E-024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8.45170329043973E-024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1.16812709947345E-023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1.64139811884227E-023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2.25467844476535E-023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2.33285180537835E-023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4.48749705916904E-023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5.20945556786865E-023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1.15128223847985E-022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1.24409690796624E-022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2.04344153033955E-022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1.38952998539733E-022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4.5900309846968E-021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0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0</v>
      </c>
    </row>
    <row r="149" customFormat="false" ht="13.8" hidden="false" customHeight="false" outlineLevel="0" collapsed="false">
      <c r="B149" s="2" t="n">
        <v>147</v>
      </c>
      <c r="C149" s="2" t="n">
        <v>0</v>
      </c>
      <c r="D149" s="2" t="n">
        <v>6.22588336392735E-019</v>
      </c>
      <c r="E149" s="2" t="n">
        <v>4.02653222498673E-020</v>
      </c>
    </row>
    <row r="150" customFormat="false" ht="13.8" hidden="false" customHeight="false" outlineLevel="0" collapsed="false">
      <c r="B150" s="2" t="n">
        <v>148</v>
      </c>
      <c r="C150" s="2" t="n">
        <v>5.0550746786308E-018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0</v>
      </c>
      <c r="D151" s="2" t="n">
        <v>0</v>
      </c>
      <c r="E151" s="2" t="n">
        <v>1.72062157620991E-009</v>
      </c>
    </row>
    <row r="152" customFormat="false" ht="13.8" hidden="false" customHeight="false" outlineLevel="0" collapsed="false">
      <c r="B152" s="2" t="n">
        <v>150</v>
      </c>
      <c r="C152" s="2" t="n">
        <v>0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1.29061222418392E-018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2.58122444699944E-018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2.58122444748377E-018</v>
      </c>
      <c r="D155" s="2" t="n">
        <v>3.41768724689911E-018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1.39798640716112E-018</v>
      </c>
      <c r="D156" s="2" t="n">
        <v>1.14234199517681E-018</v>
      </c>
      <c r="E156" s="2" t="n">
        <v>8.05306370094184E-020</v>
      </c>
    </row>
    <row r="157" customFormat="false" ht="13.8" hidden="false" customHeight="false" outlineLevel="0" collapsed="false">
      <c r="B157" s="2" t="n">
        <v>155</v>
      </c>
      <c r="C157" s="2" t="n">
        <v>0</v>
      </c>
      <c r="D157" s="2" t="n">
        <v>0</v>
      </c>
      <c r="E157" s="2" t="n">
        <v>1.87904819484297E-019</v>
      </c>
    </row>
    <row r="158" customFormat="false" ht="13.8" hidden="false" customHeight="false" outlineLevel="0" collapsed="false">
      <c r="B158" s="2" t="n">
        <v>156</v>
      </c>
      <c r="C158" s="2" t="n">
        <v>2.00292487776208E-017</v>
      </c>
      <c r="D158" s="2" t="n">
        <v>1.11549844963157E-018</v>
      </c>
      <c r="E158" s="2" t="n">
        <v>1.07374182483276E-019</v>
      </c>
    </row>
    <row r="159" customFormat="false" ht="13.8" hidden="false" customHeight="false" outlineLevel="0" collapsed="false">
      <c r="B159" s="2" t="n">
        <v>157</v>
      </c>
      <c r="C159" s="2" t="n">
        <v>0</v>
      </c>
      <c r="D159" s="2" t="n">
        <v>0</v>
      </c>
      <c r="E159" s="2" t="n">
        <v>7.27137833288184E-009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0</v>
      </c>
      <c r="E160" s="2" t="n">
        <v>7.96523772241257E-009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1.03214622167292E-018</v>
      </c>
      <c r="E161" s="2" t="n">
        <v>0</v>
      </c>
    </row>
    <row r="162" customFormat="false" ht="13.8" hidden="false" customHeight="false" outlineLevel="0" collapsed="false">
      <c r="B162" s="2" t="n">
        <v>160</v>
      </c>
      <c r="C162" s="2" t="n">
        <v>0</v>
      </c>
      <c r="D162" s="2" t="n">
        <v>0</v>
      </c>
      <c r="E162" s="2" t="n">
        <v>9.58936769398933E-009</v>
      </c>
    </row>
    <row r="163" customFormat="false" ht="13.8" hidden="false" customHeight="false" outlineLevel="0" collapsed="false">
      <c r="B163" s="2" t="n">
        <v>161</v>
      </c>
      <c r="C163" s="2" t="n">
        <v>6.45306112517402E-019</v>
      </c>
      <c r="D163" s="2" t="n">
        <v>0</v>
      </c>
      <c r="E163" s="2" t="n">
        <v>0</v>
      </c>
    </row>
    <row r="164" customFormat="false" ht="13.8" hidden="false" customHeight="false" outlineLevel="0" collapsed="false">
      <c r="B164" s="2" t="n">
        <v>162</v>
      </c>
      <c r="C164" s="2" t="n">
        <v>0.074996398969681</v>
      </c>
      <c r="D164" s="2" t="n">
        <v>0.0257117923754079</v>
      </c>
      <c r="E164" s="2" t="n">
        <v>3.79409910692028E-017</v>
      </c>
    </row>
    <row r="165" customFormat="false" ht="13.8" hidden="false" customHeight="false" outlineLevel="0" collapsed="false">
      <c r="B165" s="2" t="n">
        <v>163</v>
      </c>
      <c r="C165" s="2" t="n">
        <v>0.0399517307128198</v>
      </c>
      <c r="D165" s="2" t="n">
        <v>0.0522566055612674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0.0210084381746572</v>
      </c>
      <c r="D166" s="2" t="n">
        <v>0.0800902073061433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4.4577741756183E-018</v>
      </c>
      <c r="D167" s="2" t="n">
        <v>0.0339856125597368</v>
      </c>
      <c r="E167" s="2" t="n">
        <v>4.0671491756185E-018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0.044016535459667</v>
      </c>
      <c r="E168" s="2" t="n">
        <v>1.87138772654907E-017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0.0293497030028025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0.0146828705459372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8.14352416654575E-018</v>
      </c>
      <c r="D171" s="2" t="n">
        <v>1.60380890725698E-005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0</v>
      </c>
      <c r="D172" s="2" t="n">
        <v>1.20285668044283E-005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0</v>
      </c>
      <c r="D173" s="2" t="n">
        <v>8.01904453628661E-006</v>
      </c>
      <c r="E173" s="2" t="n">
        <v>4.19503150240389E-006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4.0095222681421E-006</v>
      </c>
      <c r="E174" s="2" t="n">
        <v>0</v>
      </c>
    </row>
    <row r="175" customFormat="false" ht="13.8" hidden="false" customHeight="false" outlineLevel="0" collapsed="false">
      <c r="B175" s="2" t="n">
        <v>173</v>
      </c>
      <c r="C175" s="2" t="n">
        <v>5.48417429318136E-010</v>
      </c>
      <c r="D175" s="2" t="n">
        <v>2.74210508949548E-010</v>
      </c>
      <c r="E175" s="2" t="n">
        <v>2.74210496058923E-010</v>
      </c>
    </row>
    <row r="176" customFormat="false" ht="13.8" hidden="false" customHeight="false" outlineLevel="0" collapsed="false">
      <c r="B176" s="2" t="n">
        <v>174</v>
      </c>
      <c r="C176" s="2" t="n">
        <v>1.29143171482734E-010</v>
      </c>
      <c r="D176" s="2" t="n">
        <v>1.31096055200783E-010</v>
      </c>
      <c r="E176" s="2" t="n">
        <v>8.67464554456639E-011</v>
      </c>
    </row>
    <row r="177" customFormat="false" ht="13.8" hidden="false" customHeight="false" outlineLevel="0" collapsed="false">
      <c r="B177" s="2" t="n">
        <v>175</v>
      </c>
      <c r="C177" s="2" t="n">
        <v>1.29142567845299E-010</v>
      </c>
      <c r="D177" s="2" t="n">
        <v>1.31095468360236E-010</v>
      </c>
      <c r="E177" s="2" t="n">
        <v>8.67460592287883E-011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2.39356122105593E-008</v>
      </c>
    </row>
    <row r="179" customFormat="false" ht="13.8" hidden="false" customHeight="false" outlineLevel="0" collapsed="false">
      <c r="B179" s="2" t="n">
        <v>177</v>
      </c>
      <c r="C179" s="2" t="n">
        <v>1.29141385975108E-010</v>
      </c>
      <c r="D179" s="2" t="n">
        <v>1.31094331266311E-010</v>
      </c>
      <c r="E179" s="2" t="n">
        <v>8.67452848276015E-011</v>
      </c>
    </row>
    <row r="180" customFormat="false" ht="13.8" hidden="false" customHeight="false" outlineLevel="0" collapsed="false">
      <c r="B180" s="2" t="n">
        <v>178</v>
      </c>
      <c r="C180" s="2" t="n">
        <v>1.29140811025649E-010</v>
      </c>
      <c r="D180" s="2" t="n">
        <v>1.31093775212438E-010</v>
      </c>
      <c r="E180" s="2" t="n">
        <v>8.67449059392064E-011</v>
      </c>
    </row>
    <row r="181" customFormat="false" ht="13.8" hidden="false" customHeight="false" outlineLevel="0" collapsed="false">
      <c r="B181" s="2" t="n">
        <v>179</v>
      </c>
      <c r="C181" s="2" t="n">
        <v>1.29140244879638E-010</v>
      </c>
      <c r="D181" s="2" t="n">
        <v>1.31093227816429E-010</v>
      </c>
      <c r="E181" s="2" t="n">
        <v>8.67445335236214E-011</v>
      </c>
    </row>
    <row r="182" customFormat="false" ht="13.8" hidden="false" customHeight="false" outlineLevel="0" collapsed="false">
      <c r="B182" s="2" t="n">
        <v>180</v>
      </c>
      <c r="C182" s="2" t="n">
        <v>1.29139686397174E-010</v>
      </c>
      <c r="D182" s="2" t="n">
        <v>1.31092691208953E-010</v>
      </c>
      <c r="E182" s="2" t="n">
        <v>8.67441701509791E-011</v>
      </c>
    </row>
    <row r="183" customFormat="false" ht="13.8" hidden="false" customHeight="false" outlineLevel="0" collapsed="false">
      <c r="B183" s="2" t="n">
        <v>181</v>
      </c>
      <c r="C183" s="2" t="n">
        <v>1.29139145244856E-010</v>
      </c>
      <c r="D183" s="2" t="n">
        <v>1.31092164900401E-010</v>
      </c>
      <c r="E183" s="2" t="n">
        <v>8.67438127926065E-011</v>
      </c>
    </row>
    <row r="184" customFormat="false" ht="13.8" hidden="false" customHeight="false" outlineLevel="0" collapsed="false">
      <c r="B184" s="2" t="n">
        <v>182</v>
      </c>
      <c r="C184" s="2" t="n">
        <v>1.29138611372305E-010</v>
      </c>
      <c r="D184" s="2" t="n">
        <v>1.31091652512214E-010</v>
      </c>
      <c r="E184" s="2" t="n">
        <v>8.67434626102434E-011</v>
      </c>
    </row>
    <row r="185" customFormat="false" ht="13.8" hidden="false" customHeight="false" outlineLevel="0" collapsed="false">
      <c r="B185" s="2" t="n">
        <v>183</v>
      </c>
      <c r="C185" s="2" t="n">
        <v>1.29138087251743E-010</v>
      </c>
      <c r="D185" s="2" t="n">
        <v>1.31091144016664E-010</v>
      </c>
      <c r="E185" s="2" t="n">
        <v>8.67431195431618E-011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3.02365727833805E-008</v>
      </c>
    </row>
    <row r="187" customFormat="false" ht="13.8" hidden="false" customHeight="false" outlineLevel="0" collapsed="false">
      <c r="B187" s="2" t="n">
        <v>185</v>
      </c>
      <c r="C187" s="2" t="n">
        <v>0</v>
      </c>
      <c r="D187" s="2" t="n">
        <v>0</v>
      </c>
      <c r="E187" s="2" t="n">
        <v>3.10241952415548E-008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0</v>
      </c>
      <c r="E188" s="2" t="n">
        <v>3.18118189916361E-008</v>
      </c>
    </row>
    <row r="189" customFormat="false" ht="13.8" hidden="false" customHeight="false" outlineLevel="0" collapsed="false">
      <c r="B189" s="2" t="n">
        <v>187</v>
      </c>
      <c r="C189" s="2" t="n">
        <v>0</v>
      </c>
      <c r="D189" s="2" t="n">
        <v>0</v>
      </c>
      <c r="E189" s="2" t="n">
        <v>3.259944404175E-008</v>
      </c>
    </row>
    <row r="190" customFormat="false" ht="13.8" hidden="false" customHeight="false" outlineLevel="0" collapsed="false">
      <c r="B190" s="2" t="n">
        <v>188</v>
      </c>
      <c r="C190" s="2" t="n">
        <v>0</v>
      </c>
      <c r="D190" s="2" t="n">
        <v>0</v>
      </c>
      <c r="E190" s="2" t="n">
        <v>3.33870703963556E-008</v>
      </c>
    </row>
    <row r="191" customFormat="false" ht="13.8" hidden="false" customHeight="false" outlineLevel="0" collapsed="false">
      <c r="B191" s="2" t="n">
        <v>189</v>
      </c>
      <c r="C191" s="2" t="n">
        <v>1.29135004744003E-010</v>
      </c>
      <c r="D191" s="2" t="n">
        <v>1.31088180258888E-010</v>
      </c>
      <c r="E191" s="2" t="n">
        <v>8.6741098699092E-011</v>
      </c>
    </row>
    <row r="192" customFormat="false" ht="13.8" hidden="false" customHeight="false" outlineLevel="0" collapsed="false">
      <c r="B192" s="2" t="n">
        <v>190</v>
      </c>
      <c r="C192" s="2" t="n">
        <v>1.29134497289249E-010</v>
      </c>
      <c r="D192" s="2" t="n">
        <v>1.31087692530691E-010</v>
      </c>
      <c r="E192" s="2" t="n">
        <v>8.6740767169986E-011</v>
      </c>
    </row>
    <row r="193" customFormat="false" ht="13.8" hidden="false" customHeight="false" outlineLevel="0" collapsed="false">
      <c r="B193" s="2" t="n">
        <v>191</v>
      </c>
      <c r="C193" s="2" t="n">
        <v>1.29133997961438E-010</v>
      </c>
      <c r="D193" s="2" t="n">
        <v>1.31087214880753E-010</v>
      </c>
      <c r="E193" s="2" t="n">
        <v>8.67404402531109E-011</v>
      </c>
    </row>
    <row r="194" customFormat="false" ht="13.8" hidden="false" customHeight="false" outlineLevel="0" collapsed="false">
      <c r="B194" s="2" t="n">
        <v>192</v>
      </c>
      <c r="C194" s="2" t="n">
        <v>8.90609533584478E-010</v>
      </c>
      <c r="D194" s="2" t="n">
        <v>4.45309496280091E-010</v>
      </c>
      <c r="E194" s="2" t="n">
        <v>4.45309471499817E-010</v>
      </c>
    </row>
    <row r="195" customFormat="false" ht="13.8" hidden="false" customHeight="false" outlineLevel="0" collapsed="false">
      <c r="B195" s="2" t="n">
        <v>193</v>
      </c>
      <c r="C195" s="2" t="n">
        <v>9.08619568509138E-010</v>
      </c>
      <c r="D195" s="2" t="n">
        <v>4.54314707486574E-010</v>
      </c>
      <c r="E195" s="2" t="n">
        <v>4.54314681019441E-010</v>
      </c>
    </row>
    <row r="196" customFormat="false" ht="13.8" hidden="false" customHeight="false" outlineLevel="0" collapsed="false">
      <c r="B196" s="2" t="n">
        <v>194</v>
      </c>
      <c r="C196" s="2" t="n">
        <v>9.26629595053563E-010</v>
      </c>
      <c r="D196" s="2" t="n">
        <v>4.63319916044433E-010</v>
      </c>
      <c r="E196" s="2" t="n">
        <v>4.63319890352684E-010</v>
      </c>
    </row>
    <row r="197" customFormat="false" ht="13.8" hidden="false" customHeight="false" outlineLevel="0" collapsed="false">
      <c r="B197" s="2" t="n">
        <v>195</v>
      </c>
      <c r="C197" s="2" t="n">
        <v>1.29132053066657E-010</v>
      </c>
      <c r="D197" s="2" t="n">
        <v>1.31085345769005E-010</v>
      </c>
      <c r="E197" s="2" t="n">
        <v>8.67391664239487E-011</v>
      </c>
    </row>
    <row r="198" customFormat="false" ht="13.8" hidden="false" customHeight="false" outlineLevel="0" collapsed="false">
      <c r="B198" s="2" t="n">
        <v>196</v>
      </c>
      <c r="C198" s="2" t="n">
        <v>0</v>
      </c>
      <c r="D198" s="2" t="n">
        <v>0</v>
      </c>
      <c r="E198" s="2" t="n">
        <v>3.96881009678004E-008</v>
      </c>
    </row>
    <row r="199" customFormat="false" ht="13.8" hidden="false" customHeight="false" outlineLevel="0" collapsed="false">
      <c r="B199" s="2" t="n">
        <v>197</v>
      </c>
      <c r="C199" s="2" t="n">
        <v>0</v>
      </c>
      <c r="D199" s="2" t="n">
        <v>0</v>
      </c>
      <c r="E199" s="2" t="n">
        <v>4.04757323314409E-008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0</v>
      </c>
      <c r="E200" s="2" t="n">
        <v>4.12633650762103E-008</v>
      </c>
    </row>
    <row r="201" customFormat="false" ht="13.8" hidden="false" customHeight="false" outlineLevel="0" collapsed="false">
      <c r="B201" s="2" t="n">
        <v>199</v>
      </c>
      <c r="C201" s="2" t="n">
        <v>0</v>
      </c>
      <c r="D201" s="2" t="n">
        <v>0</v>
      </c>
      <c r="E201" s="2" t="n">
        <v>4.20509992100358E-008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4.283863474394E-008</v>
      </c>
    </row>
    <row r="203" customFormat="false" ht="13.8" hidden="false" customHeight="false" outlineLevel="0" collapsed="false">
      <c r="B203" s="2" t="n">
        <v>201</v>
      </c>
      <c r="C203" s="2" t="n">
        <v>0</v>
      </c>
      <c r="D203" s="2" t="n">
        <v>0</v>
      </c>
      <c r="E203" s="2" t="n">
        <v>4.362627168743E-008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4.44139100519366E-008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0</v>
      </c>
      <c r="E205" s="2" t="n">
        <v>4.52015498482595E-008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0</v>
      </c>
      <c r="E206" s="2" t="n">
        <v>4.59891910880639E-008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0</v>
      </c>
      <c r="E207" s="2" t="n">
        <v>4.67768337846036E-008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0</v>
      </c>
      <c r="E208" s="2" t="n">
        <v>4.75644779497503E-008</v>
      </c>
    </row>
    <row r="209" customFormat="false" ht="13.8" hidden="false" customHeight="false" outlineLevel="0" collapsed="false">
      <c r="B209" s="2" t="n">
        <v>207</v>
      </c>
      <c r="C209" s="2" t="n">
        <v>2.97124495360625E-018</v>
      </c>
      <c r="D209" s="2" t="n">
        <v>4.28870072441258E-018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3.56313011001281E-018</v>
      </c>
      <c r="D210" s="2" t="n">
        <v>3.02692433920648E-018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3.27728707920672E-018</v>
      </c>
      <c r="D211" s="2" t="n">
        <v>3.61818035001304E-018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3.15411660800692E-018</v>
      </c>
      <c r="D212" s="2" t="n">
        <v>3.15411660800692E-018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3.21954775040721E-018</v>
      </c>
      <c r="D213" s="2" t="n">
        <v>2.43829775040717E-018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4.56591698041378E-018</v>
      </c>
      <c r="D214" s="2" t="n">
        <v>3.63908620960745E-018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3.33059194880771E-018</v>
      </c>
      <c r="D215" s="2" t="n">
        <v>3.33059194880771E-018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1.8466302912079E-018</v>
      </c>
      <c r="D216" s="2" t="n">
        <v>3.40913029120801E-018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1.29122068468986E-010</v>
      </c>
      <c r="D217" s="2" t="n">
        <v>1.31075753749336E-010</v>
      </c>
      <c r="E217" s="2" t="n">
        <v>8.67326285548515E-011</v>
      </c>
    </row>
    <row r="218" customFormat="false" ht="13.8" hidden="false" customHeight="false" outlineLevel="0" collapsed="false">
      <c r="B218" s="2" t="n">
        <v>216</v>
      </c>
      <c r="C218" s="2" t="n">
        <v>1.29121706615977E-010</v>
      </c>
      <c r="D218" s="2" t="n">
        <v>1.31075411427562E-010</v>
      </c>
      <c r="E218" s="2" t="n">
        <v>8.67323934586665E-011</v>
      </c>
    </row>
    <row r="219" customFormat="false" ht="13.8" hidden="false" customHeight="false" outlineLevel="0" collapsed="false">
      <c r="B219" s="2" t="n">
        <v>217</v>
      </c>
      <c r="C219" s="2" t="n">
        <v>1.29121614421928E-010</v>
      </c>
      <c r="D219" s="2" t="n">
        <v>1.31075337837902E-010</v>
      </c>
      <c r="E219" s="2" t="n">
        <v>8.67323368605999E-011</v>
      </c>
    </row>
    <row r="220" customFormat="false" ht="13.8" hidden="false" customHeight="false" outlineLevel="0" collapsed="false">
      <c r="B220" s="2" t="n">
        <v>218</v>
      </c>
      <c r="C220" s="2" t="n">
        <v>1.2912155319168E-010</v>
      </c>
      <c r="D220" s="2" t="n">
        <v>1.31075296675079E-010</v>
      </c>
      <c r="E220" s="2" t="n">
        <v>8.67323027284769E-011</v>
      </c>
    </row>
    <row r="221" customFormat="false" ht="13.8" hidden="false" customHeight="false" outlineLevel="0" collapsed="false">
      <c r="B221" s="2" t="n">
        <v>219</v>
      </c>
      <c r="C221" s="2" t="n">
        <v>3.66414397440933E-018</v>
      </c>
      <c r="D221" s="2" t="n">
        <v>3.66414397440933E-018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7.05510336631793E-011</v>
      </c>
      <c r="D222" s="2" t="n">
        <v>7.47837212490734E-011</v>
      </c>
      <c r="E222" s="2" t="n">
        <v>7.068420801396E-011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</v>
      </c>
    </row>
    <row r="237" customFormat="false" ht="13.8" hidden="false" customHeight="false" outlineLevel="0" collapsed="false">
      <c r="B237" s="2" t="n">
        <v>235</v>
      </c>
      <c r="C237" s="2" t="n">
        <v>2.66063307182493E-023</v>
      </c>
      <c r="D237" s="2" t="n">
        <v>0</v>
      </c>
      <c r="E237" s="2" t="n">
        <v>2.44401299876008E-027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4.5183189191119E-028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2.29691839872937E-028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0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</v>
      </c>
      <c r="E241" s="2" t="n">
        <v>0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0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0</v>
      </c>
    </row>
    <row r="244" customFormat="false" ht="13.8" hidden="false" customHeight="false" outlineLevel="0" collapsed="false">
      <c r="B244" s="2" t="n">
        <v>242</v>
      </c>
      <c r="C244" s="2" t="n">
        <v>0</v>
      </c>
      <c r="D244" s="2" t="n">
        <v>0</v>
      </c>
      <c r="E244" s="2" t="n">
        <v>1.7313198560387E-010</v>
      </c>
    </row>
    <row r="245" customFormat="false" ht="13.8" hidden="false" customHeight="false" outlineLevel="0" collapsed="false">
      <c r="B245" s="2" t="n">
        <v>243</v>
      </c>
      <c r="C245" s="2" t="n">
        <v>7.64041595967427E-019</v>
      </c>
      <c r="D245" s="2" t="n">
        <v>0</v>
      </c>
      <c r="E245" s="2" t="n">
        <v>5.64680101749371E-018</v>
      </c>
    </row>
    <row r="246" customFormat="false" ht="13.8" hidden="false" customHeight="false" outlineLevel="0" collapsed="false">
      <c r="B246" s="2" t="n">
        <v>244</v>
      </c>
      <c r="C246" s="2" t="n">
        <v>7.96970758337704E-019</v>
      </c>
      <c r="D246" s="2" t="n">
        <v>0</v>
      </c>
      <c r="E246" s="2" t="n">
        <v>6.6562737712065E-018</v>
      </c>
    </row>
    <row r="247" customFormat="false" ht="13.8" hidden="false" customHeight="false" outlineLevel="0" collapsed="false">
      <c r="B247" s="2" t="n">
        <v>245</v>
      </c>
      <c r="C247" s="2" t="n">
        <v>7.00316848204398E-018</v>
      </c>
      <c r="D247" s="2" t="n">
        <v>2.29715760310357E-018</v>
      </c>
      <c r="E247" s="2" t="n">
        <v>4.46769554619113E-018</v>
      </c>
    </row>
    <row r="248" customFormat="false" ht="13.8" hidden="false" customHeight="false" outlineLevel="0" collapsed="false">
      <c r="B248" s="2" t="n">
        <v>246</v>
      </c>
      <c r="C248" s="2" t="n">
        <v>3.33603325075789E-018</v>
      </c>
      <c r="D248" s="2" t="n">
        <v>1.38290825974288E-018</v>
      </c>
      <c r="E248" s="2" t="n">
        <v>6.46096858637195E-018</v>
      </c>
    </row>
    <row r="249" customFormat="false" ht="13.8" hidden="false" customHeight="false" outlineLevel="0" collapsed="false">
      <c r="B249" s="2" t="n">
        <v>247</v>
      </c>
      <c r="C249" s="2" t="n">
        <v>1.23526875911082E-018</v>
      </c>
      <c r="D249" s="2" t="n">
        <v>4.94259183463411E-018</v>
      </c>
      <c r="E249" s="2" t="n">
        <v>5.33678972592288E-018</v>
      </c>
    </row>
    <row r="250" customFormat="false" ht="13.8" hidden="false" customHeight="false" outlineLevel="0" collapsed="false">
      <c r="B250" s="2" t="n">
        <v>248</v>
      </c>
      <c r="C250" s="2" t="n">
        <v>0</v>
      </c>
      <c r="D250" s="2" t="n">
        <v>0</v>
      </c>
      <c r="E250" s="2" t="n">
        <v>3.98562834448181E-014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0</v>
      </c>
      <c r="E251" s="2" t="n">
        <v>7.55914850450644E-013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1.50048044923043E-012</v>
      </c>
    </row>
    <row r="253" customFormat="false" ht="13.8" hidden="false" customHeight="false" outlineLevel="0" collapsed="false">
      <c r="B253" s="2" t="n">
        <v>251</v>
      </c>
      <c r="C253" s="2" t="n">
        <v>1.30410302807127E-009</v>
      </c>
      <c r="D253" s="2" t="n">
        <v>0</v>
      </c>
      <c r="E253" s="2" t="n">
        <v>7.78563421759445E-009</v>
      </c>
    </row>
    <row r="254" customFormat="false" ht="13.8" hidden="false" customHeight="false" outlineLevel="0" collapsed="false">
      <c r="B254" s="2" t="n">
        <v>252</v>
      </c>
      <c r="C254" s="2" t="n">
        <v>2.47385026611098E-018</v>
      </c>
      <c r="D254" s="2" t="n">
        <v>5.10876180306416E-018</v>
      </c>
      <c r="E254" s="2" t="n">
        <v>0</v>
      </c>
    </row>
    <row r="255" customFormat="false" ht="13.8" hidden="false" customHeight="false" outlineLevel="0" collapsed="false">
      <c r="B255" s="2" t="n">
        <v>253</v>
      </c>
      <c r="C255" s="2" t="n">
        <v>1.26560259980471E-009</v>
      </c>
      <c r="D255" s="2" t="n">
        <v>0</v>
      </c>
      <c r="E255" s="2" t="n">
        <v>9.0990415907352E-009</v>
      </c>
    </row>
    <row r="256" customFormat="false" ht="13.8" hidden="false" customHeight="false" outlineLevel="0" collapsed="false">
      <c r="B256" s="2" t="n">
        <v>254</v>
      </c>
      <c r="C256" s="2" t="n">
        <v>1.24632224219979E-009</v>
      </c>
      <c r="D256" s="2" t="n">
        <v>0</v>
      </c>
      <c r="E256" s="2" t="n">
        <v>9.75587077181879E-009</v>
      </c>
    </row>
    <row r="257" customFormat="false" ht="13.8" hidden="false" customHeight="false" outlineLevel="0" collapsed="false">
      <c r="B257" s="2" t="n">
        <v>255</v>
      </c>
      <c r="C257" s="2" t="n">
        <v>1.22702825413613E-009</v>
      </c>
      <c r="D257" s="2" t="n">
        <v>0</v>
      </c>
      <c r="E257" s="2" t="n">
        <v>1.04127696265463E-008</v>
      </c>
    </row>
    <row r="258" customFormat="false" ht="13.8" hidden="false" customHeight="false" outlineLevel="0" collapsed="false">
      <c r="B258" s="2" t="n">
        <v>256</v>
      </c>
      <c r="C258" s="2" t="n">
        <v>1.20772388116638E-009</v>
      </c>
      <c r="D258" s="2" t="n">
        <v>0</v>
      </c>
      <c r="E258" s="2" t="n">
        <v>1.10697300406586E-008</v>
      </c>
    </row>
    <row r="259" customFormat="false" ht="13.8" hidden="false" customHeight="false" outlineLevel="0" collapsed="false">
      <c r="B259" s="2" t="n">
        <v>257</v>
      </c>
      <c r="C259" s="2" t="n">
        <v>0</v>
      </c>
      <c r="D259" s="2" t="n">
        <v>0.031953219462255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3.34744072493384E-017</v>
      </c>
      <c r="D260" s="2" t="n">
        <v>0.027272770467904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0.0225923214735593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</v>
      </c>
      <c r="D262" s="2" t="n">
        <v>0.0179118724792145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6.98242187500001E-018</v>
      </c>
      <c r="D263" s="2" t="n">
        <v>0.0132314234848697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1.9531249999679E-019</v>
      </c>
      <c r="D264" s="2" t="n">
        <v>0.00992356761365226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0.00661571174243485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4.17014480903054E-017</v>
      </c>
      <c r="D266" s="2" t="n">
        <v>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3.6212531524021E-011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4.07478321228444E-011</v>
      </c>
    </row>
    <row r="269" customFormat="false" ht="13.8" hidden="false" customHeight="false" outlineLevel="0" collapsed="false">
      <c r="B269" s="2" t="n">
        <v>267</v>
      </c>
      <c r="C269" s="2" t="n">
        <v>0</v>
      </c>
      <c r="D269" s="2" t="n">
        <v>0</v>
      </c>
      <c r="E269" s="2" t="n">
        <v>4.52832983181581E-011</v>
      </c>
    </row>
    <row r="270" customFormat="false" ht="13.8" hidden="false" customHeight="false" outlineLevel="0" collapsed="false">
      <c r="B270" s="2" t="n">
        <v>268</v>
      </c>
      <c r="C270" s="2" t="n">
        <v>0</v>
      </c>
      <c r="D270" s="2" t="n">
        <v>0</v>
      </c>
      <c r="E270" s="2" t="n">
        <v>4.98190165781686E-011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5.4354991272067E-011</v>
      </c>
    </row>
    <row r="272" customFormat="false" ht="13.8" hidden="false" customHeight="false" outlineLevel="0" collapsed="false">
      <c r="B272" s="2" t="n">
        <v>270</v>
      </c>
      <c r="C272" s="2" t="n">
        <v>0</v>
      </c>
      <c r="D272" s="2" t="n">
        <v>0</v>
      </c>
      <c r="E272" s="2" t="n">
        <v>5.8891126959553E-011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6.34276038867961E-011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6.79640344482491E-011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7.2500573977141E-011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7.70372248854441E-011</v>
      </c>
    </row>
    <row r="277" customFormat="false" ht="13.8" hidden="false" customHeight="false" outlineLevel="0" collapsed="false">
      <c r="B277" s="2" t="n">
        <v>275</v>
      </c>
      <c r="C277" s="2" t="n">
        <v>0</v>
      </c>
      <c r="D277" s="2" t="n">
        <v>0</v>
      </c>
      <c r="E277" s="2" t="n">
        <v>8.15739889942924E-011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8.61108712990923E-011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9.06478735995299E-011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9.51848491785002E-011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9.97223445837522E-011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1.04259678572363E-010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1.08797512874678E-010</v>
      </c>
    </row>
    <row r="284" customFormat="false" ht="13.8" hidden="false" customHeight="false" outlineLevel="0" collapsed="false">
      <c r="B284" s="2" t="n">
        <v>282</v>
      </c>
      <c r="C284" s="2" t="n">
        <v>0</v>
      </c>
      <c r="D284" s="2" t="n">
        <v>0</v>
      </c>
      <c r="E284" s="2" t="n">
        <v>1.13335342182334E-010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1.17873183872387E-010</v>
      </c>
    </row>
    <row r="286" customFormat="false" ht="13.8" hidden="false" customHeight="false" outlineLevel="0" collapsed="false">
      <c r="B286" s="2" t="n">
        <v>284</v>
      </c>
      <c r="C286" s="2" t="n">
        <v>0</v>
      </c>
      <c r="D286" s="2" t="n">
        <v>0</v>
      </c>
      <c r="E286" s="2" t="n">
        <v>1.22411376069762E-010</v>
      </c>
    </row>
    <row r="287" customFormat="false" ht="13.8" hidden="false" customHeight="false" outlineLevel="0" collapsed="false">
      <c r="B287" s="2" t="n">
        <v>285</v>
      </c>
      <c r="C287" s="2" t="n">
        <v>0</v>
      </c>
      <c r="D287" s="2" t="n">
        <v>0</v>
      </c>
      <c r="E287" s="2" t="n">
        <v>1.26949786681796E-010</v>
      </c>
    </row>
    <row r="288" customFormat="false" ht="13.8" hidden="false" customHeight="false" outlineLevel="0" collapsed="false">
      <c r="B288" s="2" t="n">
        <v>286</v>
      </c>
      <c r="C288" s="2" t="n">
        <v>0</v>
      </c>
      <c r="D288" s="2" t="n">
        <v>0</v>
      </c>
      <c r="E288" s="2" t="n">
        <v>1.31488417481036E-010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1.36027267192395E-010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1.40566336326547E-010</v>
      </c>
    </row>
    <row r="291" customFormat="false" ht="13.8" hidden="false" customHeight="false" outlineLevel="0" collapsed="false">
      <c r="B291" s="2" t="n">
        <v>289</v>
      </c>
      <c r="C291" s="2" t="n">
        <v>4.39873089644912E-012</v>
      </c>
      <c r="D291" s="2" t="n">
        <v>6.45918325832441E-010</v>
      </c>
      <c r="E291" s="2" t="n">
        <v>7.47777536888255E-011</v>
      </c>
    </row>
    <row r="292" customFormat="false" ht="13.8" hidden="false" customHeight="false" outlineLevel="0" collapsed="false">
      <c r="B292" s="2" t="n">
        <v>290</v>
      </c>
      <c r="C292" s="2" t="n">
        <v>0</v>
      </c>
      <c r="D292" s="2" t="n">
        <v>0</v>
      </c>
      <c r="E292" s="2" t="n">
        <v>1.49645406325344E-010</v>
      </c>
    </row>
    <row r="293" customFormat="false" ht="13.8" hidden="false" customHeight="false" outlineLevel="0" collapsed="false">
      <c r="B293" s="2" t="n">
        <v>291</v>
      </c>
      <c r="C293" s="2" t="n">
        <v>0</v>
      </c>
      <c r="D293" s="2" t="n">
        <v>0</v>
      </c>
      <c r="E293" s="2" t="n">
        <v>1.54185408206271E-010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1.58725629037763E-010</v>
      </c>
    </row>
    <row r="295" customFormat="false" ht="13.8" hidden="false" customHeight="false" outlineLevel="0" collapsed="false">
      <c r="B295" s="2" t="n">
        <v>293</v>
      </c>
      <c r="C295" s="2" t="n">
        <v>0</v>
      </c>
      <c r="D295" s="2" t="n">
        <v>0</v>
      </c>
      <c r="E295" s="2" t="n">
        <v>1.63266069049023E-010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1.67806728176534E-010</v>
      </c>
    </row>
    <row r="297" customFormat="false" ht="13.8" hidden="false" customHeight="false" outlineLevel="0" collapsed="false">
      <c r="B297" s="2" t="n">
        <v>295</v>
      </c>
      <c r="C297" s="2" t="n">
        <v>0</v>
      </c>
      <c r="D297" s="2" t="n">
        <v>0</v>
      </c>
      <c r="E297" s="2" t="n">
        <v>1.72347606523253E-010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1.76888704465238E-010</v>
      </c>
    </row>
    <row r="299" customFormat="false" ht="13.8" hidden="false" customHeight="false" outlineLevel="0" collapsed="false">
      <c r="B299" s="2" t="n">
        <v>297</v>
      </c>
      <c r="C299" s="2" t="n">
        <v>0</v>
      </c>
      <c r="D299" s="2" t="n">
        <v>0</v>
      </c>
      <c r="E299" s="2" t="n">
        <v>1.81430096499534E-010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1.8597151218673E-010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1.90513417424953E-010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1.95054940319401E-010</v>
      </c>
    </row>
    <row r="303" customFormat="false" ht="13.8" hidden="false" customHeight="false" outlineLevel="0" collapsed="false">
      <c r="B303" s="2" t="n">
        <v>301</v>
      </c>
      <c r="C303" s="2" t="n">
        <v>0</v>
      </c>
      <c r="D303" s="2" t="n">
        <v>0</v>
      </c>
      <c r="E303" s="2" t="n">
        <v>1.99596877403918E-010</v>
      </c>
    </row>
    <row r="304" customFormat="false" ht="13.8" hidden="false" customHeight="false" outlineLevel="0" collapsed="false">
      <c r="B304" s="2" t="n">
        <v>302</v>
      </c>
      <c r="C304" s="2" t="n">
        <v>0</v>
      </c>
      <c r="D304" s="2" t="n">
        <v>0</v>
      </c>
      <c r="E304" s="2" t="n">
        <v>2.04139033421205E-010</v>
      </c>
    </row>
    <row r="305" customFormat="false" ht="13.8" hidden="false" customHeight="false" outlineLevel="0" collapsed="false">
      <c r="B305" s="2" t="n">
        <v>303</v>
      </c>
      <c r="C305" s="2" t="n">
        <v>0</v>
      </c>
      <c r="D305" s="2" t="n">
        <v>0</v>
      </c>
      <c r="E305" s="2" t="n">
        <v>2.0868140905826E-010</v>
      </c>
    </row>
    <row r="306" customFormat="false" ht="13.8" hidden="false" customHeight="false" outlineLevel="0" collapsed="false">
      <c r="B306" s="2" t="n">
        <v>304</v>
      </c>
      <c r="C306" s="2" t="n">
        <v>0</v>
      </c>
      <c r="D306" s="2" t="n">
        <v>0</v>
      </c>
      <c r="E306" s="2" t="n">
        <v>2.13224003914355E-010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2.17766818365811E-010</v>
      </c>
    </row>
    <row r="308" customFormat="false" ht="13.8" hidden="false" customHeight="false" outlineLevel="0" collapsed="false">
      <c r="B308" s="2" t="n">
        <v>306</v>
      </c>
      <c r="C308" s="2" t="n">
        <v>0</v>
      </c>
      <c r="D308" s="2" t="n">
        <v>0</v>
      </c>
      <c r="E308" s="2" t="n">
        <v>2.22309851096713E-010</v>
      </c>
    </row>
    <row r="309" customFormat="false" ht="13.8" hidden="false" customHeight="false" outlineLevel="0" collapsed="false">
      <c r="B309" s="2" t="n">
        <v>307</v>
      </c>
      <c r="C309" s="2" t="n">
        <v>0</v>
      </c>
      <c r="D309" s="2" t="n">
        <v>0</v>
      </c>
      <c r="E309" s="2" t="n">
        <v>2.26853104042405E-010</v>
      </c>
    </row>
    <row r="310" customFormat="false" ht="13.8" hidden="false" customHeight="false" outlineLevel="0" collapsed="false">
      <c r="B310" s="2" t="n">
        <v>308</v>
      </c>
      <c r="C310" s="2" t="n">
        <v>5.60336070159958E-017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5.50234904035885E-016</v>
      </c>
      <c r="D311" s="2" t="n">
        <v>7.71484374884798E-018</v>
      </c>
      <c r="E311" s="2" t="n">
        <v>0.0236780034787976</v>
      </c>
    </row>
    <row r="312" customFormat="false" ht="13.8" hidden="false" customHeight="false" outlineLevel="0" collapsed="false">
      <c r="B312" s="2" t="n">
        <v>310</v>
      </c>
      <c r="C312" s="2" t="n">
        <v>1.94091796874995E-017</v>
      </c>
      <c r="D312" s="2" t="n">
        <v>0.00418059521824974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2.30650725963508E-017</v>
      </c>
      <c r="D313" s="2" t="n">
        <v>0.00836119043649946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8.23409856753902E-019</v>
      </c>
      <c r="D314" s="2" t="n">
        <v>0.0125417856547492</v>
      </c>
      <c r="E314" s="2" t="n">
        <v>0.00634809593642476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0.0167223808729989</v>
      </c>
      <c r="E315" s="2" t="n">
        <v>0.00843643902634412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0.0304309375078016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0.0117958312617255</v>
      </c>
      <c r="E317" s="2" t="n">
        <v>0.011795044539033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5.36870916470305E-020</v>
      </c>
      <c r="E336" s="2" t="n">
        <v>5.36870916470305E-020</v>
      </c>
    </row>
    <row r="337" customFormat="false" ht="13.8" hidden="false" customHeight="false" outlineLevel="0" collapsed="false">
      <c r="B337" s="2" t="n">
        <v>335</v>
      </c>
      <c r="C337" s="2" t="n">
        <v>0</v>
      </c>
      <c r="D337" s="2" t="n">
        <v>0</v>
      </c>
      <c r="E337" s="2" t="n">
        <v>3.23889225290547E-011</v>
      </c>
    </row>
    <row r="338" customFormat="false" ht="13.8" hidden="false" customHeight="false" outlineLevel="0" collapsed="false">
      <c r="B338" s="2" t="n">
        <v>336</v>
      </c>
      <c r="C338" s="2" t="n">
        <v>0</v>
      </c>
      <c r="D338" s="2" t="n">
        <v>0</v>
      </c>
      <c r="E338" s="2" t="n">
        <v>1.5959392610508E-010</v>
      </c>
    </row>
    <row r="339" customFormat="false" ht="13.8" hidden="false" customHeight="false" outlineLevel="0" collapsed="false">
      <c r="B339" s="2" t="n">
        <v>337</v>
      </c>
      <c r="C339" s="2" t="n">
        <v>0</v>
      </c>
      <c r="D339" s="2" t="n">
        <v>0</v>
      </c>
      <c r="E339" s="2" t="n">
        <v>1.80916033527408E-010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2.02219338337306E-010</v>
      </c>
    </row>
    <row r="341" customFormat="false" ht="13.8" hidden="false" customHeight="false" outlineLevel="0" collapsed="false">
      <c r="B341" s="2" t="n">
        <v>339</v>
      </c>
      <c r="C341" s="2" t="n">
        <v>0</v>
      </c>
      <c r="D341" s="2" t="n">
        <v>0</v>
      </c>
      <c r="E341" s="2" t="n">
        <v>2.23521187705317E-010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2.4482218717672E-010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0</v>
      </c>
      <c r="E343" s="2" t="n">
        <v>2.66124370972923E-010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0</v>
      </c>
      <c r="E344" s="2" t="n">
        <v>4.5878863182992E-009</v>
      </c>
    </row>
    <row r="345" customFormat="false" ht="13.8" hidden="false" customHeight="false" outlineLevel="0" collapsed="false">
      <c r="B345" s="2" t="n">
        <v>343</v>
      </c>
      <c r="C345" s="2" t="n">
        <v>0</v>
      </c>
      <c r="D345" s="2" t="n">
        <v>0</v>
      </c>
      <c r="E345" s="2" t="n">
        <v>3.0874410336443E-010</v>
      </c>
    </row>
    <row r="346" customFormat="false" ht="13.8" hidden="false" customHeight="false" outlineLevel="0" collapsed="false">
      <c r="B346" s="2" t="n">
        <v>344</v>
      </c>
      <c r="C346" s="2" t="n">
        <v>7.46825678501314E-017</v>
      </c>
      <c r="D346" s="2" t="n">
        <v>4.9147027504426E-017</v>
      </c>
      <c r="E346" s="2" t="n">
        <v>0</v>
      </c>
    </row>
    <row r="347" customFormat="false" ht="13.8" hidden="false" customHeight="false" outlineLevel="0" collapsed="false">
      <c r="B347" s="2" t="n">
        <v>345</v>
      </c>
      <c r="C347" s="2" t="n">
        <v>1.19402369565402E-019</v>
      </c>
      <c r="D347" s="2" t="n">
        <v>0</v>
      </c>
      <c r="E347" s="2" t="n">
        <v>5.10027369700919E-019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0</v>
      </c>
      <c r="E348" s="2" t="n">
        <v>5.63714462115906E-019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0</v>
      </c>
      <c r="E349" s="2" t="n">
        <v>6.44245099351426E-019</v>
      </c>
    </row>
    <row r="350" customFormat="false" ht="13.8" hidden="false" customHeight="false" outlineLevel="0" collapsed="false">
      <c r="B350" s="2" t="n">
        <v>348</v>
      </c>
      <c r="C350" s="2" t="n">
        <v>5.82974426473648E-018</v>
      </c>
      <c r="D350" s="2" t="n">
        <v>0</v>
      </c>
      <c r="E350" s="2" t="n">
        <v>7.51619283058021E-019</v>
      </c>
    </row>
    <row r="351" customFormat="false" ht="13.8" hidden="false" customHeight="false" outlineLevel="0" collapsed="false">
      <c r="B351" s="2" t="n">
        <v>349</v>
      </c>
      <c r="C351" s="2" t="n">
        <v>3.87837828146139E-019</v>
      </c>
      <c r="D351" s="2" t="n">
        <v>0</v>
      </c>
      <c r="E351" s="2" t="n">
        <v>7.78462828247775E-019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0</v>
      </c>
      <c r="E352" s="2" t="n">
        <v>1.0145134409998E-008</v>
      </c>
    </row>
    <row r="353" customFormat="false" ht="13.8" hidden="false" customHeight="false" outlineLevel="0" collapsed="false">
      <c r="B353" s="2" t="n">
        <v>351</v>
      </c>
      <c r="C353" s="2" t="n">
        <v>0</v>
      </c>
      <c r="D353" s="2" t="n">
        <v>2.85804570142924E-010</v>
      </c>
      <c r="E353" s="2" t="n">
        <v>1.11786906175411E-008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0.0171607607007228</v>
      </c>
      <c r="E354" s="2" t="n">
        <v>3.14453124998438E-017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0.0313288466425394</v>
      </c>
      <c r="E355" s="2" t="n">
        <v>1.06878594311068E-008</v>
      </c>
    </row>
    <row r="356" customFormat="false" ht="13.8" hidden="false" customHeight="false" outlineLevel="0" collapsed="false">
      <c r="B356" s="2" t="n">
        <v>354</v>
      </c>
      <c r="C356" s="2" t="n">
        <v>2.06054687499549E-017</v>
      </c>
      <c r="D356" s="2" t="n">
        <v>0.0273008371237831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2.44140624999653E-017</v>
      </c>
      <c r="D357" s="2" t="n">
        <v>0.0223864993304633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1.37695312499298E-017</v>
      </c>
      <c r="D358" s="2" t="n">
        <v>0.0174721615371436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2.67089843749714E-017</v>
      </c>
      <c r="D359" s="2" t="n">
        <v>0.0125578237438238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1.91894531249491E-017</v>
      </c>
      <c r="D360" s="2" t="n">
        <v>0.00941836780786836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1.83349609374467E-017</v>
      </c>
      <c r="D361" s="2" t="n">
        <v>0.00627891187191293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2.95166015624777E-017</v>
      </c>
      <c r="D362" s="2" t="n">
        <v>0.0031394559359575</v>
      </c>
      <c r="E362" s="2" t="n">
        <v>0</v>
      </c>
    </row>
    <row r="363" customFormat="false" ht="13.8" hidden="false" customHeight="false" outlineLevel="0" collapsed="false">
      <c r="B363" s="2" t="n">
        <v>361</v>
      </c>
      <c r="C363" s="2" t="n">
        <v>1.40233646800415E-017</v>
      </c>
      <c r="D363" s="2" t="n">
        <v>3.91744265338435E-017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1.38347630664408E-017</v>
      </c>
      <c r="D364" s="2" t="n">
        <v>3.72722630664656E-017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1.38414739528411E-017</v>
      </c>
      <c r="D365" s="2" t="n">
        <v>3.91878483066435E-017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1.73856614988396E-010</v>
      </c>
      <c r="D366" s="2" t="n">
        <v>8.69285063981543E-011</v>
      </c>
      <c r="E366" s="2" t="n">
        <v>8.69281005224675E-011</v>
      </c>
    </row>
    <row r="367" customFormat="false" ht="13.8" hidden="false" customHeight="false" outlineLevel="0" collapsed="false">
      <c r="B367" s="2" t="n">
        <v>365</v>
      </c>
      <c r="C367" s="2" t="n">
        <v>1.73845289537935E-010</v>
      </c>
      <c r="D367" s="2" t="n">
        <v>8.6922830884985E-011</v>
      </c>
      <c r="E367" s="2" t="n">
        <v>8.692243830686E-011</v>
      </c>
    </row>
    <row r="368" customFormat="false" ht="13.8" hidden="false" customHeight="false" outlineLevel="0" collapsed="false">
      <c r="B368" s="2" t="n">
        <v>366</v>
      </c>
      <c r="C368" s="2" t="n">
        <v>1.73834216038534E-010</v>
      </c>
      <c r="D368" s="2" t="n">
        <v>8.69172960120595E-011</v>
      </c>
      <c r="E368" s="2" t="n">
        <v>8.6916901676122E-011</v>
      </c>
    </row>
    <row r="369" customFormat="false" ht="13.8" hidden="false" customHeight="false" outlineLevel="0" collapsed="false">
      <c r="B369" s="2" t="n">
        <v>367</v>
      </c>
      <c r="C369" s="2" t="n">
        <v>1.7382338991973E-010</v>
      </c>
      <c r="D369" s="2" t="n">
        <v>8.69118839113234E-011</v>
      </c>
      <c r="E369" s="2" t="n">
        <v>8.69114889528273E-011</v>
      </c>
    </row>
    <row r="370" customFormat="false" ht="13.8" hidden="false" customHeight="false" outlineLevel="0" collapsed="false">
      <c r="B370" s="2" t="n">
        <v>368</v>
      </c>
      <c r="C370" s="2" t="n">
        <v>1.73812810382197E-010</v>
      </c>
      <c r="D370" s="2" t="n">
        <v>8.69065910490892E-011</v>
      </c>
      <c r="E370" s="2" t="n">
        <v>8.69061981902025E-011</v>
      </c>
    </row>
    <row r="371" customFormat="false" ht="13.8" hidden="false" customHeight="false" outlineLevel="0" collapsed="false">
      <c r="B371" s="2" t="n">
        <v>369</v>
      </c>
      <c r="C371" s="2" t="n">
        <v>1.73802468252423E-010</v>
      </c>
      <c r="D371" s="2" t="n">
        <v>8.69014195799167E-011</v>
      </c>
      <c r="E371" s="2" t="n">
        <v>8.69010273924166E-011</v>
      </c>
    </row>
    <row r="372" customFormat="false" ht="13.8" hidden="false" customHeight="false" outlineLevel="0" collapsed="false">
      <c r="B372" s="2" t="n">
        <v>370</v>
      </c>
      <c r="C372" s="2" t="n">
        <v>1.73792358483182E-010</v>
      </c>
      <c r="D372" s="2" t="n">
        <v>8.68963671909313E-011</v>
      </c>
      <c r="E372" s="2" t="n">
        <v>8.68959737827282E-011</v>
      </c>
    </row>
    <row r="373" customFormat="false" ht="13.8" hidden="false" customHeight="false" outlineLevel="0" collapsed="false">
      <c r="B373" s="2" t="n">
        <v>371</v>
      </c>
      <c r="C373" s="2" t="n">
        <v>1.53708524888433E-017</v>
      </c>
      <c r="D373" s="2" t="n">
        <v>2.47458524888584E-017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1.42748943912407E-017</v>
      </c>
      <c r="D374" s="2" t="n">
        <v>2.56030193912593E-017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1.57618969192441E-017</v>
      </c>
      <c r="D375" s="2" t="n">
        <v>2.66993969192607E-017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1.50293008456424E-017</v>
      </c>
      <c r="D376" s="2" t="n">
        <v>2.36230508456567E-017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1.73743584760882E-010</v>
      </c>
      <c r="D377" s="2" t="n">
        <v>8.6871981548842E-011</v>
      </c>
      <c r="E377" s="2" t="n">
        <v>8.68715861630998E-011</v>
      </c>
    </row>
    <row r="378" customFormat="false" ht="13.8" hidden="false" customHeight="false" outlineLevel="0" collapsed="false">
      <c r="B378" s="2" t="n">
        <v>376</v>
      </c>
      <c r="C378" s="2" t="n">
        <v>1.73734158617092E-010</v>
      </c>
      <c r="D378" s="2" t="n">
        <v>8.68672674755156E-011</v>
      </c>
      <c r="E378" s="2" t="n">
        <v>8.68668728954375E-011</v>
      </c>
    </row>
    <row r="379" customFormat="false" ht="13.8" hidden="false" customHeight="false" outlineLevel="0" collapsed="false">
      <c r="B379" s="2" t="n">
        <v>377</v>
      </c>
      <c r="C379" s="2" t="n">
        <v>1.56085274592439E-017</v>
      </c>
      <c r="D379" s="2" t="n">
        <v>2.55694649592595E-017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1.73715769595828E-010</v>
      </c>
      <c r="D380" s="2" t="n">
        <v>8.68580731048094E-011</v>
      </c>
      <c r="E380" s="2" t="n">
        <v>8.6857678250073E-011</v>
      </c>
    </row>
    <row r="381" customFormat="false" ht="13.8" hidden="false" customHeight="false" outlineLevel="0" collapsed="false">
      <c r="B381" s="2" t="n">
        <v>379</v>
      </c>
      <c r="C381" s="2" t="n">
        <v>1.73706799923915E-010</v>
      </c>
      <c r="D381" s="2" t="n">
        <v>8.68535867942183E-011</v>
      </c>
      <c r="E381" s="2" t="n">
        <v>8.68531934348433E-011</v>
      </c>
    </row>
    <row r="382" customFormat="false" ht="13.8" hidden="false" customHeight="false" outlineLevel="0" collapsed="false">
      <c r="B382" s="2" t="n">
        <v>380</v>
      </c>
      <c r="C382" s="2" t="n">
        <v>1.73698021973041E-010</v>
      </c>
      <c r="D382" s="2" t="n">
        <v>8.68491978694806E-011</v>
      </c>
      <c r="E382" s="2" t="n">
        <v>8.6848803698338E-011</v>
      </c>
    </row>
    <row r="383" customFormat="false" ht="13.8" hidden="false" customHeight="false" outlineLevel="0" collapsed="false">
      <c r="B383" s="2" t="n">
        <v>381</v>
      </c>
      <c r="C383" s="2" t="n">
        <v>1.57904181864442E-017</v>
      </c>
      <c r="D383" s="2" t="n">
        <v>2.4384168186458E-017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1.48205665728423E-017</v>
      </c>
      <c r="D384" s="2" t="n">
        <v>2.37561134478573E-017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1.73672404429478E-010</v>
      </c>
      <c r="D385" s="2" t="n">
        <v>8.68364035373694E-011</v>
      </c>
      <c r="E385" s="2" t="n">
        <v>8.68359951610572E-011</v>
      </c>
    </row>
    <row r="386" customFormat="false" ht="13.8" hidden="false" customHeight="false" outlineLevel="0" collapsed="false">
      <c r="B386" s="2" t="n">
        <v>384</v>
      </c>
      <c r="C386" s="2" t="n">
        <v>1.42186771800424E-017</v>
      </c>
      <c r="D386" s="2" t="n">
        <v>3.9174426533844E-017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1.46122356328433E-017</v>
      </c>
      <c r="D387" s="2" t="n">
        <v>3.82229228097554E-017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1.73647612877543E-010</v>
      </c>
      <c r="D388" s="2" t="n">
        <v>8.68239944728974E-011</v>
      </c>
      <c r="E388" s="2" t="n">
        <v>8.68235997463349E-011</v>
      </c>
    </row>
    <row r="389" customFormat="false" ht="13.8" hidden="false" customHeight="false" outlineLevel="0" collapsed="false">
      <c r="B389" s="2" t="n">
        <v>387</v>
      </c>
      <c r="C389" s="2" t="n">
        <v>1.73639561857393E-010</v>
      </c>
      <c r="D389" s="2" t="n">
        <v>8.68199675891698E-011</v>
      </c>
      <c r="E389" s="2" t="n">
        <v>8.68195741077244E-011</v>
      </c>
    </row>
    <row r="390" customFormat="false" ht="13.8" hidden="false" customHeight="false" outlineLevel="0" collapsed="false">
      <c r="B390" s="2" t="n">
        <v>388</v>
      </c>
      <c r="C390" s="2" t="n">
        <v>1.73631672818191E-010</v>
      </c>
      <c r="D390" s="2" t="n">
        <v>8.68160225600718E-011</v>
      </c>
      <c r="E390" s="2" t="n">
        <v>8.68156292006968E-011</v>
      </c>
    </row>
    <row r="391" customFormat="false" ht="13.8" hidden="false" customHeight="false" outlineLevel="0" collapsed="false">
      <c r="B391" s="2" t="n">
        <v>389</v>
      </c>
      <c r="C391" s="2" t="n">
        <v>1.73623941804854E-010</v>
      </c>
      <c r="D391" s="2" t="n">
        <v>8.68121584090208E-011</v>
      </c>
      <c r="E391" s="2" t="n">
        <v>8.68117640730833E-011</v>
      </c>
    </row>
    <row r="392" customFormat="false" ht="13.8" hidden="false" customHeight="false" outlineLevel="0" collapsed="false">
      <c r="B392" s="2" t="n">
        <v>390</v>
      </c>
      <c r="C392" s="2" t="n">
        <v>1.73616366307176E-010</v>
      </c>
      <c r="D392" s="2" t="n">
        <v>8.68083690125223E-011</v>
      </c>
      <c r="E392" s="2" t="n">
        <v>8.68079761780496E-011</v>
      </c>
    </row>
    <row r="393" customFormat="false" ht="13.8" hidden="false" customHeight="false" outlineLevel="0" collapsed="false">
      <c r="B393" s="2" t="n">
        <v>391</v>
      </c>
      <c r="C393" s="2" t="n">
        <v>1.73608942014931E-010</v>
      </c>
      <c r="D393" s="2" t="n">
        <v>8.6804657775174E-011</v>
      </c>
      <c r="E393" s="2" t="n">
        <v>8.6804264415799E-011</v>
      </c>
    </row>
    <row r="394" customFormat="false" ht="13.8" hidden="false" customHeight="false" outlineLevel="0" collapsed="false">
      <c r="B394" s="2" t="n">
        <v>392</v>
      </c>
      <c r="C394" s="2" t="n">
        <v>1.73601666409594E-010</v>
      </c>
      <c r="D394" s="2" t="n">
        <v>8.68010206159452E-011</v>
      </c>
      <c r="E394" s="2" t="n">
        <v>8.68006262800077E-011</v>
      </c>
    </row>
    <row r="395" customFormat="false" ht="13.8" hidden="false" customHeight="false" outlineLevel="0" collapsed="false">
      <c r="B395" s="2" t="n">
        <v>393</v>
      </c>
      <c r="C395" s="2" t="n">
        <v>1.73594535079091E-010</v>
      </c>
      <c r="D395" s="2" t="n">
        <v>8.67974542946144E-011</v>
      </c>
      <c r="E395" s="2" t="n">
        <v>8.67970608375831E-011</v>
      </c>
    </row>
    <row r="396" customFormat="false" ht="13.8" hidden="false" customHeight="false" outlineLevel="0" collapsed="false">
      <c r="B396" s="2" t="n">
        <v>394</v>
      </c>
      <c r="C396" s="2" t="n">
        <v>1.73587545950883E-010</v>
      </c>
      <c r="D396" s="2" t="n">
        <v>8.67939594730155E-011</v>
      </c>
      <c r="E396" s="2" t="n">
        <v>8.67935660159842E-011</v>
      </c>
    </row>
    <row r="397" customFormat="false" ht="13.8" hidden="false" customHeight="false" outlineLevel="0" collapsed="false">
      <c r="B397" s="2" t="n">
        <v>395</v>
      </c>
      <c r="C397" s="2" t="n">
        <v>1.7358069392896E-010</v>
      </c>
      <c r="D397" s="2" t="n">
        <v>8.67905333988599E-011</v>
      </c>
      <c r="E397" s="2" t="n">
        <v>8.67901403324536E-011</v>
      </c>
    </row>
    <row r="398" customFormat="false" ht="13.8" hidden="false" customHeight="false" outlineLevel="0" collapsed="false">
      <c r="B398" s="2" t="n">
        <v>396</v>
      </c>
      <c r="C398" s="2" t="n">
        <v>1.73573977864143E-010</v>
      </c>
      <c r="D398" s="2" t="n">
        <v>8.67871756065663E-011</v>
      </c>
      <c r="E398" s="2" t="n">
        <v>8.67867820518788E-011</v>
      </c>
    </row>
    <row r="399" customFormat="false" ht="13.8" hidden="false" customHeight="false" outlineLevel="0" collapsed="false">
      <c r="B399" s="2" t="n">
        <v>397</v>
      </c>
      <c r="C399" s="2" t="n">
        <v>1.73567393173025E-010</v>
      </c>
      <c r="D399" s="2" t="n">
        <v>8.67838833681729E-011</v>
      </c>
      <c r="E399" s="2" t="n">
        <v>8.67834897158291E-011</v>
      </c>
    </row>
    <row r="400" customFormat="false" ht="13.8" hidden="false" customHeight="false" outlineLevel="0" collapsed="false">
      <c r="B400" s="2" t="n">
        <v>398</v>
      </c>
      <c r="C400" s="2" t="n">
        <v>1.73560937871148E-010</v>
      </c>
      <c r="D400" s="2" t="n">
        <v>8.67806554804691E-011</v>
      </c>
      <c r="E400" s="2" t="n">
        <v>8.67802619257816E-011</v>
      </c>
    </row>
    <row r="401" customFormat="false" ht="13.8" hidden="false" customHeight="false" outlineLevel="0" collapsed="false">
      <c r="B401" s="2" t="n">
        <v>399</v>
      </c>
      <c r="C401" s="2" t="n">
        <v>1.73554607336171E-010</v>
      </c>
      <c r="D401" s="2" t="n">
        <v>8.67774908367135E-011</v>
      </c>
      <c r="E401" s="2" t="n">
        <v>8.6777096891401E-011</v>
      </c>
    </row>
    <row r="402" customFormat="false" ht="13.8" hidden="false" customHeight="false" outlineLevel="0" collapsed="false">
      <c r="B402" s="2" t="n">
        <v>400</v>
      </c>
      <c r="C402" s="2" t="n">
        <v>1.73548400217962E-010</v>
      </c>
      <c r="D402" s="2" t="n">
        <v>8.67743871834553E-011</v>
      </c>
      <c r="E402" s="2" t="n">
        <v>8.67739932381428E-011</v>
      </c>
    </row>
    <row r="403" customFormat="false" ht="13.8" hidden="false" customHeight="false" outlineLevel="0" collapsed="false">
      <c r="B403" s="2" t="n">
        <v>401</v>
      </c>
      <c r="C403" s="2" t="n">
        <v>1.53930823000436E-017</v>
      </c>
      <c r="D403" s="2" t="n">
        <v>2.51587073000592E-017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1.52246133456432E-017</v>
      </c>
      <c r="D404" s="2" t="n">
        <v>2.47949258456587E-017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1.73530233448148E-010</v>
      </c>
      <c r="D405" s="2" t="n">
        <v>8.67653039548101E-011</v>
      </c>
      <c r="E405" s="2" t="n">
        <v>8.67649096188726E-011</v>
      </c>
    </row>
    <row r="406" customFormat="false" ht="13.8" hidden="false" customHeight="false" outlineLevel="0" collapsed="false">
      <c r="B406" s="2" t="n">
        <v>404</v>
      </c>
      <c r="C406" s="2" t="n">
        <v>1.73524320314716E-010</v>
      </c>
      <c r="D406" s="2" t="n">
        <v>8.67623470462724E-011</v>
      </c>
      <c r="E406" s="2" t="n">
        <v>8.67619530033036E-011</v>
      </c>
    </row>
    <row r="407" customFormat="false" ht="13.8" hidden="false" customHeight="false" outlineLevel="0" collapsed="false">
      <c r="B407" s="2" t="n">
        <v>405</v>
      </c>
      <c r="C407" s="2" t="n">
        <v>1.5601816572844E-017</v>
      </c>
      <c r="D407" s="2" t="n">
        <v>2.49768165728589E-017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1.83715820311967E-017</v>
      </c>
      <c r="D408" s="2" t="n">
        <v>0.00360723353390743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2.30224609374613E-017</v>
      </c>
      <c r="D409" s="2" t="n">
        <v>0.0072144670678128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2.81738281249749E-017</v>
      </c>
      <c r="D410" s="2" t="n">
        <v>0.0108217006017182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2.75390624999732E-017</v>
      </c>
      <c r="D411" s="2" t="n">
        <v>0.0144289341356235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6.38595226203126E-019</v>
      </c>
      <c r="D412" s="2" t="n">
        <v>0.0120721693663554</v>
      </c>
      <c r="E412" s="2" t="n">
        <v>2.62811541890386E-018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0.0180900580427488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0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0</v>
      </c>
      <c r="D431" s="2" t="n">
        <v>8.76239660475953E-018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0</v>
      </c>
      <c r="D432" s="2" t="n">
        <v>1.67221494951801E-017</v>
      </c>
      <c r="E432" s="2" t="n">
        <v>9.12680791952963E-019</v>
      </c>
    </row>
    <row r="433" customFormat="false" ht="13.8" hidden="false" customHeight="false" outlineLevel="0" collapsed="false">
      <c r="B433" s="2" t="n">
        <v>431</v>
      </c>
      <c r="C433" s="2" t="n">
        <v>0</v>
      </c>
      <c r="D433" s="2" t="n">
        <v>0</v>
      </c>
      <c r="E433" s="2" t="n">
        <v>6.79965509641523E-010</v>
      </c>
    </row>
    <row r="434" customFormat="false" ht="13.8" hidden="false" customHeight="false" outlineLevel="0" collapsed="false">
      <c r="B434" s="2" t="n">
        <v>432</v>
      </c>
      <c r="C434" s="2" t="n">
        <v>1.64817719638309E-010</v>
      </c>
      <c r="D434" s="2" t="n">
        <v>1.70900556428042E-010</v>
      </c>
      <c r="E434" s="2" t="n">
        <v>1.22337327300828E-010</v>
      </c>
    </row>
    <row r="435" customFormat="false" ht="13.8" hidden="false" customHeight="false" outlineLevel="0" collapsed="false">
      <c r="B435" s="2" t="n">
        <v>433</v>
      </c>
      <c r="C435" s="2" t="n">
        <v>2.14557036442712E-010</v>
      </c>
      <c r="D435" s="2" t="n">
        <v>2.20641881165765E-010</v>
      </c>
      <c r="E435" s="2" t="n">
        <v>1.58378977295073E-010</v>
      </c>
    </row>
    <row r="436" customFormat="false" ht="13.8" hidden="false" customHeight="false" outlineLevel="0" collapsed="false">
      <c r="B436" s="2" t="n">
        <v>434</v>
      </c>
      <c r="C436" s="2" t="n">
        <v>2.64391130411513E-010</v>
      </c>
      <c r="D436" s="2" t="n">
        <v>2.7047752733229E-010</v>
      </c>
      <c r="E436" s="2" t="n">
        <v>1.94502155484533E-010</v>
      </c>
    </row>
    <row r="437" customFormat="false" ht="13.8" hidden="false" customHeight="false" outlineLevel="0" collapsed="false">
      <c r="B437" s="2" t="n">
        <v>435</v>
      </c>
      <c r="C437" s="2" t="n">
        <v>3.14323264012173E-010</v>
      </c>
      <c r="D437" s="2" t="n">
        <v>3.2041080454137E-010</v>
      </c>
      <c r="E437" s="2" t="n">
        <v>2.30707235638887E-010</v>
      </c>
    </row>
    <row r="438" customFormat="false" ht="13.8" hidden="false" customHeight="false" outlineLevel="0" collapsed="false">
      <c r="B438" s="2" t="n">
        <v>436</v>
      </c>
      <c r="C438" s="2" t="n">
        <v>3.62979430697954E-010</v>
      </c>
      <c r="D438" s="2" t="n">
        <v>3.69069018693602E-010</v>
      </c>
      <c r="E438" s="2" t="n">
        <v>2.65870625895409E-010</v>
      </c>
    </row>
    <row r="439" customFormat="false" ht="13.8" hidden="false" customHeight="false" outlineLevel="0" collapsed="false">
      <c r="B439" s="2" t="n">
        <v>437</v>
      </c>
      <c r="C439" s="2" t="n">
        <v>4.10608659863313E-010</v>
      </c>
      <c r="D439" s="2" t="n">
        <v>4.16700943486411E-010</v>
      </c>
      <c r="E439" s="2" t="n">
        <v>3.0020003525436E-010</v>
      </c>
    </row>
    <row r="440" customFormat="false" ht="13.8" hidden="false" customHeight="false" outlineLevel="0" collapsed="false">
      <c r="B440" s="2" t="n">
        <v>438</v>
      </c>
      <c r="C440" s="2" t="n">
        <v>2.29531982956581E-010</v>
      </c>
      <c r="D440" s="2" t="n">
        <v>2.36409392627955E-010</v>
      </c>
      <c r="E440" s="2" t="n">
        <v>1.60857163784735E-010</v>
      </c>
    </row>
    <row r="441" customFormat="false" ht="13.8" hidden="false" customHeight="false" outlineLevel="0" collapsed="false">
      <c r="B441" s="2" t="n">
        <v>439</v>
      </c>
      <c r="C441" s="2" t="n">
        <v>0</v>
      </c>
      <c r="D441" s="2" t="n">
        <v>2.65903271267414E-017</v>
      </c>
      <c r="E441" s="2" t="n">
        <v>6.4424510650891E-019</v>
      </c>
    </row>
    <row r="442" customFormat="false" ht="13.8" hidden="false" customHeight="false" outlineLevel="0" collapsed="false">
      <c r="B442" s="2" t="n">
        <v>440</v>
      </c>
      <c r="C442" s="2" t="n">
        <v>0</v>
      </c>
      <c r="D442" s="2" t="n">
        <v>1.36980068091378E-017</v>
      </c>
      <c r="E442" s="2" t="n">
        <v>5.23449149004041E-019</v>
      </c>
    </row>
    <row r="443" customFormat="false" ht="13.8" hidden="false" customHeight="false" outlineLevel="0" collapsed="false">
      <c r="B443" s="2" t="n">
        <v>441</v>
      </c>
      <c r="C443" s="2" t="n">
        <v>2.30259679742328E-012</v>
      </c>
      <c r="D443" s="2" t="n">
        <v>4.60066596656276E-012</v>
      </c>
      <c r="E443" s="2" t="n">
        <v>2.30260421929833E-012</v>
      </c>
    </row>
    <row r="444" customFormat="false" ht="13.8" hidden="false" customHeight="false" outlineLevel="0" collapsed="false">
      <c r="B444" s="2" t="n">
        <v>442</v>
      </c>
      <c r="C444" s="2" t="n">
        <v>0</v>
      </c>
      <c r="D444" s="2" t="n">
        <v>1.31605051791654E-017</v>
      </c>
      <c r="E444" s="2" t="n">
        <v>5.90558012123519E-019</v>
      </c>
    </row>
    <row r="445" customFormat="false" ht="13.8" hidden="false" customHeight="false" outlineLevel="0" collapsed="false">
      <c r="B445" s="2" t="n">
        <v>443</v>
      </c>
      <c r="C445" s="2" t="n">
        <v>0</v>
      </c>
      <c r="D445" s="2" t="n">
        <v>1.36577414979666E-017</v>
      </c>
      <c r="E445" s="2" t="n">
        <v>4.83183827824148E-019</v>
      </c>
    </row>
    <row r="446" customFormat="false" ht="13.8" hidden="false" customHeight="false" outlineLevel="0" collapsed="false">
      <c r="B446" s="2" t="n">
        <v>444</v>
      </c>
      <c r="C446" s="2" t="n">
        <v>0</v>
      </c>
      <c r="D446" s="2" t="n">
        <v>1.36308979539467E-017</v>
      </c>
      <c r="E446" s="2" t="n">
        <v>4.56340282119927E-019</v>
      </c>
    </row>
    <row r="447" customFormat="false" ht="13.8" hidden="false" customHeight="false" outlineLevel="0" collapsed="false">
      <c r="B447" s="2" t="n">
        <v>445</v>
      </c>
      <c r="C447" s="2" t="n">
        <v>0</v>
      </c>
      <c r="D447" s="2" t="n">
        <v>1.21757721460688E-017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0</v>
      </c>
      <c r="D448" s="2" t="n">
        <v>1.11570477020918E-017</v>
      </c>
      <c r="E448" s="2" t="n">
        <v>0</v>
      </c>
    </row>
    <row r="449" customFormat="false" ht="13.8" hidden="false" customHeight="false" outlineLevel="0" collapsed="false">
      <c r="B449" s="2" t="n">
        <v>447</v>
      </c>
      <c r="C449" s="2" t="n">
        <v>0</v>
      </c>
      <c r="D449" s="2" t="n">
        <v>1.1666409925676E-017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0</v>
      </c>
      <c r="D450" s="2" t="n">
        <v>1.16261446074963E-017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0</v>
      </c>
      <c r="D451" s="2" t="n">
        <v>1.4842505264418E-017</v>
      </c>
      <c r="E451" s="2" t="n">
        <v>0</v>
      </c>
    </row>
    <row r="452" customFormat="false" ht="13.8" hidden="false" customHeight="false" outlineLevel="0" collapsed="false">
      <c r="B452" s="2" t="n">
        <v>450</v>
      </c>
      <c r="C452" s="2" t="n">
        <v>0</v>
      </c>
      <c r="D452" s="2" t="n">
        <v>1.35921583640457E-017</v>
      </c>
      <c r="E452" s="2" t="n">
        <v>1.86511235118545E-019</v>
      </c>
    </row>
    <row r="453" customFormat="false" ht="13.8" hidden="false" customHeight="false" outlineLevel="0" collapsed="false">
      <c r="B453" s="2" t="n">
        <v>451</v>
      </c>
      <c r="C453" s="2" t="n">
        <v>7.75227668232099E-018</v>
      </c>
      <c r="D453" s="2" t="n">
        <v>0.0261780519358625</v>
      </c>
      <c r="E453" s="2" t="n">
        <v>5.99446418232455E-018</v>
      </c>
    </row>
    <row r="454" customFormat="false" ht="13.8" hidden="false" customHeight="false" outlineLevel="0" collapsed="false">
      <c r="B454" s="2" t="n">
        <v>452</v>
      </c>
      <c r="C454" s="2" t="n">
        <v>0</v>
      </c>
      <c r="D454" s="2" t="n">
        <v>1.13915961576086E-017</v>
      </c>
      <c r="E454" s="2" t="n">
        <v>4.86190871502946E-019</v>
      </c>
    </row>
    <row r="455" customFormat="false" ht="13.8" hidden="false" customHeight="false" outlineLevel="0" collapsed="false">
      <c r="B455" s="2" t="n">
        <v>453</v>
      </c>
      <c r="C455" s="2" t="n">
        <v>3.15374017761096E-018</v>
      </c>
      <c r="D455" s="2" t="n">
        <v>0.0566470453280072</v>
      </c>
      <c r="E455" s="2" t="n">
        <v>3.61715556301395E-018</v>
      </c>
    </row>
    <row r="456" customFormat="false" ht="13.8" hidden="false" customHeight="false" outlineLevel="0" collapsed="false">
      <c r="B456" s="2" t="n">
        <v>454</v>
      </c>
      <c r="C456" s="2" t="n">
        <v>5.51081790660921E-017</v>
      </c>
      <c r="D456" s="2" t="n">
        <v>0.00703454161766808</v>
      </c>
      <c r="E456" s="2" t="n">
        <v>5.37409915660929E-017</v>
      </c>
    </row>
    <row r="457" customFormat="false" ht="13.8" hidden="false" customHeight="false" outlineLevel="0" collapsed="false">
      <c r="B457" s="2" t="n">
        <v>455</v>
      </c>
      <c r="C457" s="2" t="n">
        <v>0</v>
      </c>
      <c r="D457" s="2" t="n">
        <v>0.0247601365132003</v>
      </c>
      <c r="E457" s="2" t="n">
        <v>9.15991457638251E-016</v>
      </c>
    </row>
    <row r="458" customFormat="false" ht="13.8" hidden="false" customHeight="false" outlineLevel="0" collapsed="false">
      <c r="B458" s="2" t="n">
        <v>456</v>
      </c>
      <c r="C458" s="2" t="n">
        <v>0</v>
      </c>
      <c r="D458" s="2" t="n">
        <v>0.0125805443700067</v>
      </c>
      <c r="E458" s="2" t="n">
        <v>9.17080518541402E-016</v>
      </c>
    </row>
    <row r="459" customFormat="false" ht="13.8" hidden="false" customHeight="false" outlineLevel="0" collapsed="false">
      <c r="B459" s="2" t="n">
        <v>457</v>
      </c>
      <c r="C459" s="2" t="n">
        <v>7.29148290426657E-018</v>
      </c>
      <c r="D459" s="2" t="n">
        <v>9.14505863925142E-016</v>
      </c>
      <c r="E459" s="2" t="n">
        <v>9.20755864297953E-016</v>
      </c>
    </row>
    <row r="460" customFormat="false" ht="13.8" hidden="false" customHeight="false" outlineLevel="0" collapsed="false">
      <c r="B460" s="2" t="n">
        <v>458</v>
      </c>
      <c r="C460" s="2" t="n">
        <v>7.28477201786658E-018</v>
      </c>
      <c r="D460" s="2" t="n">
        <v>9.18405403038741E-016</v>
      </c>
      <c r="E460" s="2" t="n">
        <v>9.20199611115808E-016</v>
      </c>
    </row>
    <row r="461" customFormat="false" ht="13.8" hidden="false" customHeight="false" outlineLevel="0" collapsed="false">
      <c r="B461" s="2" t="n">
        <v>459</v>
      </c>
      <c r="C461" s="2" t="n">
        <v>6.87796972067287E-018</v>
      </c>
      <c r="D461" s="2" t="n">
        <v>9.22835295929128E-016</v>
      </c>
      <c r="E461" s="2" t="n">
        <v>9.19806145366894E-016</v>
      </c>
    </row>
    <row r="462" customFormat="false" ht="13.8" hidden="false" customHeight="false" outlineLevel="0" collapsed="false">
      <c r="B462" s="2" t="n">
        <v>460</v>
      </c>
      <c r="C462" s="2" t="n">
        <v>6.7974390838729E-018</v>
      </c>
      <c r="D462" s="2" t="n">
        <v>9.18894632604748E-016</v>
      </c>
      <c r="E462" s="2" t="n">
        <v>9.19920927242895E-016</v>
      </c>
    </row>
    <row r="463" customFormat="false" ht="13.8" hidden="false" customHeight="false" outlineLevel="0" collapsed="false">
      <c r="B463" s="2" t="n">
        <v>461</v>
      </c>
      <c r="C463" s="2" t="n">
        <v>4.87115762947289E-018</v>
      </c>
      <c r="D463" s="2" t="n">
        <v>9.21510270379541E-016</v>
      </c>
      <c r="E463" s="2" t="n">
        <v>9.19947770802152E-016</v>
      </c>
    </row>
    <row r="464" customFormat="false" ht="13.8" hidden="false" customHeight="false" outlineLevel="0" collapsed="false">
      <c r="B464" s="2" t="n">
        <v>462</v>
      </c>
      <c r="C464" s="2" t="n">
        <v>5.52695951786659E-018</v>
      </c>
      <c r="D464" s="2" t="n">
        <v>9.18405403038741E-016</v>
      </c>
      <c r="E464" s="2" t="n">
        <v>9.18441798668922E-016</v>
      </c>
    </row>
    <row r="465" customFormat="false" ht="13.8" hidden="false" customHeight="false" outlineLevel="0" collapsed="false">
      <c r="B465" s="2" t="n">
        <v>463</v>
      </c>
      <c r="C465" s="2" t="n">
        <v>6.7840173110729E-018</v>
      </c>
      <c r="D465" s="2" t="n">
        <v>9.19271835831948E-016</v>
      </c>
      <c r="E465" s="2" t="n">
        <v>9.22324045899956E-016</v>
      </c>
    </row>
    <row r="466" customFormat="false" ht="13.8" hidden="false" customHeight="false" outlineLevel="0" collapsed="false">
      <c r="B466" s="2" t="n">
        <v>464</v>
      </c>
      <c r="C466" s="2" t="n">
        <v>6.81086085667289E-018</v>
      </c>
      <c r="D466" s="2" t="n">
        <v>9.19934348606741E-016</v>
      </c>
      <c r="E466" s="2" t="n">
        <v>9.21374326962382E-016</v>
      </c>
    </row>
    <row r="467" customFormat="false" ht="13.8" hidden="false" customHeight="false" outlineLevel="0" collapsed="false">
      <c r="B467" s="2" t="n">
        <v>465</v>
      </c>
      <c r="C467" s="2" t="n">
        <v>9.93586085667287E-018</v>
      </c>
      <c r="D467" s="2" t="n">
        <v>9.21496848606741E-016</v>
      </c>
      <c r="E467" s="2" t="n">
        <v>9.18835264480505E-016</v>
      </c>
    </row>
    <row r="468" customFormat="false" ht="13.8" hidden="false" customHeight="false" outlineLevel="0" collapsed="false">
      <c r="B468" s="2" t="n">
        <v>466</v>
      </c>
      <c r="C468" s="2" t="n">
        <v>3.57383451786659E-018</v>
      </c>
      <c r="D468" s="2" t="n">
        <v>9.18405403038741E-016</v>
      </c>
      <c r="E468" s="2" t="n">
        <v>9.20248439364066E-016</v>
      </c>
    </row>
    <row r="469" customFormat="false" ht="13.8" hidden="false" customHeight="false" outlineLevel="0" collapsed="false">
      <c r="B469" s="2" t="n">
        <v>467</v>
      </c>
      <c r="C469" s="2" t="n">
        <v>6.8192494646729E-018</v>
      </c>
      <c r="D469" s="2" t="n">
        <v>9.21505237214741E-016</v>
      </c>
      <c r="E469" s="2" t="n">
        <v>9.20140932575506E-016</v>
      </c>
    </row>
    <row r="470" customFormat="false" ht="13.8" hidden="false" customHeight="false" outlineLevel="0" collapsed="false">
      <c r="B470" s="2" t="n">
        <v>468</v>
      </c>
      <c r="C470" s="2" t="n">
        <v>3.54699097226659E-018</v>
      </c>
      <c r="D470" s="2" t="n">
        <v>9.21258515263948E-016</v>
      </c>
      <c r="E470" s="2" t="n">
        <v>9.21051673987706E-016</v>
      </c>
    </row>
    <row r="471" customFormat="false" ht="13.8" hidden="false" customHeight="false" outlineLevel="0" collapsed="false">
      <c r="B471" s="2" t="n">
        <v>469</v>
      </c>
      <c r="C471" s="2" t="n">
        <v>5.5001159722666E-018</v>
      </c>
      <c r="D471" s="2" t="n">
        <v>9.21258515263948E-016</v>
      </c>
      <c r="E471" s="2" t="n">
        <v>9.2022159588785E-016</v>
      </c>
    </row>
    <row r="472" customFormat="false" ht="13.8" hidden="false" customHeight="false" outlineLevel="0" collapsed="false">
      <c r="B472" s="2" t="n">
        <v>470</v>
      </c>
      <c r="C472" s="2" t="n">
        <v>6.81086085667289E-018</v>
      </c>
      <c r="D472" s="2" t="n">
        <v>9.19934348606741E-016</v>
      </c>
      <c r="E472" s="2" t="n">
        <v>9.20495420847067E-016</v>
      </c>
    </row>
    <row r="473" customFormat="false" ht="13.8" hidden="false" customHeight="false" outlineLevel="0" collapsed="false">
      <c r="B473" s="2" t="n">
        <v>471</v>
      </c>
      <c r="C473" s="2" t="n">
        <v>7.08945951786657E-018</v>
      </c>
      <c r="D473" s="2" t="n">
        <v>9.18405403038741E-016</v>
      </c>
      <c r="E473" s="2" t="n">
        <v>9.20248439491298E-016</v>
      </c>
    </row>
    <row r="474" customFormat="false" ht="13.8" hidden="false" customHeight="false" outlineLevel="0" collapsed="false">
      <c r="B474" s="2" t="n">
        <v>472</v>
      </c>
      <c r="C474" s="2" t="n">
        <v>0</v>
      </c>
      <c r="D474" s="2" t="n">
        <v>9.19967903038741E-016</v>
      </c>
      <c r="E474" s="2" t="n">
        <v>9.21078517649801E-016</v>
      </c>
    </row>
    <row r="475" customFormat="false" ht="13.8" hidden="false" customHeight="false" outlineLevel="0" collapsed="false">
      <c r="B475" s="2" t="n">
        <v>473</v>
      </c>
      <c r="C475" s="2" t="n">
        <v>7.08945951786657E-018</v>
      </c>
      <c r="D475" s="2" t="n">
        <v>9.19967903038741E-016</v>
      </c>
      <c r="E475" s="2" t="n">
        <v>9.19369533312036E-016</v>
      </c>
    </row>
    <row r="476" customFormat="false" ht="13.8" hidden="false" customHeight="false" outlineLevel="0" collapsed="false">
      <c r="B476" s="2" t="n">
        <v>474</v>
      </c>
      <c r="C476" s="2" t="n">
        <v>5.52024863146659E-018</v>
      </c>
      <c r="D476" s="2" t="n">
        <v>9.19961192152341E-016</v>
      </c>
      <c r="E476" s="2" t="n">
        <v>9.20522264535426E-016</v>
      </c>
    </row>
    <row r="477" customFormat="false" ht="13.8" hidden="false" customHeight="false" outlineLevel="0" collapsed="false">
      <c r="B477" s="2" t="n">
        <v>475</v>
      </c>
      <c r="C477" s="2" t="n">
        <v>6.62058152147289E-018</v>
      </c>
      <c r="D477" s="2" t="n">
        <v>9.21501881771541E-016</v>
      </c>
      <c r="E477" s="2" t="n">
        <v>9.2027784530661E-016</v>
      </c>
    </row>
    <row r="478" customFormat="false" ht="13.8" hidden="false" customHeight="false" outlineLevel="0" collapsed="false">
      <c r="B478" s="2" t="n">
        <v>476</v>
      </c>
      <c r="C478" s="2" t="n">
        <v>5.19480139606974E-018</v>
      </c>
      <c r="D478" s="2" t="n">
        <v>9.19953579531541E-016</v>
      </c>
      <c r="E478" s="2" t="n">
        <v>9.19394624828747E-016</v>
      </c>
    </row>
    <row r="479" customFormat="false" ht="13.8" hidden="false" customHeight="false" outlineLevel="0" collapsed="false">
      <c r="B479" s="2" t="n">
        <v>477</v>
      </c>
      <c r="C479" s="2" t="n">
        <v>4.96399543776816E-018</v>
      </c>
      <c r="D479" s="2" t="n">
        <v>9.21516981265941E-016</v>
      </c>
      <c r="E479" s="2" t="n">
        <v>9.23152272559815E-016</v>
      </c>
    </row>
    <row r="480" customFormat="false" ht="13.8" hidden="false" customHeight="false" outlineLevel="0" collapsed="false">
      <c r="B480" s="2" t="n">
        <v>478</v>
      </c>
      <c r="C480" s="2" t="n">
        <v>6.62016209107289E-018</v>
      </c>
      <c r="D480" s="2" t="n">
        <v>9.19938962341141E-016</v>
      </c>
      <c r="E480" s="2" t="n">
        <v>9.21164710525394E-016</v>
      </c>
    </row>
    <row r="481" customFormat="false" ht="13.8" hidden="false" customHeight="false" outlineLevel="0" collapsed="false">
      <c r="B481" s="2" t="n">
        <v>479</v>
      </c>
      <c r="C481" s="2" t="n">
        <v>6.94680474406974E-018</v>
      </c>
      <c r="D481" s="2" t="n">
        <v>9.19947770379541E-016</v>
      </c>
      <c r="E481" s="2" t="n">
        <v>9.19629936825454E-016</v>
      </c>
    </row>
    <row r="482" customFormat="false" ht="13.8" hidden="false" customHeight="false" outlineLevel="0" collapsed="false">
      <c r="B482" s="2" t="n">
        <v>480</v>
      </c>
      <c r="C482" s="2" t="n">
        <v>5.79826786676815E-018</v>
      </c>
      <c r="D482" s="2" t="n">
        <v>9.21521175569941E-016</v>
      </c>
      <c r="E482" s="2" t="n">
        <v>9.19471610741813E-016</v>
      </c>
    </row>
    <row r="483" customFormat="false" ht="13.8" hidden="false" customHeight="false" outlineLevel="0" collapsed="false">
      <c r="B483" s="2" t="n">
        <v>481</v>
      </c>
      <c r="C483" s="2" t="n">
        <v>5.79879256436816E-018</v>
      </c>
      <c r="D483" s="2" t="n">
        <v>9.18396700267541E-016</v>
      </c>
      <c r="E483" s="2" t="n">
        <v>9.20314245404133E-016</v>
      </c>
    </row>
    <row r="484" customFormat="false" ht="13.8" hidden="false" customHeight="false" outlineLevel="0" collapsed="false">
      <c r="B484" s="2" t="n">
        <v>482</v>
      </c>
      <c r="C484" s="2" t="n">
        <v>5.97464626326975E-018</v>
      </c>
      <c r="D484" s="2" t="n">
        <v>9.19952174398741E-016</v>
      </c>
      <c r="E484" s="2" t="n">
        <v>9.20321516424626E-016</v>
      </c>
    </row>
    <row r="485" customFormat="false" ht="13.8" hidden="false" customHeight="false" outlineLevel="0" collapsed="false">
      <c r="B485" s="2" t="n">
        <v>483</v>
      </c>
      <c r="C485" s="2" t="n">
        <v>6.81086085667289E-018</v>
      </c>
      <c r="D485" s="2" t="n">
        <v>9.20715598606741E-016</v>
      </c>
      <c r="E485" s="2" t="n">
        <v>9.20495421836178E-016</v>
      </c>
    </row>
    <row r="486" customFormat="false" ht="13.8" hidden="false" customHeight="false" outlineLevel="0" collapsed="false">
      <c r="B486" s="2" t="n">
        <v>484</v>
      </c>
      <c r="C486" s="2" t="n">
        <v>4.21242974406975E-018</v>
      </c>
      <c r="D486" s="2" t="n">
        <v>9.20729020379541E-016</v>
      </c>
      <c r="E486" s="2" t="n">
        <v>9.20508843838296E-016</v>
      </c>
    </row>
    <row r="487" customFormat="false" ht="13.8" hidden="false" customHeight="false" outlineLevel="0" collapsed="false">
      <c r="B487" s="2" t="n">
        <v>485</v>
      </c>
      <c r="C487" s="2" t="n">
        <v>5.32829157466658E-018</v>
      </c>
      <c r="D487" s="2" t="n">
        <v>9.19964547595541E-016</v>
      </c>
      <c r="E487" s="2" t="n">
        <v>9.2128867376367E-016</v>
      </c>
    </row>
    <row r="488" customFormat="false" ht="13.8" hidden="false" customHeight="false" outlineLevel="0" collapsed="false">
      <c r="B488" s="2" t="n">
        <v>486</v>
      </c>
      <c r="C488" s="2" t="n">
        <v>5.27993760766975E-018</v>
      </c>
      <c r="D488" s="2" t="n">
        <v>9.20722309493141E-016</v>
      </c>
      <c r="E488" s="2" t="n">
        <v>9.21710403882685E-016</v>
      </c>
    </row>
    <row r="489" customFormat="false" ht="13.8" hidden="false" customHeight="false" outlineLevel="0" collapsed="false">
      <c r="B489" s="2" t="n">
        <v>487</v>
      </c>
      <c r="C489" s="2" t="n">
        <v>4.96735088096816E-018</v>
      </c>
      <c r="D489" s="2" t="n">
        <v>9.19957836709141E-016</v>
      </c>
      <c r="E489" s="2" t="n">
        <v>9.19524151454908E-016</v>
      </c>
    </row>
    <row r="490" customFormat="false" ht="13.8" hidden="false" customHeight="false" outlineLevel="0" collapsed="false">
      <c r="B490" s="2" t="n">
        <v>488</v>
      </c>
      <c r="C490" s="2" t="n">
        <v>5.79407356276815E-018</v>
      </c>
      <c r="D490" s="2" t="n">
        <v>9.20735731265941E-016</v>
      </c>
      <c r="E490" s="2" t="n">
        <v>9.21394463445871E-016</v>
      </c>
    </row>
    <row r="491" customFormat="false" ht="13.8" hidden="false" customHeight="false" outlineLevel="0" collapsed="false">
      <c r="B491" s="2" t="n">
        <v>489</v>
      </c>
      <c r="C491" s="2" t="n">
        <v>5.52360407466658E-018</v>
      </c>
      <c r="D491" s="2" t="n">
        <v>9.19964547595541E-016</v>
      </c>
      <c r="E491" s="2" t="n">
        <v>9.2040977187778E-016</v>
      </c>
    </row>
    <row r="492" customFormat="false" ht="13.8" hidden="false" customHeight="false" outlineLevel="0" collapsed="false">
      <c r="B492" s="2" t="n">
        <v>490</v>
      </c>
      <c r="C492" s="2" t="n">
        <v>5.62603614821736E-018</v>
      </c>
      <c r="D492" s="2" t="n">
        <v>9.20732375822741E-016</v>
      </c>
      <c r="E492" s="2" t="n">
        <v>9.2123219973052E-016</v>
      </c>
    </row>
    <row r="493" customFormat="false" ht="13.8" hidden="false" customHeight="false" outlineLevel="0" collapsed="false">
      <c r="B493" s="2" t="n">
        <v>491</v>
      </c>
      <c r="C493" s="2" t="n">
        <v>0</v>
      </c>
      <c r="D493" s="2" t="n">
        <v>0</v>
      </c>
      <c r="E493" s="2" t="n">
        <v>1.23778073710987E-011</v>
      </c>
    </row>
    <row r="494" customFormat="false" ht="13.8" hidden="false" customHeight="false" outlineLevel="0" collapsed="false">
      <c r="B494" s="2" t="n">
        <v>492</v>
      </c>
      <c r="C494" s="2" t="n">
        <v>0</v>
      </c>
      <c r="D494" s="2" t="n">
        <v>0</v>
      </c>
      <c r="E494" s="2" t="n">
        <v>2.67602544586256E-010</v>
      </c>
    </row>
    <row r="495" customFormat="false" ht="13.8" hidden="false" customHeight="false" outlineLevel="0" collapsed="false">
      <c r="B495" s="2" t="n">
        <v>493</v>
      </c>
      <c r="C495" s="2" t="n">
        <v>0</v>
      </c>
      <c r="D495" s="2" t="n">
        <v>4.0796607540169E-016</v>
      </c>
      <c r="E495" s="2" t="n">
        <v>0.00242476008297064</v>
      </c>
    </row>
    <row r="496" customFormat="false" ht="13.8" hidden="false" customHeight="false" outlineLevel="0" collapsed="false">
      <c r="B496" s="2" t="n">
        <v>494</v>
      </c>
      <c r="C496" s="2" t="n">
        <v>0</v>
      </c>
      <c r="D496" s="2" t="n">
        <v>4.06042054004603E-016</v>
      </c>
      <c r="E496" s="2" t="n">
        <v>0.0227188151838386</v>
      </c>
    </row>
    <row r="497" customFormat="false" ht="13.8" hidden="false" customHeight="false" outlineLevel="0" collapsed="false">
      <c r="B497" s="2" t="n">
        <v>495</v>
      </c>
      <c r="C497" s="2" t="n">
        <v>0</v>
      </c>
      <c r="D497" s="2" t="n">
        <v>4.09396954488917E-016</v>
      </c>
      <c r="E497" s="2" t="n">
        <v>0.0316957787932528</v>
      </c>
    </row>
    <row r="498" customFormat="false" ht="13.8" hidden="false" customHeight="false" outlineLevel="0" collapsed="false">
      <c r="B498" s="2" t="n">
        <v>496</v>
      </c>
      <c r="C498" s="2" t="n">
        <v>0</v>
      </c>
      <c r="D498" s="2" t="n">
        <v>4.07152667947305E-016</v>
      </c>
      <c r="E498" s="2" t="n">
        <v>0.0348502712985719</v>
      </c>
    </row>
    <row r="499" customFormat="false" ht="13.8" hidden="false" customHeight="false" outlineLevel="0" collapsed="false">
      <c r="B499" s="2" t="n">
        <v>497</v>
      </c>
      <c r="C499" s="2" t="n">
        <v>0</v>
      </c>
      <c r="D499" s="2" t="n">
        <v>4.07152667947305E-016</v>
      </c>
      <c r="E499" s="2" t="n">
        <v>0.0339648352491802</v>
      </c>
    </row>
    <row r="500" customFormat="false" ht="13.8" hidden="false" customHeight="false" outlineLevel="0" collapsed="false">
      <c r="B500" s="2" t="n">
        <v>498</v>
      </c>
      <c r="C500" s="2" t="n">
        <v>0</v>
      </c>
      <c r="D500" s="2" t="n">
        <v>4.07152667947305E-016</v>
      </c>
      <c r="E500" s="2" t="n">
        <v>0.0287133445943793</v>
      </c>
    </row>
    <row r="501" customFormat="false" ht="13.8" hidden="false" customHeight="false" outlineLevel="0" collapsed="false">
      <c r="B501" s="2" t="n">
        <v>499</v>
      </c>
      <c r="C501" s="2" t="n">
        <v>0</v>
      </c>
      <c r="D501" s="2" t="n">
        <v>4.07525095350954E-016</v>
      </c>
      <c r="E501" s="2" t="n">
        <v>0.0156163402334681</v>
      </c>
    </row>
    <row r="502" customFormat="false" ht="13.8" hidden="false" customHeight="false" outlineLevel="0" collapsed="false">
      <c r="B502" s="2" t="n">
        <v>500</v>
      </c>
      <c r="C502" s="2" t="n">
        <v>0</v>
      </c>
      <c r="D502" s="2" t="n">
        <v>4.07347076843111E-016</v>
      </c>
      <c r="E502" s="2" t="n">
        <v>0.012911034863699</v>
      </c>
    </row>
    <row r="503" customFormat="false" ht="13.8" hidden="false" customHeight="false" outlineLevel="0" collapsed="false">
      <c r="B503" s="2" t="n">
        <v>501</v>
      </c>
      <c r="C503" s="2" t="n">
        <v>0</v>
      </c>
      <c r="D503" s="2" t="n">
        <v>4.08408862660813E-016</v>
      </c>
      <c r="E503" s="2" t="n">
        <v>0.028222381104613</v>
      </c>
    </row>
    <row r="504" customFormat="false" ht="13.8" hidden="false" customHeight="false" outlineLevel="0" collapsed="false">
      <c r="B504" s="2" t="n">
        <v>502</v>
      </c>
      <c r="C504" s="2" t="n">
        <v>0</v>
      </c>
      <c r="D504" s="2" t="n">
        <v>3.8943958790041E-016</v>
      </c>
      <c r="E504" s="2" t="n">
        <v>0.0095192344772264</v>
      </c>
    </row>
    <row r="505" customFormat="false" ht="13.8" hidden="false" customHeight="false" outlineLevel="0" collapsed="false">
      <c r="B505" s="2" t="n">
        <v>503</v>
      </c>
      <c r="C505" s="2" t="n">
        <v>0</v>
      </c>
      <c r="D505" s="2" t="n">
        <v>3.67699542947308E-016</v>
      </c>
      <c r="E505" s="2" t="n">
        <v>0.0713129543631908</v>
      </c>
    </row>
    <row r="506" customFormat="false" ht="13.8" hidden="false" customHeight="false" outlineLevel="0" collapsed="false">
      <c r="B506" s="2" t="n">
        <v>504</v>
      </c>
      <c r="C506" s="2" t="n">
        <v>0</v>
      </c>
      <c r="D506" s="2" t="n">
        <v>0.000461095060835199</v>
      </c>
      <c r="E506" s="2" t="n">
        <v>9.15674411333063E-016</v>
      </c>
    </row>
    <row r="507" customFormat="false" ht="13.8" hidden="false" customHeight="false" outlineLevel="0" collapsed="false">
      <c r="B507" s="2" t="n">
        <v>505</v>
      </c>
      <c r="C507" s="2" t="n">
        <v>1.91296522632999E-017</v>
      </c>
      <c r="D507" s="2" t="n">
        <v>0.000614793414447328</v>
      </c>
      <c r="E507" s="2" t="n">
        <v>9.22256508027343E-016</v>
      </c>
    </row>
    <row r="508" customFormat="false" ht="13.8" hidden="false" customHeight="false" outlineLevel="0" collapsed="false">
      <c r="B508" s="2" t="n">
        <v>506</v>
      </c>
      <c r="C508" s="2" t="n">
        <v>2.45283009909448E-016</v>
      </c>
      <c r="D508" s="2" t="n">
        <v>0.00223330390335409</v>
      </c>
      <c r="E508" s="2" t="n">
        <v>9.03682468472703E-016</v>
      </c>
    </row>
    <row r="509" customFormat="false" ht="13.8" hidden="false" customHeight="false" outlineLevel="0" collapsed="false">
      <c r="B509" s="2" t="n">
        <v>507</v>
      </c>
      <c r="C509" s="2" t="n">
        <v>2.5527489764274E-017</v>
      </c>
      <c r="D509" s="2" t="n">
        <v>0.0038518143922609</v>
      </c>
      <c r="E509" s="2" t="n">
        <v>0.000981163464986346</v>
      </c>
    </row>
    <row r="510" customFormat="false" ht="13.8" hidden="false" customHeight="false" outlineLevel="0" collapsed="false">
      <c r="B510" s="2" t="n">
        <v>508</v>
      </c>
      <c r="C510" s="2" t="n">
        <v>0</v>
      </c>
      <c r="D510" s="2" t="n">
        <v>0.00547032488116766</v>
      </c>
      <c r="E510" s="2" t="n">
        <v>9.15181491910204E-016</v>
      </c>
    </row>
    <row r="511" customFormat="false" ht="13.8" hidden="false" customHeight="false" outlineLevel="0" collapsed="false">
      <c r="B511" s="2" t="n">
        <v>509</v>
      </c>
      <c r="C511" s="2" t="n">
        <v>7.23288122040108E-018</v>
      </c>
      <c r="D511" s="2" t="n">
        <v>0.00708883537007444</v>
      </c>
      <c r="E511" s="2" t="n">
        <v>9.15130512952429E-016</v>
      </c>
    </row>
    <row r="512" customFormat="false" ht="13.8" hidden="false" customHeight="false" outlineLevel="0" collapsed="false">
      <c r="B512" s="2" t="n">
        <v>510</v>
      </c>
      <c r="C512" s="2" t="n">
        <v>4.37320578715208E-016</v>
      </c>
      <c r="D512" s="2" t="n">
        <v>0.0296290330541269</v>
      </c>
      <c r="E512" s="2" t="n">
        <v>3.77164328715214E-016</v>
      </c>
    </row>
    <row r="513" customFormat="false" ht="13.8" hidden="false" customHeight="false" outlineLevel="0" collapsed="false">
      <c r="B513" s="2" t="n">
        <v>511</v>
      </c>
      <c r="C513" s="2" t="n">
        <v>1.59708798431406E-018</v>
      </c>
      <c r="D513" s="2" t="n">
        <v>0.0225560306069536</v>
      </c>
      <c r="E513" s="2" t="n">
        <v>0.0192190266107986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6.95674069623608E-010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7.03163604016266E-010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7.10497511524821E-010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7.17633712500197E-010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7.24518647191199E-010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7.3109849046564E-010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0</v>
      </c>
      <c r="E520" s="2" t="n">
        <v>7.3727721847211E-010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7.43077080082593E-010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7.48478045353399E-010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7.53459832868529E-010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7.5806957078969E-010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7.62164372193182E-010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0</v>
      </c>
      <c r="E526" s="2" t="n">
        <v>7.65668603943834E-010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7.68506451414807E-010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7.70455019729413E-010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0</v>
      </c>
      <c r="E529" s="2" t="n">
        <v>7.71703277252698E-010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7.72293143548108E-010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0</v>
      </c>
      <c r="E531" s="2" t="n">
        <v>7.72266229857937E-010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0</v>
      </c>
      <c r="E532" s="2" t="n">
        <v>7.7169252680484E-010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7.70561235149977E-010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7.68889943657559E-010</v>
      </c>
    </row>
    <row r="535" customFormat="false" ht="13.8" hidden="false" customHeight="false" outlineLevel="0" collapsed="false">
      <c r="B535" s="2" t="n">
        <v>533</v>
      </c>
      <c r="C535" s="2" t="n">
        <v>0.00335123252670421</v>
      </c>
      <c r="D535" s="2" t="n">
        <v>0</v>
      </c>
      <c r="E535" s="2" t="n">
        <v>2.64265112777004E-018</v>
      </c>
    </row>
    <row r="536" customFormat="false" ht="13.8" hidden="false" customHeight="false" outlineLevel="0" collapsed="false">
      <c r="B536" s="2" t="n">
        <v>534</v>
      </c>
      <c r="C536" s="2" t="n">
        <v>0.0190896935867857</v>
      </c>
      <c r="D536" s="2" t="n">
        <v>0</v>
      </c>
      <c r="E536" s="2" t="n">
        <v>1.62790782850617E-018</v>
      </c>
    </row>
    <row r="537" customFormat="false" ht="13.8" hidden="false" customHeight="false" outlineLevel="0" collapsed="false">
      <c r="B537" s="2" t="n">
        <v>535</v>
      </c>
      <c r="C537" s="2" t="n">
        <v>0.0474948879802005</v>
      </c>
      <c r="D537" s="2" t="n">
        <v>0</v>
      </c>
      <c r="E537" s="2" t="n">
        <v>2.2732139411093E-018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0</v>
      </c>
      <c r="E538" s="2" t="n">
        <v>7.58675226387883E-010</v>
      </c>
    </row>
    <row r="539" customFormat="false" ht="13.8" hidden="false" customHeight="false" outlineLevel="0" collapsed="false">
      <c r="B539" s="2" t="n">
        <v>537</v>
      </c>
      <c r="C539" s="2" t="n">
        <v>0</v>
      </c>
      <c r="D539" s="2" t="n">
        <v>0</v>
      </c>
      <c r="E539" s="2" t="n">
        <v>7.55644047475741E-010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7.52629265543504E-010</v>
      </c>
    </row>
    <row r="541" customFormat="false" ht="13.8" hidden="false" customHeight="false" outlineLevel="0" collapsed="false">
      <c r="B541" s="2" t="n">
        <v>539</v>
      </c>
      <c r="C541" s="2" t="n">
        <v>3.33184601542187E-018</v>
      </c>
      <c r="D541" s="2" t="n">
        <v>0.0197699179667466</v>
      </c>
      <c r="E541" s="2" t="n">
        <v>4.185886400825E-018</v>
      </c>
    </row>
    <row r="542" customFormat="false" ht="13.8" hidden="false" customHeight="false" outlineLevel="0" collapsed="false">
      <c r="B542" s="2" t="n">
        <v>540</v>
      </c>
      <c r="C542" s="2" t="n">
        <v>1.36155259953484E-017</v>
      </c>
      <c r="D542" s="2" t="n">
        <v>0.0186205249245997</v>
      </c>
      <c r="E542" s="2" t="n">
        <v>7.75615099534845E-018</v>
      </c>
    </row>
    <row r="543" customFormat="false" ht="13.8" hidden="false" customHeight="false" outlineLevel="0" collapsed="false">
      <c r="B543" s="2" t="n">
        <v>541</v>
      </c>
      <c r="C543" s="2" t="n">
        <v>7.69581827567276E-017</v>
      </c>
      <c r="D543" s="2" t="n">
        <v>0.0192082846792472</v>
      </c>
      <c r="E543" s="2" t="n">
        <v>7.6726475064026E-017</v>
      </c>
    </row>
    <row r="544" customFormat="false" ht="13.8" hidden="false" customHeight="false" outlineLevel="0" collapsed="false">
      <c r="B544" s="2" t="n">
        <v>542</v>
      </c>
      <c r="C544" s="2" t="n">
        <v>3.9243462657516E-011</v>
      </c>
      <c r="D544" s="2" t="n">
        <v>0.0448559574289663</v>
      </c>
      <c r="E544" s="2" t="n">
        <v>0</v>
      </c>
    </row>
    <row r="545" customFormat="false" ht="13.8" hidden="false" customHeight="false" outlineLevel="0" collapsed="false">
      <c r="B545" s="2" t="n">
        <v>543</v>
      </c>
      <c r="C545" s="2" t="n">
        <v>3.15066463425608E-011</v>
      </c>
      <c r="D545" s="2" t="n">
        <v>0.053362386386167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2.37697567492426E-011</v>
      </c>
      <c r="D546" s="2" t="n">
        <v>0.0223687653433674</v>
      </c>
      <c r="E546" s="2" t="n">
        <v>0</v>
      </c>
    </row>
    <row r="547" customFormat="false" ht="13.8" hidden="false" customHeight="false" outlineLevel="0" collapsed="false">
      <c r="B547" s="2" t="n">
        <v>545</v>
      </c>
      <c r="C547" s="2" t="n">
        <v>0</v>
      </c>
      <c r="D547" s="2" t="n">
        <v>0.011467233686886</v>
      </c>
      <c r="E547" s="2" t="n">
        <v>6.83593750000001E-018</v>
      </c>
    </row>
    <row r="548" customFormat="false" ht="13.8" hidden="false" customHeight="false" outlineLevel="0" collapsed="false">
      <c r="B548" s="2" t="n">
        <v>546</v>
      </c>
      <c r="C548" s="2" t="n">
        <v>0</v>
      </c>
      <c r="D548" s="2" t="n">
        <v>0.0196188865294237</v>
      </c>
      <c r="E548" s="2" t="n">
        <v>0</v>
      </c>
    </row>
    <row r="549" customFormat="false" ht="13.8" hidden="false" customHeight="false" outlineLevel="0" collapsed="false">
      <c r="B549" s="2" t="n">
        <v>547</v>
      </c>
      <c r="C549" s="2" t="n">
        <v>1.91110235880203E-017</v>
      </c>
      <c r="D549" s="2" t="n">
        <v>0.00945445350827857</v>
      </c>
      <c r="E549" s="2" t="n">
        <v>0</v>
      </c>
    </row>
    <row r="550" customFormat="false" ht="13.8" hidden="false" customHeight="false" outlineLevel="0" collapsed="false">
      <c r="B550" s="2" t="n">
        <v>548</v>
      </c>
      <c r="C550" s="2" t="n">
        <v>1.97639868093711E-017</v>
      </c>
      <c r="D550" s="2" t="n">
        <v>0.00844806341897484</v>
      </c>
      <c r="E550" s="2" t="n">
        <v>0</v>
      </c>
    </row>
    <row r="551" customFormat="false" ht="13.8" hidden="false" customHeight="false" outlineLevel="0" collapsed="false">
      <c r="B551" s="2" t="n">
        <v>549</v>
      </c>
      <c r="C551" s="2" t="n">
        <v>1.51045152886461E-017</v>
      </c>
      <c r="D551" s="2" t="n">
        <v>0.00744167332967112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0</v>
      </c>
      <c r="D552" s="2" t="n">
        <v>0.0122213337973812</v>
      </c>
      <c r="E552" s="2" t="n">
        <v>0</v>
      </c>
    </row>
    <row r="553" customFormat="false" ht="13.8" hidden="false" customHeight="false" outlineLevel="0" collapsed="false">
      <c r="B553" s="2" t="n">
        <v>551</v>
      </c>
      <c r="C553" s="2" t="n">
        <v>0</v>
      </c>
      <c r="D553" s="2" t="n">
        <v>0.0224675067413141</v>
      </c>
      <c r="E553" s="2" t="n">
        <v>0</v>
      </c>
    </row>
    <row r="554" customFormat="false" ht="13.8" hidden="false" customHeight="false" outlineLevel="0" collapsed="false">
      <c r="B554" s="2" t="n">
        <v>552</v>
      </c>
      <c r="C554" s="2" t="n">
        <v>0</v>
      </c>
      <c r="D554" s="2" t="n">
        <v>3.48577968520898E-009</v>
      </c>
      <c r="E554" s="2" t="n">
        <v>0</v>
      </c>
    </row>
    <row r="555" customFormat="false" ht="13.8" hidden="false" customHeight="false" outlineLevel="0" collapsed="false">
      <c r="B555" s="2" t="n">
        <v>553</v>
      </c>
      <c r="C555" s="2" t="n">
        <v>0</v>
      </c>
      <c r="D555" s="2" t="n">
        <v>3.48552311873519E-009</v>
      </c>
      <c r="E555" s="2" t="n">
        <v>0</v>
      </c>
    </row>
    <row r="556" customFormat="false" ht="13.8" hidden="false" customHeight="false" outlineLevel="0" collapsed="false">
      <c r="B556" s="2" t="n">
        <v>554</v>
      </c>
      <c r="C556" s="2" t="n">
        <v>0</v>
      </c>
      <c r="D556" s="2" t="n">
        <v>3.48526543448529E-009</v>
      </c>
      <c r="E556" s="2" t="n">
        <v>0</v>
      </c>
    </row>
    <row r="557" customFormat="false" ht="13.8" hidden="false" customHeight="false" outlineLevel="0" collapsed="false">
      <c r="B557" s="2" t="n">
        <v>555</v>
      </c>
      <c r="C557" s="2" t="n">
        <v>0</v>
      </c>
      <c r="D557" s="2" t="n">
        <v>3.48501653647853E-009</v>
      </c>
      <c r="E557" s="2" t="n">
        <v>0</v>
      </c>
    </row>
    <row r="558" customFormat="false" ht="13.8" hidden="false" customHeight="false" outlineLevel="0" collapsed="false">
      <c r="B558" s="2" t="n">
        <v>556</v>
      </c>
      <c r="C558" s="2" t="n">
        <v>0</v>
      </c>
      <c r="D558" s="2" t="n">
        <v>3.48477631990351E-009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0</v>
      </c>
      <c r="D559" s="2" t="n">
        <v>3.48454472362502E-009</v>
      </c>
      <c r="E559" s="2" t="n">
        <v>0</v>
      </c>
    </row>
    <row r="560" customFormat="false" ht="13.8" hidden="false" customHeight="false" outlineLevel="0" collapsed="false">
      <c r="B560" s="2" t="n">
        <v>558</v>
      </c>
      <c r="C560" s="2" t="n">
        <v>0</v>
      </c>
      <c r="D560" s="2" t="n">
        <v>3.48432160735198E-009</v>
      </c>
      <c r="E560" s="2" t="n">
        <v>0</v>
      </c>
    </row>
    <row r="561" customFormat="false" ht="13.8" hidden="false" customHeight="false" outlineLevel="0" collapsed="false">
      <c r="B561" s="2" t="n">
        <v>559</v>
      </c>
      <c r="C561" s="2" t="n">
        <v>0</v>
      </c>
      <c r="D561" s="2" t="n">
        <v>3.4841069259141E-009</v>
      </c>
      <c r="E561" s="2" t="n">
        <v>0</v>
      </c>
    </row>
    <row r="562" customFormat="false" ht="13.8" hidden="false" customHeight="false" outlineLevel="0" collapsed="false">
      <c r="B562" s="2" t="n">
        <v>560</v>
      </c>
      <c r="C562" s="2" t="n">
        <v>0</v>
      </c>
      <c r="D562" s="2" t="n">
        <v>3.4839005866882E-009</v>
      </c>
      <c r="E562" s="2" t="n">
        <v>0</v>
      </c>
    </row>
    <row r="563" customFormat="false" ht="13.8" hidden="false" customHeight="false" outlineLevel="0" collapsed="false">
      <c r="B563" s="2" t="n">
        <v>561</v>
      </c>
      <c r="C563" s="2" t="n">
        <v>0</v>
      </c>
      <c r="D563" s="2" t="n">
        <v>3.48370242819281E-009</v>
      </c>
      <c r="E563" s="2" t="n">
        <v>0</v>
      </c>
    </row>
    <row r="564" customFormat="false" ht="13.8" hidden="false" customHeight="false" outlineLevel="0" collapsed="false">
      <c r="B564" s="2" t="n">
        <v>562</v>
      </c>
      <c r="C564" s="2" t="n">
        <v>0</v>
      </c>
      <c r="D564" s="2" t="n">
        <v>3.48351246241877E-009</v>
      </c>
      <c r="E564" s="2" t="n">
        <v>0</v>
      </c>
    </row>
    <row r="565" customFormat="false" ht="13.8" hidden="false" customHeight="false" outlineLevel="0" collapsed="false">
      <c r="B565" s="2" t="n">
        <v>563</v>
      </c>
      <c r="C565" s="2" t="n">
        <v>0</v>
      </c>
      <c r="D565" s="2" t="n">
        <v>3.48333048680544E-009</v>
      </c>
      <c r="E565" s="2" t="n">
        <v>0</v>
      </c>
    </row>
    <row r="566" customFormat="false" ht="13.8" hidden="false" customHeight="false" outlineLevel="0" collapsed="false">
      <c r="B566" s="2" t="n">
        <v>564</v>
      </c>
      <c r="C566" s="2" t="n">
        <v>0</v>
      </c>
      <c r="D566" s="2" t="n">
        <v>3.48550149483864E-009</v>
      </c>
      <c r="E566" s="2" t="n">
        <v>0</v>
      </c>
    </row>
    <row r="567" customFormat="false" ht="13.8" hidden="false" customHeight="false" outlineLevel="0" collapsed="false">
      <c r="B567" s="2" t="n">
        <v>565</v>
      </c>
      <c r="C567" s="2" t="n">
        <v>0</v>
      </c>
      <c r="D567" s="2" t="n">
        <v>3.50312041651608E-009</v>
      </c>
      <c r="E567" s="2" t="n">
        <v>0</v>
      </c>
    </row>
    <row r="568" customFormat="false" ht="13.8" hidden="false" customHeight="false" outlineLevel="0" collapsed="false">
      <c r="B568" s="2" t="n">
        <v>566</v>
      </c>
      <c r="C568" s="2" t="n">
        <v>0</v>
      </c>
      <c r="D568" s="2" t="n">
        <v>3.52450372906673E-009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0</v>
      </c>
      <c r="D569" s="2" t="n">
        <v>3.54956317794721E-009</v>
      </c>
      <c r="E569" s="2" t="n">
        <v>0</v>
      </c>
    </row>
    <row r="570" customFormat="false" ht="13.8" hidden="false" customHeight="false" outlineLevel="0" collapsed="false">
      <c r="B570" s="2" t="n">
        <v>568</v>
      </c>
      <c r="C570" s="2" t="n">
        <v>0</v>
      </c>
      <c r="D570" s="2" t="n">
        <v>3.57047573342688E-009</v>
      </c>
      <c r="E570" s="2" t="n">
        <v>0</v>
      </c>
    </row>
    <row r="571" customFormat="false" ht="13.8" hidden="false" customHeight="false" outlineLevel="0" collapsed="false">
      <c r="B571" s="2" t="n">
        <v>569</v>
      </c>
      <c r="C571" s="2" t="n">
        <v>0</v>
      </c>
      <c r="D571" s="2" t="n">
        <v>3.58059686639956E-009</v>
      </c>
      <c r="E571" s="2" t="n">
        <v>0</v>
      </c>
    </row>
    <row r="572" customFormat="false" ht="13.8" hidden="false" customHeight="false" outlineLevel="0" collapsed="false">
      <c r="B572" s="2" t="n">
        <v>570</v>
      </c>
      <c r="C572" s="2" t="n">
        <v>0</v>
      </c>
      <c r="D572" s="2" t="n">
        <v>3.61885047258375E-009</v>
      </c>
      <c r="E572" s="2" t="n">
        <v>0</v>
      </c>
    </row>
    <row r="573" customFormat="false" ht="13.8" hidden="false" customHeight="false" outlineLevel="0" collapsed="false">
      <c r="B573" s="2" t="n">
        <v>571</v>
      </c>
      <c r="C573" s="2" t="n">
        <v>5.09882823806956E-012</v>
      </c>
      <c r="D573" s="2" t="n">
        <v>3.69806594384264E-009</v>
      </c>
      <c r="E573" s="2" t="n">
        <v>0</v>
      </c>
    </row>
    <row r="574" customFormat="false" ht="13.8" hidden="false" customHeight="false" outlineLevel="0" collapsed="false">
      <c r="B574" s="2" t="n">
        <v>572</v>
      </c>
      <c r="C574" s="2" t="n">
        <v>2.05866898030595E-011</v>
      </c>
      <c r="D574" s="2" t="n">
        <v>3.80049697498212E-009</v>
      </c>
      <c r="E574" s="2" t="n">
        <v>0</v>
      </c>
    </row>
    <row r="575" customFormat="false" ht="13.8" hidden="false" customHeight="false" outlineLevel="0" collapsed="false">
      <c r="B575" s="2" t="n">
        <v>573</v>
      </c>
      <c r="C575" s="2" t="n">
        <v>3.60740420291379E-011</v>
      </c>
      <c r="D575" s="2" t="n">
        <v>3.91440839065648E-009</v>
      </c>
      <c r="E575" s="2" t="n">
        <v>0</v>
      </c>
    </row>
    <row r="576" customFormat="false" ht="13.8" hidden="false" customHeight="false" outlineLevel="0" collapsed="false">
      <c r="B576" s="2" t="n">
        <v>574</v>
      </c>
      <c r="C576" s="2" t="n">
        <v>5.15608732135666E-011</v>
      </c>
      <c r="D576" s="2" t="n">
        <v>4.03436781218591E-009</v>
      </c>
      <c r="E576" s="2" t="n">
        <v>0</v>
      </c>
    </row>
    <row r="577" customFormat="false" ht="13.8" hidden="false" customHeight="false" outlineLevel="0" collapsed="false">
      <c r="B577" s="2" t="n">
        <v>575</v>
      </c>
      <c r="C577" s="2" t="n">
        <v>6.70471989233348E-011</v>
      </c>
      <c r="D577" s="2" t="n">
        <v>4.15779831936504E-009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8.25330171858095E-011</v>
      </c>
      <c r="D578" s="2" t="n">
        <v>4.2833747599417E-009</v>
      </c>
      <c r="E578" s="2" t="n">
        <v>0</v>
      </c>
    </row>
    <row r="579" customFormat="false" ht="13.8" hidden="false" customHeight="false" outlineLevel="0" collapsed="false">
      <c r="B579" s="2" t="n">
        <v>577</v>
      </c>
      <c r="C579" s="2" t="n">
        <v>2.03558653337239E-010</v>
      </c>
      <c r="D579" s="2" t="n">
        <v>2.2579486075264E-009</v>
      </c>
      <c r="E579" s="2" t="n">
        <v>1.01779305287418E-010</v>
      </c>
    </row>
    <row r="580" customFormat="false" ht="13.8" hidden="false" customHeight="false" outlineLevel="0" collapsed="false">
      <c r="B580" s="2" t="n">
        <v>578</v>
      </c>
      <c r="C580" s="2" t="n">
        <v>2.19041386508142E-010</v>
      </c>
      <c r="D580" s="2" t="n">
        <v>2.38954138947299E-009</v>
      </c>
      <c r="E580" s="2" t="n">
        <v>1.09520672451736E-010</v>
      </c>
    </row>
    <row r="581" customFormat="false" ht="13.8" hidden="false" customHeight="false" outlineLevel="0" collapsed="false">
      <c r="B581" s="2" t="n">
        <v>579</v>
      </c>
      <c r="C581" s="2" t="n">
        <v>2.34523842589791E-010</v>
      </c>
      <c r="D581" s="2" t="n">
        <v>2.52113289270407E-009</v>
      </c>
      <c r="E581" s="2" t="n">
        <v>1.17261900485344E-010</v>
      </c>
    </row>
    <row r="582" customFormat="false" ht="13.8" hidden="false" customHeight="false" outlineLevel="0" collapsed="false">
      <c r="B582" s="2" t="n">
        <v>580</v>
      </c>
      <c r="C582" s="2" t="n">
        <v>1.44471333465216E-010</v>
      </c>
      <c r="D582" s="2" t="n">
        <v>4.79613487243318E-009</v>
      </c>
      <c r="E582" s="2" t="n">
        <v>1.94682984034256E-011</v>
      </c>
    </row>
    <row r="583" customFormat="false" ht="13.8" hidden="false" customHeight="false" outlineLevel="0" collapsed="false">
      <c r="B583" s="2" t="n">
        <v>581</v>
      </c>
      <c r="C583" s="2" t="n">
        <v>1.59954683519588E-010</v>
      </c>
      <c r="D583" s="2" t="n">
        <v>4.92569318708119E-009</v>
      </c>
      <c r="E583" s="2" t="n">
        <v>2.72106956786728E-011</v>
      </c>
    </row>
    <row r="584" customFormat="false" ht="13.8" hidden="false" customHeight="false" outlineLevel="0" collapsed="false">
      <c r="B584" s="2" t="n">
        <v>582</v>
      </c>
      <c r="C584" s="2" t="n">
        <v>1.75437550514068E-010</v>
      </c>
      <c r="D584" s="2" t="n">
        <v>5.0555560688106E-009</v>
      </c>
      <c r="E584" s="2" t="n">
        <v>3.49527456519026E-011</v>
      </c>
    </row>
    <row r="585" customFormat="false" ht="13.8" hidden="false" customHeight="false" outlineLevel="0" collapsed="false">
      <c r="B585" s="2" t="n">
        <v>583</v>
      </c>
      <c r="C585" s="2" t="n">
        <v>1.90919936165175E-010</v>
      </c>
      <c r="D585" s="2" t="n">
        <v>5.18566058482673E-009</v>
      </c>
      <c r="E585" s="2" t="n">
        <v>4.26944489212065E-011</v>
      </c>
    </row>
    <row r="586" customFormat="false" ht="13.8" hidden="false" customHeight="false" outlineLevel="0" collapsed="false">
      <c r="B586" s="2" t="n">
        <v>584</v>
      </c>
      <c r="C586" s="2" t="n">
        <v>2.06401837498254E-010</v>
      </c>
      <c r="D586" s="2" t="n">
        <v>5.31596006728347E-009</v>
      </c>
      <c r="E586" s="2" t="n">
        <v>5.04358029593332E-011</v>
      </c>
    </row>
    <row r="587" customFormat="false" ht="13.8" hidden="false" customHeight="false" outlineLevel="0" collapsed="false">
      <c r="B587" s="2" t="n">
        <v>585</v>
      </c>
      <c r="C587" s="2" t="n">
        <v>2.21883259773118E-010</v>
      </c>
      <c r="D587" s="2" t="n">
        <v>5.44641923364966E-009</v>
      </c>
      <c r="E587" s="2" t="n">
        <v>5.81768122330365E-011</v>
      </c>
    </row>
    <row r="588" customFormat="false" ht="13.8" hidden="false" customHeight="false" outlineLevel="0" collapsed="false">
      <c r="B588" s="2" t="n">
        <v>586</v>
      </c>
      <c r="C588" s="2" t="n">
        <v>2.37364203474619E-010</v>
      </c>
      <c r="D588" s="2" t="n">
        <v>5.57701087874634E-009</v>
      </c>
      <c r="E588" s="2" t="n">
        <v>6.59174777023911E-011</v>
      </c>
    </row>
    <row r="589" customFormat="false" ht="13.8" hidden="false" customHeight="false" outlineLevel="0" collapsed="false">
      <c r="B589" s="2" t="n">
        <v>587</v>
      </c>
      <c r="C589" s="2" t="n">
        <v>2.52844673248337E-010</v>
      </c>
      <c r="D589" s="2" t="n">
        <v>5.7077137680729E-009</v>
      </c>
      <c r="E589" s="2" t="n">
        <v>7.36577989075546E-011</v>
      </c>
    </row>
    <row r="590" customFormat="false" ht="13.8" hidden="false" customHeight="false" outlineLevel="0" collapsed="false">
      <c r="B590" s="2" t="n">
        <v>588</v>
      </c>
      <c r="C590" s="2" t="n">
        <v>2.68324668843071E-010</v>
      </c>
      <c r="D590" s="2" t="n">
        <v>5.83851101940851E-009</v>
      </c>
      <c r="E590" s="2" t="n">
        <v>8.13977802854486E-011</v>
      </c>
    </row>
    <row r="591" customFormat="false" ht="13.8" hidden="false" customHeight="false" outlineLevel="0" collapsed="false">
      <c r="B591" s="2" t="n">
        <v>589</v>
      </c>
      <c r="C591" s="2" t="n">
        <v>2.83804188720184E-010</v>
      </c>
      <c r="D591" s="2" t="n">
        <v>5.96938910983197E-009</v>
      </c>
      <c r="E591" s="2" t="n">
        <v>8.91374179381984E-011</v>
      </c>
    </row>
    <row r="592" customFormat="false" ht="13.8" hidden="false" customHeight="false" outlineLevel="0" collapsed="false">
      <c r="B592" s="2" t="n">
        <v>590</v>
      </c>
      <c r="C592" s="2" t="n">
        <v>2.99283238776345E-010</v>
      </c>
      <c r="D592" s="2" t="n">
        <v>6.10033700929574E-009</v>
      </c>
      <c r="E592" s="2" t="n">
        <v>9.68767166161975E-011</v>
      </c>
    </row>
    <row r="593" customFormat="false" ht="13.8" hidden="false" customHeight="false" outlineLevel="0" collapsed="false">
      <c r="B593" s="2" t="n">
        <v>591</v>
      </c>
      <c r="C593" s="2" t="n">
        <v>3.14761815557747E-010</v>
      </c>
      <c r="D593" s="2" t="n">
        <v>6.23134570243538E-009</v>
      </c>
      <c r="E593" s="2" t="n">
        <v>1.04615673797272E-010</v>
      </c>
    </row>
    <row r="594" customFormat="false" ht="13.8" hidden="false" customHeight="false" outlineLevel="0" collapsed="false">
      <c r="B594" s="2" t="n">
        <v>592</v>
      </c>
      <c r="C594" s="2" t="n">
        <v>3.30239920958539E-010</v>
      </c>
      <c r="D594" s="2" t="n">
        <v>6.36240771476734E-009</v>
      </c>
      <c r="E594" s="2" t="n">
        <v>1.12354291738334E-010</v>
      </c>
    </row>
    <row r="595" customFormat="false" ht="13.8" hidden="false" customHeight="false" outlineLevel="0" collapsed="false">
      <c r="B595" s="2" t="n">
        <v>593</v>
      </c>
      <c r="C595" s="2" t="n">
        <v>3.45717554285487E-010</v>
      </c>
      <c r="D595" s="2" t="n">
        <v>6.49351681949812E-009</v>
      </c>
      <c r="E595" s="2" t="n">
        <v>1.20092568556074E-010</v>
      </c>
    </row>
    <row r="596" customFormat="false" ht="13.8" hidden="false" customHeight="false" outlineLevel="0" collapsed="false">
      <c r="B596" s="2" t="n">
        <v>594</v>
      </c>
      <c r="C596" s="2" t="n">
        <v>3.61194708914693E-010</v>
      </c>
      <c r="D596" s="2" t="n">
        <v>6.6246677634179E-009</v>
      </c>
      <c r="E596" s="2" t="n">
        <v>1.27830500126494E-010</v>
      </c>
    </row>
    <row r="597" customFormat="false" ht="13.8" hidden="false" customHeight="false" outlineLevel="0" collapsed="false">
      <c r="B597" s="2" t="n">
        <v>595</v>
      </c>
      <c r="C597" s="2" t="n">
        <v>3.7667140169644E-010</v>
      </c>
      <c r="D597" s="2" t="n">
        <v>6.7558560610138E-009</v>
      </c>
      <c r="E597" s="2" t="n">
        <v>1.35568098937837E-010</v>
      </c>
    </row>
    <row r="598" customFormat="false" ht="13.8" hidden="false" customHeight="false" outlineLevel="0" collapsed="false">
      <c r="B598" s="2" t="n">
        <v>596</v>
      </c>
      <c r="C598" s="2" t="n">
        <v>3.9214762318894E-010</v>
      </c>
      <c r="D598" s="2" t="n">
        <v>6.8870779409521E-009</v>
      </c>
      <c r="E598" s="2" t="n">
        <v>1.4330535693206E-010</v>
      </c>
    </row>
    <row r="599" customFormat="false" ht="13.8" hidden="false" customHeight="false" outlineLevel="0" collapsed="false">
      <c r="B599" s="2" t="n">
        <v>597</v>
      </c>
      <c r="C599" s="2" t="n">
        <v>4.07623369082631E-010</v>
      </c>
      <c r="D599" s="2" t="n">
        <v>7.01833015696622E-009</v>
      </c>
      <c r="E599" s="2" t="n">
        <v>1.51042272422985E-010</v>
      </c>
    </row>
    <row r="600" customFormat="false" ht="13.8" hidden="false" customHeight="false" outlineLevel="0" collapsed="false">
      <c r="B600" s="2" t="n">
        <v>598</v>
      </c>
      <c r="C600" s="2" t="n">
        <v>2.39823067599157E-017</v>
      </c>
      <c r="D600" s="2" t="n">
        <v>0.0220298622018454</v>
      </c>
      <c r="E600" s="2" t="n">
        <v>0</v>
      </c>
    </row>
    <row r="601" customFormat="false" ht="13.8" hidden="false" customHeight="false" outlineLevel="0" collapsed="false">
      <c r="B601" s="2" t="n">
        <v>599</v>
      </c>
      <c r="C601" s="2" t="n">
        <v>2.0931126261988E-018</v>
      </c>
      <c r="D601" s="2" t="n">
        <v>0.00624148966407386</v>
      </c>
      <c r="E601" s="2" t="n">
        <v>0</v>
      </c>
    </row>
    <row r="602" customFormat="false" ht="13.8" hidden="false" customHeight="false" outlineLevel="0" collapsed="false">
      <c r="B602" s="2" t="n">
        <v>600</v>
      </c>
      <c r="C602" s="2" t="n">
        <v>1.85441872885649E-017</v>
      </c>
      <c r="D602" s="2" t="n">
        <v>0.00936223449611129</v>
      </c>
      <c r="E602" s="2" t="n">
        <v>0</v>
      </c>
    </row>
    <row r="603" customFormat="false" ht="13.8" hidden="false" customHeight="false" outlineLevel="0" collapsed="false">
      <c r="B603" s="2" t="n">
        <v>601</v>
      </c>
      <c r="C603" s="2" t="n">
        <v>1.9007602673968E-017</v>
      </c>
      <c r="D603" s="2" t="n">
        <v>0.0124829793281487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1.64681971350782E-019</v>
      </c>
      <c r="D604" s="2" t="n">
        <v>0.0113117518790602</v>
      </c>
      <c r="E604" s="2" t="n">
        <v>0.00522974006931691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0.0211529539894388</v>
      </c>
      <c r="E605" s="2" t="n">
        <v>0.00122871443327219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2.50923929441404E-012</v>
      </c>
      <c r="D621" s="2" t="n">
        <v>2.50923929441404E-012</v>
      </c>
      <c r="E621" s="2" t="n">
        <v>2.76317985329984E-012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1.93591832573696E-018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1.07374183294057E-019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1.49367325215606E-018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8.1945658812358E-019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2.68435457033736E-020</v>
      </c>
      <c r="E629" s="2" t="n">
        <v>1.83258056499932E-018</v>
      </c>
    </row>
    <row r="630" customFormat="false" ht="13.8" hidden="false" customHeight="false" outlineLevel="0" collapsed="false">
      <c r="B630" s="2" t="n">
        <v>628</v>
      </c>
      <c r="C630" s="2" t="n">
        <v>1.76811437645373E-009</v>
      </c>
      <c r="D630" s="2" t="n">
        <v>3.82730033275575E-009</v>
      </c>
      <c r="E630" s="2" t="n">
        <v>0</v>
      </c>
    </row>
    <row r="631" customFormat="false" ht="13.8" hidden="false" customHeight="false" outlineLevel="0" collapsed="false">
      <c r="B631" s="2" t="n">
        <v>629</v>
      </c>
      <c r="C631" s="2" t="n">
        <v>1.76887856932943E-009</v>
      </c>
      <c r="D631" s="2" t="n">
        <v>3.83398564794955E-009</v>
      </c>
      <c r="E631" s="2" t="n">
        <v>0</v>
      </c>
    </row>
    <row r="632" customFormat="false" ht="13.8" hidden="false" customHeight="false" outlineLevel="0" collapsed="false">
      <c r="B632" s="2" t="n">
        <v>630</v>
      </c>
      <c r="C632" s="2" t="n">
        <v>1.29061222453669E-018</v>
      </c>
      <c r="D632" s="2" t="n">
        <v>0</v>
      </c>
      <c r="E632" s="2" t="n">
        <v>7.54406453822623E-019</v>
      </c>
    </row>
    <row r="633" customFormat="false" ht="13.8" hidden="false" customHeight="false" outlineLevel="0" collapsed="false">
      <c r="B633" s="2" t="n">
        <v>631</v>
      </c>
      <c r="C633" s="2" t="n">
        <v>1.76990706420818E-009</v>
      </c>
      <c r="D633" s="2" t="n">
        <v>3.84195208310321E-009</v>
      </c>
      <c r="E633" s="2" t="n">
        <v>0</v>
      </c>
    </row>
    <row r="634" customFormat="false" ht="13.8" hidden="false" customHeight="false" outlineLevel="0" collapsed="false">
      <c r="B634" s="2" t="n">
        <v>632</v>
      </c>
      <c r="C634" s="2" t="n">
        <v>1.77029289605074E-009</v>
      </c>
      <c r="D634" s="2" t="n">
        <v>3.84453555293933E-009</v>
      </c>
      <c r="E634" s="2" t="n">
        <v>0</v>
      </c>
    </row>
    <row r="635" customFormat="false" ht="13.8" hidden="false" customHeight="false" outlineLevel="0" collapsed="false">
      <c r="B635" s="2" t="n">
        <v>633</v>
      </c>
      <c r="C635" s="2" t="n">
        <v>5.38064957417276E-018</v>
      </c>
      <c r="D635" s="2" t="n">
        <v>2.50069381095639E-018</v>
      </c>
      <c r="E635" s="2" t="n">
        <v>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5.41013952595821E-009</v>
      </c>
    </row>
    <row r="637" customFormat="false" ht="13.8" hidden="false" customHeight="false" outlineLevel="0" collapsed="false">
      <c r="B637" s="2" t="n">
        <v>635</v>
      </c>
      <c r="C637" s="2" t="n">
        <v>0</v>
      </c>
      <c r="D637" s="2" t="n">
        <v>0</v>
      </c>
      <c r="E637" s="2" t="n">
        <v>6.06405810902366E-009</v>
      </c>
    </row>
    <row r="638" customFormat="false" ht="13.8" hidden="false" customHeight="false" outlineLevel="0" collapsed="false">
      <c r="B638" s="2" t="n">
        <v>636</v>
      </c>
      <c r="C638" s="2" t="n">
        <v>1.79997444934422E-018</v>
      </c>
      <c r="D638" s="2" t="n">
        <v>0</v>
      </c>
      <c r="E638" s="2" t="n">
        <v>0</v>
      </c>
    </row>
    <row r="639" customFormat="false" ht="13.8" hidden="false" customHeight="false" outlineLevel="0" collapsed="false">
      <c r="B639" s="2" t="n">
        <v>637</v>
      </c>
      <c r="C639" s="2" t="n">
        <v>3.04842472301333E-018</v>
      </c>
      <c r="D639" s="2" t="n">
        <v>0.0542479634887329</v>
      </c>
      <c r="E639" s="2" t="n">
        <v>1.29061222520625E-018</v>
      </c>
    </row>
    <row r="640" customFormat="false" ht="13.8" hidden="false" customHeight="false" outlineLevel="0" collapsed="false">
      <c r="B640" s="2" t="n">
        <v>638</v>
      </c>
      <c r="C640" s="2" t="n">
        <v>0</v>
      </c>
      <c r="D640" s="2" t="n">
        <v>1.9388081638143E-009</v>
      </c>
      <c r="E640" s="2" t="n">
        <v>1.0630479020527E-008</v>
      </c>
    </row>
    <row r="641" customFormat="false" ht="13.8" hidden="false" customHeight="false" outlineLevel="0" collapsed="false">
      <c r="B641" s="2" t="n">
        <v>639</v>
      </c>
      <c r="C641" s="2" t="n">
        <v>0.0198323074249711</v>
      </c>
      <c r="D641" s="2" t="n">
        <v>0.0706558014092038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7.16541332611759E-011</v>
      </c>
      <c r="D642" s="2" t="n">
        <v>0.044910658925462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7.16551229141958E-011</v>
      </c>
      <c r="D643" s="2" t="n">
        <v>0.0191655165133753</v>
      </c>
      <c r="E643" s="2" t="n">
        <v>1.43309941949044E-010</v>
      </c>
    </row>
    <row r="644" customFormat="false" ht="13.8" hidden="false" customHeight="false" outlineLevel="0" collapsed="false">
      <c r="B644" s="2" t="n">
        <v>642</v>
      </c>
      <c r="C644" s="2" t="n">
        <v>7.16555658712753E-011</v>
      </c>
      <c r="D644" s="2" t="n">
        <v>0.0174146917179648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7.16565222656251E-011</v>
      </c>
      <c r="D645" s="2" t="n">
        <v>0.0156638670658658</v>
      </c>
      <c r="E645" s="2" t="n">
        <v>1.43312811180229E-010</v>
      </c>
    </row>
    <row r="646" customFormat="false" ht="13.8" hidden="false" customHeight="false" outlineLevel="0" collapsed="false">
      <c r="B646" s="2" t="n">
        <v>644</v>
      </c>
      <c r="C646" s="2" t="n">
        <v>7.16572311978166E-011</v>
      </c>
      <c r="D646" s="2" t="n">
        <v>0.0139130423421111</v>
      </c>
      <c r="E646" s="2" t="n">
        <v>1.43314244834108E-010</v>
      </c>
    </row>
    <row r="647" customFormat="false" ht="13.8" hidden="false" customHeight="false" outlineLevel="0" collapsed="false">
      <c r="B647" s="2" t="n">
        <v>645</v>
      </c>
      <c r="C647" s="2" t="n">
        <v>7.16579572265626E-011</v>
      </c>
      <c r="D647" s="2" t="n">
        <v>0.0121622176183563</v>
      </c>
      <c r="E647" s="2" t="n">
        <v>1.43315676407522E-010</v>
      </c>
    </row>
    <row r="648" customFormat="false" ht="13.8" hidden="false" customHeight="false" outlineLevel="0" collapsed="false">
      <c r="B648" s="2" t="n">
        <v>646</v>
      </c>
      <c r="C648" s="2" t="n">
        <v>7.1658669091797E-011</v>
      </c>
      <c r="D648" s="2" t="n">
        <v>0.00912166323168244</v>
      </c>
      <c r="E648" s="2" t="n">
        <v>1.43317110534832E-010</v>
      </c>
    </row>
    <row r="649" customFormat="false" ht="13.8" hidden="false" customHeight="false" outlineLevel="0" collapsed="false">
      <c r="B649" s="2" t="n">
        <v>647</v>
      </c>
      <c r="C649" s="2" t="n">
        <v>7.16593939453126E-011</v>
      </c>
      <c r="D649" s="2" t="n">
        <v>0.00608110884500857</v>
      </c>
      <c r="E649" s="2" t="n">
        <v>1.43318543001991E-010</v>
      </c>
    </row>
    <row r="650" customFormat="false" ht="13.8" hidden="false" customHeight="false" outlineLevel="0" collapsed="false">
      <c r="B650" s="2" t="n">
        <v>648</v>
      </c>
      <c r="C650" s="2" t="n">
        <v>7.16601051391603E-011</v>
      </c>
      <c r="D650" s="2" t="n">
        <v>0.0030405544583347</v>
      </c>
      <c r="E650" s="2" t="n">
        <v>1.43319976262609E-010</v>
      </c>
    </row>
    <row r="651" customFormat="false" ht="13.8" hidden="false" customHeight="false" outlineLevel="0" collapsed="false">
      <c r="B651" s="2" t="n">
        <v>649</v>
      </c>
      <c r="C651" s="2" t="n">
        <v>2.1864877163719E-009</v>
      </c>
      <c r="D651" s="2" t="n">
        <v>5.19035704774971E-009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2.18646924947373E-009</v>
      </c>
      <c r="D652" s="2" t="n">
        <v>5.19036947047884E-009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3.00178828639426E-010</v>
      </c>
      <c r="D653" s="2" t="n">
        <v>2.24006823165683E-010</v>
      </c>
      <c r="E653" s="2" t="n">
        <v>3.71840321553991E-010</v>
      </c>
    </row>
    <row r="654" customFormat="false" ht="13.8" hidden="false" customHeight="false" outlineLevel="0" collapsed="false">
      <c r="B654" s="2" t="n">
        <v>652</v>
      </c>
      <c r="C654" s="2" t="n">
        <v>3.00181827757118E-010</v>
      </c>
      <c r="D654" s="2" t="n">
        <v>2.24009061886077E-010</v>
      </c>
      <c r="E654" s="2" t="n">
        <v>3.71844039628968E-010</v>
      </c>
    </row>
    <row r="655" customFormat="false" ht="13.8" hidden="false" customHeight="false" outlineLevel="0" collapsed="false">
      <c r="B655" s="2" t="n">
        <v>653</v>
      </c>
      <c r="C655" s="2" t="n">
        <v>2.19930491420886E-009</v>
      </c>
      <c r="D655" s="2" t="n">
        <v>4.77923255082363E-009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3.00187832830055E-010</v>
      </c>
      <c r="D656" s="2" t="n">
        <v>2.2401354274828E-010</v>
      </c>
      <c r="E656" s="2" t="n">
        <v>3.71851477114278E-010</v>
      </c>
    </row>
    <row r="657" customFormat="false" ht="13.8" hidden="false" customHeight="false" outlineLevel="0" collapsed="false">
      <c r="B657" s="2" t="n">
        <v>655</v>
      </c>
      <c r="C657" s="2" t="n">
        <v>3.00190834595236E-010</v>
      </c>
      <c r="D657" s="2" t="n">
        <v>2.24015783043757E-010</v>
      </c>
      <c r="E657" s="2" t="n">
        <v>3.71855194652974E-010</v>
      </c>
    </row>
    <row r="658" customFormat="false" ht="13.8" hidden="false" customHeight="false" outlineLevel="0" collapsed="false">
      <c r="B658" s="2" t="n">
        <v>656</v>
      </c>
      <c r="C658" s="2" t="n">
        <v>3.001938374446E-010</v>
      </c>
      <c r="D658" s="2" t="n">
        <v>2.24018024323959E-010</v>
      </c>
      <c r="E658" s="2" t="n">
        <v>3.7185891404399E-010</v>
      </c>
    </row>
    <row r="659" customFormat="false" ht="13.8" hidden="false" customHeight="false" outlineLevel="0" collapsed="false">
      <c r="B659" s="2" t="n">
        <v>657</v>
      </c>
      <c r="C659" s="2" t="n">
        <v>3.00196839386603E-010</v>
      </c>
      <c r="D659" s="2" t="n">
        <v>2.24020261671262E-010</v>
      </c>
      <c r="E659" s="2" t="n">
        <v>3.71862632706923E-010</v>
      </c>
    </row>
    <row r="660" customFormat="false" ht="13.8" hidden="false" customHeight="false" outlineLevel="0" collapsed="false">
      <c r="B660" s="2" t="n">
        <v>658</v>
      </c>
      <c r="C660" s="2" t="n">
        <v>3.00199839056817E-010</v>
      </c>
      <c r="D660" s="2" t="n">
        <v>2.24022504605387E-010</v>
      </c>
      <c r="E660" s="2" t="n">
        <v>3.71866350203455E-010</v>
      </c>
    </row>
    <row r="661" customFormat="false" ht="13.8" hidden="false" customHeight="false" outlineLevel="0" collapsed="false">
      <c r="B661" s="2" t="n">
        <v>659</v>
      </c>
      <c r="C661" s="2" t="n">
        <v>3.00202844550314E-010</v>
      </c>
      <c r="D661" s="2" t="n">
        <v>2.2402474286928E-010</v>
      </c>
      <c r="E661" s="2" t="n">
        <v>3.71870070002696E-010</v>
      </c>
    </row>
    <row r="662" customFormat="false" ht="13.8" hidden="false" customHeight="false" outlineLevel="0" collapsed="false">
      <c r="B662" s="2" t="n">
        <v>660</v>
      </c>
      <c r="C662" s="2" t="n">
        <v>2.19925897595224E-009</v>
      </c>
      <c r="D662" s="2" t="n">
        <v>4.77936869511412E-009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2.19925864546548E-009</v>
      </c>
      <c r="D663" s="2" t="n">
        <v>4.77939433051836E-009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3.00211853100149E-010</v>
      </c>
      <c r="D664" s="2" t="n">
        <v>2.24031464421225E-010</v>
      </c>
      <c r="E664" s="2" t="n">
        <v>3.71881226104106E-010</v>
      </c>
    </row>
    <row r="665" customFormat="false" ht="13.8" hidden="false" customHeight="false" outlineLevel="0" collapsed="false">
      <c r="B665" s="2" t="n">
        <v>663</v>
      </c>
      <c r="C665" s="2" t="n">
        <v>3.00214850084397E-010</v>
      </c>
      <c r="D665" s="2" t="n">
        <v>2.2403370417929E-010</v>
      </c>
      <c r="E665" s="2" t="n">
        <v>3.71884945587011E-010</v>
      </c>
    </row>
    <row r="666" customFormat="false" ht="13.8" hidden="false" customHeight="false" outlineLevel="0" collapsed="false">
      <c r="B666" s="2" t="n">
        <v>664</v>
      </c>
      <c r="C666" s="2" t="n">
        <v>3.00217853825912E-010</v>
      </c>
      <c r="D666" s="2" t="n">
        <v>2.24035944888609E-010</v>
      </c>
      <c r="E666" s="2" t="n">
        <v>3.71888664028052E-010</v>
      </c>
    </row>
    <row r="667" customFormat="false" ht="13.8" hidden="false" customHeight="false" outlineLevel="0" collapsed="false">
      <c r="B667" s="2" t="n">
        <v>665</v>
      </c>
      <c r="C667" s="2" t="n">
        <v>3.00220854055359E-010</v>
      </c>
      <c r="D667" s="2" t="n">
        <v>2.24038184720764E-010</v>
      </c>
      <c r="E667" s="2" t="n">
        <v>3.7189238244597E-010</v>
      </c>
    </row>
    <row r="668" customFormat="false" ht="13.8" hidden="false" customHeight="false" outlineLevel="0" collapsed="false">
      <c r="B668" s="2" t="n">
        <v>666</v>
      </c>
      <c r="C668" s="2" t="n">
        <v>3.00223857169803E-010</v>
      </c>
      <c r="D668" s="2" t="n">
        <v>2.24040426120466E-010</v>
      </c>
      <c r="E668" s="2" t="n">
        <v>3.71896101968013E-010</v>
      </c>
    </row>
    <row r="669" customFormat="false" ht="13.8" hidden="false" customHeight="false" outlineLevel="0" collapsed="false">
      <c r="B669" s="2" t="n">
        <v>667</v>
      </c>
      <c r="C669" s="2" t="n">
        <v>3.00226859310616E-010</v>
      </c>
      <c r="D669" s="2" t="n">
        <v>2.24042666546534E-010</v>
      </c>
      <c r="E669" s="2" t="n">
        <v>3.71899821055583E-010</v>
      </c>
    </row>
    <row r="670" customFormat="false" ht="13.8" hidden="false" customHeight="false" outlineLevel="0" collapsed="false">
      <c r="B670" s="2" t="n">
        <v>668</v>
      </c>
      <c r="C670" s="2" t="n">
        <v>2.19929958958748E-009</v>
      </c>
      <c r="D670" s="2" t="n">
        <v>4.77961673039015E-009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2.19931156812673E-009</v>
      </c>
      <c r="D671" s="2" t="n">
        <v>4.77965458590134E-009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2.1993268872217E-009</v>
      </c>
      <c r="D672" s="2" t="n">
        <v>4.779695758291E-009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2.19934554434146E-009</v>
      </c>
      <c r="D673" s="2" t="n">
        <v>4.77974024387447E-009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2.39748482774495E-012</v>
      </c>
      <c r="D674" s="2" t="n">
        <v>2.39748503761698E-012</v>
      </c>
      <c r="E674" s="2" t="n">
        <v>2.39748490023125E-012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I2:I4 E2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1.125E-017</v>
      </c>
      <c r="D3" s="2" t="n">
        <v>0</v>
      </c>
      <c r="E3" s="2" t="n">
        <v>3.29363942701561E-019</v>
      </c>
    </row>
    <row r="4" customFormat="false" ht="13.8" hidden="false" customHeight="false" outlineLevel="0" collapsed="false">
      <c r="B4" s="2" t="n">
        <v>2</v>
      </c>
      <c r="C4" s="2" t="n">
        <v>0</v>
      </c>
      <c r="D4" s="2" t="n">
        <v>0</v>
      </c>
      <c r="E4" s="2" t="n">
        <v>0</v>
      </c>
    </row>
    <row r="5" customFormat="false" ht="13.8" hidden="false" customHeight="false" outlineLevel="0" collapsed="false">
      <c r="B5" s="2" t="n">
        <v>3</v>
      </c>
      <c r="C5" s="2" t="n">
        <v>3.61849136992199E-017</v>
      </c>
      <c r="D5" s="2" t="n">
        <v>0</v>
      </c>
      <c r="E5" s="2" t="n">
        <v>0</v>
      </c>
    </row>
    <row r="6" customFormat="false" ht="13.8" hidden="false" customHeight="false" outlineLevel="0" collapsed="false">
      <c r="B6" s="2" t="n">
        <v>4</v>
      </c>
      <c r="C6" s="2" t="n">
        <v>0</v>
      </c>
      <c r="D6" s="2" t="n">
        <v>6.11198273984396E-017</v>
      </c>
      <c r="E6" s="2" t="n">
        <v>3.63495956705707E-017</v>
      </c>
    </row>
    <row r="7" customFormat="false" ht="13.8" hidden="false" customHeight="false" outlineLevel="0" collapsed="false">
      <c r="B7" s="2" t="n">
        <v>5</v>
      </c>
      <c r="C7" s="2" t="n">
        <v>0</v>
      </c>
      <c r="D7" s="2" t="n">
        <v>0</v>
      </c>
      <c r="E7" s="2" t="n">
        <v>0</v>
      </c>
    </row>
    <row r="8" customFormat="false" ht="13.8" hidden="false" customHeight="false" outlineLevel="0" collapsed="false">
      <c r="B8" s="2" t="n">
        <v>6</v>
      </c>
      <c r="C8" s="2" t="n">
        <v>3.68436415846231E-017</v>
      </c>
      <c r="D8" s="2" t="n">
        <v>0</v>
      </c>
      <c r="E8" s="2" t="n">
        <v>0</v>
      </c>
    </row>
    <row r="9" customFormat="false" ht="13.8" hidden="false" customHeight="false" outlineLevel="0" collapsed="false">
      <c r="B9" s="2" t="n">
        <v>7</v>
      </c>
      <c r="C9" s="2" t="n">
        <v>0</v>
      </c>
      <c r="D9" s="2" t="n">
        <v>0</v>
      </c>
      <c r="E9" s="2" t="n">
        <v>0</v>
      </c>
    </row>
    <row r="10" customFormat="false" ht="13.8" hidden="false" customHeight="false" outlineLevel="0" collapsed="false">
      <c r="B10" s="2" t="n">
        <v>8</v>
      </c>
      <c r="C10" s="2" t="n">
        <v>0</v>
      </c>
      <c r="D10" s="2" t="n">
        <v>1.31745577080623E-018</v>
      </c>
      <c r="E10" s="2" t="n">
        <v>5.37109374999987E-019</v>
      </c>
    </row>
    <row r="11" customFormat="false" ht="13.8" hidden="false" customHeight="false" outlineLevel="0" collapsed="false">
      <c r="B11" s="2" t="n">
        <v>9</v>
      </c>
      <c r="C11" s="2" t="n">
        <v>0</v>
      </c>
      <c r="D11" s="2" t="n">
        <v>0</v>
      </c>
      <c r="E11" s="2" t="n">
        <v>0</v>
      </c>
    </row>
    <row r="12" customFormat="false" ht="13.8" hidden="false" customHeight="false" outlineLevel="0" collapsed="false">
      <c r="B12" s="2" t="n">
        <v>10</v>
      </c>
      <c r="C12" s="2" t="n">
        <v>6.5872788540312E-019</v>
      </c>
      <c r="D12" s="2" t="n">
        <v>0</v>
      </c>
      <c r="E12" s="2" t="n">
        <v>0</v>
      </c>
    </row>
    <row r="13" customFormat="false" ht="13.8" hidden="false" customHeight="false" outlineLevel="0" collapsed="false">
      <c r="B13" s="2" t="n">
        <v>11</v>
      </c>
      <c r="C13" s="2" t="n">
        <v>3.29363942701561E-019</v>
      </c>
      <c r="D13" s="2" t="n">
        <v>0</v>
      </c>
      <c r="E13" s="2" t="n">
        <v>0</v>
      </c>
    </row>
    <row r="14" customFormat="false" ht="13.8" hidden="false" customHeight="false" outlineLevel="0" collapsed="false">
      <c r="B14" s="2" t="n">
        <v>12</v>
      </c>
      <c r="C14" s="2" t="n">
        <v>0</v>
      </c>
      <c r="D14" s="2" t="n">
        <v>0</v>
      </c>
      <c r="E14" s="2" t="n">
        <v>1.21380929069084E-017</v>
      </c>
    </row>
    <row r="15" customFormat="false" ht="13.8" hidden="false" customHeight="false" outlineLevel="0" collapsed="false">
      <c r="B15" s="2" t="n">
        <v>13</v>
      </c>
      <c r="C15" s="2" t="n">
        <v>1.819011309961E-017</v>
      </c>
      <c r="D15" s="2" t="n">
        <v>3.73070569700262E-017</v>
      </c>
      <c r="E15" s="2" t="n">
        <v>0</v>
      </c>
    </row>
    <row r="16" customFormat="false" ht="13.8" hidden="false" customHeight="false" outlineLevel="0" collapsed="false">
      <c r="B16" s="2" t="n">
        <v>14</v>
      </c>
      <c r="C16" s="2" t="n">
        <v>3.075522619922E-017</v>
      </c>
      <c r="D16" s="2" t="n">
        <v>0</v>
      </c>
      <c r="E16" s="2" t="n">
        <v>1.64681971350781E-019</v>
      </c>
    </row>
    <row r="17" customFormat="false" ht="13.8" hidden="false" customHeight="false" outlineLevel="0" collapsed="false">
      <c r="B17" s="2" t="n">
        <v>15</v>
      </c>
      <c r="C17" s="2" t="n">
        <v>1.819011309961E-017</v>
      </c>
      <c r="D17" s="2" t="n">
        <v>0</v>
      </c>
      <c r="E17" s="2" t="n">
        <v>6.282556549805E-018</v>
      </c>
    </row>
    <row r="18" customFormat="false" ht="13.8" hidden="false" customHeight="false" outlineLevel="0" collapsed="false">
      <c r="B18" s="2" t="n">
        <v>16</v>
      </c>
      <c r="C18" s="2" t="n">
        <v>0</v>
      </c>
      <c r="D18" s="2" t="n">
        <v>0</v>
      </c>
      <c r="E18" s="2" t="n">
        <v>0</v>
      </c>
    </row>
    <row r="19" customFormat="false" ht="13.8" hidden="false" customHeight="false" outlineLevel="0" collapsed="false">
      <c r="B19" s="2" t="n">
        <v>17</v>
      </c>
      <c r="C19" s="2" t="n">
        <v>0</v>
      </c>
      <c r="D19" s="2" t="n">
        <v>0</v>
      </c>
      <c r="E19" s="2" t="n">
        <v>0</v>
      </c>
    </row>
    <row r="20" customFormat="false" ht="13.8" hidden="false" customHeight="false" outlineLevel="0" collapsed="false">
      <c r="B20" s="2" t="n">
        <v>18</v>
      </c>
      <c r="C20" s="2" t="n">
        <v>0</v>
      </c>
      <c r="D20" s="2" t="n">
        <v>1.31745577080623E-018</v>
      </c>
      <c r="E20" s="2" t="n">
        <v>6.5872788540312E-019</v>
      </c>
    </row>
    <row r="21" customFormat="false" ht="13.8" hidden="false" customHeight="false" outlineLevel="0" collapsed="false">
      <c r="B21" s="2" t="n">
        <v>19</v>
      </c>
      <c r="C21" s="2" t="n">
        <v>6.5872788540312E-019</v>
      </c>
      <c r="D21" s="2" t="n">
        <v>0</v>
      </c>
      <c r="E21" s="2" t="n">
        <v>2.71836845833338E-017</v>
      </c>
    </row>
    <row r="22" customFormat="false" ht="13.8" hidden="false" customHeight="false" outlineLevel="0" collapsed="false">
      <c r="B22" s="2" t="n">
        <v>20</v>
      </c>
      <c r="C22" s="2" t="n">
        <v>1.819011309961E-017</v>
      </c>
      <c r="D22" s="2" t="n">
        <v>0</v>
      </c>
      <c r="E22" s="2" t="n">
        <v>0</v>
      </c>
    </row>
    <row r="23" customFormat="false" ht="13.8" hidden="false" customHeight="false" outlineLevel="0" collapsed="false">
      <c r="B23" s="2" t="n">
        <v>21</v>
      </c>
      <c r="C23" s="2" t="n">
        <v>2.92274892900218E-014</v>
      </c>
      <c r="D23" s="2" t="n">
        <v>4.36033806043987E-013</v>
      </c>
      <c r="E23" s="2" t="n">
        <v>3.6502234423204E-010</v>
      </c>
    </row>
    <row r="24" customFormat="false" ht="13.8" hidden="false" customHeight="false" outlineLevel="0" collapsed="false">
      <c r="B24" s="2" t="n">
        <v>22</v>
      </c>
      <c r="C24" s="2" t="n">
        <v>0</v>
      </c>
      <c r="D24" s="2" t="n">
        <v>0</v>
      </c>
      <c r="E24" s="2" t="n">
        <v>2.59131461920396E-017</v>
      </c>
    </row>
    <row r="25" customFormat="false" ht="13.8" hidden="false" customHeight="false" outlineLevel="0" collapsed="false">
      <c r="B25" s="2" t="n">
        <v>23</v>
      </c>
      <c r="C25" s="2" t="n">
        <v>0</v>
      </c>
      <c r="D25" s="2" t="n">
        <v>5.04145400471192E-021</v>
      </c>
      <c r="E25" s="2" t="n">
        <v>0</v>
      </c>
    </row>
    <row r="26" customFormat="false" ht="13.8" hidden="false" customHeight="false" outlineLevel="0" collapsed="false">
      <c r="B26" s="2" t="n">
        <v>24</v>
      </c>
      <c r="C26" s="2" t="n">
        <v>0</v>
      </c>
      <c r="D26" s="2" t="n">
        <v>0</v>
      </c>
      <c r="E26" s="2" t="n">
        <v>1.79245654084399E-017</v>
      </c>
    </row>
    <row r="27" customFormat="false" ht="13.8" hidden="false" customHeight="false" outlineLevel="0" collapsed="false">
      <c r="B27" s="2" t="n">
        <v>25</v>
      </c>
      <c r="C27" s="2" t="n">
        <v>0</v>
      </c>
      <c r="D27" s="2" t="n">
        <v>3.71696320859401E-017</v>
      </c>
      <c r="E27" s="2" t="n">
        <v>0</v>
      </c>
    </row>
    <row r="28" customFormat="false" ht="13.8" hidden="false" customHeight="false" outlineLevel="0" collapsed="false">
      <c r="B28" s="2" t="n">
        <v>26</v>
      </c>
      <c r="C28" s="2" t="n">
        <v>2.58590269577278E-017</v>
      </c>
      <c r="D28" s="2" t="n">
        <v>0</v>
      </c>
      <c r="E28" s="2" t="n">
        <v>8.23409856753907E-020</v>
      </c>
    </row>
    <row r="29" customFormat="false" ht="13.8" hidden="false" customHeight="false" outlineLevel="0" collapsed="false">
      <c r="B29" s="2" t="n">
        <v>27</v>
      </c>
      <c r="C29" s="2" t="n">
        <v>0</v>
      </c>
      <c r="D29" s="2" t="n">
        <v>0</v>
      </c>
      <c r="E29" s="2" t="n">
        <v>0</v>
      </c>
    </row>
    <row r="30" customFormat="false" ht="13.8" hidden="false" customHeight="false" outlineLevel="0" collapsed="false">
      <c r="B30" s="2" t="n">
        <v>28</v>
      </c>
      <c r="C30" s="2" t="n">
        <v>0</v>
      </c>
      <c r="D30" s="2" t="n">
        <v>1.858481604297E-017</v>
      </c>
      <c r="E30" s="2" t="n">
        <v>0</v>
      </c>
    </row>
    <row r="31" customFormat="false" ht="13.8" hidden="false" customHeight="false" outlineLevel="0" collapsed="false">
      <c r="B31" s="2" t="n">
        <v>29</v>
      </c>
      <c r="C31" s="2" t="n">
        <v>0</v>
      </c>
      <c r="D31" s="2" t="n">
        <v>0</v>
      </c>
      <c r="E31" s="2" t="n">
        <v>0</v>
      </c>
    </row>
    <row r="32" customFormat="false" ht="13.8" hidden="false" customHeight="false" outlineLevel="0" collapsed="false">
      <c r="B32" s="2" t="n">
        <v>30</v>
      </c>
      <c r="C32" s="2" t="n">
        <v>0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0</v>
      </c>
      <c r="D34" s="2" t="n">
        <v>0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0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0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0</v>
      </c>
      <c r="D38" s="2" t="n">
        <v>1.89713630997096E-017</v>
      </c>
      <c r="E38" s="2" t="n">
        <v>0.00569056772811237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0.0233725834221731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0.0912341881364894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0</v>
      </c>
      <c r="E41" s="2" t="n">
        <v>0.108835016341783</v>
      </c>
    </row>
    <row r="42" customFormat="false" ht="13.8" hidden="false" customHeight="false" outlineLevel="0" collapsed="false">
      <c r="B42" s="2" t="n">
        <v>40</v>
      </c>
      <c r="C42" s="2" t="n">
        <v>0</v>
      </c>
      <c r="D42" s="2" t="n">
        <v>1.89713630997428E-017</v>
      </c>
      <c r="E42" s="2" t="n">
        <v>0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1.89713630997549E-017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0</v>
      </c>
      <c r="D45" s="2" t="n">
        <v>0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1.89713630998093E-017</v>
      </c>
      <c r="E46" s="2" t="n">
        <v>0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0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1.89713631489639E-017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0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1.8971363100009E-017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0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0.210206385246729</v>
      </c>
      <c r="D54" s="2" t="n">
        <v>0.271878705731456</v>
      </c>
      <c r="E54" s="2" t="n">
        <v>0.121920069035479</v>
      </c>
    </row>
    <row r="55" customFormat="false" ht="13.8" hidden="false" customHeight="false" outlineLevel="0" collapsed="false">
      <c r="B55" s="2" t="n">
        <v>53</v>
      </c>
      <c r="C55" s="2" t="n">
        <v>0.323053825332619</v>
      </c>
      <c r="D55" s="2" t="n">
        <v>0.356895596131884</v>
      </c>
      <c r="E55" s="2" t="n">
        <v>0.189231522012494</v>
      </c>
    </row>
    <row r="56" customFormat="false" ht="13.8" hidden="false" customHeight="false" outlineLevel="0" collapsed="false">
      <c r="B56" s="2" t="n">
        <v>54</v>
      </c>
      <c r="C56" s="2" t="n">
        <v>0.32318359700363</v>
      </c>
      <c r="D56" s="2" t="n">
        <v>0.345062159411173</v>
      </c>
      <c r="E56" s="2" t="n">
        <v>0.0798771705588958</v>
      </c>
    </row>
    <row r="57" customFormat="false" ht="13.8" hidden="false" customHeight="false" outlineLevel="0" collapsed="false">
      <c r="B57" s="2" t="n">
        <v>55</v>
      </c>
      <c r="C57" s="2" t="n">
        <v>0.303397402006822</v>
      </c>
      <c r="D57" s="2" t="n">
        <v>0.333228722690452</v>
      </c>
      <c r="E57" s="2" t="n">
        <v>0.192772285635414</v>
      </c>
    </row>
    <row r="58" customFormat="false" ht="13.8" hidden="false" customHeight="false" outlineLevel="0" collapsed="false">
      <c r="B58" s="2" t="n">
        <v>56</v>
      </c>
      <c r="C58" s="2" t="n">
        <v>0.296611273678972</v>
      </c>
      <c r="D58" s="2" t="n">
        <v>0.321395285969752</v>
      </c>
      <c r="E58" s="2" t="n">
        <v>0.00238990645816579</v>
      </c>
    </row>
    <row r="59" customFormat="false" ht="13.8" hidden="false" customHeight="false" outlineLevel="0" collapsed="false">
      <c r="B59" s="2" t="n">
        <v>57</v>
      </c>
      <c r="C59" s="2" t="n">
        <v>0.296991512016642</v>
      </c>
      <c r="D59" s="2" t="n">
        <v>0.309561849249041</v>
      </c>
      <c r="E59" s="2" t="n">
        <v>0.00493151503909382</v>
      </c>
    </row>
    <row r="60" customFormat="false" ht="13.8" hidden="false" customHeight="false" outlineLevel="0" collapsed="false">
      <c r="B60" s="2" t="n">
        <v>58</v>
      </c>
      <c r="C60" s="2" t="n">
        <v>0.236928309267707</v>
      </c>
      <c r="D60" s="2" t="n">
        <v>0.27692300147894</v>
      </c>
      <c r="E60" s="2" t="n">
        <v>0.0114542918518963</v>
      </c>
    </row>
    <row r="61" customFormat="false" ht="13.8" hidden="false" customHeight="false" outlineLevel="0" collapsed="false">
      <c r="B61" s="2" t="n">
        <v>59</v>
      </c>
      <c r="C61" s="2" t="n">
        <v>0.213281839852105</v>
      </c>
      <c r="D61" s="2" t="n">
        <v>0.244284153708839</v>
      </c>
      <c r="E61" s="2" t="n">
        <v>0.0272426950673505</v>
      </c>
    </row>
    <row r="62" customFormat="false" ht="13.8" hidden="false" customHeight="false" outlineLevel="0" collapsed="false">
      <c r="B62" s="2" t="n">
        <v>60</v>
      </c>
      <c r="C62" s="2" t="n">
        <v>0.163635270434011</v>
      </c>
      <c r="D62" s="2" t="n">
        <v>0.211645305938719</v>
      </c>
      <c r="E62" s="2" t="n">
        <v>0.0650154354610555</v>
      </c>
    </row>
    <row r="63" customFormat="false" ht="13.8" hidden="false" customHeight="false" outlineLevel="0" collapsed="false">
      <c r="B63" s="2" t="n">
        <v>61</v>
      </c>
      <c r="C63" s="2" t="n">
        <v>0.139988217687567</v>
      </c>
      <c r="D63" s="2" t="n">
        <v>0.179006458168636</v>
      </c>
      <c r="E63" s="2" t="n">
        <v>0.064689239884305</v>
      </c>
    </row>
    <row r="64" customFormat="false" ht="13.8" hidden="false" customHeight="false" outlineLevel="0" collapsed="false">
      <c r="B64" s="2" t="n">
        <v>62</v>
      </c>
      <c r="C64" s="2" t="n">
        <v>0.10736479700585</v>
      </c>
      <c r="D64" s="2" t="n">
        <v>0.162345556637082</v>
      </c>
      <c r="E64" s="2" t="n">
        <v>0.0615384127661461</v>
      </c>
    </row>
    <row r="65" customFormat="false" ht="13.8" hidden="false" customHeight="false" outlineLevel="0" collapsed="false">
      <c r="B65" s="2" t="n">
        <v>63</v>
      </c>
      <c r="C65" s="2" t="n">
        <v>0.0650458286387855</v>
      </c>
      <c r="D65" s="2" t="n">
        <v>0.145684655105528</v>
      </c>
      <c r="E65" s="2" t="n">
        <v>7.81249999999839E-019</v>
      </c>
    </row>
    <row r="66" customFormat="false" ht="13.8" hidden="false" customHeight="false" outlineLevel="0" collapsed="false">
      <c r="B66" s="2" t="n">
        <v>64</v>
      </c>
      <c r="C66" s="2" t="n">
        <v>0.0243548308389091</v>
      </c>
      <c r="D66" s="2" t="n">
        <v>0.129023753573974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0.00249714970569861</v>
      </c>
      <c r="D67" s="2" t="n">
        <v>0.11236285204242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0.0331072187368129</v>
      </c>
      <c r="D68" s="2" t="n">
        <v>0.0953932172961953</v>
      </c>
      <c r="E68" s="2" t="n">
        <v>0.0110896370787248</v>
      </c>
    </row>
    <row r="69" customFormat="false" ht="13.8" hidden="false" customHeight="false" outlineLevel="0" collapsed="false">
      <c r="B69" s="2" t="n">
        <v>67</v>
      </c>
      <c r="C69" s="2" t="n">
        <v>0.0270537191834316</v>
      </c>
      <c r="D69" s="2" t="n">
        <v>0.0784235825499936</v>
      </c>
      <c r="E69" s="2" t="n">
        <v>0.0434263595835791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0.00988421635717305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3.66483290846231E-017</v>
      </c>
      <c r="D71" s="2" t="n">
        <v>6.4530611260312E-019</v>
      </c>
      <c r="E71" s="2" t="n">
        <v>0</v>
      </c>
    </row>
    <row r="72" customFormat="false" ht="13.8" hidden="false" customHeight="false" outlineLevel="0" collapsed="false">
      <c r="B72" s="2" t="n">
        <v>70</v>
      </c>
      <c r="C72" s="2" t="n">
        <v>0</v>
      </c>
      <c r="D72" s="2" t="n">
        <v>3.90624999999993E-019</v>
      </c>
      <c r="E72" s="2" t="n">
        <v>1.31745577080623E-018</v>
      </c>
    </row>
    <row r="73" customFormat="false" ht="13.8" hidden="false" customHeight="false" outlineLevel="0" collapsed="false">
      <c r="B73" s="2" t="n">
        <v>71</v>
      </c>
      <c r="C73" s="2" t="n">
        <v>0</v>
      </c>
      <c r="D73" s="2" t="n">
        <v>0</v>
      </c>
      <c r="E73" s="2" t="n">
        <v>1.5624999999999E-018</v>
      </c>
    </row>
    <row r="74" customFormat="false" ht="13.8" hidden="false" customHeight="false" outlineLevel="0" collapsed="false">
      <c r="B74" s="2" t="n">
        <v>72</v>
      </c>
      <c r="C74" s="2" t="n">
        <v>0</v>
      </c>
      <c r="D74" s="2" t="n">
        <v>1.65421254793495E-011</v>
      </c>
      <c r="E74" s="2" t="n">
        <v>3.03476000409511E-017</v>
      </c>
    </row>
    <row r="75" customFormat="false" ht="13.8" hidden="false" customHeight="false" outlineLevel="0" collapsed="false">
      <c r="B75" s="2" t="n">
        <v>73</v>
      </c>
      <c r="C75" s="2" t="n">
        <v>0</v>
      </c>
      <c r="D75" s="2" t="n">
        <v>4.7038508139338E-013</v>
      </c>
      <c r="E75" s="2" t="n">
        <v>2.22459109865611E-011</v>
      </c>
    </row>
    <row r="76" customFormat="false" ht="13.8" hidden="false" customHeight="false" outlineLevel="0" collapsed="false">
      <c r="B76" s="2" t="n">
        <v>74</v>
      </c>
      <c r="C76" s="2" t="n">
        <v>0</v>
      </c>
      <c r="D76" s="2" t="n">
        <v>4.63733951885482E-013</v>
      </c>
      <c r="E76" s="2" t="n">
        <v>2.99880879200745E-011</v>
      </c>
    </row>
    <row r="77" customFormat="false" ht="13.8" hidden="false" customHeight="false" outlineLevel="0" collapsed="false">
      <c r="B77" s="2" t="n">
        <v>75</v>
      </c>
      <c r="C77" s="2" t="n">
        <v>0</v>
      </c>
      <c r="D77" s="2" t="n">
        <v>4.572090346279E-013</v>
      </c>
      <c r="E77" s="2" t="n">
        <v>3.77302721031824E-011</v>
      </c>
    </row>
    <row r="78" customFormat="false" ht="13.8" hidden="false" customHeight="false" outlineLevel="0" collapsed="false">
      <c r="B78" s="2" t="n">
        <v>76</v>
      </c>
      <c r="C78" s="2" t="n">
        <v>0</v>
      </c>
      <c r="D78" s="2" t="n">
        <v>4.50709120546963E-013</v>
      </c>
      <c r="E78" s="2" t="n">
        <v>4.5472431984149E-011</v>
      </c>
    </row>
    <row r="79" customFormat="false" ht="13.8" hidden="false" customHeight="false" outlineLevel="0" collapsed="false">
      <c r="B79" s="2" t="n">
        <v>77</v>
      </c>
      <c r="C79" s="2" t="n">
        <v>0</v>
      </c>
      <c r="D79" s="2" t="n">
        <v>4.44229636499932E-013</v>
      </c>
      <c r="E79" s="2" t="n">
        <v>5.32145985656847E-011</v>
      </c>
    </row>
    <row r="80" customFormat="false" ht="13.8" hidden="false" customHeight="false" outlineLevel="0" collapsed="false">
      <c r="B80" s="2" t="n">
        <v>78</v>
      </c>
      <c r="C80" s="2" t="n">
        <v>0</v>
      </c>
      <c r="D80" s="2" t="n">
        <v>7.23698273984396E-017</v>
      </c>
      <c r="E80" s="2" t="n">
        <v>6.09567136056531E-011</v>
      </c>
    </row>
    <row r="81" customFormat="false" ht="13.8" hidden="false" customHeight="false" outlineLevel="0" collapsed="false">
      <c r="B81" s="2" t="n">
        <v>79</v>
      </c>
      <c r="C81" s="2" t="n">
        <v>0</v>
      </c>
      <c r="D81" s="2" t="n">
        <v>0</v>
      </c>
      <c r="E81" s="2" t="n">
        <v>6.86988581692313E-011</v>
      </c>
    </row>
    <row r="82" customFormat="false" ht="13.8" hidden="false" customHeight="false" outlineLevel="0" collapsed="false">
      <c r="B82" s="2" t="n">
        <v>80</v>
      </c>
      <c r="C82" s="2" t="n">
        <v>0</v>
      </c>
      <c r="D82" s="2" t="n">
        <v>0</v>
      </c>
      <c r="E82" s="2" t="n">
        <v>7.64409726290445E-011</v>
      </c>
    </row>
    <row r="83" customFormat="false" ht="13.8" hidden="false" customHeight="false" outlineLevel="0" collapsed="false">
      <c r="B83" s="2" t="n">
        <v>81</v>
      </c>
      <c r="C83" s="2" t="n">
        <v>0</v>
      </c>
      <c r="D83" s="2" t="n">
        <v>1.95312499999982E-018</v>
      </c>
      <c r="E83" s="2" t="n">
        <v>8.41830889498461E-011</v>
      </c>
    </row>
    <row r="84" customFormat="false" ht="13.8" hidden="false" customHeight="false" outlineLevel="0" collapsed="false">
      <c r="B84" s="2" t="n">
        <v>82</v>
      </c>
      <c r="C84" s="2" t="n">
        <v>0</v>
      </c>
      <c r="D84" s="2" t="n">
        <v>7.23698273984396E-017</v>
      </c>
      <c r="E84" s="2" t="n">
        <v>9.19252074143207E-011</v>
      </c>
    </row>
    <row r="85" customFormat="false" ht="13.8" hidden="false" customHeight="false" outlineLevel="0" collapsed="false">
      <c r="B85" s="2" t="n">
        <v>83</v>
      </c>
      <c r="C85" s="2" t="n">
        <v>0</v>
      </c>
      <c r="D85" s="2" t="n">
        <v>1.95312499999982E-018</v>
      </c>
      <c r="E85" s="2" t="n">
        <v>9.96673191162821E-011</v>
      </c>
    </row>
    <row r="86" customFormat="false" ht="13.8" hidden="false" customHeight="false" outlineLevel="0" collapsed="false">
      <c r="B86" s="2" t="n">
        <v>84</v>
      </c>
      <c r="C86" s="2" t="n">
        <v>0</v>
      </c>
      <c r="D86" s="2" t="n">
        <v>0</v>
      </c>
      <c r="E86" s="2" t="n">
        <v>1.07409436087052E-010</v>
      </c>
    </row>
    <row r="87" customFormat="false" ht="13.8" hidden="false" customHeight="false" outlineLevel="0" collapsed="false">
      <c r="B87" s="2" t="n">
        <v>85</v>
      </c>
      <c r="C87" s="2" t="n">
        <v>0</v>
      </c>
      <c r="D87" s="2" t="n">
        <v>0</v>
      </c>
      <c r="E87" s="2" t="n">
        <v>1.15151549615745E-010</v>
      </c>
    </row>
    <row r="88" customFormat="false" ht="13.8" hidden="false" customHeight="false" outlineLevel="0" collapsed="false">
      <c r="B88" s="2" t="n">
        <v>86</v>
      </c>
      <c r="C88" s="2" t="n">
        <v>0</v>
      </c>
      <c r="D88" s="2" t="n">
        <v>0</v>
      </c>
      <c r="E88" s="2" t="n">
        <v>1.22893671733677E-010</v>
      </c>
    </row>
    <row r="89" customFormat="false" ht="13.8" hidden="false" customHeight="false" outlineLevel="0" collapsed="false">
      <c r="B89" s="2" t="n">
        <v>87</v>
      </c>
      <c r="C89" s="2" t="n">
        <v>0</v>
      </c>
      <c r="D89" s="2" t="n">
        <v>0</v>
      </c>
      <c r="E89" s="2" t="n">
        <v>3.86921466524006E-012</v>
      </c>
    </row>
    <row r="90" customFormat="false" ht="13.8" hidden="false" customHeight="false" outlineLevel="0" collapsed="false">
      <c r="B90" s="2" t="n">
        <v>88</v>
      </c>
      <c r="C90" s="2" t="n">
        <v>0</v>
      </c>
      <c r="D90" s="2" t="n">
        <v>0</v>
      </c>
      <c r="E90" s="2" t="n">
        <v>3.8692506835239E-012</v>
      </c>
    </row>
    <row r="91" customFormat="false" ht="13.8" hidden="false" customHeight="false" outlineLevel="0" collapsed="false">
      <c r="B91" s="2" t="n">
        <v>89</v>
      </c>
      <c r="C91" s="2" t="n">
        <v>0</v>
      </c>
      <c r="D91" s="2" t="n">
        <v>0</v>
      </c>
      <c r="E91" s="2" t="n">
        <v>3.86930110403004E-012</v>
      </c>
    </row>
    <row r="92" customFormat="false" ht="13.8" hidden="false" customHeight="false" outlineLevel="0" collapsed="false">
      <c r="B92" s="2" t="n">
        <v>90</v>
      </c>
      <c r="C92" s="2" t="n">
        <v>0</v>
      </c>
      <c r="D92" s="2" t="n">
        <v>0</v>
      </c>
      <c r="E92" s="2" t="n">
        <v>3.86933044913233E-012</v>
      </c>
    </row>
    <row r="93" customFormat="false" ht="13.8" hidden="false" customHeight="false" outlineLevel="0" collapsed="false">
      <c r="B93" s="2" t="n">
        <v>91</v>
      </c>
      <c r="C93" s="2" t="n">
        <v>0</v>
      </c>
      <c r="D93" s="2" t="n">
        <v>0</v>
      </c>
      <c r="E93" s="2" t="n">
        <v>3.8693692186552E-012</v>
      </c>
    </row>
    <row r="94" customFormat="false" ht="13.8" hidden="false" customHeight="false" outlineLevel="0" collapsed="false">
      <c r="B94" s="2" t="n">
        <v>92</v>
      </c>
      <c r="C94" s="2" t="n">
        <v>0</v>
      </c>
      <c r="D94" s="2" t="n">
        <v>0</v>
      </c>
      <c r="E94" s="2" t="n">
        <v>3.86940821988577E-012</v>
      </c>
    </row>
    <row r="95" customFormat="false" ht="13.8" hidden="false" customHeight="false" outlineLevel="0" collapsed="false">
      <c r="B95" s="2" t="n">
        <v>93</v>
      </c>
      <c r="C95" s="2" t="n">
        <v>0</v>
      </c>
      <c r="D95" s="2" t="n">
        <v>0</v>
      </c>
      <c r="E95" s="2" t="n">
        <v>3.86944656962938E-012</v>
      </c>
    </row>
    <row r="96" customFormat="false" ht="13.8" hidden="false" customHeight="false" outlineLevel="0" collapsed="false">
      <c r="B96" s="2" t="n">
        <v>94</v>
      </c>
      <c r="C96" s="2" t="n">
        <v>0</v>
      </c>
      <c r="D96" s="2" t="n">
        <v>0</v>
      </c>
      <c r="E96" s="2" t="n">
        <v>3.8694903428551E-012</v>
      </c>
    </row>
    <row r="97" customFormat="false" ht="13.8" hidden="false" customHeight="false" outlineLevel="0" collapsed="false">
      <c r="B97" s="2" t="n">
        <v>95</v>
      </c>
      <c r="C97" s="2" t="n">
        <v>0</v>
      </c>
      <c r="D97" s="2" t="n">
        <v>1.31745577080623E-018</v>
      </c>
      <c r="E97" s="2" t="n">
        <v>1.92574775121197E-010</v>
      </c>
    </row>
    <row r="98" customFormat="false" ht="13.8" hidden="false" customHeight="false" outlineLevel="0" collapsed="false">
      <c r="B98" s="2" t="n">
        <v>96</v>
      </c>
      <c r="C98" s="2" t="n">
        <v>0</v>
      </c>
      <c r="D98" s="2" t="n">
        <v>0</v>
      </c>
      <c r="E98" s="2" t="n">
        <v>2.00317365548966E-010</v>
      </c>
    </row>
    <row r="99" customFormat="false" ht="13.8" hidden="false" customHeight="false" outlineLevel="0" collapsed="false">
      <c r="B99" s="2" t="n">
        <v>97</v>
      </c>
      <c r="C99" s="2" t="n">
        <v>0</v>
      </c>
      <c r="D99" s="2" t="n">
        <v>3.73070569700262E-017</v>
      </c>
      <c r="E99" s="2" t="n">
        <v>2.08059972821533E-010</v>
      </c>
    </row>
    <row r="100" customFormat="false" ht="13.8" hidden="false" customHeight="false" outlineLevel="0" collapsed="false">
      <c r="B100" s="2" t="n">
        <v>98</v>
      </c>
      <c r="C100" s="2" t="n">
        <v>0</v>
      </c>
      <c r="D100" s="2" t="n">
        <v>0</v>
      </c>
      <c r="E100" s="2" t="n">
        <v>2.15802605763566E-010</v>
      </c>
    </row>
    <row r="101" customFormat="false" ht="13.8" hidden="false" customHeight="false" outlineLevel="0" collapsed="false">
      <c r="B101" s="2" t="n">
        <v>99</v>
      </c>
      <c r="C101" s="2" t="n">
        <v>0</v>
      </c>
      <c r="D101" s="2" t="n">
        <v>1.31745577080623E-018</v>
      </c>
      <c r="E101" s="2" t="n">
        <v>2.23545251154308E-010</v>
      </c>
    </row>
    <row r="102" customFormat="false" ht="13.8" hidden="false" customHeight="false" outlineLevel="0" collapsed="false">
      <c r="B102" s="2" t="n">
        <v>100</v>
      </c>
      <c r="C102" s="2" t="n">
        <v>0</v>
      </c>
      <c r="D102" s="2" t="n">
        <v>0</v>
      </c>
      <c r="E102" s="2" t="n">
        <v>2.31287923878348E-010</v>
      </c>
    </row>
    <row r="103" customFormat="false" ht="13.8" hidden="false" customHeight="false" outlineLevel="0" collapsed="false">
      <c r="B103" s="2" t="n">
        <v>101</v>
      </c>
      <c r="C103" s="2" t="n">
        <v>0</v>
      </c>
      <c r="D103" s="2" t="n">
        <v>0</v>
      </c>
      <c r="E103" s="2" t="n">
        <v>2.39030623719295E-010</v>
      </c>
    </row>
    <row r="104" customFormat="false" ht="13.8" hidden="false" customHeight="false" outlineLevel="0" collapsed="false">
      <c r="B104" s="2" t="n">
        <v>102</v>
      </c>
      <c r="C104" s="2" t="n">
        <v>0</v>
      </c>
      <c r="D104" s="2" t="n">
        <v>0</v>
      </c>
      <c r="E104" s="2" t="n">
        <v>2.46773348978187E-010</v>
      </c>
    </row>
    <row r="105" customFormat="false" ht="13.8" hidden="false" customHeight="false" outlineLevel="0" collapsed="false">
      <c r="B105" s="2" t="n">
        <v>103</v>
      </c>
      <c r="C105" s="2" t="n">
        <v>0</v>
      </c>
      <c r="D105" s="2" t="n">
        <v>0</v>
      </c>
      <c r="E105" s="2" t="n">
        <v>2.5451610117865E-010</v>
      </c>
    </row>
    <row r="106" customFormat="false" ht="13.8" hidden="false" customHeight="false" outlineLevel="0" collapsed="false">
      <c r="B106" s="2" t="n">
        <v>104</v>
      </c>
      <c r="C106" s="2" t="n">
        <v>0</v>
      </c>
      <c r="D106" s="2" t="n">
        <v>0</v>
      </c>
      <c r="E106" s="2" t="n">
        <v>2.62258882832144E-010</v>
      </c>
    </row>
    <row r="107" customFormat="false" ht="13.8" hidden="false" customHeight="false" outlineLevel="0" collapsed="false">
      <c r="B107" s="2" t="n">
        <v>105</v>
      </c>
      <c r="C107" s="2" t="n">
        <v>0</v>
      </c>
      <c r="D107" s="2" t="n">
        <v>1.95075688704163E-017</v>
      </c>
      <c r="E107" s="2" t="n">
        <v>2.70001694012816E-010</v>
      </c>
    </row>
    <row r="108" customFormat="false" ht="13.8" hidden="false" customHeight="false" outlineLevel="0" collapsed="false">
      <c r="B108" s="2" t="n">
        <v>106</v>
      </c>
      <c r="C108" s="2" t="n">
        <v>0</v>
      </c>
      <c r="D108" s="2" t="n">
        <v>0</v>
      </c>
      <c r="E108" s="2" t="n">
        <v>2.77744541684273E-010</v>
      </c>
    </row>
    <row r="109" customFormat="false" ht="13.8" hidden="false" customHeight="false" outlineLevel="0" collapsed="false">
      <c r="B109" s="2" t="n">
        <v>107</v>
      </c>
      <c r="C109" s="2" t="n">
        <v>0</v>
      </c>
      <c r="D109" s="2" t="n">
        <v>1.31745577080623E-018</v>
      </c>
      <c r="E109" s="2" t="n">
        <v>2.85487411067114E-010</v>
      </c>
    </row>
    <row r="110" customFormat="false" ht="13.8" hidden="false" customHeight="false" outlineLevel="0" collapsed="false">
      <c r="B110" s="2" t="n">
        <v>108</v>
      </c>
      <c r="C110" s="2" t="n">
        <v>0</v>
      </c>
      <c r="D110" s="2" t="n">
        <v>0</v>
      </c>
      <c r="E110" s="2" t="n">
        <v>2.93230323521127E-010</v>
      </c>
    </row>
    <row r="111" customFormat="false" ht="13.8" hidden="false" customHeight="false" outlineLevel="0" collapsed="false">
      <c r="B111" s="2" t="n">
        <v>109</v>
      </c>
      <c r="C111" s="2" t="n">
        <v>0</v>
      </c>
      <c r="D111" s="2" t="n">
        <v>1.31745577080623E-018</v>
      </c>
      <c r="E111" s="2" t="n">
        <v>3.00973266179336E-010</v>
      </c>
    </row>
    <row r="112" customFormat="false" ht="13.8" hidden="false" customHeight="false" outlineLevel="0" collapsed="false">
      <c r="B112" s="2" t="n">
        <v>110</v>
      </c>
      <c r="C112" s="2" t="n">
        <v>0</v>
      </c>
      <c r="D112" s="2" t="n">
        <v>0</v>
      </c>
      <c r="E112" s="2" t="n">
        <v>3.08716249410302E-010</v>
      </c>
    </row>
    <row r="113" customFormat="false" ht="13.8" hidden="false" customHeight="false" outlineLevel="0" collapsed="false">
      <c r="B113" s="2" t="n">
        <v>111</v>
      </c>
      <c r="C113" s="2" t="n">
        <v>0</v>
      </c>
      <c r="D113" s="2" t="n">
        <v>1.95075688704163E-017</v>
      </c>
      <c r="E113" s="2" t="n">
        <v>3.16459265115931E-010</v>
      </c>
    </row>
    <row r="114" customFormat="false" ht="13.8" hidden="false" customHeight="false" outlineLevel="0" collapsed="false">
      <c r="B114" s="2" t="n">
        <v>112</v>
      </c>
      <c r="C114" s="2" t="n">
        <v>0</v>
      </c>
      <c r="D114" s="2" t="n">
        <v>0</v>
      </c>
      <c r="E114" s="2" t="n">
        <v>3.24202321935669E-010</v>
      </c>
    </row>
    <row r="115" customFormat="false" ht="13.8" hidden="false" customHeight="false" outlineLevel="0" collapsed="false">
      <c r="B115" s="2" t="n">
        <v>113</v>
      </c>
      <c r="C115" s="2" t="n">
        <v>0</v>
      </c>
      <c r="D115" s="2" t="n">
        <v>1.95075688704163E-017</v>
      </c>
      <c r="E115" s="2" t="n">
        <v>3.31945420931724E-010</v>
      </c>
    </row>
    <row r="116" customFormat="false" ht="13.8" hidden="false" customHeight="false" outlineLevel="0" collapsed="false">
      <c r="B116" s="2" t="n">
        <v>114</v>
      </c>
      <c r="C116" s="2" t="n">
        <v>0</v>
      </c>
      <c r="D116" s="2" t="n">
        <v>0</v>
      </c>
      <c r="E116" s="2" t="n">
        <v>3.39688556613107E-010</v>
      </c>
    </row>
    <row r="117" customFormat="false" ht="13.8" hidden="false" customHeight="false" outlineLevel="0" collapsed="false">
      <c r="B117" s="2" t="n">
        <v>115</v>
      </c>
      <c r="C117" s="2" t="n">
        <v>0</v>
      </c>
      <c r="D117" s="2" t="n">
        <v>1.00218873206112E-017</v>
      </c>
      <c r="E117" s="2" t="n">
        <v>3.47431737243826E-010</v>
      </c>
    </row>
    <row r="118" customFormat="false" ht="13.8" hidden="false" customHeight="false" outlineLevel="0" collapsed="false">
      <c r="B118" s="2" t="n">
        <v>116</v>
      </c>
      <c r="C118" s="2" t="n">
        <v>0</v>
      </c>
      <c r="D118" s="2" t="n">
        <v>9.09505654980501E-018</v>
      </c>
      <c r="E118" s="2" t="n">
        <v>3.551749584864E-010</v>
      </c>
    </row>
    <row r="119" customFormat="false" ht="13.8" hidden="false" customHeight="false" outlineLevel="0" collapsed="false">
      <c r="B119" s="2" t="n">
        <v>117</v>
      </c>
      <c r="C119" s="2" t="n">
        <v>0</v>
      </c>
      <c r="D119" s="2" t="n">
        <v>1.31745577080623E-018</v>
      </c>
      <c r="E119" s="2" t="n">
        <v>3.62918226295621E-010</v>
      </c>
    </row>
    <row r="120" customFormat="false" ht="13.8" hidden="false" customHeight="false" outlineLevel="0" collapsed="false">
      <c r="B120" s="2" t="n">
        <v>118</v>
      </c>
      <c r="C120" s="2" t="n">
        <v>0</v>
      </c>
      <c r="D120" s="2" t="n">
        <v>0</v>
      </c>
      <c r="E120" s="2" t="n">
        <v>3.64157946268131E-010</v>
      </c>
    </row>
    <row r="121" customFormat="false" ht="13.8" hidden="false" customHeight="false" outlineLevel="0" collapsed="false">
      <c r="B121" s="2" t="n">
        <v>119</v>
      </c>
      <c r="C121" s="2" t="n">
        <v>0</v>
      </c>
      <c r="D121" s="2" t="n">
        <v>0</v>
      </c>
      <c r="E121" s="2" t="n">
        <v>3.7190116857974E-010</v>
      </c>
    </row>
    <row r="122" customFormat="false" ht="13.8" hidden="false" customHeight="false" outlineLevel="0" collapsed="false">
      <c r="B122" s="2" t="n">
        <v>120</v>
      </c>
      <c r="C122" s="2" t="n">
        <v>0</v>
      </c>
      <c r="D122" s="2" t="n">
        <v>0</v>
      </c>
      <c r="E122" s="2" t="n">
        <v>3.79644485696082E-010</v>
      </c>
    </row>
    <row r="123" customFormat="false" ht="13.8" hidden="false" customHeight="false" outlineLevel="0" collapsed="false">
      <c r="B123" s="2" t="n">
        <v>121</v>
      </c>
      <c r="C123" s="2" t="n">
        <v>1.00585937499963E-018</v>
      </c>
      <c r="D123" s="2" t="n">
        <v>0</v>
      </c>
      <c r="E123" s="2" t="n">
        <v>0.00407563874211539</v>
      </c>
    </row>
    <row r="124" customFormat="false" ht="13.8" hidden="false" customHeight="false" outlineLevel="0" collapsed="false">
      <c r="B124" s="2" t="n">
        <v>122</v>
      </c>
      <c r="C124" s="2" t="n">
        <v>7.40057043131122E-014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4.6871570267278E-008</v>
      </c>
      <c r="D125" s="2" t="n">
        <v>4.9514544932047E-008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6.95656784255414E-010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6.61102323116452E-010</v>
      </c>
      <c r="D128" s="2" t="n">
        <v>1.39131999398498E-009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1.32221069115701E-009</v>
      </c>
      <c r="D129" s="2" t="n">
        <v>2.08698974491127E-009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1.98332532741441E-009</v>
      </c>
      <c r="D130" s="2" t="n">
        <v>2.78266607426404E-009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2.64444624862266E-009</v>
      </c>
      <c r="D131" s="2" t="n">
        <v>3.47834901946891E-009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3.30557346811422E-009</v>
      </c>
      <c r="D132" s="2" t="n">
        <v>4.17403861801313E-009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3.96670700523413E-009</v>
      </c>
      <c r="D133" s="2" t="n">
        <v>4.86973490758392E-009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4.62784687512032E-009</v>
      </c>
      <c r="D134" s="2" t="n">
        <v>5.56543792600492E-009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5.28899309452702E-009</v>
      </c>
      <c r="D135" s="2" t="n">
        <v>6.26114771112251E-009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5.95014567975544E-009</v>
      </c>
      <c r="D136" s="2" t="n">
        <v>6.95686430090949E-009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6.61130464831165E-009</v>
      </c>
      <c r="D137" s="2" t="n">
        <v>7.65258773339993E-009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7.27247001571689E-009</v>
      </c>
      <c r="D138" s="2" t="n">
        <v>8.34831804671573E-009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7.93364180019727E-009</v>
      </c>
      <c r="D139" s="2" t="n">
        <v>9.04405527897036E-009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8.59482002196064E-009</v>
      </c>
      <c r="D140" s="2" t="n">
        <v>9.73979946830465E-009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9.25600468647185E-009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9.91719582104276E-009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1.05783934431748E-008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1.12395975664897E-008</v>
      </c>
      <c r="D144" s="2" t="n">
        <v>0</v>
      </c>
      <c r="E144" s="2" t="n">
        <v>2.56835197194575E-011</v>
      </c>
    </row>
    <row r="145" customFormat="false" ht="13.8" hidden="false" customHeight="false" outlineLevel="0" collapsed="false">
      <c r="B145" s="2" t="n">
        <v>143</v>
      </c>
      <c r="C145" s="2" t="n">
        <v>1.25236591432257E-008</v>
      </c>
      <c r="D145" s="2" t="n">
        <v>3.58348084960298E-012</v>
      </c>
      <c r="E145" s="2" t="n">
        <v>0</v>
      </c>
    </row>
    <row r="146" customFormat="false" ht="13.8" hidden="false" customHeight="false" outlineLevel="0" collapsed="false">
      <c r="B146" s="2" t="n">
        <v>144</v>
      </c>
      <c r="C146" s="2" t="n">
        <v>1.25622399552931E-008</v>
      </c>
      <c r="D146" s="2" t="n">
        <v>0.0399421242180113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1.32232491215823E-008</v>
      </c>
      <c r="D147" s="2" t="n">
        <v>0.365986228496166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0.0855561622681211</v>
      </c>
      <c r="D148" s="2" t="n">
        <v>0.384906118697126</v>
      </c>
      <c r="E148" s="2" t="n">
        <v>0.0149671161119207</v>
      </c>
    </row>
    <row r="149" customFormat="false" ht="13.8" hidden="false" customHeight="false" outlineLevel="0" collapsed="false">
      <c r="B149" s="2" t="n">
        <v>147</v>
      </c>
      <c r="C149" s="2" t="n">
        <v>0.380802015802842</v>
      </c>
      <c r="D149" s="2" t="n">
        <v>0.378477517993871</v>
      </c>
      <c r="E149" s="2" t="n">
        <v>0.0176419273123388</v>
      </c>
    </row>
    <row r="150" customFormat="false" ht="13.8" hidden="false" customHeight="false" outlineLevel="0" collapsed="false">
      <c r="B150" s="2" t="n">
        <v>148</v>
      </c>
      <c r="C150" s="2" t="n">
        <v>0.321018102001644</v>
      </c>
      <c r="D150" s="2" t="n">
        <v>0.372048917290616</v>
      </c>
      <c r="E150" s="2" t="n">
        <v>0.0406365885164427</v>
      </c>
    </row>
    <row r="151" customFormat="false" ht="13.8" hidden="false" customHeight="false" outlineLevel="0" collapsed="false">
      <c r="B151" s="2" t="n">
        <v>149</v>
      </c>
      <c r="C151" s="2" t="n">
        <v>0.359616654867113</v>
      </c>
      <c r="D151" s="2" t="n">
        <v>0.365620316587362</v>
      </c>
      <c r="E151" s="2" t="n">
        <v>0.181915545878231</v>
      </c>
    </row>
    <row r="152" customFormat="false" ht="13.8" hidden="false" customHeight="false" outlineLevel="0" collapsed="false">
      <c r="B152" s="2" t="n">
        <v>150</v>
      </c>
      <c r="C152" s="2" t="n">
        <v>0.299225663624371</v>
      </c>
      <c r="D152" s="2" t="n">
        <v>0.352239204271148</v>
      </c>
      <c r="E152" s="2" t="n">
        <v>0.162680949252804</v>
      </c>
    </row>
    <row r="153" customFormat="false" ht="13.8" hidden="false" customHeight="false" outlineLevel="0" collapsed="false">
      <c r="B153" s="2" t="n">
        <v>151</v>
      </c>
      <c r="C153" s="2" t="n">
        <v>0.333334689048295</v>
      </c>
      <c r="D153" s="2" t="n">
        <v>0.338858091954934</v>
      </c>
      <c r="E153" s="2" t="n">
        <v>0.168565440382454</v>
      </c>
    </row>
    <row r="154" customFormat="false" ht="13.8" hidden="false" customHeight="false" outlineLevel="0" collapsed="false">
      <c r="B154" s="2" t="n">
        <v>152</v>
      </c>
      <c r="C154" s="2" t="n">
        <v>0.26489416447222</v>
      </c>
      <c r="D154" s="2" t="n">
        <v>0.32547697963872</v>
      </c>
      <c r="E154" s="2" t="n">
        <v>0.148068368418461</v>
      </c>
    </row>
    <row r="155" customFormat="false" ht="13.8" hidden="false" customHeight="false" outlineLevel="0" collapsed="false">
      <c r="B155" s="2" t="n">
        <v>153</v>
      </c>
      <c r="C155" s="2" t="n">
        <v>0.318586906562811</v>
      </c>
      <c r="D155" s="2" t="n">
        <v>0.312095867322507</v>
      </c>
      <c r="E155" s="2" t="n">
        <v>0.153133005102631</v>
      </c>
    </row>
    <row r="156" customFormat="false" ht="13.8" hidden="false" customHeight="false" outlineLevel="0" collapsed="false">
      <c r="B156" s="2" t="n">
        <v>154</v>
      </c>
      <c r="C156" s="2" t="n">
        <v>0.258037236484893</v>
      </c>
      <c r="D156" s="2" t="n">
        <v>0.287410575224977</v>
      </c>
      <c r="E156" s="2" t="n">
        <v>0.157661948913315</v>
      </c>
    </row>
    <row r="157" customFormat="false" ht="13.8" hidden="false" customHeight="false" outlineLevel="0" collapsed="false">
      <c r="B157" s="2" t="n">
        <v>155</v>
      </c>
      <c r="C157" s="2" t="n">
        <v>0.220487599740308</v>
      </c>
      <c r="D157" s="2" t="n">
        <v>0.262725283127448</v>
      </c>
      <c r="E157" s="2" t="n">
        <v>0.101183118769391</v>
      </c>
    </row>
    <row r="158" customFormat="false" ht="13.8" hidden="false" customHeight="false" outlineLevel="0" collapsed="false">
      <c r="B158" s="2" t="n">
        <v>156</v>
      </c>
      <c r="C158" s="2" t="n">
        <v>0.202271012995723</v>
      </c>
      <c r="D158" s="2" t="n">
        <v>0.238039991029918</v>
      </c>
      <c r="E158" s="2" t="n">
        <v>0.119450680127827</v>
      </c>
    </row>
    <row r="159" customFormat="false" ht="13.8" hidden="false" customHeight="false" outlineLevel="0" collapsed="false">
      <c r="B159" s="2" t="n">
        <v>157</v>
      </c>
      <c r="C159" s="2" t="n">
        <v>0.168804576251139</v>
      </c>
      <c r="D159" s="2" t="n">
        <v>0.213354698932389</v>
      </c>
      <c r="E159" s="2" t="n">
        <v>2.97669579616019E-013</v>
      </c>
    </row>
    <row r="160" customFormat="false" ht="13.8" hidden="false" customHeight="false" outlineLevel="0" collapsed="false">
      <c r="B160" s="2" t="n">
        <v>158</v>
      </c>
      <c r="C160" s="2" t="n">
        <v>0.123423939350418</v>
      </c>
      <c r="D160" s="2" t="n">
        <v>0.196093705568036</v>
      </c>
      <c r="E160" s="2" t="n">
        <v>5.03753073249107E-013</v>
      </c>
    </row>
    <row r="161" customFormat="false" ht="13.8" hidden="false" customHeight="false" outlineLevel="0" collapsed="false">
      <c r="B161" s="2" t="n">
        <v>159</v>
      </c>
      <c r="C161" s="2" t="n">
        <v>0.149959885783031</v>
      </c>
      <c r="D161" s="2" t="n">
        <v>0.178832712203684</v>
      </c>
      <c r="E161" s="2" t="n">
        <v>7.64190266126934E-013</v>
      </c>
    </row>
    <row r="162" customFormat="false" ht="13.8" hidden="false" customHeight="false" outlineLevel="0" collapsed="false">
      <c r="B162" s="2" t="n">
        <v>160</v>
      </c>
      <c r="C162" s="2" t="n">
        <v>0.0911626655489763</v>
      </c>
      <c r="D162" s="2" t="n">
        <v>0.161571718839331</v>
      </c>
      <c r="E162" s="2" t="n">
        <v>9.3548374551379E-013</v>
      </c>
    </row>
    <row r="163" customFormat="false" ht="13.8" hidden="false" customHeight="false" outlineLevel="0" collapsed="false">
      <c r="B163" s="2" t="n">
        <v>161</v>
      </c>
      <c r="C163" s="2" t="n">
        <v>0.123948661981589</v>
      </c>
      <c r="D163" s="2" t="n">
        <v>0.144310725474978</v>
      </c>
      <c r="E163" s="2" t="n">
        <v>1.23864114368234E-012</v>
      </c>
    </row>
    <row r="164" customFormat="false" ht="13.8" hidden="false" customHeight="false" outlineLevel="0" collapsed="false">
      <c r="B164" s="2" t="n">
        <v>162</v>
      </c>
      <c r="C164" s="2" t="n">
        <v>0.00633315507626396</v>
      </c>
      <c r="D164" s="2" t="n">
        <v>0.0971920937099585</v>
      </c>
      <c r="E164" s="2" t="n">
        <v>0</v>
      </c>
    </row>
    <row r="165" customFormat="false" ht="13.8" hidden="false" customHeight="false" outlineLevel="0" collapsed="false">
      <c r="B165" s="2" t="n">
        <v>163</v>
      </c>
      <c r="C165" s="2" t="n">
        <v>0.00550906539748087</v>
      </c>
      <c r="D165" s="2" t="n">
        <v>0.049240441134487</v>
      </c>
      <c r="E165" s="2" t="n">
        <v>0</v>
      </c>
    </row>
    <row r="166" customFormat="false" ht="13.8" hidden="false" customHeight="false" outlineLevel="0" collapsed="false">
      <c r="B166" s="2" t="n">
        <v>164</v>
      </c>
      <c r="C166" s="2" t="n">
        <v>0</v>
      </c>
      <c r="D166" s="2" t="n">
        <v>0</v>
      </c>
      <c r="E166" s="2" t="n">
        <v>0</v>
      </c>
    </row>
    <row r="167" customFormat="false" ht="13.8" hidden="false" customHeight="false" outlineLevel="0" collapsed="false">
      <c r="B167" s="2" t="n">
        <v>165</v>
      </c>
      <c r="C167" s="2" t="n">
        <v>0</v>
      </c>
      <c r="D167" s="2" t="n">
        <v>0.0246977553567941</v>
      </c>
      <c r="E167" s="2" t="n">
        <v>0</v>
      </c>
    </row>
    <row r="168" customFormat="false" ht="13.8" hidden="false" customHeight="false" outlineLevel="0" collapsed="false">
      <c r="B168" s="2" t="n">
        <v>166</v>
      </c>
      <c r="C168" s="2" t="n">
        <v>0</v>
      </c>
      <c r="D168" s="2" t="n">
        <v>0</v>
      </c>
      <c r="E168" s="2" t="n">
        <v>0</v>
      </c>
    </row>
    <row r="169" customFormat="false" ht="13.8" hidden="false" customHeight="false" outlineLevel="0" collapsed="false">
      <c r="B169" s="2" t="n">
        <v>167</v>
      </c>
      <c r="C169" s="2" t="n">
        <v>0</v>
      </c>
      <c r="D169" s="2" t="n">
        <v>3.73701065845723E-017</v>
      </c>
      <c r="E169" s="2" t="n">
        <v>0</v>
      </c>
    </row>
    <row r="170" customFormat="false" ht="13.8" hidden="false" customHeight="false" outlineLevel="0" collapsed="false">
      <c r="B170" s="2" t="n">
        <v>168</v>
      </c>
      <c r="C170" s="2" t="n">
        <v>0</v>
      </c>
      <c r="D170" s="2" t="n">
        <v>0</v>
      </c>
      <c r="E170" s="2" t="n">
        <v>0</v>
      </c>
    </row>
    <row r="171" customFormat="false" ht="13.8" hidden="false" customHeight="false" outlineLevel="0" collapsed="false">
      <c r="B171" s="2" t="n">
        <v>169</v>
      </c>
      <c r="C171" s="2" t="n">
        <v>7.58690001023979E-018</v>
      </c>
      <c r="D171" s="2" t="n">
        <v>0</v>
      </c>
      <c r="E171" s="2" t="n">
        <v>0</v>
      </c>
    </row>
    <row r="172" customFormat="false" ht="13.8" hidden="false" customHeight="false" outlineLevel="0" collapsed="false">
      <c r="B172" s="2" t="n">
        <v>170</v>
      </c>
      <c r="C172" s="2" t="n">
        <v>1.81808896371208E-017</v>
      </c>
      <c r="D172" s="2" t="n">
        <v>0</v>
      </c>
      <c r="E172" s="2" t="n">
        <v>0</v>
      </c>
    </row>
    <row r="173" customFormat="false" ht="13.8" hidden="false" customHeight="false" outlineLevel="0" collapsed="false">
      <c r="B173" s="2" t="n">
        <v>171</v>
      </c>
      <c r="C173" s="2" t="n">
        <v>0</v>
      </c>
      <c r="D173" s="2" t="n">
        <v>0</v>
      </c>
      <c r="E173" s="2" t="n">
        <v>0</v>
      </c>
    </row>
    <row r="174" customFormat="false" ht="13.8" hidden="false" customHeight="false" outlineLevel="0" collapsed="false">
      <c r="B174" s="2" t="n">
        <v>172</v>
      </c>
      <c r="C174" s="2" t="n">
        <v>0</v>
      </c>
      <c r="D174" s="2" t="n">
        <v>7.43393429445989E-017</v>
      </c>
      <c r="E174" s="2" t="n">
        <v>0</v>
      </c>
    </row>
    <row r="175" customFormat="false" ht="13.8" hidden="false" customHeight="false" outlineLevel="0" collapsed="false">
      <c r="B175" s="2" t="n">
        <v>173</v>
      </c>
      <c r="C175" s="2" t="n">
        <v>2.74206958311314E-010</v>
      </c>
      <c r="D175" s="2" t="n">
        <v>0</v>
      </c>
      <c r="E175" s="2" t="n">
        <v>0</v>
      </c>
    </row>
    <row r="176" customFormat="false" ht="13.8" hidden="false" customHeight="false" outlineLevel="0" collapsed="false">
      <c r="B176" s="2" t="n">
        <v>174</v>
      </c>
      <c r="C176" s="2" t="n">
        <v>4.23966913105076E-011</v>
      </c>
      <c r="D176" s="2" t="n">
        <v>4.43495862785569E-011</v>
      </c>
      <c r="E176" s="2" t="n">
        <v>0</v>
      </c>
    </row>
    <row r="177" customFormat="false" ht="13.8" hidden="false" customHeight="false" outlineLevel="0" collapsed="false">
      <c r="B177" s="2" t="n">
        <v>175</v>
      </c>
      <c r="C177" s="2" t="n">
        <v>4.23964943586981E-011</v>
      </c>
      <c r="D177" s="2" t="n">
        <v>4.43494707590873E-011</v>
      </c>
      <c r="E177" s="2" t="n">
        <v>0</v>
      </c>
    </row>
    <row r="178" customFormat="false" ht="13.8" hidden="false" customHeight="false" outlineLevel="0" collapsed="false">
      <c r="B178" s="2" t="n">
        <v>176</v>
      </c>
      <c r="C178" s="2" t="n">
        <v>0</v>
      </c>
      <c r="D178" s="2" t="n">
        <v>0</v>
      </c>
      <c r="E178" s="2" t="n">
        <v>0</v>
      </c>
    </row>
    <row r="179" customFormat="false" ht="13.8" hidden="false" customHeight="false" outlineLevel="0" collapsed="false">
      <c r="B179" s="2" t="n">
        <v>177</v>
      </c>
      <c r="C179" s="2" t="n">
        <v>4.2396150548584E-011</v>
      </c>
      <c r="D179" s="2" t="n">
        <v>4.43490312043348E-011</v>
      </c>
      <c r="E179" s="2" t="n">
        <v>0</v>
      </c>
    </row>
    <row r="180" customFormat="false" ht="13.8" hidden="false" customHeight="false" outlineLevel="0" collapsed="false">
      <c r="B180" s="2" t="n">
        <v>178</v>
      </c>
      <c r="C180" s="2" t="n">
        <v>4.23958892844408E-011</v>
      </c>
      <c r="D180" s="2" t="n">
        <v>4.43488534712298E-011</v>
      </c>
      <c r="E180" s="2" t="n">
        <v>0</v>
      </c>
    </row>
    <row r="181" customFormat="false" ht="13.8" hidden="false" customHeight="false" outlineLevel="0" collapsed="false">
      <c r="B181" s="2" t="n">
        <v>179</v>
      </c>
      <c r="C181" s="2" t="n">
        <v>4.23956939732042E-011</v>
      </c>
      <c r="D181" s="2" t="n">
        <v>4.43486656599949E-011</v>
      </c>
      <c r="E181" s="2" t="n">
        <v>0</v>
      </c>
    </row>
    <row r="182" customFormat="false" ht="13.8" hidden="false" customHeight="false" outlineLevel="0" collapsed="false">
      <c r="B182" s="2" t="n">
        <v>180</v>
      </c>
      <c r="C182" s="2" t="n">
        <v>4.23955749380434E-011</v>
      </c>
      <c r="D182" s="2" t="n">
        <v>4.43485038643702E-011</v>
      </c>
      <c r="E182" s="2" t="n">
        <v>0</v>
      </c>
    </row>
    <row r="183" customFormat="false" ht="13.8" hidden="false" customHeight="false" outlineLevel="0" collapsed="false">
      <c r="B183" s="2" t="n">
        <v>181</v>
      </c>
      <c r="C183" s="2" t="n">
        <v>4.23953142881867E-011</v>
      </c>
      <c r="D183" s="2" t="n">
        <v>4.43483718864584E-011</v>
      </c>
      <c r="E183" s="2" t="n">
        <v>0</v>
      </c>
    </row>
    <row r="184" customFormat="false" ht="13.8" hidden="false" customHeight="false" outlineLevel="0" collapsed="false">
      <c r="B184" s="2" t="n">
        <v>182</v>
      </c>
      <c r="C184" s="2" t="n">
        <v>4.23951299144058E-011</v>
      </c>
      <c r="D184" s="2" t="n">
        <v>4.43481598043144E-011</v>
      </c>
      <c r="E184" s="2" t="n">
        <v>0</v>
      </c>
    </row>
    <row r="185" customFormat="false" ht="13.8" hidden="false" customHeight="false" outlineLevel="0" collapsed="false">
      <c r="B185" s="2" t="n">
        <v>183</v>
      </c>
      <c r="C185" s="2" t="n">
        <v>4.23949486656123E-011</v>
      </c>
      <c r="D185" s="2" t="n">
        <v>4.43480813159856E-011</v>
      </c>
      <c r="E185" s="2" t="n">
        <v>0</v>
      </c>
    </row>
    <row r="186" customFormat="false" ht="13.8" hidden="false" customHeight="false" outlineLevel="0" collapsed="false">
      <c r="B186" s="2" t="n">
        <v>184</v>
      </c>
      <c r="C186" s="2" t="n">
        <v>0</v>
      </c>
      <c r="D186" s="2" t="n">
        <v>0</v>
      </c>
      <c r="E186" s="2" t="n">
        <v>0</v>
      </c>
    </row>
    <row r="187" customFormat="false" ht="13.8" hidden="false" customHeight="false" outlineLevel="0" collapsed="false">
      <c r="B187" s="2" t="n">
        <v>185</v>
      </c>
      <c r="C187" s="2" t="n">
        <v>1.31745577080623E-018</v>
      </c>
      <c r="D187" s="2" t="n">
        <v>1.31745577080623E-018</v>
      </c>
      <c r="E187" s="2" t="n">
        <v>0</v>
      </c>
    </row>
    <row r="188" customFormat="false" ht="13.8" hidden="false" customHeight="false" outlineLevel="0" collapsed="false">
      <c r="B188" s="2" t="n">
        <v>186</v>
      </c>
      <c r="C188" s="2" t="n">
        <v>0</v>
      </c>
      <c r="D188" s="2" t="n">
        <v>3.638022619922E-017</v>
      </c>
      <c r="E188" s="2" t="n">
        <v>0</v>
      </c>
    </row>
    <row r="189" customFormat="false" ht="13.8" hidden="false" customHeight="false" outlineLevel="0" collapsed="false">
      <c r="B189" s="2" t="n">
        <v>187</v>
      </c>
      <c r="C189" s="2" t="n">
        <v>2.08250246412225E-017</v>
      </c>
      <c r="D189" s="2" t="n">
        <v>0</v>
      </c>
      <c r="E189" s="2" t="n">
        <v>0</v>
      </c>
    </row>
    <row r="190" customFormat="false" ht="13.8" hidden="false" customHeight="false" outlineLevel="0" collapsed="false">
      <c r="B190" s="2" t="n">
        <v>188</v>
      </c>
      <c r="C190" s="2" t="n">
        <v>1.31745577080623E-018</v>
      </c>
      <c r="D190" s="2" t="n">
        <v>0</v>
      </c>
      <c r="E190" s="2" t="n">
        <v>0</v>
      </c>
    </row>
    <row r="191" customFormat="false" ht="13.8" hidden="false" customHeight="false" outlineLevel="0" collapsed="false">
      <c r="B191" s="2" t="n">
        <v>189</v>
      </c>
      <c r="C191" s="2" t="n">
        <v>4.23938828027231E-011</v>
      </c>
      <c r="D191" s="2" t="n">
        <v>4.43470962603344E-011</v>
      </c>
      <c r="E191" s="2" t="n">
        <v>0</v>
      </c>
    </row>
    <row r="192" customFormat="false" ht="13.8" hidden="false" customHeight="false" outlineLevel="0" collapsed="false">
      <c r="B192" s="2" t="n">
        <v>190</v>
      </c>
      <c r="C192" s="2" t="n">
        <v>4.23937062911383E-011</v>
      </c>
      <c r="D192" s="2" t="n">
        <v>4.43469394753061E-011</v>
      </c>
      <c r="E192" s="2" t="n">
        <v>0</v>
      </c>
    </row>
    <row r="193" customFormat="false" ht="13.8" hidden="false" customHeight="false" outlineLevel="0" collapsed="false">
      <c r="B193" s="2" t="n">
        <v>191</v>
      </c>
      <c r="C193" s="2" t="n">
        <v>4.23935333430924E-011</v>
      </c>
      <c r="D193" s="2" t="n">
        <v>4.43467882051335E-011</v>
      </c>
      <c r="E193" s="2" t="n">
        <v>0</v>
      </c>
    </row>
    <row r="194" customFormat="false" ht="13.8" hidden="false" customHeight="false" outlineLevel="0" collapsed="false">
      <c r="B194" s="2" t="n">
        <v>192</v>
      </c>
      <c r="C194" s="2" t="n">
        <v>4.4530005627575E-010</v>
      </c>
      <c r="D194" s="2" t="n">
        <v>0</v>
      </c>
      <c r="E194" s="2" t="n">
        <v>0</v>
      </c>
    </row>
    <row r="195" customFormat="false" ht="13.8" hidden="false" customHeight="false" outlineLevel="0" collapsed="false">
      <c r="B195" s="2" t="n">
        <v>193</v>
      </c>
      <c r="C195" s="2" t="n">
        <v>4.54304861977001E-010</v>
      </c>
      <c r="D195" s="2" t="n">
        <v>0</v>
      </c>
      <c r="E195" s="2" t="n">
        <v>0</v>
      </c>
    </row>
    <row r="196" customFormat="false" ht="13.8" hidden="false" customHeight="false" outlineLevel="0" collapsed="false">
      <c r="B196" s="2" t="n">
        <v>194</v>
      </c>
      <c r="C196" s="2" t="n">
        <v>4.63309678236036E-010</v>
      </c>
      <c r="D196" s="2" t="n">
        <v>3.71696320859401E-017</v>
      </c>
      <c r="E196" s="2" t="n">
        <v>0</v>
      </c>
    </row>
    <row r="197" customFormat="false" ht="13.8" hidden="false" customHeight="false" outlineLevel="0" collapsed="false">
      <c r="B197" s="2" t="n">
        <v>195</v>
      </c>
      <c r="C197" s="2" t="n">
        <v>4.23928597628257E-011</v>
      </c>
      <c r="D197" s="2" t="n">
        <v>4.43461904078999E-011</v>
      </c>
      <c r="E197" s="2" t="n">
        <v>0</v>
      </c>
    </row>
    <row r="198" customFormat="false" ht="13.8" hidden="false" customHeight="false" outlineLevel="0" collapsed="false">
      <c r="B198" s="2" t="n">
        <v>196</v>
      </c>
      <c r="C198" s="2" t="n">
        <v>1.26321388209608E-017</v>
      </c>
      <c r="D198" s="2" t="n">
        <v>0</v>
      </c>
      <c r="E198" s="2" t="n">
        <v>0</v>
      </c>
    </row>
    <row r="199" customFormat="false" ht="13.8" hidden="false" customHeight="false" outlineLevel="0" collapsed="false">
      <c r="B199" s="2" t="n">
        <v>197</v>
      </c>
      <c r="C199" s="2" t="n">
        <v>2.63491154161241E-018</v>
      </c>
      <c r="D199" s="2" t="n">
        <v>1.31745577080623E-018</v>
      </c>
      <c r="E199" s="2" t="n">
        <v>0</v>
      </c>
    </row>
    <row r="200" customFormat="false" ht="13.8" hidden="false" customHeight="false" outlineLevel="0" collapsed="false">
      <c r="B200" s="2" t="n">
        <v>198</v>
      </c>
      <c r="C200" s="2" t="n">
        <v>0</v>
      </c>
      <c r="D200" s="2" t="n">
        <v>3.638022619922E-017</v>
      </c>
      <c r="E200" s="2" t="n">
        <v>0</v>
      </c>
    </row>
    <row r="201" customFormat="false" ht="13.8" hidden="false" customHeight="false" outlineLevel="0" collapsed="false">
      <c r="B201" s="2" t="n">
        <v>199</v>
      </c>
      <c r="C201" s="2" t="n">
        <v>9.09505654980501E-018</v>
      </c>
      <c r="D201" s="2" t="n">
        <v>1.31745577080623E-018</v>
      </c>
      <c r="E201" s="2" t="n">
        <v>0</v>
      </c>
    </row>
    <row r="202" customFormat="false" ht="13.8" hidden="false" customHeight="false" outlineLevel="0" collapsed="false">
      <c r="B202" s="2" t="n">
        <v>200</v>
      </c>
      <c r="C202" s="2" t="n">
        <v>0</v>
      </c>
      <c r="D202" s="2" t="n">
        <v>0</v>
      </c>
      <c r="E202" s="2" t="n">
        <v>0</v>
      </c>
    </row>
    <row r="203" customFormat="false" ht="13.8" hidden="false" customHeight="false" outlineLevel="0" collapsed="false">
      <c r="B203" s="2" t="n">
        <v>201</v>
      </c>
      <c r="C203" s="2" t="n">
        <v>1.31745577080623E-018</v>
      </c>
      <c r="D203" s="2" t="n">
        <v>1.95075688704163E-017</v>
      </c>
      <c r="E203" s="2" t="n">
        <v>0</v>
      </c>
    </row>
    <row r="204" customFormat="false" ht="13.8" hidden="false" customHeight="false" outlineLevel="0" collapsed="false">
      <c r="B204" s="2" t="n">
        <v>202</v>
      </c>
      <c r="C204" s="2" t="n">
        <v>0</v>
      </c>
      <c r="D204" s="2" t="n">
        <v>0</v>
      </c>
      <c r="E204" s="2" t="n">
        <v>0</v>
      </c>
    </row>
    <row r="205" customFormat="false" ht="13.8" hidden="false" customHeight="false" outlineLevel="0" collapsed="false">
      <c r="B205" s="2" t="n">
        <v>203</v>
      </c>
      <c r="C205" s="2" t="n">
        <v>0</v>
      </c>
      <c r="D205" s="2" t="n">
        <v>1.31745577080623E-018</v>
      </c>
      <c r="E205" s="2" t="n">
        <v>0</v>
      </c>
    </row>
    <row r="206" customFormat="false" ht="13.8" hidden="false" customHeight="false" outlineLevel="0" collapsed="false">
      <c r="B206" s="2" t="n">
        <v>204</v>
      </c>
      <c r="C206" s="2" t="n">
        <v>0</v>
      </c>
      <c r="D206" s="2" t="n">
        <v>1.819011309961E-017</v>
      </c>
      <c r="E206" s="2" t="n">
        <v>0</v>
      </c>
    </row>
    <row r="207" customFormat="false" ht="13.8" hidden="false" customHeight="false" outlineLevel="0" collapsed="false">
      <c r="B207" s="2" t="n">
        <v>205</v>
      </c>
      <c r="C207" s="2" t="n">
        <v>0</v>
      </c>
      <c r="D207" s="2" t="n">
        <v>1.31745577080623E-018</v>
      </c>
      <c r="E207" s="2" t="n">
        <v>0</v>
      </c>
    </row>
    <row r="208" customFormat="false" ht="13.8" hidden="false" customHeight="false" outlineLevel="0" collapsed="false">
      <c r="B208" s="2" t="n">
        <v>206</v>
      </c>
      <c r="C208" s="2" t="n">
        <v>0</v>
      </c>
      <c r="D208" s="2" t="n">
        <v>3.638022619922E-017</v>
      </c>
      <c r="E208" s="2" t="n">
        <v>0</v>
      </c>
    </row>
    <row r="209" customFormat="false" ht="13.8" hidden="false" customHeight="false" outlineLevel="0" collapsed="false">
      <c r="B209" s="2" t="n">
        <v>207</v>
      </c>
      <c r="C209" s="2" t="n">
        <v>0</v>
      </c>
      <c r="D209" s="2" t="n">
        <v>1.31745577080623E-018</v>
      </c>
      <c r="E209" s="2" t="n">
        <v>0</v>
      </c>
    </row>
    <row r="210" customFormat="false" ht="13.8" hidden="false" customHeight="false" outlineLevel="0" collapsed="false">
      <c r="B210" s="2" t="n">
        <v>208</v>
      </c>
      <c r="C210" s="2" t="n">
        <v>1.00218873206112E-017</v>
      </c>
      <c r="D210" s="2" t="n">
        <v>0</v>
      </c>
      <c r="E210" s="2" t="n">
        <v>0</v>
      </c>
    </row>
    <row r="211" customFormat="false" ht="13.8" hidden="false" customHeight="false" outlineLevel="0" collapsed="false">
      <c r="B211" s="2" t="n">
        <v>209</v>
      </c>
      <c r="C211" s="2" t="n">
        <v>1.95312499999999E-019</v>
      </c>
      <c r="D211" s="2" t="n">
        <v>1.00218873206112E-017</v>
      </c>
      <c r="E211" s="2" t="n">
        <v>0</v>
      </c>
    </row>
    <row r="212" customFormat="false" ht="13.8" hidden="false" customHeight="false" outlineLevel="0" collapsed="false">
      <c r="B212" s="2" t="n">
        <v>210</v>
      </c>
      <c r="C212" s="2" t="n">
        <v>0</v>
      </c>
      <c r="D212" s="2" t="n">
        <v>0</v>
      </c>
      <c r="E212" s="2" t="n">
        <v>0</v>
      </c>
    </row>
    <row r="213" customFormat="false" ht="13.8" hidden="false" customHeight="false" outlineLevel="0" collapsed="false">
      <c r="B213" s="2" t="n">
        <v>211</v>
      </c>
      <c r="C213" s="2" t="n">
        <v>0</v>
      </c>
      <c r="D213" s="2" t="n">
        <v>1.537761309961E-017</v>
      </c>
      <c r="E213" s="2" t="n">
        <v>0</v>
      </c>
    </row>
    <row r="214" customFormat="false" ht="13.8" hidden="false" customHeight="false" outlineLevel="0" collapsed="false">
      <c r="B214" s="2" t="n">
        <v>212</v>
      </c>
      <c r="C214" s="2" t="n">
        <v>1.31745577080623E-018</v>
      </c>
      <c r="D214" s="2" t="n">
        <v>0</v>
      </c>
      <c r="E214" s="2" t="n">
        <v>0</v>
      </c>
    </row>
    <row r="215" customFormat="false" ht="13.8" hidden="false" customHeight="false" outlineLevel="0" collapsed="false">
      <c r="B215" s="2" t="n">
        <v>213</v>
      </c>
      <c r="C215" s="2" t="n">
        <v>0</v>
      </c>
      <c r="D215" s="2" t="n">
        <v>0</v>
      </c>
      <c r="E215" s="2" t="n">
        <v>0</v>
      </c>
    </row>
    <row r="216" customFormat="false" ht="13.8" hidden="false" customHeight="false" outlineLevel="0" collapsed="false">
      <c r="B216" s="2" t="n">
        <v>214</v>
      </c>
      <c r="C216" s="2" t="n">
        <v>2.43217542640118E-017</v>
      </c>
      <c r="D216" s="2" t="n">
        <v>4.74284077490251E-018</v>
      </c>
      <c r="E216" s="2" t="n">
        <v>0</v>
      </c>
    </row>
    <row r="217" customFormat="false" ht="13.8" hidden="false" customHeight="false" outlineLevel="0" collapsed="false">
      <c r="B217" s="2" t="n">
        <v>215</v>
      </c>
      <c r="C217" s="2" t="n">
        <v>4.23894009688218E-011</v>
      </c>
      <c r="D217" s="2" t="n">
        <v>4.43430841397969E-011</v>
      </c>
      <c r="E217" s="2" t="n">
        <v>0</v>
      </c>
    </row>
    <row r="218" customFormat="false" ht="13.8" hidden="false" customHeight="false" outlineLevel="0" collapsed="false">
      <c r="B218" s="2" t="n">
        <v>216</v>
      </c>
      <c r="C218" s="2" t="n">
        <v>4.23892752943553E-011</v>
      </c>
      <c r="D218" s="2" t="n">
        <v>4.43429824773616E-011</v>
      </c>
      <c r="E218" s="2" t="n">
        <v>0</v>
      </c>
    </row>
    <row r="219" customFormat="false" ht="13.8" hidden="false" customHeight="false" outlineLevel="0" collapsed="false">
      <c r="B219" s="2" t="n">
        <v>217</v>
      </c>
      <c r="C219" s="2" t="n">
        <v>4.2389237536101E-011</v>
      </c>
      <c r="D219" s="2" t="n">
        <v>4.43429609520752E-011</v>
      </c>
      <c r="E219" s="2" t="n">
        <v>0</v>
      </c>
    </row>
    <row r="220" customFormat="false" ht="13.8" hidden="false" customHeight="false" outlineLevel="0" collapsed="false">
      <c r="B220" s="2" t="n">
        <v>218</v>
      </c>
      <c r="C220" s="2" t="n">
        <v>4.23892088616409E-011</v>
      </c>
      <c r="D220" s="2" t="n">
        <v>4.4342952696602E-011</v>
      </c>
      <c r="E220" s="2" t="n">
        <v>0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0.00182552210088867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2.68503630910033E-011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2.73324203096397E-011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2.78210872692158E-011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2.83163656638734E-011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2.88182539466793E-011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2.9326758439269E-011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2.98418688214919E-011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3.03635956677602E-011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3.08919287201972E-011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3.14268774275734E-011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3.19684354075779E-011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3.25166060088057E-011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3.30713856602698E-011</v>
      </c>
    </row>
    <row r="236" customFormat="false" ht="13.8" hidden="false" customHeight="false" outlineLevel="0" collapsed="false">
      <c r="B236" s="2" t="n">
        <v>234</v>
      </c>
      <c r="C236" s="2" t="n">
        <v>6.60996054779614E-010</v>
      </c>
      <c r="D236" s="2" t="n">
        <v>0</v>
      </c>
      <c r="E236" s="2" t="n">
        <v>3.36327791134827E-011</v>
      </c>
    </row>
    <row r="237" customFormat="false" ht="13.8" hidden="false" customHeight="false" outlineLevel="0" collapsed="false">
      <c r="B237" s="2" t="n">
        <v>235</v>
      </c>
      <c r="C237" s="2" t="n">
        <v>1.39118739474825E-009</v>
      </c>
      <c r="D237" s="2" t="n">
        <v>0</v>
      </c>
      <c r="E237" s="2" t="n">
        <v>3.59907305920476E-011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3.65954200335681E-011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9.31820112413986E-013</v>
      </c>
      <c r="E239" s="2" t="n">
        <v>3.72070647404105E-011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0</v>
      </c>
      <c r="E240" s="2" t="n">
        <v>3.78256690634197E-011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0.20025535534084</v>
      </c>
      <c r="E241" s="2" t="n">
        <v>3.84512294708666E-011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0.385761483447663</v>
      </c>
      <c r="E242" s="2" t="n">
        <v>3.90837495141747E-011</v>
      </c>
    </row>
    <row r="243" customFormat="false" ht="13.8" hidden="false" customHeight="false" outlineLevel="0" collapsed="false">
      <c r="B243" s="2" t="n">
        <v>241</v>
      </c>
      <c r="C243" s="2" t="n">
        <v>0.0293432873213678</v>
      </c>
      <c r="D243" s="2" t="n">
        <v>0.387426771696365</v>
      </c>
      <c r="E243" s="2" t="n">
        <v>3.97232236180405E-011</v>
      </c>
    </row>
    <row r="244" customFormat="false" ht="13.8" hidden="false" customHeight="false" outlineLevel="0" collapsed="false">
      <c r="B244" s="2" t="n">
        <v>242</v>
      </c>
      <c r="C244" s="2" t="n">
        <v>0.385534449429208</v>
      </c>
      <c r="D244" s="2" t="n">
        <v>0.382581932289026</v>
      </c>
      <c r="E244" s="2" t="n">
        <v>3.80574840611919E-011</v>
      </c>
    </row>
    <row r="245" customFormat="false" ht="13.8" hidden="false" customHeight="false" outlineLevel="0" collapsed="false">
      <c r="B245" s="2" t="n">
        <v>243</v>
      </c>
      <c r="C245" s="2" t="n">
        <v>0.327370816763508</v>
      </c>
      <c r="D245" s="2" t="n">
        <v>0.377737092881688</v>
      </c>
      <c r="E245" s="2" t="n">
        <v>0.185053708920687</v>
      </c>
    </row>
    <row r="246" customFormat="false" ht="13.8" hidden="false" customHeight="false" outlineLevel="0" collapsed="false">
      <c r="B246" s="2" t="n">
        <v>244</v>
      </c>
      <c r="C246" s="2" t="n">
        <v>0.387097666220332</v>
      </c>
      <c r="D246" s="2" t="n">
        <v>0.372892253474349</v>
      </c>
      <c r="E246" s="2" t="n">
        <v>0.182247335721319</v>
      </c>
    </row>
    <row r="247" customFormat="false" ht="13.8" hidden="false" customHeight="false" outlineLevel="0" collapsed="false">
      <c r="B247" s="2" t="n">
        <v>245</v>
      </c>
      <c r="C247" s="2" t="n">
        <v>0.315024915677156</v>
      </c>
      <c r="D247" s="2" t="n">
        <v>0.36804741406701</v>
      </c>
      <c r="E247" s="2" t="n">
        <v>0.17944096252195</v>
      </c>
    </row>
    <row r="248" customFormat="false" ht="13.8" hidden="false" customHeight="false" outlineLevel="0" collapsed="false">
      <c r="B248" s="2" t="n">
        <v>246</v>
      </c>
      <c r="C248" s="2" t="n">
        <v>0.361912060101578</v>
      </c>
      <c r="D248" s="2" t="n">
        <v>0.357110773826941</v>
      </c>
      <c r="E248" s="2" t="n">
        <v>0.17310591372459</v>
      </c>
    </row>
    <row r="249" customFormat="false" ht="13.8" hidden="false" customHeight="false" outlineLevel="0" collapsed="false">
      <c r="B249" s="2" t="n">
        <v>247</v>
      </c>
      <c r="C249" s="2" t="n">
        <v>0.298599754525999</v>
      </c>
      <c r="D249" s="2" t="n">
        <v>0.346174133586871</v>
      </c>
      <c r="E249" s="2" t="n">
        <v>0.16677086492723</v>
      </c>
    </row>
    <row r="250" customFormat="false" ht="13.8" hidden="false" customHeight="false" outlineLevel="0" collapsed="false">
      <c r="B250" s="2" t="n">
        <v>248</v>
      </c>
      <c r="C250" s="2" t="n">
        <v>0.321903915617087</v>
      </c>
      <c r="D250" s="2" t="n">
        <v>0.335237493346802</v>
      </c>
      <c r="E250" s="2" t="n">
        <v>0.160435816129868</v>
      </c>
    </row>
    <row r="251" customFormat="false" ht="13.8" hidden="false" customHeight="false" outlineLevel="0" collapsed="false">
      <c r="B251" s="2" t="n">
        <v>249</v>
      </c>
      <c r="C251" s="2" t="n">
        <v>0.288291493374842</v>
      </c>
      <c r="D251" s="2" t="n">
        <v>0.324300853106732</v>
      </c>
      <c r="E251" s="2" t="n">
        <v>0.153300900665818</v>
      </c>
    </row>
    <row r="252" customFormat="false" ht="13.8" hidden="false" customHeight="false" outlineLevel="0" collapsed="false">
      <c r="B252" s="2" t="n">
        <v>250</v>
      </c>
      <c r="C252" s="2" t="n">
        <v>0.271266562623326</v>
      </c>
      <c r="D252" s="2" t="n">
        <v>0.30496693672975</v>
      </c>
      <c r="E252" s="2" t="n">
        <v>0.132500290410882</v>
      </c>
    </row>
    <row r="253" customFormat="false" ht="13.8" hidden="false" customHeight="false" outlineLevel="0" collapsed="false">
      <c r="B253" s="2" t="n">
        <v>251</v>
      </c>
      <c r="C253" s="2" t="n">
        <v>0.259791898488891</v>
      </c>
      <c r="D253" s="2" t="n">
        <v>0.285633020352768</v>
      </c>
      <c r="E253" s="2" t="n">
        <v>2.84733111697623E-011</v>
      </c>
    </row>
    <row r="254" customFormat="false" ht="13.8" hidden="false" customHeight="false" outlineLevel="0" collapsed="false">
      <c r="B254" s="2" t="n">
        <v>252</v>
      </c>
      <c r="C254" s="2" t="n">
        <v>0.228250534453628</v>
      </c>
      <c r="D254" s="2" t="n">
        <v>0.266299103975785</v>
      </c>
      <c r="E254" s="2" t="n">
        <v>2.93770669268107E-011</v>
      </c>
    </row>
    <row r="255" customFormat="false" ht="13.8" hidden="false" customHeight="false" outlineLevel="0" collapsed="false">
      <c r="B255" s="2" t="n">
        <v>253</v>
      </c>
      <c r="C255" s="2" t="n">
        <v>0.219792370319581</v>
      </c>
      <c r="D255" s="2" t="n">
        <v>0.246965187598803</v>
      </c>
      <c r="E255" s="2" t="n">
        <v>2.66138432107896E-011</v>
      </c>
    </row>
    <row r="256" customFormat="false" ht="13.8" hidden="false" customHeight="false" outlineLevel="0" collapsed="false">
      <c r="B256" s="2" t="n">
        <v>254</v>
      </c>
      <c r="C256" s="2" t="n">
        <v>0.166438430946128</v>
      </c>
      <c r="D256" s="2" t="n">
        <v>0.193212195564664</v>
      </c>
      <c r="E256" s="2" t="n">
        <v>2.56939308678181E-011</v>
      </c>
    </row>
    <row r="257" customFormat="false" ht="13.8" hidden="false" customHeight="false" outlineLevel="0" collapsed="false">
      <c r="B257" s="2" t="n">
        <v>255</v>
      </c>
      <c r="C257" s="2" t="n">
        <v>0.102084741572654</v>
      </c>
      <c r="D257" s="2" t="n">
        <v>0.139459203530526</v>
      </c>
      <c r="E257" s="2" t="n">
        <v>2.47806292341385E-011</v>
      </c>
    </row>
    <row r="258" customFormat="false" ht="13.8" hidden="false" customHeight="false" outlineLevel="0" collapsed="false">
      <c r="B258" s="2" t="n">
        <v>256</v>
      </c>
      <c r="C258" s="2" t="n">
        <v>0.015730902199162</v>
      </c>
      <c r="D258" s="2" t="n">
        <v>0.0857062114963873</v>
      </c>
      <c r="E258" s="2" t="n">
        <v>2.38738375530449E-011</v>
      </c>
    </row>
    <row r="259" customFormat="false" ht="13.8" hidden="false" customHeight="false" outlineLevel="0" collapsed="false">
      <c r="B259" s="2" t="n">
        <v>257</v>
      </c>
      <c r="C259" s="2" t="n">
        <v>0</v>
      </c>
      <c r="D259" s="2" t="n">
        <v>0</v>
      </c>
      <c r="E259" s="2" t="n">
        <v>0</v>
      </c>
    </row>
    <row r="260" customFormat="false" ht="13.8" hidden="false" customHeight="false" outlineLevel="0" collapsed="false">
      <c r="B260" s="2" t="n">
        <v>258</v>
      </c>
      <c r="C260" s="2" t="n">
        <v>1.72439384993382E-017</v>
      </c>
      <c r="D260" s="2" t="n">
        <v>0</v>
      </c>
      <c r="E260" s="2" t="n">
        <v>0</v>
      </c>
    </row>
    <row r="261" customFormat="false" ht="13.8" hidden="false" customHeight="false" outlineLevel="0" collapsed="false">
      <c r="B261" s="2" t="n">
        <v>259</v>
      </c>
      <c r="C261" s="2" t="n">
        <v>0</v>
      </c>
      <c r="D261" s="2" t="n">
        <v>0</v>
      </c>
      <c r="E261" s="2" t="n">
        <v>0</v>
      </c>
    </row>
    <row r="262" customFormat="false" ht="13.8" hidden="false" customHeight="false" outlineLevel="0" collapsed="false">
      <c r="B262" s="2" t="n">
        <v>260</v>
      </c>
      <c r="C262" s="2" t="n">
        <v>0</v>
      </c>
      <c r="D262" s="2" t="n">
        <v>0</v>
      </c>
      <c r="E262" s="2" t="n">
        <v>0</v>
      </c>
    </row>
    <row r="263" customFormat="false" ht="13.8" hidden="false" customHeight="false" outlineLevel="0" collapsed="false">
      <c r="B263" s="2" t="n">
        <v>261</v>
      </c>
      <c r="C263" s="2" t="n">
        <v>0</v>
      </c>
      <c r="D263" s="2" t="n">
        <v>0</v>
      </c>
      <c r="E263" s="2" t="n">
        <v>0</v>
      </c>
    </row>
    <row r="264" customFormat="false" ht="13.8" hidden="false" customHeight="false" outlineLevel="0" collapsed="false">
      <c r="B264" s="2" t="n">
        <v>262</v>
      </c>
      <c r="C264" s="2" t="n">
        <v>0</v>
      </c>
      <c r="D264" s="2" t="n">
        <v>0</v>
      </c>
      <c r="E264" s="2" t="n">
        <v>0</v>
      </c>
    </row>
    <row r="265" customFormat="false" ht="13.8" hidden="false" customHeight="false" outlineLevel="0" collapsed="false">
      <c r="B265" s="2" t="n">
        <v>263</v>
      </c>
      <c r="C265" s="2" t="n">
        <v>0</v>
      </c>
      <c r="D265" s="2" t="n">
        <v>0</v>
      </c>
      <c r="E265" s="2" t="n">
        <v>0</v>
      </c>
    </row>
    <row r="266" customFormat="false" ht="13.8" hidden="false" customHeight="false" outlineLevel="0" collapsed="false">
      <c r="B266" s="2" t="n">
        <v>264</v>
      </c>
      <c r="C266" s="2" t="n">
        <v>0</v>
      </c>
      <c r="D266" s="2" t="n">
        <v>0</v>
      </c>
      <c r="E266" s="2" t="n">
        <v>0</v>
      </c>
    </row>
    <row r="267" customFormat="false" ht="13.8" hidden="false" customHeight="false" outlineLevel="0" collapsed="false">
      <c r="B267" s="2" t="n">
        <v>265</v>
      </c>
      <c r="C267" s="2" t="n">
        <v>0</v>
      </c>
      <c r="D267" s="2" t="n">
        <v>0</v>
      </c>
      <c r="E267" s="2" t="n">
        <v>0</v>
      </c>
    </row>
    <row r="268" customFormat="false" ht="13.8" hidden="false" customHeight="false" outlineLevel="0" collapsed="false">
      <c r="B268" s="2" t="n">
        <v>266</v>
      </c>
      <c r="C268" s="2" t="n">
        <v>0</v>
      </c>
      <c r="D268" s="2" t="n">
        <v>0</v>
      </c>
      <c r="E268" s="2" t="n">
        <v>0</v>
      </c>
    </row>
    <row r="269" customFormat="false" ht="13.8" hidden="false" customHeight="false" outlineLevel="0" collapsed="false">
      <c r="B269" s="2" t="n">
        <v>267</v>
      </c>
      <c r="C269" s="2" t="n">
        <v>1.81119880996097E-016</v>
      </c>
      <c r="D269" s="2" t="n">
        <v>0</v>
      </c>
      <c r="E269" s="2" t="n">
        <v>0</v>
      </c>
    </row>
    <row r="270" customFormat="false" ht="13.8" hidden="false" customHeight="false" outlineLevel="0" collapsed="false">
      <c r="B270" s="2" t="n">
        <v>268</v>
      </c>
      <c r="C270" s="2" t="n">
        <v>1.31745577080623E-018</v>
      </c>
      <c r="D270" s="2" t="n">
        <v>0</v>
      </c>
      <c r="E270" s="2" t="n">
        <v>0</v>
      </c>
    </row>
    <row r="271" customFormat="false" ht="13.8" hidden="false" customHeight="false" outlineLevel="0" collapsed="false">
      <c r="B271" s="2" t="n">
        <v>269</v>
      </c>
      <c r="C271" s="2" t="n">
        <v>0</v>
      </c>
      <c r="D271" s="2" t="n">
        <v>0</v>
      </c>
      <c r="E271" s="2" t="n">
        <v>0</v>
      </c>
    </row>
    <row r="272" customFormat="false" ht="13.8" hidden="false" customHeight="false" outlineLevel="0" collapsed="false">
      <c r="B272" s="2" t="n">
        <v>270</v>
      </c>
      <c r="C272" s="2" t="n">
        <v>2.51302261992199E-017</v>
      </c>
      <c r="D272" s="2" t="n">
        <v>0</v>
      </c>
      <c r="E272" s="2" t="n">
        <v>0</v>
      </c>
    </row>
    <row r="273" customFormat="false" ht="13.8" hidden="false" customHeight="false" outlineLevel="0" collapsed="false">
      <c r="B273" s="2" t="n">
        <v>271</v>
      </c>
      <c r="C273" s="2" t="n">
        <v>0</v>
      </c>
      <c r="D273" s="2" t="n">
        <v>0</v>
      </c>
      <c r="E273" s="2" t="n">
        <v>0</v>
      </c>
    </row>
    <row r="274" customFormat="false" ht="13.8" hidden="false" customHeight="false" outlineLevel="0" collapsed="false">
      <c r="B274" s="2" t="n">
        <v>272</v>
      </c>
      <c r="C274" s="2" t="n">
        <v>0</v>
      </c>
      <c r="D274" s="2" t="n">
        <v>0</v>
      </c>
      <c r="E274" s="2" t="n">
        <v>0</v>
      </c>
    </row>
    <row r="275" customFormat="false" ht="13.8" hidden="false" customHeight="false" outlineLevel="0" collapsed="false">
      <c r="B275" s="2" t="n">
        <v>273</v>
      </c>
      <c r="C275" s="2" t="n">
        <v>0</v>
      </c>
      <c r="D275" s="2" t="n">
        <v>0</v>
      </c>
      <c r="E275" s="2" t="n">
        <v>0</v>
      </c>
    </row>
    <row r="276" customFormat="false" ht="13.8" hidden="false" customHeight="false" outlineLevel="0" collapsed="false">
      <c r="B276" s="2" t="n">
        <v>274</v>
      </c>
      <c r="C276" s="2" t="n">
        <v>0</v>
      </c>
      <c r="D276" s="2" t="n">
        <v>0</v>
      </c>
      <c r="E276" s="2" t="n">
        <v>0</v>
      </c>
    </row>
    <row r="277" customFormat="false" ht="13.8" hidden="false" customHeight="false" outlineLevel="0" collapsed="false">
      <c r="B277" s="2" t="n">
        <v>275</v>
      </c>
      <c r="C277" s="2" t="n">
        <v>3.638022619922E-017</v>
      </c>
      <c r="D277" s="2" t="n">
        <v>0</v>
      </c>
      <c r="E277" s="2" t="n">
        <v>0</v>
      </c>
    </row>
    <row r="278" customFormat="false" ht="13.8" hidden="false" customHeight="false" outlineLevel="0" collapsed="false">
      <c r="B278" s="2" t="n">
        <v>276</v>
      </c>
      <c r="C278" s="2" t="n">
        <v>0</v>
      </c>
      <c r="D278" s="2" t="n">
        <v>0</v>
      </c>
      <c r="E278" s="2" t="n">
        <v>0</v>
      </c>
    </row>
    <row r="279" customFormat="false" ht="13.8" hidden="false" customHeight="false" outlineLevel="0" collapsed="false">
      <c r="B279" s="2" t="n">
        <v>277</v>
      </c>
      <c r="C279" s="2" t="n">
        <v>0</v>
      </c>
      <c r="D279" s="2" t="n">
        <v>0</v>
      </c>
      <c r="E279" s="2" t="n">
        <v>0</v>
      </c>
    </row>
    <row r="280" customFormat="false" ht="13.8" hidden="false" customHeight="false" outlineLevel="0" collapsed="false">
      <c r="B280" s="2" t="n">
        <v>278</v>
      </c>
      <c r="C280" s="2" t="n">
        <v>0</v>
      </c>
      <c r="D280" s="2" t="n">
        <v>0</v>
      </c>
      <c r="E280" s="2" t="n">
        <v>0</v>
      </c>
    </row>
    <row r="281" customFormat="false" ht="13.8" hidden="false" customHeight="false" outlineLevel="0" collapsed="false">
      <c r="B281" s="2" t="n">
        <v>279</v>
      </c>
      <c r="C281" s="2" t="n">
        <v>0</v>
      </c>
      <c r="D281" s="2" t="n">
        <v>0</v>
      </c>
      <c r="E281" s="2" t="n">
        <v>0</v>
      </c>
    </row>
    <row r="282" customFormat="false" ht="13.8" hidden="false" customHeight="false" outlineLevel="0" collapsed="false">
      <c r="B282" s="2" t="n">
        <v>280</v>
      </c>
      <c r="C282" s="2" t="n">
        <v>0</v>
      </c>
      <c r="D282" s="2" t="n">
        <v>0</v>
      </c>
      <c r="E282" s="2" t="n">
        <v>0</v>
      </c>
    </row>
    <row r="283" customFormat="false" ht="13.8" hidden="false" customHeight="false" outlineLevel="0" collapsed="false">
      <c r="B283" s="2" t="n">
        <v>281</v>
      </c>
      <c r="C283" s="2" t="n">
        <v>0</v>
      </c>
      <c r="D283" s="2" t="n">
        <v>0</v>
      </c>
      <c r="E283" s="2" t="n">
        <v>0</v>
      </c>
    </row>
    <row r="284" customFormat="false" ht="13.8" hidden="false" customHeight="false" outlineLevel="0" collapsed="false">
      <c r="B284" s="2" t="n">
        <v>282</v>
      </c>
      <c r="C284" s="2" t="n">
        <v>3.075522619922E-017</v>
      </c>
      <c r="D284" s="2" t="n">
        <v>0</v>
      </c>
      <c r="E284" s="2" t="n">
        <v>0</v>
      </c>
    </row>
    <row r="285" customFormat="false" ht="13.8" hidden="false" customHeight="false" outlineLevel="0" collapsed="false">
      <c r="B285" s="2" t="n">
        <v>283</v>
      </c>
      <c r="C285" s="2" t="n">
        <v>0</v>
      </c>
      <c r="D285" s="2" t="n">
        <v>0</v>
      </c>
      <c r="E285" s="2" t="n">
        <v>0</v>
      </c>
    </row>
    <row r="286" customFormat="false" ht="13.8" hidden="false" customHeight="false" outlineLevel="0" collapsed="false">
      <c r="B286" s="2" t="n">
        <v>284</v>
      </c>
      <c r="C286" s="2" t="n">
        <v>6.5872788540312E-019</v>
      </c>
      <c r="D286" s="2" t="n">
        <v>0</v>
      </c>
      <c r="E286" s="2" t="n">
        <v>0</v>
      </c>
    </row>
    <row r="287" customFormat="false" ht="13.8" hidden="false" customHeight="false" outlineLevel="0" collapsed="false">
      <c r="B287" s="2" t="n">
        <v>285</v>
      </c>
      <c r="C287" s="2" t="n">
        <v>6.5872788540312E-019</v>
      </c>
      <c r="D287" s="2" t="n">
        <v>0</v>
      </c>
      <c r="E287" s="2" t="n">
        <v>0</v>
      </c>
    </row>
    <row r="288" customFormat="false" ht="13.8" hidden="false" customHeight="false" outlineLevel="0" collapsed="false">
      <c r="B288" s="2" t="n">
        <v>286</v>
      </c>
      <c r="C288" s="2" t="n">
        <v>1.93122563704163E-017</v>
      </c>
      <c r="D288" s="2" t="n">
        <v>0</v>
      </c>
      <c r="E288" s="2" t="n">
        <v>0</v>
      </c>
    </row>
    <row r="289" customFormat="false" ht="13.8" hidden="false" customHeight="false" outlineLevel="0" collapsed="false">
      <c r="B289" s="2" t="n">
        <v>287</v>
      </c>
      <c r="C289" s="2" t="n">
        <v>0</v>
      </c>
      <c r="D289" s="2" t="n">
        <v>0</v>
      </c>
      <c r="E289" s="2" t="n">
        <v>0</v>
      </c>
    </row>
    <row r="290" customFormat="false" ht="13.8" hidden="false" customHeight="false" outlineLevel="0" collapsed="false">
      <c r="B290" s="2" t="n">
        <v>288</v>
      </c>
      <c r="C290" s="2" t="n">
        <v>0</v>
      </c>
      <c r="D290" s="2" t="n">
        <v>0</v>
      </c>
      <c r="E290" s="2" t="n">
        <v>0</v>
      </c>
    </row>
    <row r="291" customFormat="false" ht="13.8" hidden="false" customHeight="false" outlineLevel="0" collapsed="false">
      <c r="B291" s="2" t="n">
        <v>289</v>
      </c>
      <c r="C291" s="2" t="n">
        <v>0</v>
      </c>
      <c r="D291" s="2" t="n">
        <v>1.27865686493599E-009</v>
      </c>
      <c r="E291" s="2" t="n">
        <v>0</v>
      </c>
    </row>
    <row r="292" customFormat="false" ht="13.8" hidden="false" customHeight="false" outlineLevel="0" collapsed="false">
      <c r="B292" s="2" t="n">
        <v>290</v>
      </c>
      <c r="C292" s="2" t="n">
        <v>1.56093207923116E-017</v>
      </c>
      <c r="D292" s="2" t="n">
        <v>0</v>
      </c>
      <c r="E292" s="2" t="n">
        <v>0</v>
      </c>
    </row>
    <row r="293" customFormat="false" ht="13.8" hidden="false" customHeight="false" outlineLevel="0" collapsed="false">
      <c r="B293" s="2" t="n">
        <v>291</v>
      </c>
      <c r="C293" s="2" t="n">
        <v>6.94128443520813E-018</v>
      </c>
      <c r="D293" s="2" t="n">
        <v>0</v>
      </c>
      <c r="E293" s="2" t="n">
        <v>0</v>
      </c>
    </row>
    <row r="294" customFormat="false" ht="13.8" hidden="false" customHeight="false" outlineLevel="0" collapsed="false">
      <c r="B294" s="2" t="n">
        <v>292</v>
      </c>
      <c r="C294" s="2" t="n">
        <v>0</v>
      </c>
      <c r="D294" s="2" t="n">
        <v>0</v>
      </c>
      <c r="E294" s="2" t="n">
        <v>0</v>
      </c>
    </row>
    <row r="295" customFormat="false" ht="13.8" hidden="false" customHeight="false" outlineLevel="0" collapsed="false">
      <c r="B295" s="2" t="n">
        <v>293</v>
      </c>
      <c r="C295" s="2" t="n">
        <v>9.09505654980501E-018</v>
      </c>
      <c r="D295" s="2" t="n">
        <v>0</v>
      </c>
      <c r="E295" s="2" t="n">
        <v>0</v>
      </c>
    </row>
    <row r="296" customFormat="false" ht="13.8" hidden="false" customHeight="false" outlineLevel="0" collapsed="false">
      <c r="B296" s="2" t="n">
        <v>294</v>
      </c>
      <c r="C296" s="2" t="n">
        <v>0</v>
      </c>
      <c r="D296" s="2" t="n">
        <v>0</v>
      </c>
      <c r="E296" s="2" t="n">
        <v>0</v>
      </c>
    </row>
    <row r="297" customFormat="false" ht="13.8" hidden="false" customHeight="false" outlineLevel="0" collapsed="false">
      <c r="B297" s="2" t="n">
        <v>295</v>
      </c>
      <c r="C297" s="2" t="n">
        <v>3.29363942701561E-019</v>
      </c>
      <c r="D297" s="2" t="n">
        <v>0</v>
      </c>
      <c r="E297" s="2" t="n">
        <v>0</v>
      </c>
    </row>
    <row r="298" customFormat="false" ht="13.8" hidden="false" customHeight="false" outlineLevel="0" collapsed="false">
      <c r="B298" s="2" t="n">
        <v>296</v>
      </c>
      <c r="C298" s="2" t="n">
        <v>0</v>
      </c>
      <c r="D298" s="2" t="n">
        <v>0</v>
      </c>
      <c r="E298" s="2" t="n">
        <v>0</v>
      </c>
    </row>
    <row r="299" customFormat="false" ht="13.8" hidden="false" customHeight="false" outlineLevel="0" collapsed="false">
      <c r="B299" s="2" t="n">
        <v>297</v>
      </c>
      <c r="C299" s="2" t="n">
        <v>3.29363942701561E-019</v>
      </c>
      <c r="D299" s="2" t="n">
        <v>0</v>
      </c>
      <c r="E299" s="2" t="n">
        <v>0</v>
      </c>
    </row>
    <row r="300" customFormat="false" ht="13.8" hidden="false" customHeight="false" outlineLevel="0" collapsed="false">
      <c r="B300" s="2" t="n">
        <v>298</v>
      </c>
      <c r="C300" s="2" t="n">
        <v>0</v>
      </c>
      <c r="D300" s="2" t="n">
        <v>0</v>
      </c>
      <c r="E300" s="2" t="n">
        <v>0</v>
      </c>
    </row>
    <row r="301" customFormat="false" ht="13.8" hidden="false" customHeight="false" outlineLevel="0" collapsed="false">
      <c r="B301" s="2" t="n">
        <v>299</v>
      </c>
      <c r="C301" s="2" t="n">
        <v>0</v>
      </c>
      <c r="D301" s="2" t="n">
        <v>0</v>
      </c>
      <c r="E301" s="2" t="n">
        <v>0</v>
      </c>
    </row>
    <row r="302" customFormat="false" ht="13.8" hidden="false" customHeight="false" outlineLevel="0" collapsed="false">
      <c r="B302" s="2" t="n">
        <v>300</v>
      </c>
      <c r="C302" s="2" t="n">
        <v>0</v>
      </c>
      <c r="D302" s="2" t="n">
        <v>0</v>
      </c>
      <c r="E302" s="2" t="n">
        <v>0</v>
      </c>
    </row>
    <row r="303" customFormat="false" ht="13.8" hidden="false" customHeight="false" outlineLevel="0" collapsed="false">
      <c r="B303" s="2" t="n">
        <v>301</v>
      </c>
      <c r="C303" s="2" t="n">
        <v>1.64681971350781E-019</v>
      </c>
      <c r="D303" s="2" t="n">
        <v>0</v>
      </c>
      <c r="E303" s="2" t="n">
        <v>0</v>
      </c>
    </row>
    <row r="304" customFormat="false" ht="13.8" hidden="false" customHeight="false" outlineLevel="0" collapsed="false">
      <c r="B304" s="2" t="n">
        <v>302</v>
      </c>
      <c r="C304" s="2" t="n">
        <v>3.29363942701561E-019</v>
      </c>
      <c r="D304" s="2" t="n">
        <v>0</v>
      </c>
      <c r="E304" s="2" t="n">
        <v>0</v>
      </c>
    </row>
    <row r="305" customFormat="false" ht="13.8" hidden="false" customHeight="false" outlineLevel="0" collapsed="false">
      <c r="B305" s="2" t="n">
        <v>303</v>
      </c>
      <c r="C305" s="2" t="n">
        <v>6.5872788540312E-019</v>
      </c>
      <c r="D305" s="2" t="n">
        <v>0</v>
      </c>
      <c r="E305" s="2" t="n">
        <v>0</v>
      </c>
    </row>
    <row r="306" customFormat="false" ht="13.8" hidden="false" customHeight="false" outlineLevel="0" collapsed="false">
      <c r="B306" s="2" t="n">
        <v>304</v>
      </c>
      <c r="C306" s="2" t="n">
        <v>5.01094366030563E-018</v>
      </c>
      <c r="D306" s="2" t="n">
        <v>0</v>
      </c>
      <c r="E306" s="2" t="n">
        <v>0</v>
      </c>
    </row>
    <row r="307" customFormat="false" ht="13.8" hidden="false" customHeight="false" outlineLevel="0" collapsed="false">
      <c r="B307" s="2" t="n">
        <v>305</v>
      </c>
      <c r="C307" s="2" t="n">
        <v>0</v>
      </c>
      <c r="D307" s="2" t="n">
        <v>0</v>
      </c>
      <c r="E307" s="2" t="n">
        <v>0</v>
      </c>
    </row>
    <row r="308" customFormat="false" ht="13.8" hidden="false" customHeight="false" outlineLevel="0" collapsed="false">
      <c r="B308" s="2" t="n">
        <v>306</v>
      </c>
      <c r="C308" s="2" t="n">
        <v>3.03014827285437E-018</v>
      </c>
      <c r="D308" s="2" t="n">
        <v>0</v>
      </c>
      <c r="E308" s="2" t="n">
        <v>0</v>
      </c>
    </row>
    <row r="309" customFormat="false" ht="13.8" hidden="false" customHeight="false" outlineLevel="0" collapsed="false">
      <c r="B309" s="2" t="n">
        <v>307</v>
      </c>
      <c r="C309" s="2" t="n">
        <v>6.5872788540312E-019</v>
      </c>
      <c r="D309" s="2" t="n">
        <v>0</v>
      </c>
      <c r="E309" s="2" t="n">
        <v>0</v>
      </c>
    </row>
    <row r="310" customFormat="false" ht="13.8" hidden="false" customHeight="false" outlineLevel="0" collapsed="false">
      <c r="B310" s="2" t="n">
        <v>308</v>
      </c>
      <c r="C310" s="2" t="n">
        <v>1.84443807912875E-018</v>
      </c>
      <c r="D310" s="2" t="n">
        <v>0</v>
      </c>
      <c r="E310" s="2" t="n">
        <v>0</v>
      </c>
    </row>
    <row r="311" customFormat="false" ht="13.8" hidden="false" customHeight="false" outlineLevel="0" collapsed="false">
      <c r="B311" s="2" t="n">
        <v>309</v>
      </c>
      <c r="C311" s="2" t="n">
        <v>0</v>
      </c>
      <c r="D311" s="2" t="n">
        <v>0</v>
      </c>
      <c r="E311" s="2" t="n">
        <v>0</v>
      </c>
    </row>
    <row r="312" customFormat="false" ht="13.8" hidden="false" customHeight="false" outlineLevel="0" collapsed="false">
      <c r="B312" s="2" t="n">
        <v>310</v>
      </c>
      <c r="C312" s="2" t="n">
        <v>0</v>
      </c>
      <c r="D312" s="2" t="n">
        <v>0</v>
      </c>
      <c r="E312" s="2" t="n">
        <v>0</v>
      </c>
    </row>
    <row r="313" customFormat="false" ht="13.8" hidden="false" customHeight="false" outlineLevel="0" collapsed="false">
      <c r="B313" s="2" t="n">
        <v>311</v>
      </c>
      <c r="C313" s="2" t="n">
        <v>0</v>
      </c>
      <c r="D313" s="2" t="n">
        <v>0</v>
      </c>
      <c r="E313" s="2" t="n">
        <v>0</v>
      </c>
    </row>
    <row r="314" customFormat="false" ht="13.8" hidden="false" customHeight="false" outlineLevel="0" collapsed="false">
      <c r="B314" s="2" t="n">
        <v>312</v>
      </c>
      <c r="C314" s="2" t="n">
        <v>9.55155433834526E-019</v>
      </c>
      <c r="D314" s="2" t="n">
        <v>1.58608619158781E-019</v>
      </c>
      <c r="E314" s="2" t="n">
        <v>0</v>
      </c>
    </row>
    <row r="315" customFormat="false" ht="13.8" hidden="false" customHeight="false" outlineLevel="0" collapsed="false">
      <c r="B315" s="2" t="n">
        <v>313</v>
      </c>
      <c r="C315" s="2" t="n">
        <v>0</v>
      </c>
      <c r="D315" s="2" t="n">
        <v>0</v>
      </c>
      <c r="E315" s="2" t="n">
        <v>0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333</v>
      </c>
      <c r="C335" s="2" t="n">
        <v>0.19265474499133</v>
      </c>
      <c r="D335" s="2" t="n">
        <v>9.50864951289915E-012</v>
      </c>
      <c r="E335" s="2" t="n">
        <v>0</v>
      </c>
    </row>
    <row r="336" customFormat="false" ht="13.8" hidden="false" customHeight="false" outlineLevel="0" collapsed="false">
      <c r="B336" s="2" t="n">
        <v>334</v>
      </c>
      <c r="C336" s="2" t="n">
        <v>0.311951302517808</v>
      </c>
      <c r="D336" s="2" t="n">
        <v>0.110222530674097</v>
      </c>
      <c r="E336" s="2" t="n">
        <v>0</v>
      </c>
    </row>
    <row r="337" customFormat="false" ht="13.8" hidden="false" customHeight="false" outlineLevel="0" collapsed="false">
      <c r="B337" s="2" t="n">
        <v>335</v>
      </c>
      <c r="C337" s="2" t="n">
        <v>0.33630829916768</v>
      </c>
      <c r="D337" s="2" t="n">
        <v>0.354153082900474</v>
      </c>
      <c r="E337" s="2" t="n">
        <v>0</v>
      </c>
    </row>
    <row r="338" customFormat="false" ht="13.8" hidden="false" customHeight="false" outlineLevel="0" collapsed="false">
      <c r="B338" s="2" t="n">
        <v>336</v>
      </c>
      <c r="C338" s="2" t="n">
        <v>0.306666262484218</v>
      </c>
      <c r="D338" s="2" t="n">
        <v>0.355807679089795</v>
      </c>
      <c r="E338" s="2" t="n">
        <v>0.156101596096441</v>
      </c>
    </row>
    <row r="339" customFormat="false" ht="13.8" hidden="false" customHeight="false" outlineLevel="0" collapsed="false">
      <c r="B339" s="2" t="n">
        <v>337</v>
      </c>
      <c r="C339" s="2" t="n">
        <v>0.351857225800756</v>
      </c>
      <c r="D339" s="2" t="n">
        <v>0.357462275279115</v>
      </c>
      <c r="E339" s="2" t="n">
        <v>0.189560020928584</v>
      </c>
    </row>
    <row r="340" customFormat="false" ht="13.8" hidden="false" customHeight="false" outlineLevel="0" collapsed="false">
      <c r="B340" s="2" t="n">
        <v>338</v>
      </c>
      <c r="C340" s="2" t="n">
        <v>0.321156415962139</v>
      </c>
      <c r="D340" s="2" t="n">
        <v>0.351643121960618</v>
      </c>
      <c r="E340" s="2" t="n">
        <v>0.153689276400489</v>
      </c>
    </row>
    <row r="341" customFormat="false" ht="13.8" hidden="false" customHeight="false" outlineLevel="0" collapsed="false">
      <c r="B341" s="2" t="n">
        <v>339</v>
      </c>
      <c r="C341" s="2" t="n">
        <v>0.370788656123522</v>
      </c>
      <c r="D341" s="2" t="n">
        <v>0.345823968642121</v>
      </c>
      <c r="E341" s="2" t="n">
        <v>0.182818531872394</v>
      </c>
    </row>
    <row r="342" customFormat="false" ht="13.8" hidden="false" customHeight="false" outlineLevel="0" collapsed="false">
      <c r="B342" s="2" t="n">
        <v>340</v>
      </c>
      <c r="C342" s="2" t="n">
        <v>0.312355179618239</v>
      </c>
      <c r="D342" s="2" t="n">
        <v>0.340004815323624</v>
      </c>
      <c r="E342" s="2" t="n">
        <v>0.146947787344298</v>
      </c>
    </row>
    <row r="343" customFormat="false" ht="13.8" hidden="false" customHeight="false" outlineLevel="0" collapsed="false">
      <c r="B343" s="2" t="n">
        <v>341</v>
      </c>
      <c r="C343" s="2" t="n">
        <v>0.301438519779622</v>
      </c>
      <c r="D343" s="2" t="n">
        <v>0.334185662005126</v>
      </c>
      <c r="E343" s="2" t="n">
        <v>0.176077042816203</v>
      </c>
    </row>
    <row r="344" customFormat="false" ht="13.8" hidden="false" customHeight="false" outlineLevel="0" collapsed="false">
      <c r="B344" s="2" t="n">
        <v>342</v>
      </c>
      <c r="C344" s="2" t="n">
        <v>0.264804365075243</v>
      </c>
      <c r="D344" s="2" t="n">
        <v>0.301083046159343</v>
      </c>
      <c r="E344" s="2" t="n">
        <v>0</v>
      </c>
    </row>
    <row r="345" customFormat="false" ht="13.8" hidden="false" customHeight="false" outlineLevel="0" collapsed="false">
      <c r="B345" s="2" t="n">
        <v>343</v>
      </c>
      <c r="C345" s="2" t="n">
        <v>0.228703693704198</v>
      </c>
      <c r="D345" s="2" t="n">
        <v>0.26798043031356</v>
      </c>
      <c r="E345" s="2" t="n">
        <v>0.137727662729994</v>
      </c>
    </row>
    <row r="346" customFormat="false" ht="13.8" hidden="false" customHeight="false" outlineLevel="0" collapsed="false">
      <c r="B346" s="2" t="n">
        <v>344</v>
      </c>
      <c r="C346" s="2" t="n">
        <v>0.196219438999819</v>
      </c>
      <c r="D346" s="2" t="n">
        <v>0.234877814467777</v>
      </c>
      <c r="E346" s="2" t="n">
        <v>0.0860529727054041</v>
      </c>
    </row>
    <row r="347" customFormat="false" ht="13.8" hidden="false" customHeight="false" outlineLevel="0" collapsed="false">
      <c r="B347" s="2" t="n">
        <v>345</v>
      </c>
      <c r="C347" s="2" t="n">
        <v>0.159051917628774</v>
      </c>
      <c r="D347" s="2" t="n">
        <v>0.201775198621994</v>
      </c>
      <c r="E347" s="2" t="n">
        <v>0</v>
      </c>
    </row>
    <row r="348" customFormat="false" ht="13.8" hidden="false" customHeight="false" outlineLevel="0" collapsed="false">
      <c r="B348" s="2" t="n">
        <v>346</v>
      </c>
      <c r="C348" s="2" t="n">
        <v>0.141077105326703</v>
      </c>
      <c r="D348" s="2" t="n">
        <v>0.186122023687167</v>
      </c>
      <c r="E348" s="2" t="n">
        <v>0</v>
      </c>
    </row>
    <row r="349" customFormat="false" ht="13.8" hidden="false" customHeight="false" outlineLevel="0" collapsed="false">
      <c r="B349" s="2" t="n">
        <v>347</v>
      </c>
      <c r="C349" s="2" t="n">
        <v>0.123635509691299</v>
      </c>
      <c r="D349" s="2" t="n">
        <v>0.170468848752339</v>
      </c>
      <c r="E349" s="2" t="n">
        <v>0</v>
      </c>
    </row>
    <row r="350" customFormat="false" ht="13.8" hidden="false" customHeight="false" outlineLevel="0" collapsed="false">
      <c r="B350" s="2" t="n">
        <v>348</v>
      </c>
      <c r="C350" s="2" t="n">
        <v>0.106326980722562</v>
      </c>
      <c r="D350" s="2" t="n">
        <v>0.154815673817512</v>
      </c>
      <c r="E350" s="2" t="n">
        <v>0</v>
      </c>
    </row>
    <row r="351" customFormat="false" ht="13.8" hidden="false" customHeight="false" outlineLevel="0" collapsed="false">
      <c r="B351" s="2" t="n">
        <v>349</v>
      </c>
      <c r="C351" s="2" t="n">
        <v>0.0887516017538247</v>
      </c>
      <c r="D351" s="2" t="n">
        <v>0.139162498882684</v>
      </c>
      <c r="E351" s="2" t="n">
        <v>0</v>
      </c>
    </row>
    <row r="352" customFormat="false" ht="13.8" hidden="false" customHeight="false" outlineLevel="0" collapsed="false">
      <c r="B352" s="2" t="n">
        <v>350</v>
      </c>
      <c r="C352" s="2" t="n">
        <v>0.06873144790567</v>
      </c>
      <c r="D352" s="2" t="n">
        <v>0.112425667891288</v>
      </c>
      <c r="E352" s="2" t="n">
        <v>0.000280085985352567</v>
      </c>
    </row>
    <row r="353" customFormat="false" ht="13.8" hidden="false" customHeight="false" outlineLevel="0" collapsed="false">
      <c r="B353" s="2" t="n">
        <v>351</v>
      </c>
      <c r="C353" s="2" t="n">
        <v>0.0287113940573592</v>
      </c>
      <c r="D353" s="2" t="n">
        <v>0.0856888368801553</v>
      </c>
      <c r="E353" s="2" t="n">
        <v>0.0321352576675278</v>
      </c>
    </row>
    <row r="354" customFormat="false" ht="13.8" hidden="false" customHeight="false" outlineLevel="0" collapsed="false">
      <c r="B354" s="2" t="n">
        <v>352</v>
      </c>
      <c r="C354" s="2" t="n">
        <v>0</v>
      </c>
      <c r="D354" s="2" t="n">
        <v>0.0417912452077745</v>
      </c>
      <c r="E354" s="2" t="n">
        <v>0</v>
      </c>
    </row>
    <row r="355" customFormat="false" ht="13.8" hidden="false" customHeight="false" outlineLevel="0" collapsed="false">
      <c r="B355" s="2" t="n">
        <v>353</v>
      </c>
      <c r="C355" s="2" t="n">
        <v>0</v>
      </c>
      <c r="D355" s="2" t="n">
        <v>0.000886327944975881</v>
      </c>
      <c r="E355" s="2" t="n">
        <v>0.00116063937479758</v>
      </c>
    </row>
    <row r="356" customFormat="false" ht="13.8" hidden="false" customHeight="false" outlineLevel="0" collapsed="false">
      <c r="B356" s="2" t="n">
        <v>354</v>
      </c>
      <c r="C356" s="2" t="n">
        <v>0</v>
      </c>
      <c r="D356" s="2" t="n">
        <v>0</v>
      </c>
      <c r="E356" s="2" t="n">
        <v>0</v>
      </c>
    </row>
    <row r="357" customFormat="false" ht="13.8" hidden="false" customHeight="false" outlineLevel="0" collapsed="false">
      <c r="B357" s="2" t="n">
        <v>355</v>
      </c>
      <c r="C357" s="2" t="n">
        <v>0</v>
      </c>
      <c r="D357" s="2" t="n">
        <v>0</v>
      </c>
      <c r="E357" s="2" t="n">
        <v>0</v>
      </c>
    </row>
    <row r="358" customFormat="false" ht="13.8" hidden="false" customHeight="false" outlineLevel="0" collapsed="false">
      <c r="B358" s="2" t="n">
        <v>356</v>
      </c>
      <c r="C358" s="2" t="n">
        <v>0</v>
      </c>
      <c r="D358" s="2" t="n">
        <v>0</v>
      </c>
      <c r="E358" s="2" t="n">
        <v>0</v>
      </c>
    </row>
    <row r="359" customFormat="false" ht="13.8" hidden="false" customHeight="false" outlineLevel="0" collapsed="false">
      <c r="B359" s="2" t="n">
        <v>357</v>
      </c>
      <c r="C359" s="2" t="n">
        <v>0</v>
      </c>
      <c r="D359" s="2" t="n">
        <v>0</v>
      </c>
      <c r="E359" s="2" t="n">
        <v>0</v>
      </c>
    </row>
    <row r="360" customFormat="false" ht="13.8" hidden="false" customHeight="false" outlineLevel="0" collapsed="false">
      <c r="B360" s="2" t="n">
        <v>358</v>
      </c>
      <c r="C360" s="2" t="n">
        <v>0</v>
      </c>
      <c r="D360" s="2" t="n">
        <v>0</v>
      </c>
      <c r="E360" s="2" t="n">
        <v>0</v>
      </c>
    </row>
    <row r="361" customFormat="false" ht="13.8" hidden="false" customHeight="false" outlineLevel="0" collapsed="false">
      <c r="B361" s="2" t="n">
        <v>359</v>
      </c>
      <c r="C361" s="2" t="n">
        <v>0</v>
      </c>
      <c r="D361" s="2" t="n">
        <v>0</v>
      </c>
      <c r="E361" s="2" t="n">
        <v>0</v>
      </c>
    </row>
    <row r="362" customFormat="false" ht="13.8" hidden="false" customHeight="false" outlineLevel="0" collapsed="false">
      <c r="B362" s="2" t="n">
        <v>360</v>
      </c>
      <c r="C362" s="2" t="n">
        <v>0</v>
      </c>
      <c r="D362" s="2" t="n">
        <v>0</v>
      </c>
      <c r="E362" s="2" t="n">
        <v>0</v>
      </c>
    </row>
    <row r="363" customFormat="false" ht="13.8" hidden="false" customHeight="false" outlineLevel="0" collapsed="false">
      <c r="B363" s="2" t="n">
        <v>361</v>
      </c>
      <c r="C363" s="2" t="n">
        <v>0</v>
      </c>
      <c r="D363" s="2" t="n">
        <v>0</v>
      </c>
      <c r="E363" s="2" t="n">
        <v>0</v>
      </c>
    </row>
    <row r="364" customFormat="false" ht="13.8" hidden="false" customHeight="false" outlineLevel="0" collapsed="false">
      <c r="B364" s="2" t="n">
        <v>362</v>
      </c>
      <c r="C364" s="2" t="n">
        <v>0</v>
      </c>
      <c r="D364" s="2" t="n">
        <v>0</v>
      </c>
      <c r="E364" s="2" t="n">
        <v>0</v>
      </c>
    </row>
    <row r="365" customFormat="false" ht="13.8" hidden="false" customHeight="false" outlineLevel="0" collapsed="false">
      <c r="B365" s="2" t="n">
        <v>363</v>
      </c>
      <c r="C365" s="2" t="n">
        <v>0</v>
      </c>
      <c r="D365" s="2" t="n">
        <v>0</v>
      </c>
      <c r="E365" s="2" t="n">
        <v>0</v>
      </c>
    </row>
    <row r="366" customFormat="false" ht="13.8" hidden="false" customHeight="false" outlineLevel="0" collapsed="false">
      <c r="B366" s="2" t="n">
        <v>364</v>
      </c>
      <c r="C366" s="2" t="n">
        <v>8.69280845440531E-011</v>
      </c>
      <c r="D366" s="2" t="n">
        <v>7.43392641718801E-017</v>
      </c>
      <c r="E366" s="2" t="n">
        <v>0</v>
      </c>
    </row>
    <row r="367" customFormat="false" ht="13.8" hidden="false" customHeight="false" outlineLevel="0" collapsed="false">
      <c r="B367" s="2" t="n">
        <v>365</v>
      </c>
      <c r="C367" s="2" t="n">
        <v>8.69224213091995E-011</v>
      </c>
      <c r="D367" s="2" t="n">
        <v>0</v>
      </c>
      <c r="E367" s="2" t="n">
        <v>0</v>
      </c>
    </row>
    <row r="368" customFormat="false" ht="13.8" hidden="false" customHeight="false" outlineLevel="0" collapsed="false">
      <c r="B368" s="2" t="n">
        <v>366</v>
      </c>
      <c r="C368" s="2" t="n">
        <v>8.69168846358498E-011</v>
      </c>
      <c r="D368" s="2" t="n">
        <v>0</v>
      </c>
      <c r="E368" s="2" t="n">
        <v>0</v>
      </c>
    </row>
    <row r="369" customFormat="false" ht="13.8" hidden="false" customHeight="false" outlineLevel="0" collapsed="false">
      <c r="B369" s="2" t="n">
        <v>367</v>
      </c>
      <c r="C369" s="2" t="n">
        <v>8.69114822584065E-011</v>
      </c>
      <c r="D369" s="2" t="n">
        <v>0</v>
      </c>
      <c r="E369" s="2" t="n">
        <v>0</v>
      </c>
    </row>
    <row r="370" customFormat="false" ht="13.8" hidden="false" customHeight="false" outlineLevel="0" collapsed="false">
      <c r="B370" s="2" t="n">
        <v>368</v>
      </c>
      <c r="C370" s="2" t="n">
        <v>8.69061707393578E-011</v>
      </c>
      <c r="D370" s="2" t="n">
        <v>0</v>
      </c>
      <c r="E370" s="2" t="n">
        <v>0</v>
      </c>
    </row>
    <row r="371" customFormat="false" ht="13.8" hidden="false" customHeight="false" outlineLevel="0" collapsed="false">
      <c r="B371" s="2" t="n">
        <v>369</v>
      </c>
      <c r="C371" s="2" t="n">
        <v>8.69010109381309E-011</v>
      </c>
      <c r="D371" s="2" t="n">
        <v>0</v>
      </c>
      <c r="E371" s="2" t="n">
        <v>0</v>
      </c>
    </row>
    <row r="372" customFormat="false" ht="13.8" hidden="false" customHeight="false" outlineLevel="0" collapsed="false">
      <c r="B372" s="2" t="n">
        <v>370</v>
      </c>
      <c r="C372" s="2" t="n">
        <v>8.68959659797504E-011</v>
      </c>
      <c r="D372" s="2" t="n">
        <v>0</v>
      </c>
      <c r="E372" s="2" t="n">
        <v>0</v>
      </c>
    </row>
    <row r="373" customFormat="false" ht="13.8" hidden="false" customHeight="false" outlineLevel="0" collapsed="false">
      <c r="B373" s="2" t="n">
        <v>371</v>
      </c>
      <c r="C373" s="2" t="n">
        <v>0</v>
      </c>
      <c r="D373" s="2" t="n">
        <v>0</v>
      </c>
      <c r="E373" s="2" t="n">
        <v>0</v>
      </c>
    </row>
    <row r="374" customFormat="false" ht="13.8" hidden="false" customHeight="false" outlineLevel="0" collapsed="false">
      <c r="B374" s="2" t="n">
        <v>372</v>
      </c>
      <c r="C374" s="2" t="n">
        <v>0</v>
      </c>
      <c r="D374" s="2" t="n">
        <v>0</v>
      </c>
      <c r="E374" s="2" t="n">
        <v>0</v>
      </c>
    </row>
    <row r="375" customFormat="false" ht="13.8" hidden="false" customHeight="false" outlineLevel="0" collapsed="false">
      <c r="B375" s="2" t="n">
        <v>373</v>
      </c>
      <c r="C375" s="2" t="n">
        <v>0</v>
      </c>
      <c r="D375" s="2" t="n">
        <v>0</v>
      </c>
      <c r="E375" s="2" t="n">
        <v>0</v>
      </c>
    </row>
    <row r="376" customFormat="false" ht="13.8" hidden="false" customHeight="false" outlineLevel="0" collapsed="false">
      <c r="B376" s="2" t="n">
        <v>374</v>
      </c>
      <c r="C376" s="2" t="n">
        <v>0</v>
      </c>
      <c r="D376" s="2" t="n">
        <v>0</v>
      </c>
      <c r="E376" s="2" t="n">
        <v>0</v>
      </c>
    </row>
    <row r="377" customFormat="false" ht="13.8" hidden="false" customHeight="false" outlineLevel="0" collapsed="false">
      <c r="B377" s="2" t="n">
        <v>375</v>
      </c>
      <c r="C377" s="2" t="n">
        <v>8.68715686026653E-011</v>
      </c>
      <c r="D377" s="2" t="n">
        <v>0</v>
      </c>
      <c r="E377" s="2" t="n">
        <v>0</v>
      </c>
    </row>
    <row r="378" customFormat="false" ht="13.8" hidden="false" customHeight="false" outlineLevel="0" collapsed="false">
      <c r="B378" s="2" t="n">
        <v>376</v>
      </c>
      <c r="C378" s="2" t="n">
        <v>8.68668557509518E-011</v>
      </c>
      <c r="D378" s="2" t="n">
        <v>0</v>
      </c>
      <c r="E378" s="2" t="n">
        <v>0</v>
      </c>
    </row>
    <row r="379" customFormat="false" ht="13.8" hidden="false" customHeight="false" outlineLevel="0" collapsed="false">
      <c r="B379" s="2" t="n">
        <v>377</v>
      </c>
      <c r="C379" s="2" t="n">
        <v>0</v>
      </c>
      <c r="D379" s="2" t="n">
        <v>0</v>
      </c>
      <c r="E379" s="2" t="n">
        <v>0</v>
      </c>
    </row>
    <row r="380" customFormat="false" ht="13.8" hidden="false" customHeight="false" outlineLevel="0" collapsed="false">
      <c r="B380" s="2" t="n">
        <v>378</v>
      </c>
      <c r="C380" s="2" t="n">
        <v>8.6857666725394E-011</v>
      </c>
      <c r="D380" s="2" t="n">
        <v>0</v>
      </c>
      <c r="E380" s="2" t="n">
        <v>0</v>
      </c>
    </row>
    <row r="381" customFormat="false" ht="13.8" hidden="false" customHeight="false" outlineLevel="0" collapsed="false">
      <c r="B381" s="2" t="n">
        <v>379</v>
      </c>
      <c r="C381" s="2" t="n">
        <v>8.68531765671963E-011</v>
      </c>
      <c r="D381" s="2" t="n">
        <v>0</v>
      </c>
      <c r="E381" s="2" t="n">
        <v>0</v>
      </c>
    </row>
    <row r="382" customFormat="false" ht="13.8" hidden="false" customHeight="false" outlineLevel="0" collapsed="false">
      <c r="B382" s="2" t="n">
        <v>380</v>
      </c>
      <c r="C382" s="2" t="n">
        <v>8.68487875410603E-011</v>
      </c>
      <c r="D382" s="2" t="n">
        <v>0</v>
      </c>
      <c r="E382" s="2" t="n">
        <v>0</v>
      </c>
    </row>
    <row r="383" customFormat="false" ht="13.8" hidden="false" customHeight="false" outlineLevel="0" collapsed="false">
      <c r="B383" s="2" t="n">
        <v>381</v>
      </c>
      <c r="C383" s="2" t="n">
        <v>0</v>
      </c>
      <c r="D383" s="2" t="n">
        <v>0</v>
      </c>
      <c r="E383" s="2" t="n">
        <v>0</v>
      </c>
    </row>
    <row r="384" customFormat="false" ht="13.8" hidden="false" customHeight="false" outlineLevel="0" collapsed="false">
      <c r="B384" s="2" t="n">
        <v>382</v>
      </c>
      <c r="C384" s="2" t="n">
        <v>0</v>
      </c>
      <c r="D384" s="2" t="n">
        <v>0</v>
      </c>
      <c r="E384" s="2" t="n">
        <v>0</v>
      </c>
    </row>
    <row r="385" customFormat="false" ht="13.8" hidden="false" customHeight="false" outlineLevel="0" collapsed="false">
      <c r="B385" s="2" t="n">
        <v>383</v>
      </c>
      <c r="C385" s="2" t="n">
        <v>8.68359793465458E-011</v>
      </c>
      <c r="D385" s="2" t="n">
        <v>0</v>
      </c>
      <c r="E385" s="2" t="n">
        <v>0</v>
      </c>
    </row>
    <row r="386" customFormat="false" ht="13.8" hidden="false" customHeight="false" outlineLevel="0" collapsed="false">
      <c r="B386" s="2" t="n">
        <v>384</v>
      </c>
      <c r="C386" s="2" t="n">
        <v>0</v>
      </c>
      <c r="D386" s="2" t="n">
        <v>0</v>
      </c>
      <c r="E386" s="2" t="n">
        <v>0</v>
      </c>
    </row>
    <row r="387" customFormat="false" ht="13.8" hidden="false" customHeight="false" outlineLevel="0" collapsed="false">
      <c r="B387" s="2" t="n">
        <v>385</v>
      </c>
      <c r="C387" s="2" t="n">
        <v>0</v>
      </c>
      <c r="D387" s="2" t="n">
        <v>0</v>
      </c>
      <c r="E387" s="2" t="n">
        <v>0</v>
      </c>
    </row>
    <row r="388" customFormat="false" ht="13.8" hidden="false" customHeight="false" outlineLevel="0" collapsed="false">
      <c r="B388" s="2" t="n">
        <v>386</v>
      </c>
      <c r="C388" s="2" t="n">
        <v>8.68235886390203E-011</v>
      </c>
      <c r="D388" s="2" t="n">
        <v>0</v>
      </c>
      <c r="E388" s="2" t="n">
        <v>0</v>
      </c>
    </row>
    <row r="389" customFormat="false" ht="13.8" hidden="false" customHeight="false" outlineLevel="0" collapsed="false">
      <c r="B389" s="2" t="n">
        <v>387</v>
      </c>
      <c r="C389" s="2" t="n">
        <v>8.68195605182233E-011</v>
      </c>
      <c r="D389" s="2" t="n">
        <v>0</v>
      </c>
      <c r="E389" s="2" t="n">
        <v>0</v>
      </c>
    </row>
    <row r="390" customFormat="false" ht="13.8" hidden="false" customHeight="false" outlineLevel="0" collapsed="false">
      <c r="B390" s="2" t="n">
        <v>388</v>
      </c>
      <c r="C390" s="2" t="n">
        <v>8.68156104924937E-011</v>
      </c>
      <c r="D390" s="2" t="n">
        <v>0</v>
      </c>
      <c r="E390" s="2" t="n">
        <v>0</v>
      </c>
    </row>
    <row r="391" customFormat="false" ht="13.8" hidden="false" customHeight="false" outlineLevel="0" collapsed="false">
      <c r="B391" s="2" t="n">
        <v>389</v>
      </c>
      <c r="C391" s="2" t="n">
        <v>8.68117504270832E-011</v>
      </c>
      <c r="D391" s="2" t="n">
        <v>0</v>
      </c>
      <c r="E391" s="2" t="n">
        <v>0</v>
      </c>
    </row>
    <row r="392" customFormat="false" ht="13.8" hidden="false" customHeight="false" outlineLevel="0" collapsed="false">
      <c r="B392" s="2" t="n">
        <v>390</v>
      </c>
      <c r="C392" s="2" t="n">
        <v>8.68079627634035E-011</v>
      </c>
      <c r="D392" s="2" t="n">
        <v>0</v>
      </c>
      <c r="E392" s="2" t="n">
        <v>0</v>
      </c>
    </row>
    <row r="393" customFormat="false" ht="13.8" hidden="false" customHeight="false" outlineLevel="0" collapsed="false">
      <c r="B393" s="2" t="n">
        <v>391</v>
      </c>
      <c r="C393" s="2" t="n">
        <v>8.68042504897567E-011</v>
      </c>
      <c r="D393" s="2" t="n">
        <v>0</v>
      </c>
      <c r="E393" s="2" t="n">
        <v>0</v>
      </c>
    </row>
    <row r="394" customFormat="false" ht="13.8" hidden="false" customHeight="false" outlineLevel="0" collapsed="false">
      <c r="B394" s="2" t="n">
        <v>392</v>
      </c>
      <c r="C394" s="2" t="n">
        <v>8.68006100123989E-011</v>
      </c>
      <c r="D394" s="2" t="n">
        <v>0</v>
      </c>
      <c r="E394" s="2" t="n">
        <v>0</v>
      </c>
    </row>
    <row r="395" customFormat="false" ht="13.8" hidden="false" customHeight="false" outlineLevel="0" collapsed="false">
      <c r="B395" s="2" t="n">
        <v>393</v>
      </c>
      <c r="C395" s="2" t="n">
        <v>8.67970470344765E-011</v>
      </c>
      <c r="D395" s="2" t="n">
        <v>0</v>
      </c>
      <c r="E395" s="2" t="n">
        <v>0</v>
      </c>
    </row>
    <row r="396" customFormat="false" ht="13.8" hidden="false" customHeight="false" outlineLevel="0" collapsed="false">
      <c r="B396" s="2" t="n">
        <v>394</v>
      </c>
      <c r="C396" s="2" t="n">
        <v>8.67935499153678E-011</v>
      </c>
      <c r="D396" s="2" t="n">
        <v>0</v>
      </c>
      <c r="E396" s="2" t="n">
        <v>0</v>
      </c>
    </row>
    <row r="397" customFormat="false" ht="13.8" hidden="false" customHeight="false" outlineLevel="0" collapsed="false">
      <c r="B397" s="2" t="n">
        <v>395</v>
      </c>
      <c r="C397" s="2" t="n">
        <v>8.67901292019754E-011</v>
      </c>
      <c r="D397" s="2" t="n">
        <v>0</v>
      </c>
      <c r="E397" s="2" t="n">
        <v>0</v>
      </c>
    </row>
    <row r="398" customFormat="false" ht="13.8" hidden="false" customHeight="false" outlineLevel="0" collapsed="false">
      <c r="B398" s="2" t="n">
        <v>396</v>
      </c>
      <c r="C398" s="2" t="n">
        <v>8.67867685075768E-011</v>
      </c>
      <c r="D398" s="2" t="n">
        <v>0</v>
      </c>
      <c r="E398" s="2" t="n">
        <v>0</v>
      </c>
    </row>
    <row r="399" customFormat="false" ht="13.8" hidden="false" customHeight="false" outlineLevel="0" collapsed="false">
      <c r="B399" s="2" t="n">
        <v>397</v>
      </c>
      <c r="C399" s="2" t="n">
        <v>8.67834760548519E-011</v>
      </c>
      <c r="D399" s="2" t="n">
        <v>0</v>
      </c>
      <c r="E399" s="2" t="n">
        <v>0</v>
      </c>
    </row>
    <row r="400" customFormat="false" ht="13.8" hidden="false" customHeight="false" outlineLevel="0" collapsed="false">
      <c r="B400" s="2" t="n">
        <v>398</v>
      </c>
      <c r="C400" s="2" t="n">
        <v>8.6780245828179E-011</v>
      </c>
      <c r="D400" s="2" t="n">
        <v>0</v>
      </c>
      <c r="E400" s="2" t="n">
        <v>0</v>
      </c>
    </row>
    <row r="401" customFormat="false" ht="13.8" hidden="false" customHeight="false" outlineLevel="0" collapsed="false">
      <c r="B401" s="2" t="n">
        <v>399</v>
      </c>
      <c r="C401" s="2" t="n">
        <v>8.67770831400825E-011</v>
      </c>
      <c r="D401" s="2" t="n">
        <v>0</v>
      </c>
      <c r="E401" s="2" t="n">
        <v>0</v>
      </c>
    </row>
    <row r="402" customFormat="false" ht="13.8" hidden="false" customHeight="false" outlineLevel="0" collapsed="false">
      <c r="B402" s="2" t="n">
        <v>400</v>
      </c>
      <c r="C402" s="2" t="n">
        <v>8.67739796751319E-011</v>
      </c>
      <c r="D402" s="2" t="n">
        <v>0</v>
      </c>
      <c r="E402" s="2" t="n">
        <v>0</v>
      </c>
    </row>
    <row r="403" customFormat="false" ht="13.8" hidden="false" customHeight="false" outlineLevel="0" collapsed="false">
      <c r="B403" s="2" t="n">
        <v>401</v>
      </c>
      <c r="C403" s="2" t="n">
        <v>0</v>
      </c>
      <c r="D403" s="2" t="n">
        <v>0</v>
      </c>
      <c r="E403" s="2" t="n">
        <v>0</v>
      </c>
    </row>
    <row r="404" customFormat="false" ht="13.8" hidden="false" customHeight="false" outlineLevel="0" collapsed="false">
      <c r="B404" s="2" t="n">
        <v>402</v>
      </c>
      <c r="C404" s="2" t="n">
        <v>0</v>
      </c>
      <c r="D404" s="2" t="n">
        <v>0</v>
      </c>
      <c r="E404" s="2" t="n">
        <v>0</v>
      </c>
    </row>
    <row r="405" customFormat="false" ht="13.8" hidden="false" customHeight="false" outlineLevel="0" collapsed="false">
      <c r="B405" s="2" t="n">
        <v>403</v>
      </c>
      <c r="C405" s="2" t="n">
        <v>8.67648965245878E-011</v>
      </c>
      <c r="D405" s="2" t="n">
        <v>0</v>
      </c>
      <c r="E405" s="2" t="n">
        <v>0</v>
      </c>
    </row>
    <row r="406" customFormat="false" ht="13.8" hidden="false" customHeight="false" outlineLevel="0" collapsed="false">
      <c r="B406" s="2" t="n">
        <v>404</v>
      </c>
      <c r="C406" s="2" t="n">
        <v>8.67619392059439E-011</v>
      </c>
      <c r="D406" s="2" t="n">
        <v>0</v>
      </c>
      <c r="E406" s="2" t="n">
        <v>0</v>
      </c>
    </row>
    <row r="407" customFormat="false" ht="13.8" hidden="false" customHeight="false" outlineLevel="0" collapsed="false">
      <c r="B407" s="2" t="n">
        <v>405</v>
      </c>
      <c r="C407" s="2" t="n">
        <v>0</v>
      </c>
      <c r="D407" s="2" t="n">
        <v>0</v>
      </c>
      <c r="E407" s="2" t="n">
        <v>0</v>
      </c>
    </row>
    <row r="408" customFormat="false" ht="13.8" hidden="false" customHeight="false" outlineLevel="0" collapsed="false">
      <c r="B408" s="2" t="n">
        <v>406</v>
      </c>
      <c r="C408" s="2" t="n">
        <v>0</v>
      </c>
      <c r="D408" s="2" t="n">
        <v>0</v>
      </c>
      <c r="E408" s="2" t="n">
        <v>0</v>
      </c>
    </row>
    <row r="409" customFormat="false" ht="13.8" hidden="false" customHeight="false" outlineLevel="0" collapsed="false">
      <c r="B409" s="2" t="n">
        <v>407</v>
      </c>
      <c r="C409" s="2" t="n">
        <v>0</v>
      </c>
      <c r="D409" s="2" t="n">
        <v>0</v>
      </c>
      <c r="E409" s="2" t="n">
        <v>0</v>
      </c>
    </row>
    <row r="410" customFormat="false" ht="13.8" hidden="false" customHeight="false" outlineLevel="0" collapsed="false">
      <c r="B410" s="2" t="n">
        <v>408</v>
      </c>
      <c r="C410" s="2" t="n">
        <v>0</v>
      </c>
      <c r="D410" s="2" t="n">
        <v>0</v>
      </c>
      <c r="E410" s="2" t="n">
        <v>0</v>
      </c>
    </row>
    <row r="411" customFormat="false" ht="13.8" hidden="false" customHeight="false" outlineLevel="0" collapsed="false">
      <c r="B411" s="2" t="n">
        <v>409</v>
      </c>
      <c r="C411" s="2" t="n">
        <v>0</v>
      </c>
      <c r="D411" s="2" t="n">
        <v>0</v>
      </c>
      <c r="E411" s="2" t="n">
        <v>0</v>
      </c>
    </row>
    <row r="412" customFormat="false" ht="13.8" hidden="false" customHeight="false" outlineLevel="0" collapsed="false">
      <c r="B412" s="2" t="n">
        <v>410</v>
      </c>
      <c r="C412" s="2" t="n">
        <v>0</v>
      </c>
      <c r="D412" s="2" t="n">
        <v>0</v>
      </c>
      <c r="E412" s="2" t="n">
        <v>0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6.03973736202242E-019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0.0108362919657231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0.0355835229671838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0.0551176516685442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7.11426116421843E-018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5.92855097001651E-018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5.92855097012467E-018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4.74284077594131E-018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4.74284077603744E-018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3.55713058188047E-018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2.56946360895407E-013</v>
      </c>
      <c r="E424" s="2" t="n">
        <v>3.55713058196059E-018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0</v>
      </c>
      <c r="E425" s="2" t="n">
        <v>3.55713058206144E-018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2.37142038790254E-018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3.55713058236878E-018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3.09104774366627E-012</v>
      </c>
      <c r="E428" s="2" t="n">
        <v>2.37142038809261E-018</v>
      </c>
    </row>
    <row r="429" customFormat="false" ht="13.8" hidden="false" customHeight="false" outlineLevel="0" collapsed="false">
      <c r="B429" s="2" t="n">
        <v>427</v>
      </c>
      <c r="C429" s="2" t="n">
        <v>3.10583624623719E-012</v>
      </c>
      <c r="D429" s="2" t="n">
        <v>0</v>
      </c>
      <c r="E429" s="2" t="n">
        <v>2.3714203882641E-018</v>
      </c>
    </row>
    <row r="430" customFormat="false" ht="13.8" hidden="false" customHeight="false" outlineLevel="0" collapsed="false">
      <c r="B430" s="2" t="n">
        <v>428</v>
      </c>
      <c r="C430" s="2" t="n">
        <v>2.1526591573768E-012</v>
      </c>
      <c r="D430" s="2" t="n">
        <v>6.76450584546511E-019</v>
      </c>
      <c r="E430" s="2" t="n">
        <v>1.18571019400313E-018</v>
      </c>
    </row>
    <row r="431" customFormat="false" ht="13.8" hidden="false" customHeight="false" outlineLevel="0" collapsed="false">
      <c r="B431" s="2" t="n">
        <v>429</v>
      </c>
      <c r="C431" s="2" t="n">
        <v>0.033406492610753</v>
      </c>
      <c r="D431" s="2" t="n">
        <v>0.307350179753205</v>
      </c>
      <c r="E431" s="2" t="n">
        <v>1.18571019416335E-018</v>
      </c>
    </row>
    <row r="432" customFormat="false" ht="13.8" hidden="false" customHeight="false" outlineLevel="0" collapsed="false">
      <c r="B432" s="2" t="n">
        <v>430</v>
      </c>
      <c r="C432" s="2" t="n">
        <v>0.354666058954604</v>
      </c>
      <c r="D432" s="2" t="n">
        <v>0.360290324985577</v>
      </c>
      <c r="E432" s="2" t="n">
        <v>0.00635572106556085</v>
      </c>
    </row>
    <row r="433" customFormat="false" ht="13.8" hidden="false" customHeight="false" outlineLevel="0" collapsed="false">
      <c r="B433" s="2" t="n">
        <v>431</v>
      </c>
      <c r="C433" s="2" t="n">
        <v>0.327310997595339</v>
      </c>
      <c r="D433" s="2" t="n">
        <v>0.368999007351983</v>
      </c>
      <c r="E433" s="2" t="n">
        <v>0.213511506565934</v>
      </c>
    </row>
    <row r="434" customFormat="false" ht="13.8" hidden="false" customHeight="false" outlineLevel="0" collapsed="false">
      <c r="B434" s="2" t="n">
        <v>432</v>
      </c>
      <c r="C434" s="2" t="n">
        <v>0.375839052945221</v>
      </c>
      <c r="D434" s="2" t="n">
        <v>0.377707689766951</v>
      </c>
      <c r="E434" s="2" t="n">
        <v>0.218536977138511</v>
      </c>
    </row>
    <row r="435" customFormat="false" ht="13.8" hidden="false" customHeight="false" outlineLevel="0" collapsed="false">
      <c r="B435" s="2" t="n">
        <v>433</v>
      </c>
      <c r="C435" s="2" t="n">
        <v>0.371250041599654</v>
      </c>
      <c r="D435" s="2" t="n">
        <v>0.386416372147056</v>
      </c>
      <c r="E435" s="2" t="n">
        <v>0.196581681350121</v>
      </c>
    </row>
    <row r="436" customFormat="false" ht="13.8" hidden="false" customHeight="false" outlineLevel="0" collapsed="false">
      <c r="B436" s="2" t="n">
        <v>434</v>
      </c>
      <c r="C436" s="2" t="n">
        <v>0.360291095456029</v>
      </c>
      <c r="D436" s="2" t="n">
        <v>0.383454671712034</v>
      </c>
      <c r="E436" s="2" t="n">
        <v>0.1818661163819</v>
      </c>
    </row>
    <row r="437" customFormat="false" ht="13.8" hidden="false" customHeight="false" outlineLevel="0" collapsed="false">
      <c r="B437" s="2" t="n">
        <v>435</v>
      </c>
      <c r="C437" s="2" t="n">
        <v>0.352015282645753</v>
      </c>
      <c r="D437" s="2" t="n">
        <v>0.380492971277027</v>
      </c>
      <c r="E437" s="2" t="n">
        <v>0.193150551413679</v>
      </c>
    </row>
    <row r="438" customFormat="false" ht="13.8" hidden="false" customHeight="false" outlineLevel="0" collapsed="false">
      <c r="B438" s="2" t="n">
        <v>436</v>
      </c>
      <c r="C438" s="2" t="n">
        <v>0.362889719835243</v>
      </c>
      <c r="D438" s="2" t="n">
        <v>0.377531270841787</v>
      </c>
      <c r="E438" s="2" t="n">
        <v>0.178434986445458</v>
      </c>
    </row>
    <row r="439" customFormat="false" ht="13.8" hidden="false" customHeight="false" outlineLevel="0" collapsed="false">
      <c r="B439" s="2" t="n">
        <v>437</v>
      </c>
      <c r="C439" s="2" t="n">
        <v>0.346564323691206</v>
      </c>
      <c r="D439" s="2" t="n">
        <v>0.374569570406355</v>
      </c>
      <c r="E439" s="2" t="n">
        <v>0.189719421477238</v>
      </c>
    </row>
    <row r="440" customFormat="false" ht="13.8" hidden="false" customHeight="false" outlineLevel="0" collapsed="false">
      <c r="B440" s="2" t="n">
        <v>438</v>
      </c>
      <c r="C440" s="2" t="n">
        <v>0.283692198820474</v>
      </c>
      <c r="D440" s="2" t="n">
        <v>0.307589164368667</v>
      </c>
      <c r="E440" s="2" t="n">
        <v>0.10554726009018</v>
      </c>
    </row>
    <row r="441" customFormat="false" ht="13.8" hidden="false" customHeight="false" outlineLevel="0" collapsed="false">
      <c r="B441" s="2" t="n">
        <v>439</v>
      </c>
      <c r="C441" s="2" t="n">
        <v>0.194554307256133</v>
      </c>
      <c r="D441" s="2" t="n">
        <v>0.240608758296374</v>
      </c>
      <c r="E441" s="2" t="n">
        <v>0.066602624551464</v>
      </c>
    </row>
    <row r="442" customFormat="false" ht="13.8" hidden="false" customHeight="false" outlineLevel="0" collapsed="false">
      <c r="B442" s="2" t="n">
        <v>440</v>
      </c>
      <c r="C442" s="2" t="n">
        <v>0.133948649093801</v>
      </c>
      <c r="D442" s="2" t="n">
        <v>0.173628352299634</v>
      </c>
      <c r="E442" s="2" t="n">
        <v>0.0289005617088657</v>
      </c>
    </row>
    <row r="443" customFormat="false" ht="13.8" hidden="false" customHeight="false" outlineLevel="0" collapsed="false">
      <c r="B443" s="2" t="n">
        <v>441</v>
      </c>
      <c r="C443" s="2" t="n">
        <v>0.043993390931469</v>
      </c>
      <c r="D443" s="2" t="n">
        <v>0.106647946305193</v>
      </c>
      <c r="E443" s="2" t="n">
        <v>0.014594431644769</v>
      </c>
    </row>
    <row r="444" customFormat="false" ht="13.8" hidden="false" customHeight="false" outlineLevel="0" collapsed="false">
      <c r="B444" s="2" t="n">
        <v>442</v>
      </c>
      <c r="C444" s="2" t="n">
        <v>0.0691528530346396</v>
      </c>
      <c r="D444" s="2" t="n">
        <v>0.117492367530797</v>
      </c>
      <c r="E444" s="2" t="n">
        <v>0.0120966141999952</v>
      </c>
    </row>
    <row r="445" customFormat="false" ht="13.8" hidden="false" customHeight="false" outlineLevel="0" collapsed="false">
      <c r="B445" s="2" t="n">
        <v>443</v>
      </c>
      <c r="C445" s="2" t="n">
        <v>0.0767790318044768</v>
      </c>
      <c r="D445" s="2" t="n">
        <v>0.128336788758699</v>
      </c>
      <c r="E445" s="2" t="n">
        <v>0.0193838737611481</v>
      </c>
    </row>
    <row r="446" customFormat="false" ht="13.8" hidden="false" customHeight="false" outlineLevel="0" collapsed="false">
      <c r="B446" s="2" t="n">
        <v>444</v>
      </c>
      <c r="C446" s="2" t="n">
        <v>0.115688643907647</v>
      </c>
      <c r="D446" s="2" t="n">
        <v>0.139181209986601</v>
      </c>
      <c r="E446" s="2" t="n">
        <v>0.0424304930488321</v>
      </c>
    </row>
    <row r="447" customFormat="false" ht="13.8" hidden="false" customHeight="false" outlineLevel="0" collapsed="false">
      <c r="B447" s="2" t="n">
        <v>445</v>
      </c>
      <c r="C447" s="2" t="n">
        <v>0.0777818893441513</v>
      </c>
      <c r="D447" s="2" t="n">
        <v>0.150025631214503</v>
      </c>
      <c r="E447" s="2" t="n">
        <v>0.0369023460346211</v>
      </c>
    </row>
    <row r="448" customFormat="false" ht="13.8" hidden="false" customHeight="false" outlineLevel="0" collapsed="false">
      <c r="B448" s="2" t="n">
        <v>446</v>
      </c>
      <c r="C448" s="2" t="n">
        <v>0.108722184929192</v>
      </c>
      <c r="D448" s="2" t="n">
        <v>0.136687287135817</v>
      </c>
      <c r="E448" s="2" t="n">
        <v>0.0616761103022911</v>
      </c>
    </row>
    <row r="449" customFormat="false" ht="13.8" hidden="false" customHeight="false" outlineLevel="0" collapsed="false">
      <c r="B449" s="2" t="n">
        <v>447</v>
      </c>
      <c r="C449" s="2" t="n">
        <v>0.0474127305142337</v>
      </c>
      <c r="D449" s="2" t="n">
        <v>0.12334894305713</v>
      </c>
      <c r="E449" s="2" t="n">
        <v>0.0214498745699612</v>
      </c>
    </row>
    <row r="450" customFormat="false" ht="13.8" hidden="false" customHeight="false" outlineLevel="0" collapsed="false">
      <c r="B450" s="2" t="n">
        <v>448</v>
      </c>
      <c r="C450" s="2" t="n">
        <v>0.0914363427659415</v>
      </c>
      <c r="D450" s="2" t="n">
        <v>0.110010598978443</v>
      </c>
      <c r="E450" s="2" t="n">
        <v>0.0462236388376312</v>
      </c>
    </row>
    <row r="451" customFormat="false" ht="13.8" hidden="false" customHeight="false" outlineLevel="0" collapsed="false">
      <c r="B451" s="2" t="n">
        <v>449</v>
      </c>
      <c r="C451" s="2" t="n">
        <v>0.0172935216843161</v>
      </c>
      <c r="D451" s="2" t="n">
        <v>0.0966722548997563</v>
      </c>
      <c r="E451" s="2" t="n">
        <v>0.00599740310530119</v>
      </c>
    </row>
    <row r="452" customFormat="false" ht="13.8" hidden="false" customHeight="false" outlineLevel="0" collapsed="false">
      <c r="B452" s="2" t="n">
        <v>450</v>
      </c>
      <c r="C452" s="2" t="n">
        <v>0.0429451508572227</v>
      </c>
      <c r="D452" s="2" t="n">
        <v>0.0847840213747144</v>
      </c>
      <c r="E452" s="2" t="n">
        <v>0.0316111439029884</v>
      </c>
    </row>
    <row r="453" customFormat="false" ht="13.8" hidden="false" customHeight="false" outlineLevel="0" collapsed="false">
      <c r="B453" s="2" t="n">
        <v>451</v>
      </c>
      <c r="C453" s="2" t="n">
        <v>0</v>
      </c>
      <c r="D453" s="2" t="n">
        <v>0.0467177359138099</v>
      </c>
      <c r="E453" s="2" t="n">
        <v>0</v>
      </c>
    </row>
    <row r="454" customFormat="false" ht="13.8" hidden="false" customHeight="false" outlineLevel="0" collapsed="false">
      <c r="B454" s="2" t="n">
        <v>452</v>
      </c>
      <c r="C454" s="2" t="n">
        <v>0.0237487592030359</v>
      </c>
      <c r="D454" s="2" t="n">
        <v>0.0610075543246305</v>
      </c>
      <c r="E454" s="2" t="n">
        <v>0.0178386254983639</v>
      </c>
    </row>
    <row r="455" customFormat="false" ht="13.8" hidden="false" customHeight="false" outlineLevel="0" collapsed="false">
      <c r="B455" s="2" t="n">
        <v>453</v>
      </c>
      <c r="C455" s="2" t="n">
        <v>1.14664769372547E-017</v>
      </c>
      <c r="D455" s="2" t="n">
        <v>0</v>
      </c>
      <c r="E455" s="2" t="n">
        <v>3.09012554222677E-017</v>
      </c>
    </row>
    <row r="456" customFormat="false" ht="13.8" hidden="false" customHeight="false" outlineLevel="0" collapsed="false">
      <c r="B456" s="2" t="n">
        <v>454</v>
      </c>
      <c r="C456" s="2" t="n">
        <v>8.42139690238725E-005</v>
      </c>
      <c r="D456" s="2" t="n">
        <v>0.029905187038727</v>
      </c>
      <c r="E456" s="2" t="n">
        <v>3.98121323701106E-005</v>
      </c>
    </row>
    <row r="457" customFormat="false" ht="13.8" hidden="false" customHeight="false" outlineLevel="0" collapsed="false">
      <c r="B457" s="2" t="n">
        <v>455</v>
      </c>
      <c r="C457" s="2" t="n">
        <v>9.42064877817951E-017</v>
      </c>
      <c r="D457" s="2" t="n">
        <v>8.03851681849344E-016</v>
      </c>
      <c r="E457" s="2" t="n">
        <v>1.71270417537706E-015</v>
      </c>
    </row>
    <row r="458" customFormat="false" ht="13.8" hidden="false" customHeight="false" outlineLevel="0" collapsed="false">
      <c r="B458" s="2" t="n">
        <v>456</v>
      </c>
      <c r="C458" s="2" t="n">
        <v>4.86279531364763E-017</v>
      </c>
      <c r="D458" s="2" t="n">
        <v>8.49174334905646E-016</v>
      </c>
      <c r="E458" s="2" t="n">
        <v>1.74697885181977E-015</v>
      </c>
    </row>
    <row r="459" customFormat="false" ht="13.8" hidden="false" customHeight="false" outlineLevel="0" collapsed="false">
      <c r="B459" s="2" t="n">
        <v>457</v>
      </c>
      <c r="C459" s="2" t="n">
        <v>5.20128298738624E-017</v>
      </c>
      <c r="D459" s="2" t="n">
        <v>1.85573809207434E-015</v>
      </c>
      <c r="E459" s="2" t="n">
        <v>1.74606355037706E-015</v>
      </c>
    </row>
    <row r="460" customFormat="false" ht="13.8" hidden="false" customHeight="false" outlineLevel="0" collapsed="false">
      <c r="B460" s="2" t="n">
        <v>458</v>
      </c>
      <c r="C460" s="2" t="n">
        <v>5.20128298738624E-017</v>
      </c>
      <c r="D460" s="2" t="n">
        <v>1.78375888967589E-015</v>
      </c>
      <c r="E460" s="2" t="n">
        <v>1.76448537116938E-015</v>
      </c>
    </row>
    <row r="461" customFormat="false" ht="13.8" hidden="false" customHeight="false" outlineLevel="0" collapsed="false">
      <c r="B461" s="2" t="n">
        <v>459</v>
      </c>
      <c r="C461" s="2" t="n">
        <v>8.95151993438887E-017</v>
      </c>
      <c r="D461" s="2" t="n">
        <v>1.6588843233374E-015</v>
      </c>
      <c r="E461" s="2" t="n">
        <v>1.75843335097667E-015</v>
      </c>
    </row>
    <row r="462" customFormat="false" ht="13.8" hidden="false" customHeight="false" outlineLevel="0" collapsed="false">
      <c r="B462" s="2" t="n">
        <v>460</v>
      </c>
      <c r="C462" s="2" t="n">
        <v>8.95151993438887E-017</v>
      </c>
      <c r="D462" s="2" t="n">
        <v>1.8067950954467E-015</v>
      </c>
      <c r="E462" s="2" t="n">
        <v>1.75862866347667E-015</v>
      </c>
    </row>
    <row r="463" customFormat="false" ht="13.8" hidden="false" customHeight="false" outlineLevel="0" collapsed="false">
      <c r="B463" s="2" t="n">
        <v>461</v>
      </c>
      <c r="C463" s="2" t="n">
        <v>1.14254800543109E-016</v>
      </c>
      <c r="D463" s="2" t="n">
        <v>1.71099843727745E-015</v>
      </c>
      <c r="E463" s="2" t="n">
        <v>1.76425366347667E-015</v>
      </c>
    </row>
    <row r="464" customFormat="false" ht="13.8" hidden="false" customHeight="false" outlineLevel="0" collapsed="false">
      <c r="B464" s="2" t="n">
        <v>462</v>
      </c>
      <c r="C464" s="2" t="n">
        <v>8.81977435730825E-017</v>
      </c>
      <c r="D464" s="2" t="n">
        <v>1.78375888967589E-015</v>
      </c>
      <c r="E464" s="2" t="n">
        <v>1.7950452848686E-015</v>
      </c>
    </row>
    <row r="465" customFormat="false" ht="13.8" hidden="false" customHeight="false" outlineLevel="0" collapsed="false">
      <c r="B465" s="2" t="n">
        <v>463</v>
      </c>
      <c r="C465" s="2" t="n">
        <v>7.82651993438887E-017</v>
      </c>
      <c r="D465" s="2" t="n">
        <v>1.7846857204467E-015</v>
      </c>
      <c r="E465" s="2" t="n">
        <v>1.72872747766286E-015</v>
      </c>
    </row>
    <row r="466" customFormat="false" ht="13.8" hidden="false" customHeight="false" outlineLevel="0" collapsed="false">
      <c r="B466" s="2" t="n">
        <v>464</v>
      </c>
      <c r="C466" s="2" t="n">
        <v>8.95151993438887E-017</v>
      </c>
      <c r="D466" s="2" t="n">
        <v>1.75862866347667E-015</v>
      </c>
      <c r="E466" s="2" t="n">
        <v>1.74109727826247E-015</v>
      </c>
    </row>
    <row r="467" customFormat="false" ht="13.8" hidden="false" customHeight="false" outlineLevel="0" collapsed="false">
      <c r="B467" s="2" t="n">
        <v>465</v>
      </c>
      <c r="C467" s="2" t="n">
        <v>1.67547469454486E-017</v>
      </c>
      <c r="D467" s="2" t="n">
        <v>1.72224843727745E-015</v>
      </c>
      <c r="E467" s="2" t="n">
        <v>1.8010973050613E-015</v>
      </c>
    </row>
    <row r="468" customFormat="false" ht="13.8" hidden="false" customHeight="false" outlineLevel="0" collapsed="false">
      <c r="B468" s="2" t="n">
        <v>466</v>
      </c>
      <c r="C468" s="2" t="n">
        <v>1.12937344772303E-016</v>
      </c>
      <c r="D468" s="2" t="n">
        <v>1.79500888967589E-015</v>
      </c>
      <c r="E468" s="2" t="n">
        <v>1.75890919929438E-015</v>
      </c>
    </row>
    <row r="469" customFormat="false" ht="13.8" hidden="false" customHeight="false" outlineLevel="0" collapsed="false">
      <c r="B469" s="2" t="n">
        <v>467</v>
      </c>
      <c r="C469" s="2" t="n">
        <v>8.95151993438887E-017</v>
      </c>
      <c r="D469" s="2" t="n">
        <v>1.72224843727745E-015</v>
      </c>
      <c r="E469" s="2" t="n">
        <v>1.7644518583087E-015</v>
      </c>
    </row>
    <row r="470" customFormat="false" ht="13.8" hidden="false" customHeight="false" outlineLevel="0" collapsed="false">
      <c r="B470" s="2" t="n">
        <v>468</v>
      </c>
      <c r="C470" s="2" t="n">
        <v>1.12937344772303E-016</v>
      </c>
      <c r="D470" s="2" t="n">
        <v>1.75994611924748E-015</v>
      </c>
      <c r="E470" s="2" t="n">
        <v>1.74639291431977E-015</v>
      </c>
    </row>
    <row r="471" customFormat="false" ht="13.8" hidden="false" customHeight="false" outlineLevel="0" collapsed="false">
      <c r="B471" s="2" t="n">
        <v>469</v>
      </c>
      <c r="C471" s="2" t="n">
        <v>8.81977435730825E-017</v>
      </c>
      <c r="D471" s="2" t="n">
        <v>1.75994611924748E-015</v>
      </c>
      <c r="E471" s="2" t="n">
        <v>1.76453419929438E-015</v>
      </c>
    </row>
    <row r="472" customFormat="false" ht="13.8" hidden="false" customHeight="false" outlineLevel="0" collapsed="false">
      <c r="B472" s="2" t="n">
        <v>470</v>
      </c>
      <c r="C472" s="2" t="n">
        <v>8.95151993438887E-017</v>
      </c>
      <c r="D472" s="2" t="n">
        <v>1.75862866347667E-015</v>
      </c>
      <c r="E472" s="2" t="n">
        <v>1.76481473511208E-015</v>
      </c>
    </row>
    <row r="473" customFormat="false" ht="13.8" hidden="false" customHeight="false" outlineLevel="0" collapsed="false">
      <c r="B473" s="2" t="n">
        <v>471</v>
      </c>
      <c r="C473" s="2" t="n">
        <v>5.18175173738624E-017</v>
      </c>
      <c r="D473" s="2" t="n">
        <v>1.7950088896759E-015</v>
      </c>
      <c r="E473" s="2" t="n">
        <v>1.76453419929438E-015</v>
      </c>
    </row>
    <row r="474" customFormat="false" ht="13.8" hidden="false" customHeight="false" outlineLevel="0" collapsed="false">
      <c r="B474" s="2" t="n">
        <v>472</v>
      </c>
      <c r="C474" s="2" t="n">
        <v>2.57676999569183E-016</v>
      </c>
      <c r="D474" s="2" t="n">
        <v>1.75862866347667E-015</v>
      </c>
      <c r="E474" s="2" t="n">
        <v>1.74639291431977E-015</v>
      </c>
    </row>
    <row r="475" customFormat="false" ht="13.8" hidden="false" customHeight="false" outlineLevel="0" collapsed="false">
      <c r="B475" s="2" t="n">
        <v>473</v>
      </c>
      <c r="C475" s="2" t="n">
        <v>5.18175173738624E-017</v>
      </c>
      <c r="D475" s="2" t="n">
        <v>1.75862866347667E-015</v>
      </c>
      <c r="E475" s="2" t="n">
        <v>1.78262665614399E-015</v>
      </c>
    </row>
    <row r="476" customFormat="false" ht="13.8" hidden="false" customHeight="false" outlineLevel="0" collapsed="false">
      <c r="B476" s="2" t="n">
        <v>474</v>
      </c>
      <c r="C476" s="2" t="n">
        <v>7.69477435730824E-017</v>
      </c>
      <c r="D476" s="2" t="n">
        <v>1.75862866347667E-015</v>
      </c>
      <c r="E476" s="2" t="n">
        <v>1.76481473511208E-015</v>
      </c>
    </row>
    <row r="477" customFormat="false" ht="13.8" hidden="false" customHeight="false" outlineLevel="0" collapsed="false">
      <c r="B477" s="2" t="n">
        <v>475</v>
      </c>
      <c r="C477" s="2" t="n">
        <v>7.80698868438887E-017</v>
      </c>
      <c r="D477" s="2" t="n">
        <v>1.72224843727745E-015</v>
      </c>
      <c r="E477" s="2" t="n">
        <v>1.75896712621755E-015</v>
      </c>
    </row>
    <row r="478" customFormat="false" ht="13.8" hidden="false" customHeight="false" outlineLevel="0" collapsed="false">
      <c r="B478" s="2" t="n">
        <v>476</v>
      </c>
      <c r="C478" s="2" t="n">
        <v>1.01226272058096E-016</v>
      </c>
      <c r="D478" s="2" t="n">
        <v>1.75862866347667E-015</v>
      </c>
      <c r="E478" s="2" t="n">
        <v>1.77704107102624E-015</v>
      </c>
    </row>
    <row r="479" customFormat="false" ht="13.8" hidden="false" customHeight="false" outlineLevel="0" collapsed="false">
      <c r="B479" s="2" t="n">
        <v>477</v>
      </c>
      <c r="C479" s="2" t="n">
        <v>1.06619564365394E-016</v>
      </c>
      <c r="D479" s="2" t="n">
        <v>1.73349843727745E-015</v>
      </c>
      <c r="E479" s="2" t="n">
        <v>1.71053736456325E-015</v>
      </c>
    </row>
    <row r="480" customFormat="false" ht="13.8" hidden="false" customHeight="false" outlineLevel="0" collapsed="false">
      <c r="B480" s="2" t="n">
        <v>478</v>
      </c>
      <c r="C480" s="2" t="n">
        <v>8.36948868438887E-017</v>
      </c>
      <c r="D480" s="2" t="n">
        <v>1.75862866347667E-015</v>
      </c>
      <c r="E480" s="2" t="n">
        <v>1.74650804758311E-015</v>
      </c>
    </row>
    <row r="481" customFormat="false" ht="13.8" hidden="false" customHeight="false" outlineLevel="0" collapsed="false">
      <c r="B481" s="2" t="n">
        <v>479</v>
      </c>
      <c r="C481" s="2" t="n">
        <v>7.06663583588756E-017</v>
      </c>
      <c r="D481" s="2" t="n">
        <v>1.75862866347667E-015</v>
      </c>
      <c r="E481" s="2" t="n">
        <v>1.77728219196169E-015</v>
      </c>
    </row>
    <row r="482" customFormat="false" ht="13.8" hidden="false" customHeight="false" outlineLevel="0" collapsed="false">
      <c r="B482" s="2" t="n">
        <v>480</v>
      </c>
      <c r="C482" s="2" t="n">
        <v>8.8478279390784E-017</v>
      </c>
      <c r="D482" s="2" t="n">
        <v>1.72224843727745E-015</v>
      </c>
      <c r="E482" s="2" t="n">
        <v>1.77711296059125E-015</v>
      </c>
    </row>
    <row r="483" customFormat="false" ht="13.8" hidden="false" customHeight="false" outlineLevel="0" collapsed="false">
      <c r="B483" s="2" t="n">
        <v>481</v>
      </c>
      <c r="C483" s="2" t="n">
        <v>8.8478279390784E-017</v>
      </c>
      <c r="D483" s="2" t="n">
        <v>1.8062588896759E-015</v>
      </c>
      <c r="E483" s="2" t="n">
        <v>1.75898370734016E-015</v>
      </c>
    </row>
    <row r="484" customFormat="false" ht="13.8" hidden="false" customHeight="false" outlineLevel="0" collapsed="false">
      <c r="B484" s="2" t="n">
        <v>482</v>
      </c>
      <c r="C484" s="2" t="n">
        <v>8.86611589584856E-017</v>
      </c>
      <c r="D484" s="2" t="n">
        <v>1.76425366347667E-015</v>
      </c>
      <c r="E484" s="2" t="n">
        <v>1.75899800408718E-015</v>
      </c>
    </row>
    <row r="485" customFormat="false" ht="13.8" hidden="false" customHeight="false" outlineLevel="0" collapsed="false">
      <c r="B485" s="2" t="n">
        <v>483</v>
      </c>
      <c r="C485" s="2" t="n">
        <v>8.38901993438887E-017</v>
      </c>
      <c r="D485" s="2" t="n">
        <v>1.74606355037706E-015</v>
      </c>
      <c r="E485" s="2" t="n">
        <v>1.75918973511208E-015</v>
      </c>
    </row>
    <row r="486" customFormat="false" ht="13.8" hidden="false" customHeight="false" outlineLevel="0" collapsed="false">
      <c r="B486" s="2" t="n">
        <v>484</v>
      </c>
      <c r="C486" s="2" t="n">
        <v>1.19221072657706E-016</v>
      </c>
      <c r="D486" s="2" t="n">
        <v>1.74606355037706E-015</v>
      </c>
      <c r="E486" s="2" t="n">
        <v>1.75918973511208E-015</v>
      </c>
    </row>
    <row r="487" customFormat="false" ht="13.8" hidden="false" customHeight="false" outlineLevel="0" collapsed="false">
      <c r="B487" s="2" t="n">
        <v>485</v>
      </c>
      <c r="C487" s="2" t="n">
        <v>8.23774310730825E-017</v>
      </c>
      <c r="D487" s="2" t="n">
        <v>1.76425366347667E-015</v>
      </c>
      <c r="E487" s="2" t="n">
        <v>1.74660642441612E-015</v>
      </c>
    </row>
    <row r="488" customFormat="false" ht="13.8" hidden="false" customHeight="false" outlineLevel="0" collapsed="false">
      <c r="B488" s="2" t="n">
        <v>486</v>
      </c>
      <c r="C488" s="2" t="n">
        <v>1.01323928308096E-016</v>
      </c>
      <c r="D488" s="2" t="n">
        <v>1.74606355037706E-015</v>
      </c>
      <c r="E488" s="2" t="n">
        <v>1.74705164220517E-015</v>
      </c>
    </row>
    <row r="489" customFormat="false" ht="13.8" hidden="false" customHeight="false" outlineLevel="0" collapsed="false">
      <c r="B489" s="2" t="n">
        <v>487</v>
      </c>
      <c r="C489" s="2" t="n">
        <v>1.00994564365394E-016</v>
      </c>
      <c r="D489" s="2" t="n">
        <v>1.76425366347667E-015</v>
      </c>
      <c r="E489" s="2" t="n">
        <v>1.78279133811534E-015</v>
      </c>
    </row>
    <row r="490" customFormat="false" ht="13.8" hidden="false" customHeight="false" outlineLevel="0" collapsed="false">
      <c r="B490" s="2" t="n">
        <v>488</v>
      </c>
      <c r="C490" s="2" t="n">
        <v>8.8478279390784E-017</v>
      </c>
      <c r="D490" s="2" t="n">
        <v>1.74606355037706E-015</v>
      </c>
      <c r="E490" s="2" t="n">
        <v>1.74672227826247E-015</v>
      </c>
    </row>
    <row r="491" customFormat="false" ht="13.8" hidden="false" customHeight="false" outlineLevel="0" collapsed="false">
      <c r="B491" s="2" t="n">
        <v>489</v>
      </c>
      <c r="C491" s="2" t="n">
        <v>8.81977435730825E-017</v>
      </c>
      <c r="D491" s="2" t="n">
        <v>1.76425366347667E-015</v>
      </c>
      <c r="E491" s="2" t="n">
        <v>1.76188638126573E-015</v>
      </c>
    </row>
    <row r="492" customFormat="false" ht="13.8" hidden="false" customHeight="false" outlineLevel="0" collapsed="false">
      <c r="B492" s="2" t="n">
        <v>490</v>
      </c>
      <c r="C492" s="2" t="n">
        <v>8.83135974194332E-017</v>
      </c>
      <c r="D492" s="2" t="n">
        <v>1.74606355037706E-015</v>
      </c>
      <c r="E492" s="2" t="n">
        <v>1.75604904250497E-015</v>
      </c>
    </row>
    <row r="493" customFormat="false" ht="13.8" hidden="false" customHeight="false" outlineLevel="0" collapsed="false">
      <c r="B493" s="2" t="n">
        <v>491</v>
      </c>
      <c r="C493" s="2" t="n">
        <v>7.26425420150849E-017</v>
      </c>
      <c r="D493" s="2" t="n">
        <v>1.75366356269768E-015</v>
      </c>
      <c r="E493" s="2" t="n">
        <v>0</v>
      </c>
    </row>
    <row r="494" customFormat="false" ht="13.8" hidden="false" customHeight="false" outlineLevel="0" collapsed="false">
      <c r="B494" s="2" t="n">
        <v>492</v>
      </c>
      <c r="C494" s="2" t="n">
        <v>1.01110418211745E-016</v>
      </c>
      <c r="D494" s="2" t="n">
        <v>1.76425366347667E-015</v>
      </c>
      <c r="E494" s="2" t="n">
        <v>0</v>
      </c>
    </row>
    <row r="495" customFormat="false" ht="13.8" hidden="false" customHeight="false" outlineLevel="0" collapsed="false">
      <c r="B495" s="2" t="n">
        <v>493</v>
      </c>
      <c r="C495" s="2" t="n">
        <v>1.00452699343889E-016</v>
      </c>
      <c r="D495" s="2" t="n">
        <v>1.77963127657628E-015</v>
      </c>
      <c r="E495" s="2" t="n">
        <v>1.76367999659092E-015</v>
      </c>
    </row>
    <row r="496" customFormat="false" ht="13.8" hidden="false" customHeight="false" outlineLevel="0" collapsed="false">
      <c r="B496" s="2" t="n">
        <v>494</v>
      </c>
      <c r="C496" s="2" t="n">
        <v>9.95986589584855E-017</v>
      </c>
      <c r="D496" s="2" t="n">
        <v>1.76105053847667E-015</v>
      </c>
      <c r="E496" s="2" t="n">
        <v>1.77326909905478E-015</v>
      </c>
    </row>
    <row r="497" customFormat="false" ht="13.8" hidden="false" customHeight="false" outlineLevel="0" collapsed="false">
      <c r="B497" s="2" t="n">
        <v>495</v>
      </c>
      <c r="C497" s="2" t="n">
        <v>9.63227435730824E-017</v>
      </c>
      <c r="D497" s="2" t="n">
        <v>1.75459039346848E-015</v>
      </c>
      <c r="E497" s="2" t="n">
        <v>1.76639484034092E-015</v>
      </c>
    </row>
    <row r="498" customFormat="false" ht="13.8" hidden="false" customHeight="false" outlineLevel="0" collapsed="false">
      <c r="B498" s="2" t="n">
        <v>496</v>
      </c>
      <c r="C498" s="2" t="n">
        <v>9.61274310730824E-017</v>
      </c>
      <c r="D498" s="2" t="n">
        <v>1.75234610692687E-015</v>
      </c>
      <c r="E498" s="2" t="n">
        <v>1.78226649935458E-015</v>
      </c>
    </row>
    <row r="499" customFormat="false" ht="13.8" hidden="false" customHeight="false" outlineLevel="0" collapsed="false">
      <c r="B499" s="2" t="n">
        <v>497</v>
      </c>
      <c r="C499" s="2" t="n">
        <v>1.05417800122887E-016</v>
      </c>
      <c r="D499" s="2" t="n">
        <v>1.75375235692687E-015</v>
      </c>
      <c r="E499" s="2" t="n">
        <v>1.77267739689073E-015</v>
      </c>
    </row>
    <row r="500" customFormat="false" ht="13.8" hidden="false" customHeight="false" outlineLevel="0" collapsed="false">
      <c r="B500" s="2" t="n">
        <v>498</v>
      </c>
      <c r="C500" s="2" t="n">
        <v>1.20600100722497E-016</v>
      </c>
      <c r="D500" s="2" t="n">
        <v>1.74760326615197E-015</v>
      </c>
      <c r="E500" s="2" t="n">
        <v>1.77261037116938E-015</v>
      </c>
    </row>
    <row r="501" customFormat="false" ht="13.8" hidden="false" customHeight="false" outlineLevel="0" collapsed="false">
      <c r="B501" s="2" t="n">
        <v>499</v>
      </c>
      <c r="C501" s="2" t="n">
        <v>9.35102435730824E-017</v>
      </c>
      <c r="D501" s="2" t="n">
        <v>1.74940014115197E-015</v>
      </c>
      <c r="E501" s="2" t="n">
        <v>1.77277505314073E-015</v>
      </c>
    </row>
    <row r="502" customFormat="false" ht="13.8" hidden="false" customHeight="false" outlineLevel="0" collapsed="false">
      <c r="B502" s="2" t="n">
        <v>500</v>
      </c>
      <c r="C502" s="2" t="n">
        <v>9.68838152084855E-017</v>
      </c>
      <c r="D502" s="2" t="n">
        <v>1.77242822118474E-015</v>
      </c>
      <c r="E502" s="2" t="n">
        <v>1.76665717856227E-015</v>
      </c>
    </row>
    <row r="503" customFormat="false" ht="13.8" hidden="false" customHeight="false" outlineLevel="0" collapsed="false">
      <c r="B503" s="2" t="n">
        <v>501</v>
      </c>
      <c r="C503" s="2" t="n">
        <v>1.09157130893694E-016</v>
      </c>
      <c r="D503" s="2" t="n">
        <v>1.7592014886663E-015</v>
      </c>
      <c r="E503" s="2" t="n">
        <v>1.77277505314073E-015</v>
      </c>
    </row>
    <row r="504" customFormat="false" ht="13.8" hidden="false" customHeight="false" outlineLevel="0" collapsed="false">
      <c r="B504" s="2" t="n">
        <v>502</v>
      </c>
      <c r="C504" s="2" t="n">
        <v>2.54285068019378E-016</v>
      </c>
      <c r="D504" s="2" t="n">
        <v>1.7730139461617E-015</v>
      </c>
      <c r="E504" s="2" t="n">
        <v>2.55854444790819E-015</v>
      </c>
    </row>
    <row r="505" customFormat="false" ht="13.8" hidden="false" customHeight="false" outlineLevel="0" collapsed="false">
      <c r="B505" s="2" t="n">
        <v>503</v>
      </c>
      <c r="C505" s="2" t="n">
        <v>1.13899971668596E-016</v>
      </c>
      <c r="D505" s="2" t="n">
        <v>2.53035961921835E-015</v>
      </c>
      <c r="E505" s="2" t="n">
        <v>1.7666889013665E-015</v>
      </c>
    </row>
    <row r="506" customFormat="false" ht="13.8" hidden="false" customHeight="false" outlineLevel="0" collapsed="false">
      <c r="B506" s="2" t="n">
        <v>504</v>
      </c>
      <c r="C506" s="2" t="n">
        <v>9.49502716634759E-017</v>
      </c>
      <c r="D506" s="2" t="n">
        <v>1.91094007023504E-011</v>
      </c>
      <c r="E506" s="2" t="n">
        <v>1.75494684845412E-015</v>
      </c>
    </row>
    <row r="507" customFormat="false" ht="13.8" hidden="false" customHeight="false" outlineLevel="0" collapsed="false">
      <c r="B507" s="2" t="n">
        <v>505</v>
      </c>
      <c r="C507" s="2" t="n">
        <v>1.01260722826854E-016</v>
      </c>
      <c r="D507" s="2" t="n">
        <v>0</v>
      </c>
      <c r="E507" s="2" t="n">
        <v>1.75792312342376E-015</v>
      </c>
    </row>
    <row r="508" customFormat="false" ht="13.8" hidden="false" customHeight="false" outlineLevel="0" collapsed="false">
      <c r="B508" s="2" t="n">
        <v>506</v>
      </c>
      <c r="C508" s="2" t="n">
        <v>3.3635954719104E-016</v>
      </c>
      <c r="D508" s="2" t="n">
        <v>5.29688855285886E-017</v>
      </c>
      <c r="E508" s="2" t="n">
        <v>1.75813830058718E-015</v>
      </c>
    </row>
    <row r="509" customFormat="false" ht="13.8" hidden="false" customHeight="false" outlineLevel="0" collapsed="false">
      <c r="B509" s="2" t="n">
        <v>507</v>
      </c>
      <c r="C509" s="2" t="n">
        <v>9.53183366645E-017</v>
      </c>
      <c r="D509" s="2" t="n">
        <v>5.2962740619418E-017</v>
      </c>
      <c r="E509" s="2" t="n">
        <v>8.88607751056342E-016</v>
      </c>
    </row>
    <row r="510" customFormat="false" ht="13.8" hidden="false" customHeight="false" outlineLevel="0" collapsed="false">
      <c r="B510" s="2" t="n">
        <v>508</v>
      </c>
      <c r="C510" s="2" t="n">
        <v>9.10319936781378E-017</v>
      </c>
      <c r="D510" s="2" t="n">
        <v>5.29688855285886E-017</v>
      </c>
      <c r="E510" s="2" t="n">
        <v>1.75794298808718E-015</v>
      </c>
    </row>
    <row r="511" customFormat="false" ht="13.8" hidden="false" customHeight="false" outlineLevel="0" collapsed="false">
      <c r="B511" s="2" t="n">
        <v>509</v>
      </c>
      <c r="C511" s="2" t="n">
        <v>1.00087987727943E-016</v>
      </c>
      <c r="D511" s="2" t="n">
        <v>5.29688855285886E-017</v>
      </c>
      <c r="E511" s="2" t="n">
        <v>1.75820532630853E-015</v>
      </c>
    </row>
    <row r="512" customFormat="false" ht="13.8" hidden="false" customHeight="false" outlineLevel="0" collapsed="false">
      <c r="B512" s="2" t="n">
        <v>510</v>
      </c>
      <c r="C512" s="2" t="n">
        <v>1.05250151989158E-015</v>
      </c>
      <c r="D512" s="2" t="n">
        <v>1.02055317231536E-015</v>
      </c>
      <c r="E512" s="2" t="n">
        <v>1.74966824403737E-015</v>
      </c>
    </row>
    <row r="513" customFormat="false" ht="13.8" hidden="false" customHeight="false" outlineLevel="0" collapsed="false">
      <c r="B513" s="2" t="n">
        <v>511</v>
      </c>
      <c r="C513" s="2" t="n">
        <v>5.33700710280241E-017</v>
      </c>
      <c r="D513" s="2" t="n">
        <v>0.0296132001312685</v>
      </c>
      <c r="E513" s="2" t="n">
        <v>8.41918927295211E-016</v>
      </c>
    </row>
    <row r="514" customFormat="false" ht="13.8" hidden="false" customHeight="false" outlineLevel="0" collapsed="false">
      <c r="B514" s="2" t="n">
        <v>512</v>
      </c>
      <c r="C514" s="2" t="n">
        <v>0.0495001016541523</v>
      </c>
      <c r="D514" s="2" t="n">
        <v>0.0747094284222955</v>
      </c>
      <c r="E514" s="2" t="n">
        <v>0.00302496930436446</v>
      </c>
    </row>
    <row r="515" customFormat="false" ht="13.8" hidden="false" customHeight="false" outlineLevel="0" collapsed="false">
      <c r="B515" s="2" t="n">
        <v>513</v>
      </c>
      <c r="C515" s="2" t="n">
        <v>0.0145245105260575</v>
      </c>
      <c r="D515" s="2" t="n">
        <v>0.0972496261063689</v>
      </c>
      <c r="E515" s="2" t="n">
        <v>0.0450314953521415</v>
      </c>
    </row>
    <row r="516" customFormat="false" ht="13.8" hidden="false" customHeight="false" outlineLevel="0" collapsed="false">
      <c r="B516" s="2" t="n">
        <v>514</v>
      </c>
      <c r="C516" s="2" t="n">
        <v>0.0986940435119535</v>
      </c>
      <c r="D516" s="2" t="n">
        <v>0.116623637706033</v>
      </c>
      <c r="E516" s="2" t="n">
        <v>0.0268039914617245</v>
      </c>
    </row>
    <row r="517" customFormat="false" ht="13.8" hidden="false" customHeight="false" outlineLevel="0" collapsed="false">
      <c r="B517" s="2" t="n">
        <v>515</v>
      </c>
      <c r="C517" s="2" t="n">
        <v>0.0604465264978496</v>
      </c>
      <c r="D517" s="2" t="n">
        <v>0.135997649305696</v>
      </c>
      <c r="E517" s="2" t="n">
        <v>0.0672763875713135</v>
      </c>
    </row>
    <row r="518" customFormat="false" ht="13.8" hidden="false" customHeight="false" outlineLevel="0" collapsed="false">
      <c r="B518" s="2" t="n">
        <v>516</v>
      </c>
      <c r="C518" s="2" t="n">
        <v>0.145949126150412</v>
      </c>
      <c r="D518" s="2" t="n">
        <v>0.15537166090536</v>
      </c>
      <c r="E518" s="2" t="n">
        <v>0.04924878368091</v>
      </c>
    </row>
    <row r="519" customFormat="false" ht="13.8" hidden="false" customHeight="false" outlineLevel="0" collapsed="false">
      <c r="B519" s="2" t="n">
        <v>517</v>
      </c>
      <c r="C519" s="2" t="n">
        <v>0.151385842469642</v>
      </c>
      <c r="D519" s="2" t="n">
        <v>0.174745672505024</v>
      </c>
      <c r="E519" s="2" t="n">
        <v>0.0897211797905159</v>
      </c>
    </row>
    <row r="520" customFormat="false" ht="13.8" hidden="false" customHeight="false" outlineLevel="0" collapsed="false">
      <c r="B520" s="2" t="n">
        <v>518</v>
      </c>
      <c r="C520" s="2" t="n">
        <v>0.125238072444971</v>
      </c>
      <c r="D520" s="2" t="n">
        <v>0.182481377467693</v>
      </c>
      <c r="E520" s="2" t="n">
        <v>0.0649520868463132</v>
      </c>
    </row>
    <row r="521" customFormat="false" ht="13.8" hidden="false" customHeight="false" outlineLevel="0" collapsed="false">
      <c r="B521" s="2" t="n">
        <v>519</v>
      </c>
      <c r="C521" s="2" t="n">
        <v>0.154790202420299</v>
      </c>
      <c r="D521" s="2" t="n">
        <v>0.190217082430362</v>
      </c>
      <c r="E521" s="2" t="n">
        <v>0.098682993902122</v>
      </c>
    </row>
    <row r="522" customFormat="false" ht="13.8" hidden="false" customHeight="false" outlineLevel="0" collapsed="false">
      <c r="B522" s="2" t="n">
        <v>520</v>
      </c>
      <c r="C522" s="2" t="n">
        <v>0.151509065728961</v>
      </c>
      <c r="D522" s="2" t="n">
        <v>0.197952787393031</v>
      </c>
      <c r="E522" s="2" t="n">
        <v>0.0739139009579429</v>
      </c>
    </row>
    <row r="523" customFormat="false" ht="13.8" hidden="false" customHeight="false" outlineLevel="0" collapsed="false">
      <c r="B523" s="2" t="n">
        <v>521</v>
      </c>
      <c r="C523" s="2" t="n">
        <v>0.166694929037624</v>
      </c>
      <c r="D523" s="2" t="n">
        <v>0.2056884923557</v>
      </c>
      <c r="E523" s="2" t="n">
        <v>0.102844774680443</v>
      </c>
    </row>
    <row r="524" customFormat="false" ht="13.8" hidden="false" customHeight="false" outlineLevel="0" collapsed="false">
      <c r="B524" s="2" t="n">
        <v>522</v>
      </c>
      <c r="C524" s="2" t="n">
        <v>0.189815898629829</v>
      </c>
      <c r="D524" s="2" t="n">
        <v>0.232069812372654</v>
      </c>
      <c r="E524" s="2" t="n">
        <v>0.0094261874846251</v>
      </c>
    </row>
    <row r="525" customFormat="false" ht="13.8" hidden="false" customHeight="false" outlineLevel="0" collapsed="false">
      <c r="B525" s="2" t="n">
        <v>523</v>
      </c>
      <c r="C525" s="2" t="n">
        <v>0.2259370348887</v>
      </c>
      <c r="D525" s="2" t="n">
        <v>0.258451132389608</v>
      </c>
      <c r="E525" s="2" t="n">
        <v>0.130540650288823</v>
      </c>
    </row>
    <row r="526" customFormat="false" ht="13.8" hidden="false" customHeight="false" outlineLevel="0" collapsed="false">
      <c r="B526" s="2" t="n">
        <v>524</v>
      </c>
      <c r="C526" s="2" t="n">
        <v>0.246808221147572</v>
      </c>
      <c r="D526" s="2" t="n">
        <v>0.284832452406562</v>
      </c>
      <c r="E526" s="2" t="n">
        <v>0.118322013093038</v>
      </c>
    </row>
    <row r="527" customFormat="false" ht="13.8" hidden="false" customHeight="false" outlineLevel="0" collapsed="false">
      <c r="B527" s="2" t="n">
        <v>525</v>
      </c>
      <c r="C527" s="2" t="n">
        <v>0.281429607406443</v>
      </c>
      <c r="D527" s="2" t="n">
        <v>0.311213772423515</v>
      </c>
      <c r="E527" s="2" t="n">
        <v>0.077020259230607</v>
      </c>
    </row>
    <row r="528" customFormat="false" ht="13.8" hidden="false" customHeight="false" outlineLevel="0" collapsed="false">
      <c r="B528" s="2" t="n">
        <v>526</v>
      </c>
      <c r="C528" s="2" t="n">
        <v>0.259609832245205</v>
      </c>
      <c r="D528" s="2" t="n">
        <v>0.297124311173263</v>
      </c>
      <c r="E528" s="2" t="n">
        <v>0.0353589555474929</v>
      </c>
    </row>
    <row r="529" customFormat="false" ht="13.8" hidden="false" customHeight="false" outlineLevel="0" collapsed="false">
      <c r="B529" s="2" t="n">
        <v>527</v>
      </c>
      <c r="C529" s="2" t="n">
        <v>0.249789957083966</v>
      </c>
      <c r="D529" s="2" t="n">
        <v>0.283034849923011</v>
      </c>
      <c r="E529" s="2" t="n">
        <v>0.143447385197733</v>
      </c>
    </row>
    <row r="530" customFormat="false" ht="13.8" hidden="false" customHeight="false" outlineLevel="0" collapsed="false">
      <c r="B530" s="2" t="n">
        <v>528</v>
      </c>
      <c r="C530" s="2" t="n">
        <v>0.222469881922727</v>
      </c>
      <c r="D530" s="2" t="n">
        <v>0.268945388672759</v>
      </c>
      <c r="E530" s="2" t="n">
        <v>0.15551933151466</v>
      </c>
    </row>
    <row r="531" customFormat="false" ht="13.8" hidden="false" customHeight="false" outlineLevel="0" collapsed="false">
      <c r="B531" s="2" t="n">
        <v>529</v>
      </c>
      <c r="C531" s="2" t="n">
        <v>0.218316473428155</v>
      </c>
      <c r="D531" s="2" t="n">
        <v>0.254855927422507</v>
      </c>
      <c r="E531" s="2" t="n">
        <v>0.120658211164939</v>
      </c>
    </row>
    <row r="532" customFormat="false" ht="13.8" hidden="false" customHeight="false" outlineLevel="0" collapsed="false">
      <c r="B532" s="2" t="n">
        <v>530</v>
      </c>
      <c r="C532" s="2" t="n">
        <v>0.24389869537022</v>
      </c>
      <c r="D532" s="2" t="n">
        <v>0.248679926622145</v>
      </c>
      <c r="E532" s="2" t="n">
        <v>0.0821311460695226</v>
      </c>
    </row>
    <row r="533" customFormat="false" ht="13.8" hidden="false" customHeight="false" outlineLevel="0" collapsed="false">
      <c r="B533" s="2" t="n">
        <v>531</v>
      </c>
      <c r="C533" s="2" t="n">
        <v>0.177631267312285</v>
      </c>
      <c r="D533" s="2" t="n">
        <v>0.242503925821783</v>
      </c>
      <c r="E533" s="2" t="n">
        <v>0.0615536143074563</v>
      </c>
    </row>
    <row r="534" customFormat="false" ht="13.8" hidden="false" customHeight="false" outlineLevel="0" collapsed="false">
      <c r="B534" s="2" t="n">
        <v>532</v>
      </c>
      <c r="C534" s="2" t="n">
        <v>0.220846705921017</v>
      </c>
      <c r="D534" s="2" t="n">
        <v>0.236327925021421</v>
      </c>
      <c r="E534" s="2" t="n">
        <v>0.0368926992120731</v>
      </c>
    </row>
    <row r="535" customFormat="false" ht="13.8" hidden="false" customHeight="false" outlineLevel="0" collapsed="false">
      <c r="B535" s="2" t="n">
        <v>533</v>
      </c>
      <c r="C535" s="2" t="n">
        <v>0.184560962003044</v>
      </c>
      <c r="D535" s="2" t="n">
        <v>0.230151924221059</v>
      </c>
      <c r="E535" s="2" t="n">
        <v>8.62879835689936E-016</v>
      </c>
    </row>
    <row r="536" customFormat="false" ht="13.8" hidden="false" customHeight="false" outlineLevel="0" collapsed="false">
      <c r="B536" s="2" t="n">
        <v>534</v>
      </c>
      <c r="C536" s="2" t="n">
        <v>0.119112474105495</v>
      </c>
      <c r="D536" s="2" t="n">
        <v>0.192335446695364</v>
      </c>
      <c r="E536" s="2" t="n">
        <v>8.81069948789549E-016</v>
      </c>
    </row>
    <row r="537" customFormat="false" ht="13.8" hidden="false" customHeight="false" outlineLevel="0" collapsed="false">
      <c r="B537" s="2" t="n">
        <v>535</v>
      </c>
      <c r="C537" s="2" t="n">
        <v>0.106496986207946</v>
      </c>
      <c r="D537" s="2" t="n">
        <v>0.154518969169668</v>
      </c>
      <c r="E537" s="2" t="n">
        <v>8.62098585689936E-016</v>
      </c>
    </row>
    <row r="538" customFormat="false" ht="13.8" hidden="false" customHeight="false" outlineLevel="0" collapsed="false">
      <c r="B538" s="2" t="n">
        <v>536</v>
      </c>
      <c r="C538" s="2" t="n">
        <v>0.0602821973506792</v>
      </c>
      <c r="D538" s="2" t="n">
        <v>0.116702491643973</v>
      </c>
      <c r="E538" s="2" t="n">
        <v>0.017099817603371</v>
      </c>
    </row>
    <row r="539" customFormat="false" ht="13.8" hidden="false" customHeight="false" outlineLevel="0" collapsed="false">
      <c r="B539" s="2" t="n">
        <v>537</v>
      </c>
      <c r="C539" s="2" t="n">
        <v>0.0241886205132116</v>
      </c>
      <c r="D539" s="2" t="n">
        <v>0.0788860141182771</v>
      </c>
      <c r="E539" s="2" t="n">
        <v>0.00869460654338136</v>
      </c>
    </row>
    <row r="540" customFormat="false" ht="13.8" hidden="false" customHeight="false" outlineLevel="0" collapsed="false">
      <c r="B540" s="2" t="n">
        <v>538</v>
      </c>
      <c r="C540" s="2" t="n">
        <v>0.000137370766967423</v>
      </c>
      <c r="D540" s="2" t="n">
        <v>0.0639665817585196</v>
      </c>
      <c r="E540" s="2" t="n">
        <v>0.00508590876658551</v>
      </c>
    </row>
    <row r="541" customFormat="false" ht="13.8" hidden="false" customHeight="false" outlineLevel="0" collapsed="false">
      <c r="B541" s="2" t="n">
        <v>539</v>
      </c>
      <c r="C541" s="2" t="n">
        <v>0</v>
      </c>
      <c r="D541" s="2" t="n">
        <v>0.0292772314320154</v>
      </c>
      <c r="E541" s="2" t="n">
        <v>4.43624365532404E-017</v>
      </c>
    </row>
    <row r="542" customFormat="false" ht="13.8" hidden="false" customHeight="false" outlineLevel="0" collapsed="false">
      <c r="B542" s="2" t="n">
        <v>540</v>
      </c>
      <c r="C542" s="2" t="n">
        <v>8.42139690177062E-005</v>
      </c>
      <c r="D542" s="2" t="n">
        <v>0.0155071921144047</v>
      </c>
      <c r="E542" s="2" t="n">
        <v>3.9812132370591E-005</v>
      </c>
    </row>
    <row r="543" customFormat="false" ht="13.8" hidden="false" customHeight="false" outlineLevel="0" collapsed="false">
      <c r="B543" s="2" t="n">
        <v>541</v>
      </c>
      <c r="C543" s="2" t="n">
        <v>0</v>
      </c>
      <c r="D543" s="2" t="n">
        <v>0</v>
      </c>
      <c r="E543" s="2" t="n">
        <v>0</v>
      </c>
    </row>
    <row r="544" customFormat="false" ht="13.8" hidden="false" customHeight="false" outlineLevel="0" collapsed="false">
      <c r="B544" s="2" t="n">
        <v>542</v>
      </c>
      <c r="C544" s="2" t="n">
        <v>7.84869510953173E-011</v>
      </c>
      <c r="D544" s="2" t="n">
        <v>0</v>
      </c>
      <c r="E544" s="2" t="n">
        <v>3.74295790846232E-017</v>
      </c>
    </row>
    <row r="545" customFormat="false" ht="13.8" hidden="false" customHeight="false" outlineLevel="0" collapsed="false">
      <c r="B545" s="2" t="n">
        <v>543</v>
      </c>
      <c r="C545" s="2" t="n">
        <v>6.30133369341343E-011</v>
      </c>
      <c r="D545" s="2" t="n">
        <v>1.35653821709559E-016</v>
      </c>
      <c r="E545" s="2" t="n">
        <v>0</v>
      </c>
    </row>
    <row r="546" customFormat="false" ht="13.8" hidden="false" customHeight="false" outlineLevel="0" collapsed="false">
      <c r="B546" s="2" t="n">
        <v>544</v>
      </c>
      <c r="C546" s="2" t="n">
        <v>4.75395522431597E-011</v>
      </c>
      <c r="D546" s="2" t="n">
        <v>6.19483409439617E-017</v>
      </c>
      <c r="E546" s="2" t="n">
        <v>3.80883069700263E-017</v>
      </c>
    </row>
    <row r="547" customFormat="false" ht="13.8" hidden="false" customHeight="false" outlineLevel="0" collapsed="false">
      <c r="B547" s="2" t="n">
        <v>545</v>
      </c>
      <c r="C547" s="2" t="n">
        <v>0</v>
      </c>
      <c r="D547" s="2" t="n">
        <v>4.75870241389328E-017</v>
      </c>
      <c r="E547" s="2" t="n">
        <v>1.70808077080625E-018</v>
      </c>
    </row>
    <row r="548" customFormat="false" ht="13.8" hidden="false" customHeight="false" outlineLevel="0" collapsed="false">
      <c r="B548" s="2" t="n">
        <v>546</v>
      </c>
      <c r="C548" s="2" t="n">
        <v>4.33581300532513E-017</v>
      </c>
      <c r="D548" s="2" t="n">
        <v>5.00238836458799E-017</v>
      </c>
      <c r="E548" s="2" t="n">
        <v>1.42731938704163E-017</v>
      </c>
    </row>
    <row r="549" customFormat="false" ht="13.8" hidden="false" customHeight="false" outlineLevel="0" collapsed="false">
      <c r="B549" s="2" t="n">
        <v>547</v>
      </c>
      <c r="C549" s="2" t="n">
        <v>8.16104647190513E-017</v>
      </c>
      <c r="D549" s="2" t="n">
        <v>4.75381960139328E-017</v>
      </c>
      <c r="E549" s="2" t="n">
        <v>1.70808077080625E-018</v>
      </c>
    </row>
    <row r="550" customFormat="false" ht="13.8" hidden="false" customHeight="false" outlineLevel="0" collapsed="false">
      <c r="B550" s="2" t="n">
        <v>548</v>
      </c>
      <c r="C550" s="2" t="n">
        <v>8.33185454898576E-017</v>
      </c>
      <c r="D550" s="2" t="n">
        <v>4.75870241389328E-017</v>
      </c>
      <c r="E550" s="2" t="n">
        <v>7.81250000000001E-019</v>
      </c>
    </row>
    <row r="551" customFormat="false" ht="13.8" hidden="false" customHeight="false" outlineLevel="0" collapsed="false">
      <c r="B551" s="2" t="n">
        <v>549</v>
      </c>
      <c r="C551" s="2" t="n">
        <v>6.71893474066325E-017</v>
      </c>
      <c r="D551" s="2" t="n">
        <v>4.76432733405082E-017</v>
      </c>
      <c r="E551" s="2" t="n">
        <v>0</v>
      </c>
    </row>
    <row r="552" customFormat="false" ht="13.8" hidden="false" customHeight="false" outlineLevel="0" collapsed="false">
      <c r="B552" s="2" t="n">
        <v>550</v>
      </c>
      <c r="C552" s="2" t="n">
        <v>0</v>
      </c>
      <c r="D552" s="2" t="n">
        <v>9.52838490901666E-017</v>
      </c>
      <c r="E552" s="2" t="n">
        <v>1.70808077080625E-018</v>
      </c>
    </row>
    <row r="553" customFormat="false" ht="13.8" hidden="false" customHeight="false" outlineLevel="0" collapsed="false">
      <c r="B553" s="2" t="n">
        <v>551</v>
      </c>
      <c r="C553" s="2" t="n">
        <v>4.73104973656701E-017</v>
      </c>
      <c r="D553" s="2" t="n">
        <v>2.53888248305869E-016</v>
      </c>
      <c r="E553" s="2" t="n">
        <v>1.70856938704163E-017</v>
      </c>
    </row>
    <row r="554" customFormat="false" ht="13.8" hidden="false" customHeight="false" outlineLevel="0" collapsed="false">
      <c r="B554" s="2" t="n">
        <v>552</v>
      </c>
      <c r="C554" s="2" t="n">
        <v>4.56208635198313E-017</v>
      </c>
      <c r="D554" s="2" t="n">
        <v>0</v>
      </c>
      <c r="E554" s="2" t="n">
        <v>1.58410284850131E-017</v>
      </c>
    </row>
    <row r="555" customFormat="false" ht="13.8" hidden="false" customHeight="false" outlineLevel="0" collapsed="false">
      <c r="B555" s="2" t="n">
        <v>553</v>
      </c>
      <c r="C555" s="2" t="n">
        <v>8.46360012606638E-017</v>
      </c>
      <c r="D555" s="2" t="n">
        <v>0</v>
      </c>
      <c r="E555" s="2" t="n">
        <v>1.31745577080625E-018</v>
      </c>
    </row>
    <row r="556" customFormat="false" ht="13.8" hidden="false" customHeight="false" outlineLevel="0" collapsed="false">
      <c r="B556" s="2" t="n">
        <v>554</v>
      </c>
      <c r="C556" s="2" t="n">
        <v>8.46360012606638E-017</v>
      </c>
      <c r="D556" s="2" t="n">
        <v>0</v>
      </c>
      <c r="E556" s="2" t="n">
        <v>7.1729921279097E-018</v>
      </c>
    </row>
    <row r="557" customFormat="false" ht="13.8" hidden="false" customHeight="false" outlineLevel="0" collapsed="false">
      <c r="B557" s="2" t="n">
        <v>555</v>
      </c>
      <c r="C557" s="2" t="n">
        <v>8.33185454898576E-017</v>
      </c>
      <c r="D557" s="2" t="n">
        <v>0</v>
      </c>
      <c r="E557" s="2" t="n">
        <v>6.58727885403126E-019</v>
      </c>
    </row>
    <row r="558" customFormat="false" ht="13.8" hidden="false" customHeight="false" outlineLevel="0" collapsed="false">
      <c r="B558" s="2" t="n">
        <v>556</v>
      </c>
      <c r="C558" s="2" t="n">
        <v>7.20685454898575E-017</v>
      </c>
      <c r="D558" s="2" t="n">
        <v>0</v>
      </c>
      <c r="E558" s="2" t="n">
        <v>0</v>
      </c>
    </row>
    <row r="559" customFormat="false" ht="13.8" hidden="false" customHeight="false" outlineLevel="0" collapsed="false">
      <c r="B559" s="2" t="n">
        <v>557</v>
      </c>
      <c r="C559" s="2" t="n">
        <v>4.82557750614437E-017</v>
      </c>
      <c r="D559" s="2" t="n">
        <v>0</v>
      </c>
      <c r="E559" s="2" t="n">
        <v>1.04125123206113E-017</v>
      </c>
    </row>
    <row r="560" customFormat="false" ht="13.8" hidden="false" customHeight="false" outlineLevel="0" collapsed="false">
      <c r="B560" s="2" t="n">
        <v>558</v>
      </c>
      <c r="C560" s="2" t="n">
        <v>8.33185454898576E-017</v>
      </c>
      <c r="D560" s="2" t="n">
        <v>0</v>
      </c>
      <c r="E560" s="2" t="n">
        <v>1.21979952080625E-018</v>
      </c>
    </row>
    <row r="561" customFormat="false" ht="13.8" hidden="false" customHeight="false" outlineLevel="0" collapsed="false">
      <c r="B561" s="2" t="n">
        <v>559</v>
      </c>
      <c r="C561" s="2" t="n">
        <v>1.08253459189078E-016</v>
      </c>
      <c r="D561" s="2" t="n">
        <v>0</v>
      </c>
      <c r="E561" s="2" t="n">
        <v>9.9854921279097E-018</v>
      </c>
    </row>
    <row r="562" customFormat="false" ht="13.8" hidden="false" customHeight="false" outlineLevel="0" collapsed="false">
      <c r="B562" s="2" t="n">
        <v>560</v>
      </c>
      <c r="C562" s="2" t="n">
        <v>7.20685454898575E-017</v>
      </c>
      <c r="D562" s="2" t="n">
        <v>0</v>
      </c>
      <c r="E562" s="2" t="n">
        <v>6.58727885403126E-019</v>
      </c>
    </row>
    <row r="563" customFormat="false" ht="13.8" hidden="false" customHeight="false" outlineLevel="0" collapsed="false">
      <c r="B563" s="2" t="n">
        <v>561</v>
      </c>
      <c r="C563" s="2" t="n">
        <v>1.20625602459884E-016</v>
      </c>
      <c r="D563" s="2" t="n">
        <v>0</v>
      </c>
      <c r="E563" s="2" t="n">
        <v>5.37109375000001E-019</v>
      </c>
    </row>
    <row r="564" customFormat="false" ht="13.8" hidden="false" customHeight="false" outlineLevel="0" collapsed="false">
      <c r="B564" s="2" t="n">
        <v>562</v>
      </c>
      <c r="C564" s="2" t="n">
        <v>8.33185454898576E-017</v>
      </c>
      <c r="D564" s="2" t="n">
        <v>0</v>
      </c>
      <c r="E564" s="2" t="n">
        <v>8.71404448223146E-019</v>
      </c>
    </row>
    <row r="565" customFormat="false" ht="13.8" hidden="false" customHeight="false" outlineLevel="0" collapsed="false">
      <c r="B565" s="2" t="n">
        <v>563</v>
      </c>
      <c r="C565" s="2" t="n">
        <v>8.20010897190513E-017</v>
      </c>
      <c r="D565" s="2" t="n">
        <v>0</v>
      </c>
      <c r="E565" s="2" t="n">
        <v>4.88281250000001E-019</v>
      </c>
    </row>
    <row r="566" customFormat="false" ht="13.8" hidden="false" customHeight="false" outlineLevel="0" collapsed="false">
      <c r="B566" s="2" t="n">
        <v>564</v>
      </c>
      <c r="C566" s="2" t="n">
        <v>1.12840290173803E-012</v>
      </c>
      <c r="D566" s="2" t="n">
        <v>0</v>
      </c>
      <c r="E566" s="2" t="n">
        <v>8.32508654929298E-019</v>
      </c>
    </row>
    <row r="567" customFormat="false" ht="13.8" hidden="false" customHeight="false" outlineLevel="0" collapsed="false">
      <c r="B567" s="2" t="n">
        <v>565</v>
      </c>
      <c r="C567" s="2" t="n">
        <v>8.87169540275701E-012</v>
      </c>
      <c r="D567" s="2" t="n">
        <v>0</v>
      </c>
      <c r="E567" s="2" t="n">
        <v>9.88091828104689E-019</v>
      </c>
    </row>
    <row r="568" customFormat="false" ht="13.8" hidden="false" customHeight="false" outlineLevel="0" collapsed="false">
      <c r="B568" s="2" t="n">
        <v>566</v>
      </c>
      <c r="C568" s="2" t="n">
        <v>1.66148164872671E-011</v>
      </c>
      <c r="D568" s="2" t="n">
        <v>0</v>
      </c>
      <c r="E568" s="2" t="n">
        <v>0</v>
      </c>
    </row>
    <row r="569" customFormat="false" ht="13.8" hidden="false" customHeight="false" outlineLevel="0" collapsed="false">
      <c r="B569" s="2" t="n">
        <v>567</v>
      </c>
      <c r="C569" s="2" t="n">
        <v>2.43577963696049E-011</v>
      </c>
      <c r="D569" s="2" t="n">
        <v>0</v>
      </c>
      <c r="E569" s="2" t="n">
        <v>9.39263703104689E-019</v>
      </c>
    </row>
    <row r="570" customFormat="false" ht="13.8" hidden="false" customHeight="false" outlineLevel="0" collapsed="false">
      <c r="B570" s="2" t="n">
        <v>568</v>
      </c>
      <c r="C570" s="2" t="n">
        <v>3.21006509896143E-011</v>
      </c>
      <c r="D570" s="2" t="n">
        <v>0</v>
      </c>
      <c r="E570" s="2" t="n">
        <v>9.9854921279097E-018</v>
      </c>
    </row>
    <row r="571" customFormat="false" ht="13.8" hidden="false" customHeight="false" outlineLevel="0" collapsed="false">
      <c r="B571" s="2" t="n">
        <v>569</v>
      </c>
      <c r="C571" s="2" t="n">
        <v>3.98433040582075E-011</v>
      </c>
      <c r="D571" s="2" t="n">
        <v>0</v>
      </c>
      <c r="E571" s="2" t="n">
        <v>3.86703188165641E-018</v>
      </c>
    </row>
    <row r="572" customFormat="false" ht="13.8" hidden="false" customHeight="false" outlineLevel="0" collapsed="false">
      <c r="B572" s="2" t="n">
        <v>570</v>
      </c>
      <c r="C572" s="2" t="n">
        <v>4.75858345988498E-011</v>
      </c>
      <c r="D572" s="2" t="n">
        <v>0</v>
      </c>
      <c r="E572" s="2" t="n">
        <v>1.21979952080625E-018</v>
      </c>
    </row>
    <row r="573" customFormat="false" ht="13.8" hidden="false" customHeight="false" outlineLevel="0" collapsed="false">
      <c r="B573" s="2" t="n">
        <v>571</v>
      </c>
      <c r="C573" s="2" t="n">
        <v>5.53282106714297E-011</v>
      </c>
      <c r="D573" s="2" t="n">
        <v>0</v>
      </c>
      <c r="E573" s="2" t="n">
        <v>3.96044254880988E-018</v>
      </c>
    </row>
    <row r="574" customFormat="false" ht="13.8" hidden="false" customHeight="false" outlineLevel="0" collapsed="false">
      <c r="B574" s="2" t="n">
        <v>572</v>
      </c>
      <c r="C574" s="2" t="n">
        <v>6.30704468048557E-011</v>
      </c>
      <c r="D574" s="2" t="n">
        <v>0</v>
      </c>
      <c r="E574" s="2" t="n">
        <v>8.50819201804298E-019</v>
      </c>
    </row>
    <row r="575" customFormat="false" ht="13.8" hidden="false" customHeight="false" outlineLevel="0" collapsed="false">
      <c r="B575" s="2" t="n">
        <v>573</v>
      </c>
      <c r="C575" s="2" t="n">
        <v>7.08125088318042E-011</v>
      </c>
      <c r="D575" s="2" t="n">
        <v>0</v>
      </c>
      <c r="E575" s="2" t="n">
        <v>1.02171998206113E-017</v>
      </c>
    </row>
    <row r="576" customFormat="false" ht="13.8" hidden="false" customHeight="false" outlineLevel="0" collapsed="false">
      <c r="B576" s="2" t="n">
        <v>574</v>
      </c>
      <c r="C576" s="2" t="n">
        <v>7.85544413048918E-011</v>
      </c>
      <c r="D576" s="2" t="n">
        <v>0</v>
      </c>
      <c r="E576" s="2" t="n">
        <v>7.74581731753907E-019</v>
      </c>
    </row>
    <row r="577" customFormat="false" ht="13.8" hidden="false" customHeight="false" outlineLevel="0" collapsed="false">
      <c r="B577" s="2" t="n">
        <v>575</v>
      </c>
      <c r="C577" s="2" t="n">
        <v>8.62962314530248E-011</v>
      </c>
      <c r="D577" s="2" t="n">
        <v>0</v>
      </c>
      <c r="E577" s="2" t="n">
        <v>0</v>
      </c>
    </row>
    <row r="578" customFormat="false" ht="13.8" hidden="false" customHeight="false" outlineLevel="0" collapsed="false">
      <c r="B578" s="2" t="n">
        <v>576</v>
      </c>
      <c r="C578" s="2" t="n">
        <v>9.40378648076982E-011</v>
      </c>
      <c r="D578" s="2" t="n">
        <v>0</v>
      </c>
      <c r="E578" s="2" t="n">
        <v>8.45129680572921E-019</v>
      </c>
    </row>
    <row r="579" customFormat="false" ht="13.8" hidden="false" customHeight="false" outlineLevel="0" collapsed="false">
      <c r="B579" s="2" t="n">
        <v>577</v>
      </c>
      <c r="C579" s="2" t="n">
        <v>1.0177938683769E-010</v>
      </c>
      <c r="D579" s="2" t="n">
        <v>2.11080882827876E-010</v>
      </c>
      <c r="E579" s="2" t="n">
        <v>8.45143267541581E-019</v>
      </c>
    </row>
    <row r="580" customFormat="false" ht="13.8" hidden="false" customHeight="false" outlineLevel="0" collapsed="false">
      <c r="B580" s="2" t="n">
        <v>578</v>
      </c>
      <c r="C580" s="2" t="n">
        <v>1.09520766191169E-010</v>
      </c>
      <c r="D580" s="2" t="n">
        <v>2.11076744974881E-010</v>
      </c>
      <c r="E580" s="2" t="n">
        <v>8.45672890199586E-019</v>
      </c>
    </row>
    <row r="581" customFormat="false" ht="13.8" hidden="false" customHeight="false" outlineLevel="0" collapsed="false">
      <c r="B581" s="2" t="n">
        <v>579</v>
      </c>
      <c r="C581" s="2" t="n">
        <v>1.17261987351447E-010</v>
      </c>
      <c r="D581" s="2" t="n">
        <v>2.11072991256971E-010</v>
      </c>
      <c r="E581" s="2" t="n">
        <v>5.3739334142068E-018</v>
      </c>
    </row>
    <row r="582" customFormat="false" ht="13.8" hidden="false" customHeight="false" outlineLevel="0" collapsed="false">
      <c r="B582" s="2" t="n">
        <v>580</v>
      </c>
      <c r="C582" s="2" t="n">
        <v>1.25003070850745E-010</v>
      </c>
      <c r="D582" s="2" t="n">
        <v>0</v>
      </c>
      <c r="E582" s="2" t="n">
        <v>6.58727885403126E-019</v>
      </c>
    </row>
    <row r="583" customFormat="false" ht="13.8" hidden="false" customHeight="false" outlineLevel="0" collapsed="false">
      <c r="B583" s="2" t="n">
        <v>581</v>
      </c>
      <c r="C583" s="2" t="n">
        <v>1.32744030296001E-010</v>
      </c>
      <c r="D583" s="2" t="n">
        <v>0</v>
      </c>
      <c r="E583" s="2" t="n">
        <v>3.98826866062565E-018</v>
      </c>
    </row>
    <row r="584" customFormat="false" ht="13.8" hidden="false" customHeight="false" outlineLevel="0" collapsed="false">
      <c r="B584" s="2" t="n">
        <v>582</v>
      </c>
      <c r="C584" s="2" t="n">
        <v>1.40484840766973E-010</v>
      </c>
      <c r="D584" s="2" t="n">
        <v>0</v>
      </c>
      <c r="E584" s="2" t="n">
        <v>7.74581731753907E-019</v>
      </c>
    </row>
    <row r="585" customFormat="false" ht="13.8" hidden="false" customHeight="false" outlineLevel="0" collapsed="false">
      <c r="B585" s="2" t="n">
        <v>583</v>
      </c>
      <c r="C585" s="2" t="n">
        <v>1.48225523398682E-010</v>
      </c>
      <c r="D585" s="2" t="n">
        <v>0</v>
      </c>
      <c r="E585" s="2" t="n">
        <v>5.76732779570876E-018</v>
      </c>
    </row>
    <row r="586" customFormat="false" ht="13.8" hidden="false" customHeight="false" outlineLevel="0" collapsed="false">
      <c r="B586" s="2" t="n">
        <v>584</v>
      </c>
      <c r="C586" s="2" t="n">
        <v>1.5596607711691E-010</v>
      </c>
      <c r="D586" s="2" t="n">
        <v>0</v>
      </c>
      <c r="E586" s="2" t="n">
        <v>7.74581731753907E-019</v>
      </c>
    </row>
    <row r="587" customFormat="false" ht="13.8" hidden="false" customHeight="false" outlineLevel="0" collapsed="false">
      <c r="B587" s="2" t="n">
        <v>585</v>
      </c>
      <c r="C587" s="2" t="n">
        <v>1.63706474017135E-010</v>
      </c>
      <c r="D587" s="2" t="n">
        <v>0</v>
      </c>
      <c r="E587" s="2" t="n">
        <v>8.32508654929298E-019</v>
      </c>
    </row>
    <row r="588" customFormat="false" ht="13.8" hidden="false" customHeight="false" outlineLevel="0" collapsed="false">
      <c r="B588" s="2" t="n">
        <v>586</v>
      </c>
      <c r="C588" s="2" t="n">
        <v>1.71446771803248E-010</v>
      </c>
      <c r="D588" s="2" t="n">
        <v>0</v>
      </c>
      <c r="E588" s="2" t="n">
        <v>0</v>
      </c>
    </row>
    <row r="589" customFormat="false" ht="13.8" hidden="false" customHeight="false" outlineLevel="0" collapsed="false">
      <c r="B589" s="2" t="n">
        <v>587</v>
      </c>
      <c r="C589" s="2" t="n">
        <v>1.79186910099106E-010</v>
      </c>
      <c r="D589" s="2" t="n">
        <v>0</v>
      </c>
      <c r="E589" s="2" t="n">
        <v>2.29639274420516E-018</v>
      </c>
    </row>
    <row r="590" customFormat="false" ht="13.8" hidden="false" customHeight="false" outlineLevel="0" collapsed="false">
      <c r="B590" s="2" t="n">
        <v>588</v>
      </c>
      <c r="C590" s="2" t="n">
        <v>1.86926924480627E-010</v>
      </c>
      <c r="D590" s="2" t="n">
        <v>0</v>
      </c>
      <c r="E590" s="2" t="n">
        <v>2.46107471555594E-018</v>
      </c>
    </row>
    <row r="591" customFormat="false" ht="13.8" hidden="false" customHeight="false" outlineLevel="0" collapsed="false">
      <c r="B591" s="2" t="n">
        <v>589</v>
      </c>
      <c r="C591" s="2" t="n">
        <v>1.94666816056621E-010</v>
      </c>
      <c r="D591" s="2" t="n">
        <v>0</v>
      </c>
      <c r="E591" s="2" t="n">
        <v>6.58727885403126E-019</v>
      </c>
    </row>
    <row r="592" customFormat="false" ht="13.8" hidden="false" customHeight="false" outlineLevel="0" collapsed="false">
      <c r="B592" s="2" t="n">
        <v>590</v>
      </c>
      <c r="C592" s="2" t="n">
        <v>2.02406558141193E-010</v>
      </c>
      <c r="D592" s="2" t="n">
        <v>0</v>
      </c>
      <c r="E592" s="2" t="n">
        <v>8.50819201804298E-019</v>
      </c>
    </row>
    <row r="593" customFormat="false" ht="13.8" hidden="false" customHeight="false" outlineLevel="0" collapsed="false">
      <c r="B593" s="2" t="n">
        <v>591</v>
      </c>
      <c r="C593" s="2" t="n">
        <v>2.10146172922442E-010</v>
      </c>
      <c r="D593" s="2" t="n">
        <v>0</v>
      </c>
      <c r="E593" s="2" t="n">
        <v>7.74581731753907E-019</v>
      </c>
    </row>
    <row r="594" customFormat="false" ht="13.8" hidden="false" customHeight="false" outlineLevel="0" collapsed="false">
      <c r="B594" s="2" t="n">
        <v>592</v>
      </c>
      <c r="C594" s="2" t="n">
        <v>2.17885668479801E-010</v>
      </c>
      <c r="D594" s="2" t="n">
        <v>0</v>
      </c>
      <c r="E594" s="2" t="n">
        <v>4.83249510300719E-018</v>
      </c>
    </row>
    <row r="595" customFormat="false" ht="13.8" hidden="false" customHeight="false" outlineLevel="0" collapsed="false">
      <c r="B595" s="2" t="n">
        <v>593</v>
      </c>
      <c r="C595" s="2" t="n">
        <v>2.25625021710458E-010</v>
      </c>
      <c r="D595" s="2" t="n">
        <v>0</v>
      </c>
      <c r="E595" s="2" t="n">
        <v>8.50819201804298E-019</v>
      </c>
    </row>
    <row r="596" customFormat="false" ht="13.8" hidden="false" customHeight="false" outlineLevel="0" collapsed="false">
      <c r="B596" s="2" t="n">
        <v>594</v>
      </c>
      <c r="C596" s="2" t="n">
        <v>2.33364241471978E-010</v>
      </c>
      <c r="D596" s="2" t="n">
        <v>0</v>
      </c>
      <c r="E596" s="2" t="n">
        <v>2.99951774420516E-018</v>
      </c>
    </row>
    <row r="597" customFormat="false" ht="13.8" hidden="false" customHeight="false" outlineLevel="0" collapsed="false">
      <c r="B597" s="2" t="n">
        <v>595</v>
      </c>
      <c r="C597" s="2" t="n">
        <v>2.41103335936427E-010</v>
      </c>
      <c r="D597" s="2" t="n">
        <v>0</v>
      </c>
      <c r="E597" s="2" t="n">
        <v>2.30785346453188E-018</v>
      </c>
    </row>
    <row r="598" customFormat="false" ht="13.8" hidden="false" customHeight="false" outlineLevel="0" collapsed="false">
      <c r="B598" s="2" t="n">
        <v>596</v>
      </c>
      <c r="C598" s="2" t="n">
        <v>2.48842302112859E-010</v>
      </c>
      <c r="D598" s="2" t="n">
        <v>0</v>
      </c>
      <c r="E598" s="2" t="n">
        <v>1.91146380047953E-018</v>
      </c>
    </row>
    <row r="599" customFormat="false" ht="13.8" hidden="false" customHeight="false" outlineLevel="0" collapsed="false">
      <c r="B599" s="2" t="n">
        <v>597</v>
      </c>
      <c r="C599" s="2" t="n">
        <v>2.5658113460251E-010</v>
      </c>
      <c r="D599" s="2" t="n">
        <v>0</v>
      </c>
      <c r="E599" s="2" t="n">
        <v>1.80270827183032E-018</v>
      </c>
    </row>
    <row r="600" customFormat="false" ht="13.8" hidden="false" customHeight="false" outlineLevel="0" collapsed="false">
      <c r="B600" s="2" t="n">
        <v>598</v>
      </c>
      <c r="C600" s="2" t="n">
        <v>8.75225131866554E-017</v>
      </c>
      <c r="D600" s="2" t="n">
        <v>3.97619335929702E-010</v>
      </c>
      <c r="E600" s="2" t="n">
        <v>2.27279192547953E-018</v>
      </c>
    </row>
    <row r="601" customFormat="false" ht="13.8" hidden="false" customHeight="false" outlineLevel="0" collapsed="false">
      <c r="B601" s="2" t="n">
        <v>599</v>
      </c>
      <c r="C601" s="2" t="n">
        <v>6.39274412360863E-017</v>
      </c>
      <c r="D601" s="2" t="n">
        <v>0</v>
      </c>
      <c r="E601" s="2" t="n">
        <v>2.36565572339891E-018</v>
      </c>
    </row>
    <row r="602" customFormat="false" ht="13.8" hidden="false" customHeight="false" outlineLevel="0" collapsed="false">
      <c r="B602" s="2" t="n">
        <v>600</v>
      </c>
      <c r="C602" s="2" t="n">
        <v>8.07362388080712E-017</v>
      </c>
      <c r="D602" s="2" t="n">
        <v>6.26735295736075E-012</v>
      </c>
      <c r="E602" s="2" t="n">
        <v>1.81665557861672E-018</v>
      </c>
    </row>
    <row r="603" customFormat="false" ht="13.8" hidden="false" customHeight="false" outlineLevel="0" collapsed="false">
      <c r="B603" s="2" t="n">
        <v>601</v>
      </c>
      <c r="C603" s="2" t="n">
        <v>8.07274453950429E-017</v>
      </c>
      <c r="D603" s="2" t="n">
        <v>0</v>
      </c>
      <c r="E603" s="2" t="n">
        <v>2.47653639683032E-018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0.0288016311476485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0.164876036548336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0.187089652530002</v>
      </c>
    </row>
    <row r="624" customFormat="false" ht="13.8" hidden="false" customHeight="false" outlineLevel="0" collapsed="false">
      <c r="B624" s="2" t="n">
        <v>622</v>
      </c>
      <c r="C624" s="2" t="n">
        <v>0.235509233812346</v>
      </c>
      <c r="D624" s="2" t="n">
        <v>0</v>
      </c>
      <c r="E624" s="2" t="n">
        <v>0.169929990448436</v>
      </c>
    </row>
    <row r="625" customFormat="false" ht="13.8" hidden="false" customHeight="false" outlineLevel="0" collapsed="false">
      <c r="B625" s="2" t="n">
        <v>623</v>
      </c>
      <c r="C625" s="2" t="n">
        <v>0.372562583769735</v>
      </c>
      <c r="D625" s="2" t="n">
        <v>6.47612579614558E-012</v>
      </c>
      <c r="E625" s="2" t="n">
        <v>0.0800036450335373</v>
      </c>
    </row>
    <row r="626" customFormat="false" ht="13.8" hidden="false" customHeight="false" outlineLevel="0" collapsed="false">
      <c r="B626" s="2" t="n">
        <v>624</v>
      </c>
      <c r="C626" s="2" t="n">
        <v>0.290289234049726</v>
      </c>
      <c r="D626" s="2" t="n">
        <v>0.0262811093335946</v>
      </c>
      <c r="E626" s="2" t="n">
        <v>0.0701103662853051</v>
      </c>
    </row>
    <row r="627" customFormat="false" ht="13.8" hidden="false" customHeight="false" outlineLevel="0" collapsed="false">
      <c r="B627" s="2" t="n">
        <v>625</v>
      </c>
      <c r="C627" s="2" t="n">
        <v>0.357782150996384</v>
      </c>
      <c r="D627" s="2" t="n">
        <v>0.214092878635039</v>
      </c>
      <c r="E627" s="2" t="n">
        <v>0.0726171875370722</v>
      </c>
    </row>
    <row r="628" customFormat="false" ht="13.8" hidden="false" customHeight="false" outlineLevel="0" collapsed="false">
      <c r="B628" s="2" t="n">
        <v>626</v>
      </c>
      <c r="C628" s="2" t="n">
        <v>0.249817809991923</v>
      </c>
      <c r="D628" s="2" t="n">
        <v>0.29535161966402</v>
      </c>
      <c r="E628" s="2" t="n">
        <v>0.116772404414393</v>
      </c>
    </row>
    <row r="629" customFormat="false" ht="13.8" hidden="false" customHeight="false" outlineLevel="0" collapsed="false">
      <c r="B629" s="2" t="n">
        <v>627</v>
      </c>
      <c r="C629" s="2" t="n">
        <v>0.268436385654128</v>
      </c>
      <c r="D629" s="2" t="n">
        <v>0.272700974530586</v>
      </c>
      <c r="E629" s="2" t="n">
        <v>0.12684468795838</v>
      </c>
    </row>
    <row r="630" customFormat="false" ht="13.8" hidden="false" customHeight="false" outlineLevel="0" collapsed="false">
      <c r="B630" s="2" t="n">
        <v>628</v>
      </c>
      <c r="C630" s="2" t="n">
        <v>0.160522077919567</v>
      </c>
      <c r="D630" s="2" t="n">
        <v>0.233723071899345</v>
      </c>
      <c r="E630" s="2" t="n">
        <v>0.125383004835664</v>
      </c>
    </row>
    <row r="631" customFormat="false" ht="13.8" hidden="false" customHeight="false" outlineLevel="0" collapsed="false">
      <c r="B631" s="2" t="n">
        <v>629</v>
      </c>
      <c r="C631" s="2" t="n">
        <v>0.183657703582465</v>
      </c>
      <c r="D631" s="2" t="n">
        <v>0.194745169429903</v>
      </c>
      <c r="E631" s="2" t="n">
        <v>0.0478054717129832</v>
      </c>
    </row>
    <row r="632" customFormat="false" ht="13.8" hidden="false" customHeight="false" outlineLevel="0" collapsed="false">
      <c r="B632" s="2" t="n">
        <v>630</v>
      </c>
      <c r="C632" s="2" t="n">
        <v>0.112920830830387</v>
      </c>
      <c r="D632" s="2" t="n">
        <v>0.190348060157789</v>
      </c>
      <c r="E632" s="2" t="n">
        <v>0.0777586127725367</v>
      </c>
    </row>
    <row r="633" customFormat="false" ht="13.8" hidden="false" customHeight="false" outlineLevel="0" collapsed="false">
      <c r="B633" s="2" t="n">
        <v>631</v>
      </c>
      <c r="C633" s="2" t="n">
        <v>0.183517157953789</v>
      </c>
      <c r="D633" s="2" t="n">
        <v>0.185950950596299</v>
      </c>
      <c r="E633" s="2" t="n">
        <v>0.0427115871653471</v>
      </c>
    </row>
    <row r="634" customFormat="false" ht="13.8" hidden="false" customHeight="false" outlineLevel="0" collapsed="false">
      <c r="B634" s="2" t="n">
        <v>632</v>
      </c>
      <c r="C634" s="2" t="n">
        <v>0.152780801805983</v>
      </c>
      <c r="D634" s="2" t="n">
        <v>0.18155384117809</v>
      </c>
      <c r="E634" s="2" t="n">
        <v>0.0713311948915287</v>
      </c>
    </row>
    <row r="635" customFormat="false" ht="13.8" hidden="false" customHeight="false" outlineLevel="0" collapsed="false">
      <c r="B635" s="2" t="n">
        <v>633</v>
      </c>
      <c r="C635" s="2" t="n">
        <v>0.167243895719267</v>
      </c>
      <c r="D635" s="2" t="n">
        <v>0.1771567318956</v>
      </c>
      <c r="E635" s="2" t="n">
        <v>9.74097326928641E-009</v>
      </c>
    </row>
    <row r="636" customFormat="false" ht="13.8" hidden="false" customHeight="false" outlineLevel="0" collapsed="false">
      <c r="B636" s="2" t="n">
        <v>634</v>
      </c>
      <c r="C636" s="2" t="n">
        <v>0.0834694959934896</v>
      </c>
      <c r="D636" s="2" t="n">
        <v>0.163404070515872</v>
      </c>
      <c r="E636" s="2" t="n">
        <v>1.0098673161006E-008</v>
      </c>
    </row>
    <row r="637" customFormat="false" ht="13.8" hidden="false" customHeight="false" outlineLevel="0" collapsed="false">
      <c r="B637" s="2" t="n">
        <v>635</v>
      </c>
      <c r="C637" s="2" t="n">
        <v>0.133028146267712</v>
      </c>
      <c r="D637" s="2" t="n">
        <v>0.149651409136144</v>
      </c>
      <c r="E637" s="2" t="n">
        <v>1.07649784829428E-008</v>
      </c>
    </row>
    <row r="638" customFormat="false" ht="13.8" hidden="false" customHeight="false" outlineLevel="0" collapsed="false">
      <c r="B638" s="2" t="n">
        <v>636</v>
      </c>
      <c r="C638" s="2" t="n">
        <v>0.0525870465419347</v>
      </c>
      <c r="D638" s="2" t="n">
        <v>0.135898747756416</v>
      </c>
      <c r="E638" s="2" t="n">
        <v>1.1828502156091E-008</v>
      </c>
    </row>
    <row r="639" customFormat="false" ht="13.8" hidden="false" customHeight="false" outlineLevel="0" collapsed="false">
      <c r="B639" s="2" t="n">
        <v>637</v>
      </c>
      <c r="C639" s="2" t="n">
        <v>0.10214558014949</v>
      </c>
      <c r="D639" s="2" t="n">
        <v>0.067898122887955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0.028738927112566</v>
      </c>
      <c r="D640" s="2" t="n">
        <v>0.0964009438195094</v>
      </c>
      <c r="E640" s="2" t="n">
        <v>1.27602260919846E-008</v>
      </c>
    </row>
    <row r="641" customFormat="false" ht="13.8" hidden="false" customHeight="false" outlineLevel="0" collapsed="false">
      <c r="B641" s="2" t="n">
        <v>639</v>
      </c>
      <c r="C641" s="2" t="n">
        <v>6.58727885403119E-019</v>
      </c>
      <c r="D641" s="2" t="n">
        <v>0</v>
      </c>
      <c r="E641" s="2" t="n">
        <v>0</v>
      </c>
    </row>
    <row r="642" customFormat="false" ht="13.8" hidden="false" customHeight="false" outlineLevel="0" collapsed="false">
      <c r="B642" s="2" t="n">
        <v>640</v>
      </c>
      <c r="C642" s="2" t="n">
        <v>1.43308510761176E-010</v>
      </c>
      <c r="D642" s="2" t="n">
        <v>0</v>
      </c>
      <c r="E642" s="2" t="n">
        <v>0</v>
      </c>
    </row>
    <row r="643" customFormat="false" ht="13.8" hidden="false" customHeight="false" outlineLevel="0" collapsed="false">
      <c r="B643" s="2" t="n">
        <v>641</v>
      </c>
      <c r="C643" s="2" t="n">
        <v>3.00794971555462E-017</v>
      </c>
      <c r="D643" s="2" t="n">
        <v>7.43392641718801E-017</v>
      </c>
      <c r="E643" s="2" t="n">
        <v>7.1654867854001E-011</v>
      </c>
    </row>
    <row r="644" customFormat="false" ht="13.8" hidden="false" customHeight="false" outlineLevel="0" collapsed="false">
      <c r="B644" s="2" t="n">
        <v>642</v>
      </c>
      <c r="C644" s="2" t="n">
        <v>1.433113725119E-010</v>
      </c>
      <c r="D644" s="2" t="n">
        <v>0</v>
      </c>
      <c r="E644" s="2" t="n">
        <v>0</v>
      </c>
    </row>
    <row r="645" customFormat="false" ht="13.8" hidden="false" customHeight="false" outlineLevel="0" collapsed="false">
      <c r="B645" s="2" t="n">
        <v>643</v>
      </c>
      <c r="C645" s="2" t="n">
        <v>0</v>
      </c>
      <c r="D645" s="2" t="n">
        <v>3.71696320859401E-017</v>
      </c>
      <c r="E645" s="2" t="n">
        <v>7.16562802427293E-011</v>
      </c>
    </row>
    <row r="646" customFormat="false" ht="13.8" hidden="false" customHeight="false" outlineLevel="0" collapsed="false">
      <c r="B646" s="2" t="n">
        <v>644</v>
      </c>
      <c r="C646" s="2" t="n">
        <v>0</v>
      </c>
      <c r="D646" s="2" t="n">
        <v>0</v>
      </c>
      <c r="E646" s="2" t="n">
        <v>7.16569992626248E-011</v>
      </c>
    </row>
    <row r="647" customFormat="false" ht="13.8" hidden="false" customHeight="false" outlineLevel="0" collapsed="false">
      <c r="B647" s="2" t="n">
        <v>645</v>
      </c>
      <c r="C647" s="2" t="n">
        <v>0</v>
      </c>
      <c r="D647" s="2" t="n">
        <v>0</v>
      </c>
      <c r="E647" s="2" t="n">
        <v>7.16577342460722E-011</v>
      </c>
    </row>
    <row r="648" customFormat="false" ht="13.8" hidden="false" customHeight="false" outlineLevel="0" collapsed="false">
      <c r="B648" s="2" t="n">
        <v>646</v>
      </c>
      <c r="C648" s="2" t="n">
        <v>0</v>
      </c>
      <c r="D648" s="2" t="n">
        <v>0</v>
      </c>
      <c r="E648" s="2" t="n">
        <v>7.16584324586605E-011</v>
      </c>
    </row>
    <row r="649" customFormat="false" ht="13.8" hidden="false" customHeight="false" outlineLevel="0" collapsed="false">
      <c r="B649" s="2" t="n">
        <v>647</v>
      </c>
      <c r="C649" s="2" t="n">
        <v>0</v>
      </c>
      <c r="D649" s="2" t="n">
        <v>3.71696320859401E-017</v>
      </c>
      <c r="E649" s="2" t="n">
        <v>7.16591490566783E-011</v>
      </c>
    </row>
    <row r="650" customFormat="false" ht="13.8" hidden="false" customHeight="false" outlineLevel="0" collapsed="false">
      <c r="B650" s="2" t="n">
        <v>648</v>
      </c>
      <c r="C650" s="2" t="n">
        <v>1.7254058866314E-017</v>
      </c>
      <c r="D650" s="2" t="n">
        <v>3.71696320859401E-017</v>
      </c>
      <c r="E650" s="2" t="n">
        <v>7.16598742863399E-011</v>
      </c>
    </row>
    <row r="651" customFormat="false" ht="13.8" hidden="false" customHeight="false" outlineLevel="0" collapsed="false">
      <c r="B651" s="2" t="n">
        <v>649</v>
      </c>
      <c r="C651" s="2" t="n">
        <v>0</v>
      </c>
      <c r="D651" s="2" t="n">
        <v>0</v>
      </c>
      <c r="E651" s="2" t="n">
        <v>0</v>
      </c>
    </row>
    <row r="652" customFormat="false" ht="13.8" hidden="false" customHeight="false" outlineLevel="0" collapsed="false">
      <c r="B652" s="2" t="n">
        <v>650</v>
      </c>
      <c r="C652" s="2" t="n">
        <v>0</v>
      </c>
      <c r="D652" s="2" t="n">
        <v>0</v>
      </c>
      <c r="E652" s="2" t="n">
        <v>0</v>
      </c>
    </row>
    <row r="653" customFormat="false" ht="13.8" hidden="false" customHeight="false" outlineLevel="0" collapsed="false">
      <c r="B653" s="2" t="n">
        <v>651</v>
      </c>
      <c r="C653" s="2" t="n">
        <v>7.61719940781625E-011</v>
      </c>
      <c r="D653" s="2" t="n">
        <v>0</v>
      </c>
      <c r="E653" s="2" t="n">
        <v>1.47833499169558E-010</v>
      </c>
    </row>
    <row r="654" customFormat="false" ht="13.8" hidden="false" customHeight="false" outlineLevel="0" collapsed="false">
      <c r="B654" s="2" t="n">
        <v>652</v>
      </c>
      <c r="C654" s="2" t="n">
        <v>7.6172765871041E-011</v>
      </c>
      <c r="D654" s="2" t="n">
        <v>0</v>
      </c>
      <c r="E654" s="2" t="n">
        <v>1.47834977742891E-010</v>
      </c>
    </row>
    <row r="655" customFormat="false" ht="13.8" hidden="false" customHeight="false" outlineLevel="0" collapsed="false">
      <c r="B655" s="2" t="n">
        <v>653</v>
      </c>
      <c r="C655" s="2" t="n">
        <v>0</v>
      </c>
      <c r="D655" s="2" t="n">
        <v>0</v>
      </c>
      <c r="E655" s="2" t="n">
        <v>0</v>
      </c>
    </row>
    <row r="656" customFormat="false" ht="13.8" hidden="false" customHeight="false" outlineLevel="0" collapsed="false">
      <c r="B656" s="2" t="n">
        <v>654</v>
      </c>
      <c r="C656" s="2" t="n">
        <v>7.61742844567751E-011</v>
      </c>
      <c r="D656" s="2" t="n">
        <v>0</v>
      </c>
      <c r="E656" s="2" t="n">
        <v>1.47837934365998E-010</v>
      </c>
    </row>
    <row r="657" customFormat="false" ht="13.8" hidden="false" customHeight="false" outlineLevel="0" collapsed="false">
      <c r="B657" s="2" t="n">
        <v>655</v>
      </c>
      <c r="C657" s="2" t="n">
        <v>7.61750523327287E-011</v>
      </c>
      <c r="D657" s="2" t="n">
        <v>0</v>
      </c>
      <c r="E657" s="2" t="n">
        <v>1.47839412390467E-010</v>
      </c>
    </row>
    <row r="658" customFormat="false" ht="13.8" hidden="false" customHeight="false" outlineLevel="0" collapsed="false">
      <c r="B658" s="2" t="n">
        <v>656</v>
      </c>
      <c r="C658" s="2" t="n">
        <v>7.61758144380958E-011</v>
      </c>
      <c r="D658" s="2" t="n">
        <v>1.31745577080623E-018</v>
      </c>
      <c r="E658" s="2" t="n">
        <v>1.47840891037486E-010</v>
      </c>
    </row>
    <row r="659" customFormat="false" ht="13.8" hidden="false" customHeight="false" outlineLevel="0" collapsed="false">
      <c r="B659" s="2" t="n">
        <v>657</v>
      </c>
      <c r="C659" s="2" t="n">
        <v>7.61765761528407E-011</v>
      </c>
      <c r="D659" s="2" t="n">
        <v>3.638022619922E-017</v>
      </c>
      <c r="E659" s="2" t="n">
        <v>1.4784236947316E-010</v>
      </c>
    </row>
    <row r="660" customFormat="false" ht="13.8" hidden="false" customHeight="false" outlineLevel="0" collapsed="false">
      <c r="B660" s="2" t="n">
        <v>658</v>
      </c>
      <c r="C660" s="2" t="n">
        <v>7.61773361595106E-011</v>
      </c>
      <c r="D660" s="2" t="n">
        <v>0</v>
      </c>
      <c r="E660" s="2" t="n">
        <v>1.47843851345865E-010</v>
      </c>
    </row>
    <row r="661" customFormat="false" ht="13.8" hidden="false" customHeight="false" outlineLevel="0" collapsed="false">
      <c r="B661" s="2" t="n">
        <v>659</v>
      </c>
      <c r="C661" s="2" t="n">
        <v>7.61781008997835E-011</v>
      </c>
      <c r="D661" s="2" t="n">
        <v>1.819011309961E-017</v>
      </c>
      <c r="E661" s="2" t="n">
        <v>1.47845326352166E-010</v>
      </c>
    </row>
    <row r="662" customFormat="false" ht="13.8" hidden="false" customHeight="false" outlineLevel="0" collapsed="false">
      <c r="B662" s="2" t="n">
        <v>660</v>
      </c>
      <c r="C662" s="2" t="n">
        <v>0</v>
      </c>
      <c r="D662" s="2" t="n">
        <v>0</v>
      </c>
      <c r="E662" s="2" t="n">
        <v>0</v>
      </c>
    </row>
    <row r="663" customFormat="false" ht="13.8" hidden="false" customHeight="false" outlineLevel="0" collapsed="false">
      <c r="B663" s="2" t="n">
        <v>661</v>
      </c>
      <c r="C663" s="2" t="n">
        <v>0</v>
      </c>
      <c r="D663" s="2" t="n">
        <v>0</v>
      </c>
      <c r="E663" s="2" t="n">
        <v>0</v>
      </c>
    </row>
    <row r="664" customFormat="false" ht="13.8" hidden="false" customHeight="false" outlineLevel="0" collapsed="false">
      <c r="B664" s="2" t="n">
        <v>662</v>
      </c>
      <c r="C664" s="2" t="n">
        <v>7.61803886789242E-011</v>
      </c>
      <c r="D664" s="2" t="n">
        <v>0</v>
      </c>
      <c r="E664" s="2" t="n">
        <v>1.47849764054301E-010</v>
      </c>
    </row>
    <row r="665" customFormat="false" ht="13.8" hidden="false" customHeight="false" outlineLevel="0" collapsed="false">
      <c r="B665" s="2" t="n">
        <v>663</v>
      </c>
      <c r="C665" s="2" t="n">
        <v>7.6181154609539E-011</v>
      </c>
      <c r="D665" s="2" t="n">
        <v>1.537761309961E-017</v>
      </c>
      <c r="E665" s="2" t="n">
        <v>1.47851240626471E-010</v>
      </c>
    </row>
    <row r="666" customFormat="false" ht="13.8" hidden="false" customHeight="false" outlineLevel="0" collapsed="false">
      <c r="B666" s="2" t="n">
        <v>664</v>
      </c>
      <c r="C666" s="2" t="n">
        <v>7.61819085466776E-011</v>
      </c>
      <c r="D666" s="2" t="n">
        <v>6.282556549805E-018</v>
      </c>
      <c r="E666" s="2" t="n">
        <v>1.47852719934528E-010</v>
      </c>
    </row>
    <row r="667" customFormat="false" ht="13.8" hidden="false" customHeight="false" outlineLevel="0" collapsed="false">
      <c r="B667" s="2" t="n">
        <v>665</v>
      </c>
      <c r="C667" s="2" t="n">
        <v>7.61826689439696E-011</v>
      </c>
      <c r="D667" s="2" t="n">
        <v>6.282556549805E-018</v>
      </c>
      <c r="E667" s="2" t="n">
        <v>1.47854198520291E-010</v>
      </c>
    </row>
    <row r="668" customFormat="false" ht="13.8" hidden="false" customHeight="false" outlineLevel="0" collapsed="false">
      <c r="B668" s="2" t="n">
        <v>666</v>
      </c>
      <c r="C668" s="2" t="n">
        <v>7.61834296430867E-011</v>
      </c>
      <c r="D668" s="2" t="n">
        <v>0</v>
      </c>
      <c r="E668" s="2" t="n">
        <v>1.47855677033257E-010</v>
      </c>
    </row>
    <row r="669" customFormat="false" ht="13.8" hidden="false" customHeight="false" outlineLevel="0" collapsed="false">
      <c r="B669" s="2" t="n">
        <v>667</v>
      </c>
      <c r="C669" s="2" t="n">
        <v>7.61841913578317E-011</v>
      </c>
      <c r="D669" s="2" t="n">
        <v>0</v>
      </c>
      <c r="E669" s="2" t="n">
        <v>1.47857154143004E-010</v>
      </c>
    </row>
    <row r="670" customFormat="false" ht="13.8" hidden="false" customHeight="false" outlineLevel="0" collapsed="false">
      <c r="B670" s="2" t="n">
        <v>668</v>
      </c>
      <c r="C670" s="2" t="n">
        <v>0</v>
      </c>
      <c r="D670" s="2" t="n">
        <v>0</v>
      </c>
      <c r="E670" s="2" t="n">
        <v>0</v>
      </c>
    </row>
    <row r="671" customFormat="false" ht="13.8" hidden="false" customHeight="false" outlineLevel="0" collapsed="false">
      <c r="B671" s="2" t="n">
        <v>669</v>
      </c>
      <c r="C671" s="2" t="n">
        <v>0</v>
      </c>
      <c r="D671" s="2" t="n">
        <v>0</v>
      </c>
      <c r="E671" s="2" t="n">
        <v>0</v>
      </c>
    </row>
    <row r="672" customFormat="false" ht="13.8" hidden="false" customHeight="false" outlineLevel="0" collapsed="false">
      <c r="B672" s="2" t="n">
        <v>670</v>
      </c>
      <c r="C672" s="2" t="n">
        <v>0</v>
      </c>
      <c r="D672" s="2" t="n">
        <v>0</v>
      </c>
      <c r="E672" s="2" t="n">
        <v>0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0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0</v>
      </c>
      <c r="D674" s="2" t="n">
        <v>0</v>
      </c>
      <c r="E6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I2:I4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0.0120024666666667</v>
      </c>
      <c r="D3" s="2" t="n">
        <v>0</v>
      </c>
      <c r="E3" s="2" t="n">
        <v>0.0233334666666667</v>
      </c>
    </row>
    <row r="4" customFormat="false" ht="13.8" hidden="false" customHeight="false" outlineLevel="0" collapsed="false">
      <c r="B4" s="2" t="n">
        <v>2</v>
      </c>
      <c r="C4" s="2" t="n">
        <v>0.0483854833333334</v>
      </c>
      <c r="D4" s="2" t="n">
        <v>0</v>
      </c>
      <c r="E4" s="2" t="n">
        <v>0.011</v>
      </c>
    </row>
    <row r="5" customFormat="false" ht="13.8" hidden="false" customHeight="false" outlineLevel="0" collapsed="false">
      <c r="B5" s="2" t="n">
        <v>3</v>
      </c>
      <c r="C5" s="2" t="n">
        <v>0.0551852666666666</v>
      </c>
      <c r="D5" s="2" t="n">
        <v>0</v>
      </c>
      <c r="E5" s="2" t="n">
        <v>0.01400005</v>
      </c>
    </row>
    <row r="6" customFormat="false" ht="13.8" hidden="false" customHeight="false" outlineLevel="0" collapsed="false">
      <c r="B6" s="2" t="n">
        <v>4</v>
      </c>
      <c r="C6" s="2" t="n">
        <v>0.0531676</v>
      </c>
      <c r="D6" s="2" t="n">
        <v>0.0333333333333333</v>
      </c>
      <c r="E6" s="2" t="n">
        <v>0.0100002</v>
      </c>
    </row>
    <row r="7" customFormat="false" ht="13.8" hidden="false" customHeight="false" outlineLevel="0" collapsed="false">
      <c r="B7" s="2" t="n">
        <v>5</v>
      </c>
      <c r="C7" s="2" t="n">
        <v>0.0542504333333334</v>
      </c>
      <c r="D7" s="2" t="n">
        <v>0.1</v>
      </c>
      <c r="E7" s="2" t="n">
        <v>0.024</v>
      </c>
    </row>
    <row r="8" customFormat="false" ht="13.8" hidden="false" customHeight="false" outlineLevel="0" collapsed="false">
      <c r="B8" s="2" t="n">
        <v>6</v>
      </c>
      <c r="C8" s="2" t="n">
        <v>0.03973355</v>
      </c>
      <c r="D8" s="2" t="n">
        <v>0.1</v>
      </c>
      <c r="E8" s="2" t="n">
        <v>0.011</v>
      </c>
    </row>
    <row r="9" customFormat="false" ht="13.8" hidden="false" customHeight="false" outlineLevel="0" collapsed="false">
      <c r="B9" s="2" t="n">
        <v>7</v>
      </c>
      <c r="C9" s="2" t="n">
        <v>0.0540334666666667</v>
      </c>
      <c r="D9" s="2" t="n">
        <v>0.1</v>
      </c>
      <c r="E9" s="2" t="n">
        <v>0.024</v>
      </c>
    </row>
    <row r="10" customFormat="false" ht="13.8" hidden="false" customHeight="false" outlineLevel="0" collapsed="false">
      <c r="B10" s="2" t="n">
        <v>8</v>
      </c>
      <c r="C10" s="2" t="n">
        <v>0.0411168333333333</v>
      </c>
      <c r="D10" s="2" t="n">
        <v>0.1</v>
      </c>
      <c r="E10" s="2" t="n">
        <v>0.011</v>
      </c>
    </row>
    <row r="11" customFormat="false" ht="13.8" hidden="false" customHeight="false" outlineLevel="0" collapsed="false">
      <c r="B11" s="2" t="n">
        <v>9</v>
      </c>
      <c r="C11" s="2" t="n">
        <v>0.0552501166666667</v>
      </c>
      <c r="D11" s="2" t="n">
        <v>0.1</v>
      </c>
      <c r="E11" s="2" t="n">
        <v>0.024</v>
      </c>
    </row>
    <row r="12" customFormat="false" ht="13.8" hidden="false" customHeight="false" outlineLevel="0" collapsed="false">
      <c r="B12" s="2" t="n">
        <v>10</v>
      </c>
      <c r="C12" s="2" t="n">
        <v>0.0400502666666667</v>
      </c>
      <c r="D12" s="2" t="n">
        <v>0.1</v>
      </c>
      <c r="E12" s="2" t="n">
        <v>0.011</v>
      </c>
    </row>
    <row r="13" customFormat="false" ht="13.8" hidden="false" customHeight="false" outlineLevel="0" collapsed="false">
      <c r="B13" s="2" t="n">
        <v>11</v>
      </c>
      <c r="C13" s="2" t="n">
        <v>0.0211667833333333</v>
      </c>
      <c r="D13" s="2" t="n">
        <v>0.1</v>
      </c>
      <c r="E13" s="2" t="n">
        <v>0.0133335166666667</v>
      </c>
    </row>
    <row r="14" customFormat="false" ht="13.8" hidden="false" customHeight="false" outlineLevel="0" collapsed="false">
      <c r="B14" s="2" t="n">
        <v>12</v>
      </c>
      <c r="C14" s="2" t="n">
        <v>0.0516</v>
      </c>
      <c r="D14" s="2" t="n">
        <v>0.1</v>
      </c>
      <c r="E14" s="2" t="n">
        <v>0.0166668333333333</v>
      </c>
    </row>
    <row r="15" customFormat="false" ht="13.8" hidden="false" customHeight="false" outlineLevel="0" collapsed="false">
      <c r="B15" s="2" t="n">
        <v>13</v>
      </c>
      <c r="C15" s="2" t="n">
        <v>0.0730501166666667</v>
      </c>
      <c r="D15" s="2" t="n">
        <v>0.1</v>
      </c>
      <c r="E15" s="2" t="n">
        <v>0.0175</v>
      </c>
    </row>
    <row r="16" customFormat="false" ht="13.8" hidden="false" customHeight="false" outlineLevel="0" collapsed="false">
      <c r="B16" s="2" t="n">
        <v>14</v>
      </c>
      <c r="C16" s="2" t="n">
        <v>0.0839666833333333</v>
      </c>
      <c r="D16" s="2" t="n">
        <v>0.1</v>
      </c>
      <c r="E16" s="2" t="n">
        <v>0.0141666833333333</v>
      </c>
    </row>
    <row r="17" customFormat="false" ht="13.8" hidden="false" customHeight="false" outlineLevel="0" collapsed="false">
      <c r="B17" s="2" t="n">
        <v>15</v>
      </c>
      <c r="C17" s="2" t="n">
        <v>0.0473166833333333</v>
      </c>
      <c r="D17" s="2" t="n">
        <v>0.1</v>
      </c>
      <c r="E17" s="2" t="n">
        <v>0.02075</v>
      </c>
    </row>
    <row r="18" customFormat="false" ht="13.8" hidden="false" customHeight="false" outlineLevel="0" collapsed="false">
      <c r="B18" s="2" t="n">
        <v>16</v>
      </c>
      <c r="C18" s="2" t="n">
        <v>0.0769001333333334</v>
      </c>
      <c r="D18" s="2" t="n">
        <v>0.1</v>
      </c>
      <c r="E18" s="2" t="n">
        <v>0.00758336666666668</v>
      </c>
    </row>
    <row r="19" customFormat="false" ht="13.8" hidden="false" customHeight="false" outlineLevel="0" collapsed="false">
      <c r="B19" s="2" t="n">
        <v>17</v>
      </c>
      <c r="C19" s="2" t="n">
        <v>0.0432002170861431</v>
      </c>
      <c r="D19" s="2" t="n">
        <v>0.10000000041907</v>
      </c>
      <c r="E19" s="2" t="n">
        <v>2.50054496422266E-007</v>
      </c>
    </row>
    <row r="20" customFormat="false" ht="13.8" hidden="false" customHeight="false" outlineLevel="0" collapsed="false">
      <c r="B20" s="2" t="n">
        <v>18</v>
      </c>
      <c r="C20" s="2" t="n">
        <v>0.0728669</v>
      </c>
      <c r="D20" s="2" t="n">
        <v>0.1</v>
      </c>
      <c r="E20" s="2" t="n">
        <v>0.03375</v>
      </c>
    </row>
    <row r="21" customFormat="false" ht="13.8" hidden="false" customHeight="false" outlineLevel="0" collapsed="false">
      <c r="B21" s="2" t="n">
        <v>19</v>
      </c>
      <c r="C21" s="2" t="n">
        <v>0.0409835166666667</v>
      </c>
      <c r="D21" s="2" t="n">
        <v>0.1</v>
      </c>
      <c r="E21" s="2" t="n">
        <v>0.00124999999999997</v>
      </c>
    </row>
    <row r="22" customFormat="false" ht="13.8" hidden="false" customHeight="false" outlineLevel="0" collapsed="false">
      <c r="B22" s="2" t="n">
        <v>20</v>
      </c>
      <c r="C22" s="2" t="n">
        <v>0.05368365</v>
      </c>
      <c r="D22" s="2" t="n">
        <v>0.1</v>
      </c>
      <c r="E22" s="2" t="n">
        <v>0.0266667833333333</v>
      </c>
    </row>
    <row r="23" customFormat="false" ht="13.8" hidden="false" customHeight="false" outlineLevel="0" collapsed="false">
      <c r="B23" s="2" t="n">
        <v>21</v>
      </c>
      <c r="C23" s="2" t="n">
        <v>0.0643004333333041</v>
      </c>
      <c r="D23" s="2" t="n">
        <v>0.099999999999564</v>
      </c>
      <c r="E23" s="2" t="n">
        <v>0.0109999996349777</v>
      </c>
    </row>
    <row r="24" customFormat="false" ht="13.8" hidden="false" customHeight="false" outlineLevel="0" collapsed="false">
      <c r="B24" s="2" t="n">
        <v>22</v>
      </c>
      <c r="C24" s="2" t="n">
        <v>0.0701107942126533</v>
      </c>
      <c r="D24" s="2" t="n">
        <v>0</v>
      </c>
      <c r="E24" s="2" t="n">
        <v>0.0237572718759255</v>
      </c>
    </row>
    <row r="25" customFormat="false" ht="13.8" hidden="false" customHeight="false" outlineLevel="0" collapsed="false">
      <c r="B25" s="2" t="n">
        <v>23</v>
      </c>
      <c r="C25" s="2" t="n">
        <v>0.0377217217586399</v>
      </c>
      <c r="D25" s="2" t="n">
        <v>0</v>
      </c>
      <c r="E25" s="2" t="n">
        <v>0.0105145437518502</v>
      </c>
    </row>
    <row r="26" customFormat="false" ht="13.8" hidden="false" customHeight="false" outlineLevel="0" collapsed="false">
      <c r="B26" s="2" t="n">
        <v>24</v>
      </c>
      <c r="C26" s="2" t="n">
        <v>0.0951658159712932</v>
      </c>
      <c r="D26" s="2" t="n">
        <v>0</v>
      </c>
      <c r="E26" s="2" t="n">
        <v>0.0132718656277757</v>
      </c>
    </row>
    <row r="27" customFormat="false" ht="13.8" hidden="false" customHeight="false" outlineLevel="0" collapsed="false">
      <c r="B27" s="2" t="n">
        <v>25</v>
      </c>
      <c r="C27" s="2" t="n">
        <v>0.0369265601839465</v>
      </c>
      <c r="D27" s="2" t="n">
        <v>0</v>
      </c>
      <c r="E27" s="2" t="n">
        <v>0.0262790875037006</v>
      </c>
    </row>
    <row r="28" customFormat="false" ht="13.8" hidden="false" customHeight="false" outlineLevel="0" collapsed="false">
      <c r="B28" s="2" t="n">
        <v>26</v>
      </c>
      <c r="C28" s="2" t="n">
        <v>0.0946078065742503</v>
      </c>
      <c r="D28" s="2" t="n">
        <v>8.06632640753909E-020</v>
      </c>
      <c r="E28" s="2" t="n">
        <v>0</v>
      </c>
    </row>
    <row r="29" customFormat="false" ht="13.8" hidden="false" customHeight="false" outlineLevel="0" collapsed="false">
      <c r="B29" s="2" t="n">
        <v>27</v>
      </c>
      <c r="C29" s="2" t="n">
        <v>0.0283922019916625</v>
      </c>
      <c r="D29" s="2" t="n">
        <v>2.29442173370001E-017</v>
      </c>
      <c r="E29" s="2" t="n">
        <v>0.0106178468025228</v>
      </c>
    </row>
    <row r="30" customFormat="false" ht="13.8" hidden="false" customHeight="false" outlineLevel="0" collapsed="false">
      <c r="B30" s="2" t="n">
        <v>28</v>
      </c>
      <c r="C30" s="2" t="n">
        <v>0.0620292743474555</v>
      </c>
      <c r="D30" s="2" t="n">
        <v>0</v>
      </c>
      <c r="E30" s="2" t="n">
        <v>8.23409856753909E-020</v>
      </c>
    </row>
    <row r="31" customFormat="false" ht="13.8" hidden="false" customHeight="false" outlineLevel="0" collapsed="false">
      <c r="B31" s="2" t="n">
        <v>29</v>
      </c>
      <c r="C31" s="2" t="n">
        <v>0.00531466656739192</v>
      </c>
      <c r="D31" s="2" t="n">
        <v>4.58884346740004E-017</v>
      </c>
      <c r="E31" s="2" t="n">
        <v>3.2936394270159E-019</v>
      </c>
    </row>
    <row r="32" customFormat="false" ht="13.8" hidden="false" customHeight="false" outlineLevel="0" collapsed="false">
      <c r="B32" s="2" t="n">
        <v>30</v>
      </c>
      <c r="C32" s="2" t="n">
        <v>1.31745577080639E-018</v>
      </c>
      <c r="D32" s="2" t="n">
        <v>0</v>
      </c>
      <c r="E32" s="2" t="n">
        <v>0</v>
      </c>
    </row>
    <row r="33" customFormat="false" ht="13.8" hidden="false" customHeight="false" outlineLevel="0" collapsed="false">
      <c r="B33" s="2" t="n">
        <v>31</v>
      </c>
      <c r="C33" s="2" t="n">
        <v>0</v>
      </c>
      <c r="D33" s="2" t="n">
        <v>0</v>
      </c>
      <c r="E33" s="2" t="n">
        <v>0</v>
      </c>
    </row>
    <row r="34" customFormat="false" ht="13.8" hidden="false" customHeight="false" outlineLevel="0" collapsed="false">
      <c r="B34" s="2" t="n">
        <v>32</v>
      </c>
      <c r="C34" s="2" t="n">
        <v>1.17107179627222E-017</v>
      </c>
      <c r="D34" s="2" t="n">
        <v>2.34214359254445E-017</v>
      </c>
      <c r="E34" s="2" t="n">
        <v>0</v>
      </c>
    </row>
    <row r="35" customFormat="false" ht="13.8" hidden="false" customHeight="false" outlineLevel="0" collapsed="false">
      <c r="B35" s="2" t="n">
        <v>33</v>
      </c>
      <c r="C35" s="2" t="n">
        <v>0</v>
      </c>
      <c r="D35" s="2" t="n">
        <v>0</v>
      </c>
      <c r="E35" s="2" t="n">
        <v>0</v>
      </c>
    </row>
    <row r="36" customFormat="false" ht="13.8" hidden="false" customHeight="false" outlineLevel="0" collapsed="false">
      <c r="B36" s="2" t="n">
        <v>34</v>
      </c>
      <c r="C36" s="2" t="n">
        <v>0</v>
      </c>
      <c r="D36" s="2" t="n">
        <v>0</v>
      </c>
      <c r="E36" s="2" t="n">
        <v>2.34214359254445E-017</v>
      </c>
    </row>
    <row r="37" customFormat="false" ht="13.8" hidden="false" customHeight="false" outlineLevel="0" collapsed="false">
      <c r="B37" s="2" t="n">
        <v>35</v>
      </c>
      <c r="C37" s="2" t="n">
        <v>0</v>
      </c>
      <c r="D37" s="2" t="n">
        <v>2.34214359254445E-017</v>
      </c>
      <c r="E37" s="2" t="n">
        <v>0</v>
      </c>
    </row>
    <row r="38" customFormat="false" ht="13.8" hidden="false" customHeight="false" outlineLevel="0" collapsed="false">
      <c r="B38" s="2" t="n">
        <v>36</v>
      </c>
      <c r="C38" s="2" t="n">
        <v>3.51321538881667E-017</v>
      </c>
      <c r="D38" s="2" t="n">
        <v>0</v>
      </c>
      <c r="E38" s="2" t="n">
        <v>0</v>
      </c>
    </row>
    <row r="39" customFormat="false" ht="13.8" hidden="false" customHeight="false" outlineLevel="0" collapsed="false">
      <c r="B39" s="2" t="n">
        <v>37</v>
      </c>
      <c r="C39" s="2" t="n">
        <v>0</v>
      </c>
      <c r="D39" s="2" t="n">
        <v>0</v>
      </c>
      <c r="E39" s="2" t="n">
        <v>0</v>
      </c>
    </row>
    <row r="40" customFormat="false" ht="13.8" hidden="false" customHeight="false" outlineLevel="0" collapsed="false">
      <c r="B40" s="2" t="n">
        <v>38</v>
      </c>
      <c r="C40" s="2" t="n">
        <v>0</v>
      </c>
      <c r="D40" s="2" t="n">
        <v>0</v>
      </c>
      <c r="E40" s="2" t="n">
        <v>0</v>
      </c>
    </row>
    <row r="41" customFormat="false" ht="13.8" hidden="false" customHeight="false" outlineLevel="0" collapsed="false">
      <c r="B41" s="2" t="n">
        <v>39</v>
      </c>
      <c r="C41" s="2" t="n">
        <v>0</v>
      </c>
      <c r="D41" s="2" t="n">
        <v>2.34214359254445E-017</v>
      </c>
      <c r="E41" s="2" t="n">
        <v>0</v>
      </c>
    </row>
    <row r="42" customFormat="false" ht="13.8" hidden="false" customHeight="false" outlineLevel="0" collapsed="false">
      <c r="B42" s="2" t="n">
        <v>40</v>
      </c>
      <c r="C42" s="2" t="n">
        <v>1.17107179627222E-017</v>
      </c>
      <c r="D42" s="2" t="n">
        <v>0</v>
      </c>
      <c r="E42" s="2" t="n">
        <v>2.34214359254445E-017</v>
      </c>
    </row>
    <row r="43" customFormat="false" ht="13.8" hidden="false" customHeight="false" outlineLevel="0" collapsed="false">
      <c r="B43" s="2" t="n">
        <v>41</v>
      </c>
      <c r="C43" s="2" t="n">
        <v>0</v>
      </c>
      <c r="D43" s="2" t="n">
        <v>0</v>
      </c>
      <c r="E43" s="2" t="n">
        <v>0</v>
      </c>
    </row>
    <row r="44" customFormat="false" ht="13.8" hidden="false" customHeight="false" outlineLevel="0" collapsed="false">
      <c r="B44" s="2" t="n">
        <v>42</v>
      </c>
      <c r="C44" s="2" t="n">
        <v>0</v>
      </c>
      <c r="D44" s="2" t="n">
        <v>0</v>
      </c>
      <c r="E44" s="2" t="n">
        <v>0</v>
      </c>
    </row>
    <row r="45" customFormat="false" ht="13.8" hidden="false" customHeight="false" outlineLevel="0" collapsed="false">
      <c r="B45" s="2" t="n">
        <v>43</v>
      </c>
      <c r="C45" s="2" t="n">
        <v>1.17107179627222E-017</v>
      </c>
      <c r="D45" s="2" t="n">
        <v>2.34214359254445E-017</v>
      </c>
      <c r="E45" s="2" t="n">
        <v>0</v>
      </c>
    </row>
    <row r="46" customFormat="false" ht="13.8" hidden="false" customHeight="false" outlineLevel="0" collapsed="false">
      <c r="B46" s="2" t="n">
        <v>44</v>
      </c>
      <c r="C46" s="2" t="n">
        <v>0</v>
      </c>
      <c r="D46" s="2" t="n">
        <v>0</v>
      </c>
      <c r="E46" s="2" t="n">
        <v>2.34214359254445E-017</v>
      </c>
    </row>
    <row r="47" customFormat="false" ht="13.8" hidden="false" customHeight="false" outlineLevel="0" collapsed="false">
      <c r="B47" s="2" t="n">
        <v>45</v>
      </c>
      <c r="C47" s="2" t="n">
        <v>0</v>
      </c>
      <c r="D47" s="2" t="n">
        <v>4.6842871850889E-017</v>
      </c>
      <c r="E47" s="2" t="n">
        <v>0</v>
      </c>
    </row>
    <row r="48" customFormat="false" ht="13.8" hidden="false" customHeight="false" outlineLevel="0" collapsed="false">
      <c r="B48" s="2" t="n">
        <v>46</v>
      </c>
      <c r="C48" s="2" t="n">
        <v>0</v>
      </c>
      <c r="D48" s="2" t="n">
        <v>0</v>
      </c>
      <c r="E48" s="2" t="n">
        <v>0</v>
      </c>
    </row>
    <row r="49" customFormat="false" ht="13.8" hidden="false" customHeight="false" outlineLevel="0" collapsed="false">
      <c r="B49" s="2" t="n">
        <v>47</v>
      </c>
      <c r="C49" s="2" t="n">
        <v>0</v>
      </c>
      <c r="D49" s="2" t="n">
        <v>2.34214359254445E-017</v>
      </c>
      <c r="E49" s="2" t="n">
        <v>0</v>
      </c>
    </row>
    <row r="50" customFormat="false" ht="13.8" hidden="false" customHeight="false" outlineLevel="0" collapsed="false">
      <c r="B50" s="2" t="n">
        <v>48</v>
      </c>
      <c r="C50" s="2" t="n">
        <v>0</v>
      </c>
      <c r="D50" s="2" t="n">
        <v>0</v>
      </c>
      <c r="E50" s="2" t="n">
        <v>0</v>
      </c>
    </row>
    <row r="51" customFormat="false" ht="13.8" hidden="false" customHeight="false" outlineLevel="0" collapsed="false">
      <c r="B51" s="2" t="n">
        <v>49</v>
      </c>
      <c r="C51" s="2" t="n">
        <v>0</v>
      </c>
      <c r="D51" s="2" t="n">
        <v>0</v>
      </c>
      <c r="E51" s="2" t="n">
        <v>0</v>
      </c>
    </row>
    <row r="52" customFormat="false" ht="13.8" hidden="false" customHeight="false" outlineLevel="0" collapsed="false">
      <c r="B52" s="2" t="n">
        <v>50</v>
      </c>
      <c r="C52" s="2" t="n">
        <v>0</v>
      </c>
      <c r="D52" s="2" t="n">
        <v>0</v>
      </c>
      <c r="E52" s="2" t="n">
        <v>4.6842871850889E-017</v>
      </c>
    </row>
    <row r="53" customFormat="false" ht="13.8" hidden="false" customHeight="false" outlineLevel="0" collapsed="false">
      <c r="B53" s="2" t="n">
        <v>51</v>
      </c>
      <c r="C53" s="2" t="n">
        <v>0</v>
      </c>
      <c r="D53" s="2" t="n">
        <v>0</v>
      </c>
      <c r="E53" s="2" t="n">
        <v>0</v>
      </c>
    </row>
    <row r="54" customFormat="false" ht="13.8" hidden="false" customHeight="false" outlineLevel="0" collapsed="false">
      <c r="B54" s="2" t="n">
        <v>52</v>
      </c>
      <c r="C54" s="2" t="n">
        <v>0</v>
      </c>
      <c r="D54" s="2" t="n">
        <v>0</v>
      </c>
      <c r="E54" s="2" t="n">
        <v>0</v>
      </c>
    </row>
    <row r="55" customFormat="false" ht="13.8" hidden="false" customHeight="false" outlineLevel="0" collapsed="false">
      <c r="B55" s="2" t="n">
        <v>53</v>
      </c>
      <c r="C55" s="2" t="n">
        <v>6.61306109835307E-015</v>
      </c>
      <c r="D55" s="2" t="n">
        <v>0</v>
      </c>
      <c r="E55" s="2" t="n">
        <v>3.34480230451096E-011</v>
      </c>
    </row>
    <row r="56" customFormat="false" ht="13.8" hidden="false" customHeight="false" outlineLevel="0" collapsed="false">
      <c r="B56" s="2" t="n">
        <v>54</v>
      </c>
      <c r="C56" s="2" t="n">
        <v>0</v>
      </c>
      <c r="D56" s="2" t="n">
        <v>0</v>
      </c>
      <c r="E56" s="2" t="n">
        <v>0</v>
      </c>
    </row>
    <row r="57" customFormat="false" ht="13.8" hidden="false" customHeight="false" outlineLevel="0" collapsed="false">
      <c r="B57" s="2" t="n">
        <v>55</v>
      </c>
      <c r="C57" s="2" t="n">
        <v>1.14543179786795E-012</v>
      </c>
      <c r="D57" s="2" t="n">
        <v>1.00830044770511E-014</v>
      </c>
      <c r="E57" s="2" t="n">
        <v>1.03103009545699E-010</v>
      </c>
    </row>
    <row r="58" customFormat="false" ht="13.8" hidden="false" customHeight="false" outlineLevel="0" collapsed="false">
      <c r="B58" s="2" t="n">
        <v>56</v>
      </c>
      <c r="C58" s="2" t="n">
        <v>0</v>
      </c>
      <c r="D58" s="2" t="n">
        <v>0</v>
      </c>
      <c r="E58" s="2" t="n">
        <v>0</v>
      </c>
    </row>
    <row r="59" customFormat="false" ht="13.8" hidden="false" customHeight="false" outlineLevel="0" collapsed="false">
      <c r="B59" s="2" t="n">
        <v>57</v>
      </c>
      <c r="C59" s="2" t="n">
        <v>0</v>
      </c>
      <c r="D59" s="2" t="n">
        <v>0</v>
      </c>
      <c r="E59" s="2" t="n">
        <v>0</v>
      </c>
    </row>
    <row r="60" customFormat="false" ht="13.8" hidden="false" customHeight="false" outlineLevel="0" collapsed="false">
      <c r="B60" s="2" t="n">
        <v>58</v>
      </c>
      <c r="C60" s="2" t="n">
        <v>4.39629160875641E-017</v>
      </c>
      <c r="D60" s="2" t="n">
        <v>0</v>
      </c>
      <c r="E60" s="2" t="n">
        <v>0</v>
      </c>
    </row>
    <row r="61" customFormat="false" ht="13.8" hidden="false" customHeight="false" outlineLevel="0" collapsed="false">
      <c r="B61" s="2" t="n">
        <v>59</v>
      </c>
      <c r="C61" s="2" t="n">
        <v>9.76562501463884E-019</v>
      </c>
      <c r="D61" s="2" t="n">
        <v>0</v>
      </c>
      <c r="E61" s="2" t="n">
        <v>0</v>
      </c>
    </row>
    <row r="62" customFormat="false" ht="13.8" hidden="false" customHeight="false" outlineLevel="0" collapsed="false">
      <c r="B62" s="2" t="n">
        <v>60</v>
      </c>
      <c r="C62" s="2" t="n">
        <v>2.49232723519841E-012</v>
      </c>
      <c r="D62" s="2" t="n">
        <v>1.79851055429936E-014</v>
      </c>
      <c r="E62" s="2" t="n">
        <v>0</v>
      </c>
    </row>
    <row r="63" customFormat="false" ht="13.8" hidden="false" customHeight="false" outlineLevel="0" collapsed="false">
      <c r="B63" s="2" t="n">
        <v>61</v>
      </c>
      <c r="C63" s="2" t="n">
        <v>1.45476167744456E-017</v>
      </c>
      <c r="D63" s="2" t="n">
        <v>0</v>
      </c>
      <c r="E63" s="2" t="n">
        <v>0</v>
      </c>
    </row>
    <row r="64" customFormat="false" ht="13.8" hidden="false" customHeight="false" outlineLevel="0" collapsed="false">
      <c r="B64" s="2" t="n">
        <v>62</v>
      </c>
      <c r="C64" s="2" t="n">
        <v>8.88526629477499E-017</v>
      </c>
      <c r="D64" s="2" t="n">
        <v>0</v>
      </c>
      <c r="E64" s="2" t="n">
        <v>0</v>
      </c>
    </row>
    <row r="65" customFormat="false" ht="13.8" hidden="false" customHeight="false" outlineLevel="0" collapsed="false">
      <c r="B65" s="2" t="n">
        <v>63</v>
      </c>
      <c r="C65" s="2" t="n">
        <v>0</v>
      </c>
      <c r="D65" s="2" t="n">
        <v>6.24365915818088E-017</v>
      </c>
      <c r="E65" s="2" t="n">
        <v>1.4768910710194E-017</v>
      </c>
    </row>
    <row r="66" customFormat="false" ht="13.8" hidden="false" customHeight="false" outlineLevel="0" collapsed="false">
      <c r="B66" s="2" t="n">
        <v>64</v>
      </c>
      <c r="C66" s="2" t="n">
        <v>0</v>
      </c>
      <c r="D66" s="2" t="n">
        <v>0</v>
      </c>
      <c r="E66" s="2" t="n">
        <v>0</v>
      </c>
    </row>
    <row r="67" customFormat="false" ht="13.8" hidden="false" customHeight="false" outlineLevel="0" collapsed="false">
      <c r="B67" s="2" t="n">
        <v>65</v>
      </c>
      <c r="C67" s="2" t="n">
        <v>0</v>
      </c>
      <c r="D67" s="2" t="n">
        <v>0</v>
      </c>
      <c r="E67" s="2" t="n">
        <v>0</v>
      </c>
    </row>
    <row r="68" customFormat="false" ht="13.8" hidden="false" customHeight="false" outlineLevel="0" collapsed="false">
      <c r="B68" s="2" t="n">
        <v>66</v>
      </c>
      <c r="C68" s="2" t="n">
        <v>4.10402004892731E-012</v>
      </c>
      <c r="D68" s="2" t="n">
        <v>2.38598051116346E-014</v>
      </c>
      <c r="E68" s="2" t="n">
        <v>1.68609212451523E-010</v>
      </c>
    </row>
    <row r="69" customFormat="false" ht="13.8" hidden="false" customHeight="false" outlineLevel="0" collapsed="false">
      <c r="B69" s="2" t="n">
        <v>67</v>
      </c>
      <c r="C69" s="2" t="n">
        <v>4.37259543708926E-012</v>
      </c>
      <c r="D69" s="2" t="n">
        <v>2.46453501969956E-014</v>
      </c>
      <c r="E69" s="2" t="n">
        <v>1.66086704196096E-010</v>
      </c>
    </row>
    <row r="70" customFormat="false" ht="13.8" hidden="false" customHeight="false" outlineLevel="0" collapsed="false">
      <c r="B70" s="2" t="n">
        <v>68</v>
      </c>
      <c r="C70" s="2" t="n">
        <v>0</v>
      </c>
      <c r="D70" s="2" t="n">
        <v>0</v>
      </c>
      <c r="E70" s="2" t="n">
        <v>0</v>
      </c>
    </row>
    <row r="71" customFormat="false" ht="13.8" hidden="false" customHeight="false" outlineLevel="0" collapsed="false">
      <c r="B71" s="2" t="n">
        <v>69</v>
      </c>
      <c r="C71" s="2" t="n">
        <v>0.0110532799184213</v>
      </c>
      <c r="D71" s="2" t="n">
        <v>0</v>
      </c>
      <c r="E71" s="2" t="n">
        <v>0.0164151988547207</v>
      </c>
    </row>
    <row r="72" customFormat="false" ht="13.8" hidden="false" customHeight="false" outlineLevel="0" collapsed="false">
      <c r="B72" s="2" t="n">
        <v>70</v>
      </c>
      <c r="C72" s="2" t="n">
        <v>0.0993390517597901</v>
      </c>
      <c r="D72" s="2" t="n">
        <v>0</v>
      </c>
      <c r="E72" s="2" t="n">
        <v>0.00139586565340003</v>
      </c>
    </row>
    <row r="73" customFormat="false" ht="13.8" hidden="false" customHeight="false" outlineLevel="0" collapsed="false">
      <c r="B73" s="2" t="n">
        <v>71</v>
      </c>
      <c r="C73" s="2" t="n">
        <v>0.0360270149659823</v>
      </c>
      <c r="D73" s="2" t="n">
        <v>0.00154669708913047</v>
      </c>
      <c r="E73" s="2" t="n">
        <v>0.0970776273382292</v>
      </c>
    </row>
    <row r="74" customFormat="false" ht="13.8" hidden="false" customHeight="false" outlineLevel="0" collapsed="false">
      <c r="B74" s="2" t="n">
        <v>72</v>
      </c>
      <c r="C74" s="2" t="n">
        <v>0.0615137574943812</v>
      </c>
      <c r="D74" s="2" t="n">
        <v>2.77366995964655E-010</v>
      </c>
      <c r="E74" s="2" t="n">
        <v>0.115287437213681</v>
      </c>
    </row>
    <row r="75" customFormat="false" ht="13.8" hidden="false" customHeight="false" outlineLevel="0" collapsed="false">
      <c r="B75" s="2" t="n">
        <v>73</v>
      </c>
      <c r="C75" s="2" t="n">
        <v>0.0705839166669339</v>
      </c>
      <c r="D75" s="2" t="n">
        <v>7.88709701626828E-012</v>
      </c>
      <c r="E75" s="2" t="n">
        <v>0.114167133311087</v>
      </c>
    </row>
    <row r="76" customFormat="false" ht="13.8" hidden="false" customHeight="false" outlineLevel="0" collapsed="false">
      <c r="B76" s="2" t="n">
        <v>74</v>
      </c>
      <c r="C76" s="2" t="n">
        <v>0.0869178166669292</v>
      </c>
      <c r="D76" s="2" t="n">
        <v>7.77654279599381E-012</v>
      </c>
      <c r="E76" s="2" t="n">
        <v>0.112000149970012</v>
      </c>
    </row>
    <row r="77" customFormat="false" ht="13.8" hidden="false" customHeight="false" outlineLevel="0" collapsed="false">
      <c r="B77" s="2" t="n">
        <v>75</v>
      </c>
      <c r="C77" s="2" t="n">
        <v>0.0778351833335911</v>
      </c>
      <c r="D77" s="2" t="n">
        <v>7.66633123742895E-012</v>
      </c>
      <c r="E77" s="2" t="n">
        <v>0.10549999996227</v>
      </c>
    </row>
    <row r="78" customFormat="false" ht="13.8" hidden="false" customHeight="false" outlineLevel="0" collapsed="false">
      <c r="B78" s="2" t="n">
        <v>76</v>
      </c>
      <c r="C78" s="2" t="n">
        <v>0.0454528500002532</v>
      </c>
      <c r="D78" s="2" t="n">
        <v>7.55698661915065E-012</v>
      </c>
      <c r="E78" s="2" t="n">
        <v>0.0920000666211942</v>
      </c>
    </row>
    <row r="79" customFormat="false" ht="13.8" hidden="false" customHeight="false" outlineLevel="0" collapsed="false">
      <c r="B79" s="2" t="n">
        <v>77</v>
      </c>
      <c r="C79" s="2" t="n">
        <v>0.102569800000249</v>
      </c>
      <c r="D79" s="2" t="n">
        <v>7.44835234806534E-012</v>
      </c>
      <c r="E79" s="2" t="n">
        <v>0.0555000332801187</v>
      </c>
    </row>
    <row r="80" customFormat="false" ht="13.8" hidden="false" customHeight="false" outlineLevel="0" collapsed="false">
      <c r="B80" s="2" t="n">
        <v>78</v>
      </c>
      <c r="C80" s="2" t="n">
        <v>0.0647030333335776</v>
      </c>
      <c r="D80" s="2" t="n">
        <v>0.0333333333333332</v>
      </c>
      <c r="E80" s="2" t="n">
        <v>0.0369999999390433</v>
      </c>
    </row>
    <row r="81" customFormat="false" ht="13.8" hidden="false" customHeight="false" outlineLevel="0" collapsed="false">
      <c r="B81" s="2" t="n">
        <v>79</v>
      </c>
      <c r="C81" s="2" t="n">
        <v>0.131503333333573</v>
      </c>
      <c r="D81" s="2" t="n">
        <v>0.1</v>
      </c>
      <c r="E81" s="2" t="n">
        <v>0.0304999999313011</v>
      </c>
    </row>
    <row r="82" customFormat="false" ht="13.8" hidden="false" customHeight="false" outlineLevel="0" collapsed="false">
      <c r="B82" s="2" t="n">
        <v>80</v>
      </c>
      <c r="C82" s="2" t="n">
        <v>0.0508211500002356</v>
      </c>
      <c r="D82" s="2" t="n">
        <v>0.1</v>
      </c>
      <c r="E82" s="2" t="n">
        <v>0.036999999923559</v>
      </c>
    </row>
    <row r="83" customFormat="false" ht="13.8" hidden="false" customHeight="false" outlineLevel="0" collapsed="false">
      <c r="B83" s="2" t="n">
        <v>81</v>
      </c>
      <c r="C83" s="2" t="n">
        <v>0.107037566666898</v>
      </c>
      <c r="D83" s="2" t="n">
        <v>0.1</v>
      </c>
      <c r="E83" s="2" t="n">
        <v>0.0304999999158169</v>
      </c>
    </row>
    <row r="84" customFormat="false" ht="13.8" hidden="false" customHeight="false" outlineLevel="0" collapsed="false">
      <c r="B84" s="2" t="n">
        <v>82</v>
      </c>
      <c r="C84" s="2" t="n">
        <v>0.0637206833335606</v>
      </c>
      <c r="D84" s="2" t="n">
        <v>0.0999999999999999</v>
      </c>
      <c r="E84" s="2" t="n">
        <v>0.0369999999080748</v>
      </c>
    </row>
    <row r="85" customFormat="false" ht="13.8" hidden="false" customHeight="false" outlineLevel="0" collapsed="false">
      <c r="B85" s="2" t="n">
        <v>83</v>
      </c>
      <c r="C85" s="2" t="n">
        <v>0.0995536166668899</v>
      </c>
      <c r="D85" s="2" t="n">
        <v>0.1</v>
      </c>
      <c r="E85" s="2" t="n">
        <v>0.0304999999003327</v>
      </c>
    </row>
    <row r="86" customFormat="false" ht="13.8" hidden="false" customHeight="false" outlineLevel="0" collapsed="false">
      <c r="B86" s="2" t="n">
        <v>84</v>
      </c>
      <c r="C86" s="2" t="n">
        <v>0.105836916666886</v>
      </c>
      <c r="D86" s="2" t="n">
        <v>0.1</v>
      </c>
      <c r="E86" s="2" t="n">
        <v>0.0369999998925906</v>
      </c>
    </row>
    <row r="87" customFormat="false" ht="13.8" hidden="false" customHeight="false" outlineLevel="0" collapsed="false">
      <c r="B87" s="2" t="n">
        <v>85</v>
      </c>
      <c r="C87" s="2" t="n">
        <v>0.0902207333335487</v>
      </c>
      <c r="D87" s="2" t="n">
        <v>0.1</v>
      </c>
      <c r="E87" s="2" t="n">
        <v>0.0304999998848485</v>
      </c>
    </row>
    <row r="88" customFormat="false" ht="13.8" hidden="false" customHeight="false" outlineLevel="0" collapsed="false">
      <c r="B88" s="2" t="n">
        <v>86</v>
      </c>
      <c r="C88" s="2" t="n">
        <v>0.0780373000002115</v>
      </c>
      <c r="D88" s="2" t="n">
        <v>0.1</v>
      </c>
      <c r="E88" s="2" t="n">
        <v>0.0369999998771063</v>
      </c>
    </row>
    <row r="89" customFormat="false" ht="13.8" hidden="false" customHeight="false" outlineLevel="0" collapsed="false">
      <c r="B89" s="2" t="n">
        <v>87</v>
      </c>
      <c r="C89" s="2" t="n">
        <v>0.0721701334603091</v>
      </c>
      <c r="D89" s="2" t="n">
        <v>0.10000000012047</v>
      </c>
      <c r="E89" s="2" t="n">
        <v>0.0304999999961308</v>
      </c>
    </row>
    <row r="90" customFormat="false" ht="13.8" hidden="false" customHeight="false" outlineLevel="0" collapsed="false">
      <c r="B90" s="2" t="n">
        <v>88</v>
      </c>
      <c r="C90" s="2" t="n">
        <v>0.0946864001347143</v>
      </c>
      <c r="D90" s="2" t="n">
        <v>0.100000000128208</v>
      </c>
      <c r="E90" s="2" t="n">
        <v>0.0369999999961308</v>
      </c>
    </row>
    <row r="91" customFormat="false" ht="13.8" hidden="false" customHeight="false" outlineLevel="0" collapsed="false">
      <c r="B91" s="2" t="n">
        <v>89</v>
      </c>
      <c r="C91" s="2" t="n">
        <v>0.079019850142453</v>
      </c>
      <c r="D91" s="2" t="n">
        <v>0.100000000135947</v>
      </c>
      <c r="E91" s="2" t="n">
        <v>0.0168334666627974</v>
      </c>
    </row>
    <row r="92" customFormat="false" ht="13.8" hidden="false" customHeight="false" outlineLevel="0" collapsed="false">
      <c r="B92" s="2" t="n">
        <v>90</v>
      </c>
      <c r="C92" s="2" t="n">
        <v>0.0420206168168584</v>
      </c>
      <c r="D92" s="2" t="n">
        <v>0.100000000143686</v>
      </c>
      <c r="E92" s="2" t="n">
        <v>0.0174999999961307</v>
      </c>
    </row>
    <row r="93" customFormat="false" ht="13.8" hidden="false" customHeight="false" outlineLevel="0" collapsed="false">
      <c r="B93" s="2" t="n">
        <v>91</v>
      </c>
      <c r="C93" s="2" t="n">
        <v>0.0380035834912639</v>
      </c>
      <c r="D93" s="2" t="n">
        <v>0.100000000151424</v>
      </c>
      <c r="E93" s="2" t="n">
        <v>0.0174999999961306</v>
      </c>
    </row>
    <row r="94" customFormat="false" ht="13.8" hidden="false" customHeight="false" outlineLevel="0" collapsed="false">
      <c r="B94" s="2" t="n">
        <v>92</v>
      </c>
      <c r="C94" s="2" t="n">
        <v>0.0991698501656694</v>
      </c>
      <c r="D94" s="2" t="n">
        <v>0.100000000159163</v>
      </c>
      <c r="E94" s="2" t="n">
        <v>0.0174999999961306</v>
      </c>
    </row>
    <row r="95" customFormat="false" ht="13.8" hidden="false" customHeight="false" outlineLevel="0" collapsed="false">
      <c r="B95" s="2" t="n">
        <v>93</v>
      </c>
      <c r="C95" s="2" t="n">
        <v>0.0538019668400751</v>
      </c>
      <c r="D95" s="2" t="n">
        <v>0.100000000166902</v>
      </c>
      <c r="E95" s="2" t="n">
        <v>0.000500149996130554</v>
      </c>
    </row>
    <row r="96" customFormat="false" ht="13.8" hidden="false" customHeight="false" outlineLevel="0" collapsed="false">
      <c r="B96" s="2" t="n">
        <v>94</v>
      </c>
      <c r="C96" s="2" t="n">
        <v>0.110685200181147</v>
      </c>
      <c r="D96" s="2" t="n">
        <v>0.100000000174641</v>
      </c>
      <c r="E96" s="2" t="n">
        <v>0.0334167333294638</v>
      </c>
    </row>
    <row r="97" customFormat="false" ht="13.8" hidden="false" customHeight="false" outlineLevel="0" collapsed="false">
      <c r="B97" s="2" t="n">
        <v>95</v>
      </c>
      <c r="C97" s="2" t="n">
        <v>0.0400524333335115</v>
      </c>
      <c r="D97" s="2" t="n">
        <v>0.1</v>
      </c>
      <c r="E97" s="2" t="n">
        <v>0.00124999980742523</v>
      </c>
    </row>
    <row r="98" customFormat="false" ht="13.8" hidden="false" customHeight="false" outlineLevel="0" collapsed="false">
      <c r="B98" s="2" t="n">
        <v>96</v>
      </c>
      <c r="C98" s="2" t="n">
        <v>0.035419333333508</v>
      </c>
      <c r="D98" s="2" t="n">
        <v>0.0933333333333334</v>
      </c>
      <c r="E98" s="2" t="n">
        <v>0.000333516466349301</v>
      </c>
    </row>
    <row r="99" customFormat="false" ht="13.8" hidden="false" customHeight="false" outlineLevel="0" collapsed="false">
      <c r="B99" s="2" t="n">
        <v>97</v>
      </c>
      <c r="C99" s="2" t="n">
        <v>0.0310197333335044</v>
      </c>
      <c r="D99" s="2" t="n">
        <v>0.1</v>
      </c>
      <c r="E99" s="2" t="n">
        <v>0.0133335164586067</v>
      </c>
    </row>
    <row r="100" customFormat="false" ht="13.8" hidden="false" customHeight="false" outlineLevel="0" collapsed="false">
      <c r="B100" s="2" t="n">
        <v>98</v>
      </c>
      <c r="C100" s="2" t="n">
        <v>0.110585000000168</v>
      </c>
      <c r="D100" s="2" t="n">
        <v>0.1</v>
      </c>
      <c r="E100" s="2" t="n">
        <v>0.0207499997841974</v>
      </c>
    </row>
    <row r="101" customFormat="false" ht="13.8" hidden="false" customHeight="false" outlineLevel="0" collapsed="false">
      <c r="B101" s="2" t="n">
        <v>99</v>
      </c>
      <c r="C101" s="2" t="n">
        <v>0.0397513666668309</v>
      </c>
      <c r="D101" s="2" t="n">
        <v>0.1</v>
      </c>
      <c r="E101" s="2" t="n">
        <v>0.0142499997764547</v>
      </c>
    </row>
    <row r="102" customFormat="false" ht="13.8" hidden="false" customHeight="false" outlineLevel="0" collapsed="false">
      <c r="B102" s="2" t="n">
        <v>100</v>
      </c>
      <c r="C102" s="2" t="n">
        <v>0.0416178500001608</v>
      </c>
      <c r="D102" s="2" t="n">
        <v>0.1</v>
      </c>
      <c r="E102" s="2" t="n">
        <v>0.0400833664353788</v>
      </c>
    </row>
    <row r="103" customFormat="false" ht="13.8" hidden="false" customHeight="false" outlineLevel="0" collapsed="false">
      <c r="B103" s="2" t="n">
        <v>101</v>
      </c>
      <c r="C103" s="2" t="n">
        <v>0.0529834833334908</v>
      </c>
      <c r="D103" s="2" t="n">
        <v>0.1</v>
      </c>
      <c r="E103" s="2" t="n">
        <v>0.00124999976096938</v>
      </c>
    </row>
    <row r="104" customFormat="false" ht="13.8" hidden="false" customHeight="false" outlineLevel="0" collapsed="false">
      <c r="B104" s="2" t="n">
        <v>102</v>
      </c>
      <c r="C104" s="2" t="n">
        <v>0.0176836333334875</v>
      </c>
      <c r="D104" s="2" t="n">
        <v>0.1</v>
      </c>
      <c r="E104" s="2" t="n">
        <v>0.0303333664198933</v>
      </c>
    </row>
    <row r="105" customFormat="false" ht="13.8" hidden="false" customHeight="false" outlineLevel="0" collapsed="false">
      <c r="B105" s="2" t="n">
        <v>103</v>
      </c>
      <c r="C105" s="2" t="n">
        <v>0.077133400000151</v>
      </c>
      <c r="D105" s="2" t="n">
        <v>0.1</v>
      </c>
      <c r="E105" s="2" t="n">
        <v>0.0044999997454839</v>
      </c>
    </row>
    <row r="106" customFormat="false" ht="13.8" hidden="false" customHeight="false" outlineLevel="0" collapsed="false">
      <c r="B106" s="2" t="n">
        <v>104</v>
      </c>
      <c r="C106" s="2" t="n">
        <v>0.0120501833334811</v>
      </c>
      <c r="D106" s="2" t="n">
        <v>0.1</v>
      </c>
      <c r="E106" s="2" t="n">
        <v>0.0304999997377411</v>
      </c>
    </row>
    <row r="107" customFormat="false" ht="13.8" hidden="false" customHeight="false" outlineLevel="0" collapsed="false">
      <c r="B107" s="2" t="n">
        <v>105</v>
      </c>
      <c r="C107" s="2" t="n">
        <v>0.0497504000001446</v>
      </c>
      <c r="D107" s="2" t="n">
        <v>0.1</v>
      </c>
      <c r="E107" s="2" t="n">
        <v>0.00449999972999831</v>
      </c>
    </row>
    <row r="108" customFormat="false" ht="13.8" hidden="false" customHeight="false" outlineLevel="0" collapsed="false">
      <c r="B108" s="2" t="n">
        <v>106</v>
      </c>
      <c r="C108" s="2" t="n">
        <v>0.0139166833334748</v>
      </c>
      <c r="D108" s="2" t="n">
        <v>0.1</v>
      </c>
      <c r="E108" s="2" t="n">
        <v>0.0304999997222555</v>
      </c>
    </row>
    <row r="109" customFormat="false" ht="13.8" hidden="false" customHeight="false" outlineLevel="0" collapsed="false">
      <c r="B109" s="2" t="n">
        <v>107</v>
      </c>
      <c r="C109" s="2" t="n">
        <v>0.0745501333334718</v>
      </c>
      <c r="D109" s="2" t="n">
        <v>0.1</v>
      </c>
      <c r="E109" s="2" t="n">
        <v>0.00449999971451259</v>
      </c>
    </row>
    <row r="110" customFormat="false" ht="13.8" hidden="false" customHeight="false" outlineLevel="0" collapsed="false">
      <c r="B110" s="2" t="n">
        <v>108</v>
      </c>
      <c r="C110" s="2" t="n">
        <v>0.0161669666668021</v>
      </c>
      <c r="D110" s="2" t="n">
        <v>0.1</v>
      </c>
      <c r="E110" s="2" t="n">
        <v>0.0304999997067697</v>
      </c>
    </row>
    <row r="111" customFormat="false" ht="13.8" hidden="false" customHeight="false" outlineLevel="0" collapsed="false">
      <c r="B111" s="2" t="n">
        <v>109</v>
      </c>
      <c r="C111" s="2" t="n">
        <v>0.0640002500001324</v>
      </c>
      <c r="D111" s="2" t="n">
        <v>0.1</v>
      </c>
      <c r="E111" s="2" t="n">
        <v>0.00449999969902673</v>
      </c>
    </row>
    <row r="112" customFormat="false" ht="13.8" hidden="false" customHeight="false" outlineLevel="0" collapsed="false">
      <c r="B112" s="2" t="n">
        <v>110</v>
      </c>
      <c r="C112" s="2" t="n">
        <v>0.0313835666667961</v>
      </c>
      <c r="D112" s="2" t="n">
        <v>0.1</v>
      </c>
      <c r="E112" s="2" t="n">
        <v>0.0304999996912838</v>
      </c>
    </row>
    <row r="113" customFormat="false" ht="13.8" hidden="false" customHeight="false" outlineLevel="0" collapsed="false">
      <c r="B113" s="2" t="n">
        <v>111</v>
      </c>
      <c r="C113" s="2" t="n">
        <v>0.0448835166667932</v>
      </c>
      <c r="D113" s="2" t="n">
        <v>0.1</v>
      </c>
      <c r="E113" s="2" t="n">
        <v>0.00449999968354074</v>
      </c>
    </row>
    <row r="114" customFormat="false" ht="13.8" hidden="false" customHeight="false" outlineLevel="0" collapsed="false">
      <c r="B114" s="2" t="n">
        <v>112</v>
      </c>
      <c r="C114" s="2" t="n">
        <v>0.040733583333457</v>
      </c>
      <c r="D114" s="2" t="n">
        <v>0.1</v>
      </c>
      <c r="E114" s="2" t="n">
        <v>0.0304999996757977</v>
      </c>
    </row>
    <row r="115" customFormat="false" ht="13.8" hidden="false" customHeight="false" outlineLevel="0" collapsed="false">
      <c r="B115" s="2" t="n">
        <v>113</v>
      </c>
      <c r="C115" s="2" t="n">
        <v>0.0390000000001208</v>
      </c>
      <c r="D115" s="2" t="n">
        <v>0.1</v>
      </c>
      <c r="E115" s="2" t="n">
        <v>0.00449999966805458</v>
      </c>
    </row>
    <row r="116" customFormat="false" ht="13.8" hidden="false" customHeight="false" outlineLevel="0" collapsed="false">
      <c r="B116" s="2" t="n">
        <v>114</v>
      </c>
      <c r="C116" s="2" t="n">
        <v>0.038050150000118</v>
      </c>
      <c r="D116" s="2" t="n">
        <v>0.1</v>
      </c>
      <c r="E116" s="2" t="n">
        <v>0.0304999996603115</v>
      </c>
    </row>
    <row r="117" customFormat="false" ht="13.8" hidden="false" customHeight="false" outlineLevel="0" collapsed="false">
      <c r="B117" s="2" t="n">
        <v>115</v>
      </c>
      <c r="C117" s="2" t="n">
        <v>0.0548334166667818</v>
      </c>
      <c r="D117" s="2" t="n">
        <v>0.1</v>
      </c>
      <c r="E117" s="2" t="n">
        <v>0.00449999965256826</v>
      </c>
    </row>
    <row r="118" customFormat="false" ht="13.8" hidden="false" customHeight="false" outlineLevel="0" collapsed="false">
      <c r="B118" s="2" t="n">
        <v>116</v>
      </c>
      <c r="C118" s="2" t="n">
        <v>0.0224167500001124</v>
      </c>
      <c r="D118" s="2" t="n">
        <v>0.1</v>
      </c>
      <c r="E118" s="2" t="n">
        <v>0.00350019964482504</v>
      </c>
    </row>
    <row r="119" customFormat="false" ht="13.8" hidden="false" customHeight="false" outlineLevel="0" collapsed="false">
      <c r="B119" s="2" t="n">
        <v>117</v>
      </c>
      <c r="C119" s="2" t="n">
        <v>0.0554500166667763</v>
      </c>
      <c r="D119" s="2" t="n">
        <v>0.1</v>
      </c>
      <c r="E119" s="2" t="n">
        <v>0.0304999996370818</v>
      </c>
    </row>
    <row r="120" customFormat="false" ht="13.8" hidden="false" customHeight="false" outlineLevel="0" collapsed="false">
      <c r="B120" s="2" t="n">
        <v>118</v>
      </c>
      <c r="C120" s="2" t="n">
        <v>0.0169046684951593</v>
      </c>
      <c r="D120" s="2" t="n">
        <v>0.0961147729222731</v>
      </c>
      <c r="E120" s="2" t="n">
        <v>0.00224948187292787</v>
      </c>
    </row>
    <row r="121" customFormat="false" ht="13.8" hidden="false" customHeight="false" outlineLevel="0" collapsed="false">
      <c r="B121" s="2" t="n">
        <v>119</v>
      </c>
      <c r="C121" s="2" t="n">
        <v>0.0215588369837053</v>
      </c>
      <c r="D121" s="2" t="n">
        <v>0.0922295458444406</v>
      </c>
      <c r="E121" s="2" t="n">
        <v>0.0257490141022705</v>
      </c>
    </row>
    <row r="122" customFormat="false" ht="13.8" hidden="false" customHeight="false" outlineLevel="0" collapsed="false">
      <c r="B122" s="2" t="n">
        <v>120</v>
      </c>
      <c r="C122" s="2" t="n">
        <v>0.0585465554722513</v>
      </c>
      <c r="D122" s="2" t="n">
        <v>0.0883443187665131</v>
      </c>
      <c r="E122" s="2" t="n">
        <v>0.0269151296649463</v>
      </c>
    </row>
    <row r="123" customFormat="false" ht="13.8" hidden="false" customHeight="false" outlineLevel="0" collapsed="false">
      <c r="B123" s="2" t="n">
        <v>121</v>
      </c>
      <c r="C123" s="2" t="n">
        <v>0</v>
      </c>
      <c r="D123" s="2" t="n">
        <v>9.4979219863899E-014</v>
      </c>
      <c r="E123" s="2" t="n">
        <v>2.51597456230555E-020</v>
      </c>
    </row>
    <row r="124" customFormat="false" ht="13.8" hidden="false" customHeight="false" outlineLevel="0" collapsed="false">
      <c r="B124" s="2" t="n">
        <v>122</v>
      </c>
      <c r="C124" s="2" t="n">
        <v>0.0415135024013371</v>
      </c>
      <c r="D124" s="2" t="n">
        <v>0</v>
      </c>
      <c r="E124" s="2" t="n">
        <v>0.00330123436843965</v>
      </c>
    </row>
    <row r="125" customFormat="false" ht="13.8" hidden="false" customHeight="false" outlineLevel="0" collapsed="false">
      <c r="B125" s="2" t="n">
        <v>123</v>
      </c>
      <c r="C125" s="2" t="n">
        <v>3.82455683902801E-009</v>
      </c>
      <c r="D125" s="2" t="n">
        <v>1.37660925282375E-009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1.2843155910533E-018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1.93407324608527E-011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5.39420192446146E-011</v>
      </c>
      <c r="D128" s="2" t="n">
        <v>3.86816435545957E-011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1.07884530966166E-010</v>
      </c>
      <c r="D129" s="2" t="n">
        <v>5.8022736507486E-011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1.61827554157356E-010</v>
      </c>
      <c r="D130" s="2" t="n">
        <v>7.7364012354678E-011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2.1577108943199E-010</v>
      </c>
      <c r="D131" s="2" t="n">
        <v>9.67054721363625E-011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2.69715140872386E-010</v>
      </c>
      <c r="D132" s="2" t="n">
        <v>1.16047116895241E-010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3.236597066161E-010</v>
      </c>
      <c r="D133" s="2" t="n">
        <v>1.3538894767863E-010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3.77604789261242E-010</v>
      </c>
      <c r="D134" s="2" t="n">
        <v>1.54730965538469E-010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4.31550389920655E-010</v>
      </c>
      <c r="D135" s="2" t="n">
        <v>1.74073171526662E-010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4.85496510202839E-010</v>
      </c>
      <c r="D136" s="2" t="n">
        <v>1.93415566698952E-010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5.39443150726784E-010</v>
      </c>
      <c r="D137" s="2" t="n">
        <v>2.12758152113072E-010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5.93390314093456E-010</v>
      </c>
      <c r="D138" s="2" t="n">
        <v>2.32100928828612E-010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6.47338000427991E-010</v>
      </c>
      <c r="D139" s="2" t="n">
        <v>2.51443897905348E-010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7.01286207873765E-010</v>
      </c>
      <c r="D140" s="2" t="n">
        <v>2.70787060403817E-010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7.55234949438324E-010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8.09184216330143E-010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8.63134009666932E-010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142</v>
      </c>
      <c r="C144" s="2" t="n">
        <v>9.1708433453088E-010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143</v>
      </c>
      <c r="C145" s="2" t="n">
        <v>3.48184257360847E-010</v>
      </c>
      <c r="D145" s="2" t="n">
        <v>0</v>
      </c>
      <c r="E145" s="2" t="n">
        <v>3.17077319558769E-011</v>
      </c>
    </row>
    <row r="146" customFormat="false" ht="13.8" hidden="false" customHeight="false" outlineLevel="0" collapsed="false">
      <c r="B146" s="2" t="n">
        <v>144</v>
      </c>
      <c r="C146" s="2" t="n">
        <v>1.02477201504178E-009</v>
      </c>
      <c r="D146" s="2" t="n">
        <v>4.42400629340279E-012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1.0789385074896E-009</v>
      </c>
      <c r="D147" s="2" t="n">
        <v>0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</v>
      </c>
      <c r="D148" s="2" t="n">
        <v>0</v>
      </c>
      <c r="E148" s="2" t="n">
        <v>2.27023264173351E-018</v>
      </c>
    </row>
    <row r="149" customFormat="false" ht="13.8" hidden="false" customHeight="false" outlineLevel="0" collapsed="false">
      <c r="B149" s="2" t="n">
        <v>147</v>
      </c>
      <c r="C149" s="2" t="n">
        <v>7.0506943839538E-018</v>
      </c>
      <c r="D149" s="2" t="n">
        <v>0</v>
      </c>
      <c r="E149" s="2" t="n">
        <v>1.09787980900521E-018</v>
      </c>
    </row>
    <row r="150" customFormat="false" ht="13.8" hidden="false" customHeight="false" outlineLevel="0" collapsed="false">
      <c r="B150" s="2" t="n">
        <v>148</v>
      </c>
      <c r="C150" s="2" t="n">
        <v>0</v>
      </c>
      <c r="D150" s="2" t="n">
        <v>0</v>
      </c>
      <c r="E150" s="2" t="n">
        <v>0</v>
      </c>
    </row>
    <row r="151" customFormat="false" ht="13.8" hidden="false" customHeight="false" outlineLevel="0" collapsed="false">
      <c r="B151" s="2" t="n">
        <v>149</v>
      </c>
      <c r="C151" s="2" t="n">
        <v>1.31745577253724E-018</v>
      </c>
      <c r="D151" s="2" t="n">
        <v>0</v>
      </c>
      <c r="E151" s="2" t="n">
        <v>0</v>
      </c>
    </row>
    <row r="152" customFormat="false" ht="13.8" hidden="false" customHeight="false" outlineLevel="0" collapsed="false">
      <c r="B152" s="2" t="n">
        <v>150</v>
      </c>
      <c r="C152" s="2" t="n">
        <v>2.43482666971676E-017</v>
      </c>
      <c r="D152" s="2" t="n">
        <v>0</v>
      </c>
      <c r="E152" s="2" t="n">
        <v>0</v>
      </c>
    </row>
    <row r="153" customFormat="false" ht="13.8" hidden="false" customHeight="false" outlineLevel="0" collapsed="false">
      <c r="B153" s="2" t="n">
        <v>151</v>
      </c>
      <c r="C153" s="2" t="n">
        <v>0</v>
      </c>
      <c r="D153" s="2" t="n">
        <v>0</v>
      </c>
      <c r="E153" s="2" t="n">
        <v>0</v>
      </c>
    </row>
    <row r="154" customFormat="false" ht="13.8" hidden="false" customHeight="false" outlineLevel="0" collapsed="false">
      <c r="B154" s="2" t="n">
        <v>152</v>
      </c>
      <c r="C154" s="2" t="n">
        <v>0</v>
      </c>
      <c r="D154" s="2" t="n">
        <v>0</v>
      </c>
      <c r="E154" s="2" t="n">
        <v>0</v>
      </c>
    </row>
    <row r="155" customFormat="false" ht="13.8" hidden="false" customHeight="false" outlineLevel="0" collapsed="false">
      <c r="B155" s="2" t="n">
        <v>153</v>
      </c>
      <c r="C155" s="2" t="n">
        <v>0</v>
      </c>
      <c r="D155" s="2" t="n">
        <v>9.021436936374E-017</v>
      </c>
      <c r="E155" s="2" t="n">
        <v>0</v>
      </c>
    </row>
    <row r="156" customFormat="false" ht="13.8" hidden="false" customHeight="false" outlineLevel="0" collapsed="false">
      <c r="B156" s="2" t="n">
        <v>154</v>
      </c>
      <c r="C156" s="2" t="n">
        <v>0</v>
      </c>
      <c r="D156" s="2" t="n">
        <v>4.94883835827161E-017</v>
      </c>
      <c r="E156" s="2" t="n">
        <v>0</v>
      </c>
    </row>
    <row r="157" customFormat="false" ht="13.8" hidden="false" customHeight="false" outlineLevel="0" collapsed="false">
      <c r="B157" s="2" t="n">
        <v>155</v>
      </c>
      <c r="C157" s="2" t="n">
        <v>1.78412562065548E-017</v>
      </c>
      <c r="D157" s="2" t="n">
        <v>5.16244890901097E-018</v>
      </c>
      <c r="E157" s="2" t="n">
        <v>0</v>
      </c>
    </row>
    <row r="158" customFormat="false" ht="13.8" hidden="false" customHeight="false" outlineLevel="0" collapsed="false">
      <c r="B158" s="2" t="n">
        <v>156</v>
      </c>
      <c r="C158" s="2" t="n">
        <v>4.88490693603071E-016</v>
      </c>
      <c r="D158" s="2" t="n">
        <v>4.76884091267512E-017</v>
      </c>
      <c r="E158" s="2" t="n">
        <v>0</v>
      </c>
    </row>
    <row r="159" customFormat="false" ht="13.8" hidden="false" customHeight="false" outlineLevel="0" collapsed="false">
      <c r="B159" s="2" t="n">
        <v>157</v>
      </c>
      <c r="C159" s="2" t="n">
        <v>1.0669391914056E-016</v>
      </c>
      <c r="D159" s="2" t="n">
        <v>5.16244890770094E-018</v>
      </c>
      <c r="E159" s="2" t="n">
        <v>8.84981031569325E-015</v>
      </c>
    </row>
    <row r="160" customFormat="false" ht="13.8" hidden="false" customHeight="false" outlineLevel="0" collapsed="false">
      <c r="B160" s="2" t="n">
        <v>158</v>
      </c>
      <c r="C160" s="2" t="n">
        <v>0</v>
      </c>
      <c r="D160" s="2" t="n">
        <v>2.58122445200413E-018</v>
      </c>
      <c r="E160" s="2" t="n">
        <v>1.49609214298368E-014</v>
      </c>
    </row>
    <row r="161" customFormat="false" ht="13.8" hidden="false" customHeight="false" outlineLevel="0" collapsed="false">
      <c r="B161" s="2" t="n">
        <v>159</v>
      </c>
      <c r="C161" s="2" t="n">
        <v>0</v>
      </c>
      <c r="D161" s="2" t="n">
        <v>0</v>
      </c>
      <c r="E161" s="2" t="n">
        <v>2.1266476991481E-014</v>
      </c>
    </row>
    <row r="162" customFormat="false" ht="13.8" hidden="false" customHeight="false" outlineLevel="0" collapsed="false">
      <c r="B162" s="2" t="n">
        <v>160</v>
      </c>
      <c r="C162" s="2" t="n">
        <v>4.39629160831302E-017</v>
      </c>
      <c r="D162" s="2" t="n">
        <v>6.24365915788527E-017</v>
      </c>
      <c r="E162" s="2" t="n">
        <v>2.7766476939792E-014</v>
      </c>
    </row>
    <row r="163" customFormat="false" ht="13.8" hidden="false" customHeight="false" outlineLevel="0" collapsed="false">
      <c r="B163" s="2" t="n">
        <v>161</v>
      </c>
      <c r="C163" s="2" t="n">
        <v>0</v>
      </c>
      <c r="D163" s="2" t="n">
        <v>0</v>
      </c>
      <c r="E163" s="2" t="n">
        <v>3.4484342871851E-014</v>
      </c>
    </row>
    <row r="164" customFormat="false" ht="13.8" hidden="false" customHeight="false" outlineLevel="0" collapsed="false">
      <c r="B164" s="2" t="n">
        <v>162</v>
      </c>
      <c r="C164" s="2" t="n">
        <v>0</v>
      </c>
      <c r="D164" s="2" t="n">
        <v>3.90625000096955E-019</v>
      </c>
      <c r="E164" s="2" t="n">
        <v>2.23490243838325E-017</v>
      </c>
    </row>
    <row r="165" customFormat="false" ht="13.8" hidden="false" customHeight="false" outlineLevel="0" collapsed="false">
      <c r="B165" s="2" t="n">
        <v>163</v>
      </c>
      <c r="C165" s="2" t="n">
        <v>2.92927771959074E-017</v>
      </c>
      <c r="D165" s="2" t="n">
        <v>0</v>
      </c>
      <c r="E165" s="2" t="n">
        <v>4.52803718508897E-017</v>
      </c>
    </row>
    <row r="166" customFormat="false" ht="13.8" hidden="false" customHeight="false" outlineLevel="0" collapsed="false">
      <c r="B166" s="2" t="n">
        <v>164</v>
      </c>
      <c r="C166" s="2" t="n">
        <v>3.17645192701739E-017</v>
      </c>
      <c r="D166" s="2" t="n">
        <v>2.83934689545512E-017</v>
      </c>
      <c r="E166" s="2" t="n">
        <v>0.0267429690556167</v>
      </c>
    </row>
    <row r="167" customFormat="false" ht="13.8" hidden="false" customHeight="false" outlineLevel="0" collapsed="false">
      <c r="B167" s="2" t="n">
        <v>165</v>
      </c>
      <c r="C167" s="2" t="n">
        <v>4.47441660800832E-017</v>
      </c>
      <c r="D167" s="2" t="n">
        <v>0</v>
      </c>
      <c r="E167" s="2" t="n">
        <v>4.5134791080083E-017</v>
      </c>
    </row>
    <row r="168" customFormat="false" ht="13.8" hidden="false" customHeight="false" outlineLevel="0" collapsed="false">
      <c r="B168" s="2" t="n">
        <v>166</v>
      </c>
      <c r="C168" s="2" t="n">
        <v>1.26327362016455E-016</v>
      </c>
      <c r="D168" s="2" t="n">
        <v>1.25196843315985E-016</v>
      </c>
      <c r="E168" s="2" t="n">
        <v>0.00369953705427831</v>
      </c>
    </row>
    <row r="169" customFormat="false" ht="13.8" hidden="false" customHeight="false" outlineLevel="0" collapsed="false">
      <c r="B169" s="2" t="n">
        <v>167</v>
      </c>
      <c r="C169" s="2" t="n">
        <v>3.70343423536418E-017</v>
      </c>
      <c r="D169" s="2" t="n">
        <v>0</v>
      </c>
      <c r="E169" s="2" t="n">
        <v>0.0202806294653523</v>
      </c>
    </row>
    <row r="170" customFormat="false" ht="13.8" hidden="false" customHeight="false" outlineLevel="0" collapsed="false">
      <c r="B170" s="2" t="n">
        <v>168</v>
      </c>
      <c r="C170" s="2" t="n">
        <v>0.056914907890662</v>
      </c>
      <c r="D170" s="2" t="n">
        <v>1.83553738696005E-016</v>
      </c>
      <c r="E170" s="2" t="n">
        <v>0.0402459639857663</v>
      </c>
    </row>
    <row r="171" customFormat="false" ht="13.8" hidden="false" customHeight="false" outlineLevel="0" collapsed="false">
      <c r="B171" s="2" t="n">
        <v>169</v>
      </c>
      <c r="C171" s="2" t="n">
        <v>0.0554665210171754</v>
      </c>
      <c r="D171" s="2" t="n">
        <v>0</v>
      </c>
      <c r="E171" s="2" t="n">
        <v>0.0246914599369944</v>
      </c>
    </row>
    <row r="172" customFormat="false" ht="13.8" hidden="false" customHeight="false" outlineLevel="0" collapsed="false">
      <c r="B172" s="2" t="n">
        <v>170</v>
      </c>
      <c r="C172" s="2" t="n">
        <v>0.0944757824295479</v>
      </c>
      <c r="D172" s="2" t="n">
        <v>0</v>
      </c>
      <c r="E172" s="2" t="n">
        <v>7.68824527454996E-005</v>
      </c>
    </row>
    <row r="173" customFormat="false" ht="13.8" hidden="false" customHeight="false" outlineLevel="0" collapsed="false">
      <c r="B173" s="2" t="n">
        <v>171</v>
      </c>
      <c r="C173" s="2" t="n">
        <v>0.0442139154770852</v>
      </c>
      <c r="D173" s="2" t="n">
        <v>9.17767118025637E-017</v>
      </c>
      <c r="E173" s="2" t="n">
        <v>4.58883606997221E-017</v>
      </c>
    </row>
    <row r="174" customFormat="false" ht="13.8" hidden="false" customHeight="false" outlineLevel="0" collapsed="false">
      <c r="B174" s="2" t="n">
        <v>172</v>
      </c>
      <c r="C174" s="2" t="n">
        <v>0.0717942052542937</v>
      </c>
      <c r="D174" s="2" t="n">
        <v>0</v>
      </c>
      <c r="E174" s="2" t="n">
        <v>0.0174976774842478</v>
      </c>
    </row>
    <row r="175" customFormat="false" ht="13.8" hidden="false" customHeight="false" outlineLevel="0" collapsed="false">
      <c r="B175" s="2" t="n">
        <v>173</v>
      </c>
      <c r="C175" s="2" t="n">
        <v>0.073120199725793</v>
      </c>
      <c r="D175" s="2" t="n">
        <v>0</v>
      </c>
      <c r="E175" s="2" t="n">
        <v>0.0499999999999995</v>
      </c>
    </row>
    <row r="176" customFormat="false" ht="13.8" hidden="false" customHeight="false" outlineLevel="0" collapsed="false">
      <c r="B176" s="2" t="n">
        <v>174</v>
      </c>
      <c r="C176" s="2" t="n">
        <v>0.10228691662427</v>
      </c>
      <c r="D176" s="2" t="n">
        <v>0.0733333332889838</v>
      </c>
      <c r="E176" s="2" t="n">
        <v>0.0174999999999995</v>
      </c>
    </row>
    <row r="177" customFormat="false" ht="13.8" hidden="false" customHeight="false" outlineLevel="0" collapsed="false">
      <c r="B177" s="2" t="n">
        <v>175</v>
      </c>
      <c r="C177" s="2" t="n">
        <v>0.0757041832909369</v>
      </c>
      <c r="D177" s="2" t="n">
        <v>0.0999999999556505</v>
      </c>
      <c r="E177" s="2" t="n">
        <v>0.0499999999999995</v>
      </c>
    </row>
    <row r="178" customFormat="false" ht="13.8" hidden="false" customHeight="false" outlineLevel="0" collapsed="false">
      <c r="B178" s="2" t="n">
        <v>176</v>
      </c>
      <c r="C178" s="2" t="n">
        <v>0.10713685</v>
      </c>
      <c r="D178" s="2" t="n">
        <v>0.1</v>
      </c>
      <c r="E178" s="2" t="n">
        <v>2.50758563619411E-007</v>
      </c>
    </row>
    <row r="179" customFormat="false" ht="13.8" hidden="false" customHeight="false" outlineLevel="0" collapsed="false">
      <c r="B179" s="2" t="n">
        <v>177</v>
      </c>
      <c r="C179" s="2" t="n">
        <v>0.0896874166242705</v>
      </c>
      <c r="D179" s="2" t="n">
        <v>0.099999999955651</v>
      </c>
      <c r="E179" s="2" t="n">
        <v>0.0335000499999995</v>
      </c>
    </row>
    <row r="180" customFormat="false" ht="13.8" hidden="false" customHeight="false" outlineLevel="0" collapsed="false">
      <c r="B180" s="2" t="n">
        <v>178</v>
      </c>
      <c r="C180" s="2" t="n">
        <v>0.108454449957604</v>
      </c>
      <c r="D180" s="2" t="n">
        <v>0.0999999999556512</v>
      </c>
      <c r="E180" s="2" t="n">
        <v>0.00124999999999943</v>
      </c>
    </row>
    <row r="181" customFormat="false" ht="13.8" hidden="false" customHeight="false" outlineLevel="0" collapsed="false">
      <c r="B181" s="2" t="n">
        <v>179</v>
      </c>
      <c r="C181" s="2" t="n">
        <v>0.087154366624271</v>
      </c>
      <c r="D181" s="2" t="n">
        <v>0.0999999999556514</v>
      </c>
      <c r="E181" s="2" t="n">
        <v>0.0337499999999994</v>
      </c>
    </row>
    <row r="182" customFormat="false" ht="13.8" hidden="false" customHeight="false" outlineLevel="0" collapsed="false">
      <c r="B182" s="2" t="n">
        <v>180</v>
      </c>
      <c r="C182" s="2" t="n">
        <v>0.0969210832909377</v>
      </c>
      <c r="D182" s="2" t="n">
        <v>0.0999999999556515</v>
      </c>
      <c r="E182" s="2" t="n">
        <v>0.00124999999999937</v>
      </c>
    </row>
    <row r="183" customFormat="false" ht="13.8" hidden="false" customHeight="false" outlineLevel="0" collapsed="false">
      <c r="B183" s="2" t="n">
        <v>181</v>
      </c>
      <c r="C183" s="2" t="n">
        <v>0.0769873666242714</v>
      </c>
      <c r="D183" s="2" t="n">
        <v>0.0999999999556516</v>
      </c>
      <c r="E183" s="2" t="n">
        <v>0.0337499999999993</v>
      </c>
    </row>
    <row r="184" customFormat="false" ht="13.8" hidden="false" customHeight="false" outlineLevel="0" collapsed="false">
      <c r="B184" s="2" t="n">
        <v>182</v>
      </c>
      <c r="C184" s="2" t="n">
        <v>0.0756705166242715</v>
      </c>
      <c r="D184" s="2" t="n">
        <v>0.0999999999556519</v>
      </c>
      <c r="E184" s="2" t="n">
        <v>0.0234167833333326</v>
      </c>
    </row>
    <row r="185" customFormat="false" ht="13.8" hidden="false" customHeight="false" outlineLevel="0" collapsed="false">
      <c r="B185" s="2" t="n">
        <v>183</v>
      </c>
      <c r="C185" s="2" t="n">
        <v>0.0627867166242717</v>
      </c>
      <c r="D185" s="2" t="n">
        <v>0.0999999999556519</v>
      </c>
      <c r="E185" s="2" t="n">
        <v>0.0109999999999993</v>
      </c>
    </row>
    <row r="186" customFormat="false" ht="13.8" hidden="false" customHeight="false" outlineLevel="0" collapsed="false">
      <c r="B186" s="2" t="n">
        <v>184</v>
      </c>
      <c r="C186" s="2" t="n">
        <v>0.0442373</v>
      </c>
      <c r="D186" s="2" t="n">
        <v>0.1</v>
      </c>
      <c r="E186" s="2" t="n">
        <v>0.0140000509166268</v>
      </c>
    </row>
    <row r="187" customFormat="false" ht="13.8" hidden="false" customHeight="false" outlineLevel="0" collapsed="false">
      <c r="B187" s="2" t="n">
        <v>185</v>
      </c>
      <c r="C187" s="2" t="n">
        <v>0.107970583333333</v>
      </c>
      <c r="D187" s="2" t="n">
        <v>0.1</v>
      </c>
      <c r="E187" s="2" t="n">
        <v>0.0335000509405048</v>
      </c>
    </row>
    <row r="188" customFormat="false" ht="13.8" hidden="false" customHeight="false" outlineLevel="0" collapsed="false">
      <c r="B188" s="2" t="n">
        <v>186</v>
      </c>
      <c r="C188" s="2" t="n">
        <v>0.0485375333333334</v>
      </c>
      <c r="D188" s="2" t="n">
        <v>0.1</v>
      </c>
      <c r="E188" s="2" t="n">
        <v>0.00125000096438289</v>
      </c>
    </row>
    <row r="189" customFormat="false" ht="13.8" hidden="false" customHeight="false" outlineLevel="0" collapsed="false">
      <c r="B189" s="2" t="n">
        <v>187</v>
      </c>
      <c r="C189" s="2" t="n">
        <v>0.0737533</v>
      </c>
      <c r="D189" s="2" t="n">
        <v>0.1</v>
      </c>
      <c r="E189" s="2" t="n">
        <v>0.0337500009882611</v>
      </c>
    </row>
    <row r="190" customFormat="false" ht="13.8" hidden="false" customHeight="false" outlineLevel="0" collapsed="false">
      <c r="B190" s="2" t="n">
        <v>188</v>
      </c>
      <c r="C190" s="2" t="n">
        <v>0.0948363666666667</v>
      </c>
      <c r="D190" s="2" t="n">
        <v>0.1</v>
      </c>
      <c r="E190" s="2" t="n">
        <v>0.00125000101213938</v>
      </c>
    </row>
    <row r="191" customFormat="false" ht="13.8" hidden="false" customHeight="false" outlineLevel="0" collapsed="false">
      <c r="B191" s="2" t="n">
        <v>189</v>
      </c>
      <c r="C191" s="2" t="n">
        <v>0.0686530332909395</v>
      </c>
      <c r="D191" s="2" t="n">
        <v>0.0999999999556529</v>
      </c>
      <c r="E191" s="2" t="n">
        <v>0.0336666833333325</v>
      </c>
    </row>
    <row r="192" customFormat="false" ht="13.8" hidden="false" customHeight="false" outlineLevel="0" collapsed="false">
      <c r="B192" s="2" t="n">
        <v>190</v>
      </c>
      <c r="C192" s="2" t="n">
        <v>0.0591200499576063</v>
      </c>
      <c r="D192" s="2" t="n">
        <v>0.0999999999556531</v>
      </c>
      <c r="E192" s="2" t="n">
        <v>0.0333334166666658</v>
      </c>
    </row>
    <row r="193" customFormat="false" ht="13.8" hidden="false" customHeight="false" outlineLevel="0" collapsed="false">
      <c r="B193" s="2" t="n">
        <v>191</v>
      </c>
      <c r="C193" s="2" t="n">
        <v>0.0185688332909398</v>
      </c>
      <c r="D193" s="2" t="n">
        <v>0.0799999999556532</v>
      </c>
      <c r="E193" s="2" t="n">
        <v>0.00124999999999911</v>
      </c>
    </row>
    <row r="194" customFormat="false" ht="13.8" hidden="false" customHeight="false" outlineLevel="0" collapsed="false">
      <c r="B194" s="2" t="n">
        <v>192</v>
      </c>
      <c r="C194" s="2" t="n">
        <v>0.0445024828880333</v>
      </c>
      <c r="D194" s="2" t="n">
        <v>0</v>
      </c>
      <c r="E194" s="2" t="n">
        <v>0.00708346666666576</v>
      </c>
    </row>
    <row r="195" customFormat="false" ht="13.8" hidden="false" customHeight="false" outlineLevel="0" collapsed="false">
      <c r="B195" s="2" t="n">
        <v>193</v>
      </c>
      <c r="C195" s="2" t="n">
        <v>0.00926919954569514</v>
      </c>
      <c r="D195" s="2" t="n">
        <v>4.58884346744117E-017</v>
      </c>
      <c r="E195" s="2" t="n">
        <v>0.00108336666666573</v>
      </c>
    </row>
    <row r="196" customFormat="false" ht="13.8" hidden="false" customHeight="false" outlineLevel="0" collapsed="false">
      <c r="B196" s="2" t="n">
        <v>194</v>
      </c>
      <c r="C196" s="2" t="n">
        <v>0.0289523828700237</v>
      </c>
      <c r="D196" s="2" t="n">
        <v>0</v>
      </c>
      <c r="E196" s="2" t="n">
        <v>0.027249999999999</v>
      </c>
    </row>
    <row r="197" customFormat="false" ht="13.8" hidden="false" customHeight="false" outlineLevel="0" collapsed="false">
      <c r="B197" s="2" t="n">
        <v>195</v>
      </c>
      <c r="C197" s="2" t="n">
        <v>0.0817680499576072</v>
      </c>
      <c r="D197" s="2" t="n">
        <v>0.0933333332889871</v>
      </c>
      <c r="E197" s="2" t="n">
        <v>0.00774999999999902</v>
      </c>
    </row>
    <row r="198" customFormat="false" ht="13.8" hidden="false" customHeight="false" outlineLevel="0" collapsed="false">
      <c r="B198" s="2" t="n">
        <v>196</v>
      </c>
      <c r="C198" s="2" t="n">
        <v>0.0132504833333333</v>
      </c>
      <c r="D198" s="2" t="n">
        <v>0.1</v>
      </c>
      <c r="E198" s="2" t="n">
        <v>0.0272500012031683</v>
      </c>
    </row>
    <row r="199" customFormat="false" ht="13.8" hidden="false" customHeight="false" outlineLevel="0" collapsed="false">
      <c r="B199" s="2" t="n">
        <v>197</v>
      </c>
      <c r="C199" s="2" t="n">
        <v>0.0776168833333334</v>
      </c>
      <c r="D199" s="2" t="n">
        <v>0.1</v>
      </c>
      <c r="E199" s="2" t="n">
        <v>0.00775000122704729</v>
      </c>
    </row>
    <row r="200" customFormat="false" ht="13.8" hidden="false" customHeight="false" outlineLevel="0" collapsed="false">
      <c r="B200" s="2" t="n">
        <v>198</v>
      </c>
      <c r="C200" s="2" t="n">
        <v>0.0137501166666667</v>
      </c>
      <c r="D200" s="2" t="n">
        <v>0.1</v>
      </c>
      <c r="E200" s="2" t="n">
        <v>0.0272500012509263</v>
      </c>
    </row>
    <row r="201" customFormat="false" ht="13.8" hidden="false" customHeight="false" outlineLevel="0" collapsed="false">
      <c r="B201" s="2" t="n">
        <v>199</v>
      </c>
      <c r="C201" s="2" t="n">
        <v>0.0465835833333333</v>
      </c>
      <c r="D201" s="2" t="n">
        <v>0.1</v>
      </c>
      <c r="E201" s="2" t="n">
        <v>0.00775000127480548</v>
      </c>
    </row>
    <row r="202" customFormat="false" ht="13.8" hidden="false" customHeight="false" outlineLevel="0" collapsed="false">
      <c r="B202" s="2" t="n">
        <v>200</v>
      </c>
      <c r="C202" s="2" t="n">
        <v>0.01525</v>
      </c>
      <c r="D202" s="2" t="n">
        <v>0.1</v>
      </c>
      <c r="E202" s="2" t="n">
        <v>0.0272500012986847</v>
      </c>
    </row>
    <row r="203" customFormat="false" ht="13.8" hidden="false" customHeight="false" outlineLevel="0" collapsed="false">
      <c r="B203" s="2" t="n">
        <v>201</v>
      </c>
      <c r="C203" s="2" t="n">
        <v>0.07991675</v>
      </c>
      <c r="D203" s="2" t="n">
        <v>0.1</v>
      </c>
      <c r="E203" s="2" t="n">
        <v>0.00775000132256406</v>
      </c>
    </row>
    <row r="204" customFormat="false" ht="13.8" hidden="false" customHeight="false" outlineLevel="0" collapsed="false">
      <c r="B204" s="2" t="n">
        <v>202</v>
      </c>
      <c r="C204" s="2" t="n">
        <v>0.0146502333333333</v>
      </c>
      <c r="D204" s="2" t="n">
        <v>0.1</v>
      </c>
      <c r="E204" s="2" t="n">
        <v>0.00125000134644351</v>
      </c>
    </row>
    <row r="205" customFormat="false" ht="13.8" hidden="false" customHeight="false" outlineLevel="0" collapsed="false">
      <c r="B205" s="2" t="n">
        <v>203</v>
      </c>
      <c r="C205" s="2" t="n">
        <v>0.0142169166666667</v>
      </c>
      <c r="D205" s="2" t="n">
        <v>0.1</v>
      </c>
      <c r="E205" s="2" t="n">
        <v>0.020750001370323</v>
      </c>
    </row>
    <row r="206" customFormat="false" ht="13.8" hidden="false" customHeight="false" outlineLevel="0" collapsed="false">
      <c r="B206" s="2" t="n">
        <v>204</v>
      </c>
      <c r="C206" s="2" t="n">
        <v>0.0700001333333334</v>
      </c>
      <c r="D206" s="2" t="n">
        <v>0.1</v>
      </c>
      <c r="E206" s="2" t="n">
        <v>0.0142500013942027</v>
      </c>
    </row>
    <row r="207" customFormat="false" ht="13.8" hidden="false" customHeight="false" outlineLevel="0" collapsed="false">
      <c r="B207" s="2" t="n">
        <v>205</v>
      </c>
      <c r="C207" s="2" t="n">
        <v>0.0219500333333333</v>
      </c>
      <c r="D207" s="2" t="n">
        <v>0.1</v>
      </c>
      <c r="E207" s="2" t="n">
        <v>0.0207500014180824</v>
      </c>
    </row>
    <row r="208" customFormat="false" ht="13.8" hidden="false" customHeight="false" outlineLevel="0" collapsed="false">
      <c r="B208" s="2" t="n">
        <v>206</v>
      </c>
      <c r="C208" s="2" t="n">
        <v>0.0702501333333333</v>
      </c>
      <c r="D208" s="2" t="n">
        <v>0.1</v>
      </c>
      <c r="E208" s="2" t="n">
        <v>0.0142500014419623</v>
      </c>
    </row>
    <row r="209" customFormat="false" ht="13.8" hidden="false" customHeight="false" outlineLevel="0" collapsed="false">
      <c r="B209" s="2" t="n">
        <v>207</v>
      </c>
      <c r="C209" s="2" t="n">
        <v>0.0190834</v>
      </c>
      <c r="D209" s="2" t="n">
        <v>0.1</v>
      </c>
      <c r="E209" s="2" t="n">
        <v>0.0040834166666654</v>
      </c>
    </row>
    <row r="210" customFormat="false" ht="13.8" hidden="false" customHeight="false" outlineLevel="0" collapsed="false">
      <c r="B210" s="2" t="n">
        <v>208</v>
      </c>
      <c r="C210" s="2" t="n">
        <v>0.0713834</v>
      </c>
      <c r="D210" s="2" t="n">
        <v>0.1</v>
      </c>
      <c r="E210" s="2" t="n">
        <v>8.356666666538E-005</v>
      </c>
    </row>
    <row r="211" customFormat="false" ht="13.8" hidden="false" customHeight="false" outlineLevel="0" collapsed="false">
      <c r="B211" s="2" t="n">
        <v>209</v>
      </c>
      <c r="C211" s="2" t="n">
        <v>0.0185337166666667</v>
      </c>
      <c r="D211" s="2" t="n">
        <v>0.1</v>
      </c>
      <c r="E211" s="2" t="n">
        <v>0.00124999999999868</v>
      </c>
    </row>
    <row r="212" customFormat="false" ht="13.8" hidden="false" customHeight="false" outlineLevel="0" collapsed="false">
      <c r="B212" s="2" t="n">
        <v>210</v>
      </c>
      <c r="C212" s="2" t="n">
        <v>0.0441835833333333</v>
      </c>
      <c r="D212" s="2" t="n">
        <v>0.1</v>
      </c>
      <c r="E212" s="2" t="n">
        <v>0.0337499999999987</v>
      </c>
    </row>
    <row r="213" customFormat="false" ht="13.8" hidden="false" customHeight="false" outlineLevel="0" collapsed="false">
      <c r="B213" s="2" t="n">
        <v>211</v>
      </c>
      <c r="C213" s="2" t="n">
        <v>0.04100005</v>
      </c>
      <c r="D213" s="2" t="n">
        <v>0.1</v>
      </c>
      <c r="E213" s="2" t="n">
        <v>0.00108336666666531</v>
      </c>
    </row>
    <row r="214" customFormat="false" ht="13.8" hidden="false" customHeight="false" outlineLevel="0" collapsed="false">
      <c r="B214" s="2" t="n">
        <v>212</v>
      </c>
      <c r="C214" s="2" t="n">
        <v>0.0671666833333334</v>
      </c>
      <c r="D214" s="2" t="n">
        <v>0.1</v>
      </c>
      <c r="E214" s="2" t="n">
        <v>2.49999998617391E-007</v>
      </c>
    </row>
    <row r="215" customFormat="false" ht="13.8" hidden="false" customHeight="false" outlineLevel="0" collapsed="false">
      <c r="B215" s="2" t="n">
        <v>213</v>
      </c>
      <c r="C215" s="2" t="n">
        <v>0.0835</v>
      </c>
      <c r="D215" s="2" t="n">
        <v>0.1</v>
      </c>
      <c r="E215" s="2" t="n">
        <v>0.000416833333331926</v>
      </c>
    </row>
    <row r="216" customFormat="false" ht="13.8" hidden="false" customHeight="false" outlineLevel="0" collapsed="false">
      <c r="B216" s="2" t="n">
        <v>214</v>
      </c>
      <c r="C216" s="2" t="n">
        <v>0.0536833885462772</v>
      </c>
      <c r="D216" s="2" t="n">
        <v>0.0967937186929089</v>
      </c>
      <c r="E216" s="2" t="n">
        <v>0.0318927615709528</v>
      </c>
    </row>
    <row r="217" customFormat="false" ht="13.8" hidden="false" customHeight="false" outlineLevel="0" collapsed="false">
      <c r="B217" s="2" t="n">
        <v>215</v>
      </c>
      <c r="C217" s="2" t="n">
        <v>0.0693835103834985</v>
      </c>
      <c r="D217" s="2" t="n">
        <v>0.0935874373414747</v>
      </c>
      <c r="E217" s="2" t="n">
        <v>0.0300355231419086</v>
      </c>
    </row>
    <row r="218" customFormat="false" ht="13.8" hidden="false" customHeight="false" outlineLevel="0" collapsed="false">
      <c r="B218" s="2" t="n">
        <v>216</v>
      </c>
      <c r="C218" s="2" t="n">
        <v>0.0426833322631092</v>
      </c>
      <c r="D218" s="2" t="n">
        <v>0.0903811560343836</v>
      </c>
      <c r="E218" s="2" t="n">
        <v>0.0281782847128645</v>
      </c>
    </row>
    <row r="219" customFormat="false" ht="13.8" hidden="false" customHeight="false" outlineLevel="0" collapsed="false">
      <c r="B219" s="2" t="n">
        <v>217</v>
      </c>
      <c r="C219" s="2" t="n">
        <v>0.0604169208093865</v>
      </c>
      <c r="D219" s="2" t="n">
        <v>0.0871748747272925</v>
      </c>
      <c r="E219" s="2" t="n">
        <v>0.0263210462838204</v>
      </c>
    </row>
    <row r="220" customFormat="false" ht="13.8" hidden="false" customHeight="false" outlineLevel="0" collapsed="false">
      <c r="B220" s="2" t="n">
        <v>218</v>
      </c>
      <c r="C220" s="2" t="n">
        <v>0.0161477354164454</v>
      </c>
      <c r="D220" s="2" t="n">
        <v>0.0709777412714203</v>
      </c>
      <c r="E220" s="2" t="n">
        <v>0.0169388568208836</v>
      </c>
    </row>
    <row r="221" customFormat="false" ht="13.8" hidden="false" customHeight="false" outlineLevel="0" collapsed="false">
      <c r="B221" s="2" t="n">
        <v>219</v>
      </c>
      <c r="C221" s="2" t="n">
        <v>0.0228284167325602</v>
      </c>
      <c r="D221" s="2" t="n">
        <v>0.034780607859891</v>
      </c>
      <c r="E221" s="2" t="n">
        <v>0.00755666735794683</v>
      </c>
    </row>
    <row r="222" customFormat="false" ht="13.8" hidden="false" customHeight="false" outlineLevel="0" collapsed="false">
      <c r="B222" s="2" t="n">
        <v>220</v>
      </c>
      <c r="C222" s="2" t="n">
        <v>4.23268758589416E-012</v>
      </c>
      <c r="D222" s="2" t="n">
        <v>0</v>
      </c>
      <c r="E222" s="2" t="n">
        <v>4.09813168043559E-012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2.19100073932352E-012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2.23033453166322E-012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2.2702096986406E-012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2.31062428097749E-012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2.3515802772008E-012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2.39306932089946E-012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2.43510466481519E-012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2.47767354594165E-012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2.52078829419813E-012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2.5644369969207E-012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2.60862767006521E-012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2.6533562944158E-012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2.698627262119E-012</v>
      </c>
    </row>
    <row r="236" customFormat="false" ht="13.8" hidden="false" customHeight="false" outlineLevel="0" collapsed="false">
      <c r="B236" s="2" t="n">
        <v>234</v>
      </c>
      <c r="C236" s="2" t="n">
        <v>5.39333477119462E-011</v>
      </c>
      <c r="D236" s="2" t="n">
        <v>0</v>
      </c>
      <c r="E236" s="2" t="n">
        <v>2.74443471718852E-012</v>
      </c>
    </row>
    <row r="237" customFormat="false" ht="13.8" hidden="false" customHeight="false" outlineLevel="0" collapsed="false">
      <c r="B237" s="2" t="n">
        <v>235</v>
      </c>
      <c r="C237" s="2" t="n">
        <v>3.86779570037848E-011</v>
      </c>
      <c r="D237" s="2" t="n">
        <v>0</v>
      </c>
      <c r="E237" s="2" t="n">
        <v>1.0008351891071E-012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0</v>
      </c>
      <c r="E238" s="2" t="n">
        <v>1.01764828489129E-012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0</v>
      </c>
      <c r="E239" s="2" t="n">
        <v>1.03465745071609E-012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1.15018610103351E-012</v>
      </c>
      <c r="E240" s="2" t="n">
        <v>1.05185726525028E-012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1.97916666666667E-016</v>
      </c>
      <c r="E241" s="2" t="n">
        <v>1.0692521200131E-012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</v>
      </c>
      <c r="E242" s="2" t="n">
        <v>1.08683762348532E-012</v>
      </c>
    </row>
    <row r="243" customFormat="false" ht="13.8" hidden="false" customHeight="false" outlineLevel="0" collapsed="false">
      <c r="B243" s="2" t="n">
        <v>241</v>
      </c>
      <c r="C243" s="2" t="n">
        <v>0</v>
      </c>
      <c r="D243" s="2" t="n">
        <v>0</v>
      </c>
      <c r="E243" s="2" t="n">
        <v>1.10462066083789E-012</v>
      </c>
    </row>
    <row r="244" customFormat="false" ht="13.8" hidden="false" customHeight="false" outlineLevel="0" collapsed="false">
      <c r="B244" s="2" t="n">
        <v>242</v>
      </c>
      <c r="C244" s="2" t="n">
        <v>2.62707780150877E-014</v>
      </c>
      <c r="D244" s="2" t="n">
        <v>0</v>
      </c>
      <c r="E244" s="2" t="n">
        <v>1.12259624476738E-012</v>
      </c>
    </row>
    <row r="245" customFormat="false" ht="13.8" hidden="false" customHeight="false" outlineLevel="0" collapsed="false">
      <c r="B245" s="2" t="n">
        <v>243</v>
      </c>
      <c r="C245" s="2" t="n">
        <v>1.3174557744031E-018</v>
      </c>
      <c r="D245" s="2" t="n">
        <v>0</v>
      </c>
      <c r="E245" s="2" t="n">
        <v>2.76047236723965E-016</v>
      </c>
    </row>
    <row r="246" customFormat="false" ht="13.8" hidden="false" customHeight="false" outlineLevel="0" collapsed="false">
      <c r="B246" s="2" t="n">
        <v>244</v>
      </c>
      <c r="C246" s="2" t="n">
        <v>1.97618366109706E-018</v>
      </c>
      <c r="D246" s="2" t="n">
        <v>0</v>
      </c>
      <c r="E246" s="2" t="n">
        <v>3.18227200047915E-016</v>
      </c>
    </row>
    <row r="247" customFormat="false" ht="13.8" hidden="false" customHeight="false" outlineLevel="0" collapsed="false">
      <c r="B247" s="2" t="n">
        <v>245</v>
      </c>
      <c r="C247" s="2" t="n">
        <v>1.77609878712682E-017</v>
      </c>
      <c r="D247" s="2" t="n">
        <v>1.81106568978404E-017</v>
      </c>
      <c r="E247" s="2" t="n">
        <v>2.90689546118186E-016</v>
      </c>
    </row>
    <row r="248" customFormat="false" ht="13.8" hidden="false" customHeight="false" outlineLevel="0" collapsed="false">
      <c r="B248" s="2" t="n">
        <v>246</v>
      </c>
      <c r="C248" s="2" t="n">
        <v>4.62799930180021E-017</v>
      </c>
      <c r="D248" s="2" t="n">
        <v>0</v>
      </c>
      <c r="E248" s="2" t="n">
        <v>3.08447898381094E-016</v>
      </c>
    </row>
    <row r="249" customFormat="false" ht="13.8" hidden="false" customHeight="false" outlineLevel="0" collapsed="false">
      <c r="B249" s="2" t="n">
        <v>247</v>
      </c>
      <c r="C249" s="2" t="n">
        <v>0</v>
      </c>
      <c r="D249" s="2" t="n">
        <v>0</v>
      </c>
      <c r="E249" s="2" t="n">
        <v>2.97713719778189E-016</v>
      </c>
    </row>
    <row r="250" customFormat="false" ht="13.8" hidden="false" customHeight="false" outlineLevel="0" collapsed="false">
      <c r="B250" s="2" t="n">
        <v>248</v>
      </c>
      <c r="C250" s="2" t="n">
        <v>4.49625372454124E-017</v>
      </c>
      <c r="D250" s="2" t="n">
        <v>0</v>
      </c>
      <c r="E250" s="2" t="n">
        <v>1.54585347637882E-015</v>
      </c>
    </row>
    <row r="251" customFormat="false" ht="13.8" hidden="false" customHeight="false" outlineLevel="0" collapsed="false">
      <c r="B251" s="2" t="n">
        <v>249</v>
      </c>
      <c r="C251" s="2" t="n">
        <v>0</v>
      </c>
      <c r="D251" s="2" t="n">
        <v>4.07259857853577E-017</v>
      </c>
      <c r="E251" s="2" t="n">
        <v>2.47965457146823E-014</v>
      </c>
    </row>
    <row r="252" customFormat="false" ht="13.8" hidden="false" customHeight="false" outlineLevel="0" collapsed="false">
      <c r="B252" s="2" t="n">
        <v>250</v>
      </c>
      <c r="C252" s="2" t="n">
        <v>0</v>
      </c>
      <c r="D252" s="2" t="n">
        <v>0</v>
      </c>
      <c r="E252" s="2" t="n">
        <v>5.25324439988021E-014</v>
      </c>
    </row>
    <row r="253" customFormat="false" ht="13.8" hidden="false" customHeight="false" outlineLevel="0" collapsed="false">
      <c r="B253" s="2" t="n">
        <v>251</v>
      </c>
      <c r="C253" s="2" t="n">
        <v>4.95863830587086E-011</v>
      </c>
      <c r="D253" s="2" t="n">
        <v>5.16244890770111E-018</v>
      </c>
      <c r="E253" s="2" t="n">
        <v>8.44613570697497E-013</v>
      </c>
    </row>
    <row r="254" customFormat="false" ht="13.8" hidden="false" customHeight="false" outlineLevel="0" collapsed="false">
      <c r="B254" s="2" t="n">
        <v>252</v>
      </c>
      <c r="C254" s="2" t="n">
        <v>1.3107638889507E-017</v>
      </c>
      <c r="D254" s="2" t="n">
        <v>0</v>
      </c>
      <c r="E254" s="2" t="n">
        <v>8.16977269914812E-013</v>
      </c>
    </row>
    <row r="255" customFormat="false" ht="13.8" hidden="false" customHeight="false" outlineLevel="0" collapsed="false">
      <c r="B255" s="2" t="n">
        <v>253</v>
      </c>
      <c r="C255" s="2" t="n">
        <v>4.91979918886419E-011</v>
      </c>
      <c r="D255" s="2" t="n">
        <v>0</v>
      </c>
      <c r="E255" s="2" t="n">
        <v>7.89505047679413E-013</v>
      </c>
    </row>
    <row r="256" customFormat="false" ht="13.8" hidden="false" customHeight="false" outlineLevel="0" collapsed="false">
      <c r="B256" s="2" t="n">
        <v>254</v>
      </c>
      <c r="C256" s="2" t="n">
        <v>4.90475214138127E-011</v>
      </c>
      <c r="D256" s="2" t="n">
        <v>0</v>
      </c>
      <c r="E256" s="2" t="n">
        <v>7.62274112695653E-013</v>
      </c>
    </row>
    <row r="257" customFormat="false" ht="13.8" hidden="false" customHeight="false" outlineLevel="0" collapsed="false">
      <c r="B257" s="2" t="n">
        <v>255</v>
      </c>
      <c r="C257" s="2" t="n">
        <v>4.89186237764463E-011</v>
      </c>
      <c r="D257" s="2" t="n">
        <v>0</v>
      </c>
      <c r="E257" s="2" t="n">
        <v>7.35167357948247E-013</v>
      </c>
    </row>
    <row r="258" customFormat="false" ht="13.8" hidden="false" customHeight="false" outlineLevel="0" collapsed="false">
      <c r="B258" s="2" t="n">
        <v>256</v>
      </c>
      <c r="C258" s="2" t="n">
        <v>4.88069460486151E-011</v>
      </c>
      <c r="D258" s="2" t="n">
        <v>5.55555555555557E-017</v>
      </c>
      <c r="E258" s="2" t="n">
        <v>7.08301889853385E-013</v>
      </c>
    </row>
    <row r="259" customFormat="false" ht="13.8" hidden="false" customHeight="false" outlineLevel="0" collapsed="false">
      <c r="B259" s="2" t="n">
        <v>257</v>
      </c>
      <c r="C259" s="2" t="n">
        <v>3.23372961234916E-016</v>
      </c>
      <c r="D259" s="2" t="n">
        <v>1.30535338007843E-015</v>
      </c>
      <c r="E259" s="2" t="n">
        <v>0.00191156547012443</v>
      </c>
    </row>
    <row r="260" customFormat="false" ht="13.8" hidden="false" customHeight="false" outlineLevel="0" collapsed="false">
      <c r="B260" s="2" t="n">
        <v>258</v>
      </c>
      <c r="C260" s="2" t="n">
        <v>0.0226056063732804</v>
      </c>
      <c r="D260" s="2" t="n">
        <v>1.07322200134202E-015</v>
      </c>
      <c r="E260" s="2" t="n">
        <v>0.0179529978603218</v>
      </c>
    </row>
    <row r="261" customFormat="false" ht="13.8" hidden="false" customHeight="false" outlineLevel="0" collapsed="false">
      <c r="B261" s="2" t="n">
        <v>259</v>
      </c>
      <c r="C261" s="2" t="n">
        <v>0.00654127841650725</v>
      </c>
      <c r="D261" s="2" t="n">
        <v>1.07354465439832E-015</v>
      </c>
      <c r="E261" s="2" t="n">
        <v>0.0139141979138907</v>
      </c>
    </row>
    <row r="262" customFormat="false" ht="13.8" hidden="false" customHeight="false" outlineLevel="0" collapsed="false">
      <c r="B262" s="2" t="n">
        <v>260</v>
      </c>
      <c r="C262" s="2" t="n">
        <v>0.0356436671264018</v>
      </c>
      <c r="D262" s="2" t="n">
        <v>1.07354465439832E-015</v>
      </c>
      <c r="E262" s="2" t="n">
        <v>0.0201250646341261</v>
      </c>
    </row>
    <row r="263" customFormat="false" ht="13.8" hidden="false" customHeight="false" outlineLevel="0" collapsed="false">
      <c r="B263" s="2" t="n">
        <v>261</v>
      </c>
      <c r="C263" s="2" t="n">
        <v>0.0199125891696301</v>
      </c>
      <c r="D263" s="2" t="n">
        <v>1.07354465439832E-015</v>
      </c>
      <c r="E263" s="2" t="n">
        <v>0.0309526480210284</v>
      </c>
    </row>
    <row r="264" customFormat="false" ht="13.8" hidden="false" customHeight="false" outlineLevel="0" collapsed="false">
      <c r="B264" s="2" t="n">
        <v>262</v>
      </c>
      <c r="C264" s="2" t="n">
        <v>0.0659346543772223</v>
      </c>
      <c r="D264" s="2" t="n">
        <v>1.07354465439832E-015</v>
      </c>
      <c r="E264" s="2" t="n">
        <v>0.0386520235157693</v>
      </c>
    </row>
    <row r="265" customFormat="false" ht="13.8" hidden="false" customHeight="false" outlineLevel="0" collapsed="false">
      <c r="B265" s="2" t="n">
        <v>263</v>
      </c>
      <c r="C265" s="2" t="n">
        <v>0.043956552918148</v>
      </c>
      <c r="D265" s="2" t="n">
        <v>1.07354465439832E-015</v>
      </c>
      <c r="E265" s="2" t="n">
        <v>0.0357516323438435</v>
      </c>
    </row>
    <row r="266" customFormat="false" ht="13.8" hidden="false" customHeight="false" outlineLevel="0" collapsed="false">
      <c r="B266" s="2" t="n">
        <v>264</v>
      </c>
      <c r="C266" s="2" t="n">
        <v>0.0864198573302916</v>
      </c>
      <c r="D266" s="2" t="n">
        <v>0.063358810795423</v>
      </c>
      <c r="E266" s="2" t="n">
        <v>0.0148844578385844</v>
      </c>
    </row>
    <row r="267" customFormat="false" ht="13.8" hidden="false" customHeight="false" outlineLevel="0" collapsed="false">
      <c r="B267" s="2" t="n">
        <v>265</v>
      </c>
      <c r="C267" s="2" t="n">
        <v>0.0500848166666667</v>
      </c>
      <c r="D267" s="2" t="n">
        <v>0.0999999999999906</v>
      </c>
      <c r="E267" s="2" t="n">
        <v>0.0413004166677608</v>
      </c>
    </row>
    <row r="268" customFormat="false" ht="13.8" hidden="false" customHeight="false" outlineLevel="0" collapsed="false">
      <c r="B268" s="2" t="n">
        <v>266</v>
      </c>
      <c r="C268" s="2" t="n">
        <v>0.0928854000000001</v>
      </c>
      <c r="D268" s="2" t="n">
        <v>0.0999999999999906</v>
      </c>
      <c r="E268" s="2" t="n">
        <v>0.0370003500012315</v>
      </c>
    </row>
    <row r="269" customFormat="false" ht="13.8" hidden="false" customHeight="false" outlineLevel="0" collapsed="false">
      <c r="B269" s="2" t="n">
        <v>267</v>
      </c>
      <c r="C269" s="2" t="n">
        <v>0.0554029499999998</v>
      </c>
      <c r="D269" s="2" t="n">
        <v>0.0999999999999906</v>
      </c>
      <c r="E269" s="2" t="n">
        <v>0.0138336666680355</v>
      </c>
    </row>
    <row r="270" customFormat="false" ht="13.8" hidden="false" customHeight="false" outlineLevel="0" collapsed="false">
      <c r="B270" s="2" t="n">
        <v>268</v>
      </c>
      <c r="C270" s="2" t="n">
        <v>0.106236566666667</v>
      </c>
      <c r="D270" s="2" t="n">
        <v>0.0999999999999906</v>
      </c>
      <c r="E270" s="2" t="n">
        <v>0.0108336166681729</v>
      </c>
    </row>
    <row r="271" customFormat="false" ht="13.8" hidden="false" customHeight="false" outlineLevel="0" collapsed="false">
      <c r="B271" s="2" t="n">
        <v>269</v>
      </c>
      <c r="C271" s="2" t="n">
        <v>0.0822527333333333</v>
      </c>
      <c r="D271" s="2" t="n">
        <v>0.0999999999999907</v>
      </c>
      <c r="E271" s="2" t="n">
        <v>0.0500002500016436</v>
      </c>
    </row>
    <row r="272" customFormat="false" ht="13.8" hidden="false" customHeight="false" outlineLevel="0" collapsed="false">
      <c r="B272" s="2" t="n">
        <v>270</v>
      </c>
      <c r="C272" s="2" t="n">
        <v>0.135585333333333</v>
      </c>
      <c r="D272" s="2" t="n">
        <v>0.0999999999999906</v>
      </c>
      <c r="E272" s="2" t="n">
        <v>0.0175000000017809</v>
      </c>
    </row>
    <row r="273" customFormat="false" ht="13.8" hidden="false" customHeight="false" outlineLevel="0" collapsed="false">
      <c r="B273" s="2" t="n">
        <v>271</v>
      </c>
      <c r="C273" s="2" t="n">
        <v>0.0749529833333333</v>
      </c>
      <c r="D273" s="2" t="n">
        <v>0.0999999999999906</v>
      </c>
      <c r="E273" s="2" t="n">
        <v>0.0500000000019183</v>
      </c>
    </row>
    <row r="274" customFormat="false" ht="13.8" hidden="false" customHeight="false" outlineLevel="0" collapsed="false">
      <c r="B274" s="2" t="n">
        <v>272</v>
      </c>
      <c r="C274" s="2" t="n">
        <v>0.12927025</v>
      </c>
      <c r="D274" s="2" t="n">
        <v>0.0999999999999906</v>
      </c>
      <c r="E274" s="2" t="n">
        <v>0.0175000000020557</v>
      </c>
    </row>
    <row r="275" customFormat="false" ht="13.8" hidden="false" customHeight="false" outlineLevel="0" collapsed="false">
      <c r="B275" s="2" t="n">
        <v>273</v>
      </c>
      <c r="C275" s="2" t="n">
        <v>0.0980539833333333</v>
      </c>
      <c r="D275" s="2" t="n">
        <v>0.0999999999999906</v>
      </c>
      <c r="E275" s="2" t="n">
        <v>0.0500000000021931</v>
      </c>
    </row>
    <row r="276" customFormat="false" ht="13.8" hidden="false" customHeight="false" outlineLevel="0" collapsed="false">
      <c r="B276" s="2" t="n">
        <v>274</v>
      </c>
      <c r="C276" s="2" t="n">
        <v>0.13158695</v>
      </c>
      <c r="D276" s="2" t="n">
        <v>0.0999999999999906</v>
      </c>
      <c r="E276" s="2" t="n">
        <v>0.0175000000023305</v>
      </c>
    </row>
    <row r="277" customFormat="false" ht="13.8" hidden="false" customHeight="false" outlineLevel="0" collapsed="false">
      <c r="B277" s="2" t="n">
        <v>275</v>
      </c>
      <c r="C277" s="2" t="n">
        <v>0.0836371166666666</v>
      </c>
      <c r="D277" s="2" t="n">
        <v>0.0999999999999906</v>
      </c>
      <c r="E277" s="2" t="n">
        <v>0.0500000000024679</v>
      </c>
    </row>
    <row r="278" customFormat="false" ht="13.8" hidden="false" customHeight="false" outlineLevel="0" collapsed="false">
      <c r="B278" s="2" t="n">
        <v>276</v>
      </c>
      <c r="C278" s="2" t="n">
        <v>0.109820216666667</v>
      </c>
      <c r="D278" s="2" t="n">
        <v>0.0999999999999907</v>
      </c>
      <c r="E278" s="2" t="n">
        <v>0.0175000000026053</v>
      </c>
    </row>
    <row r="279" customFormat="false" ht="13.8" hidden="false" customHeight="false" outlineLevel="0" collapsed="false">
      <c r="B279" s="2" t="n">
        <v>277</v>
      </c>
      <c r="C279" s="2" t="n">
        <v>0.111920716666667</v>
      </c>
      <c r="D279" s="2" t="n">
        <v>0.0999999999999906</v>
      </c>
      <c r="E279" s="2" t="n">
        <v>0.013916733336076</v>
      </c>
    </row>
    <row r="280" customFormat="false" ht="13.8" hidden="false" customHeight="false" outlineLevel="0" collapsed="false">
      <c r="B280" s="2" t="n">
        <v>278</v>
      </c>
      <c r="C280" s="2" t="n">
        <v>0.12328675</v>
      </c>
      <c r="D280" s="2" t="n">
        <v>0.0999999999999906</v>
      </c>
      <c r="E280" s="2" t="n">
        <v>0.00775000000288009</v>
      </c>
    </row>
    <row r="281" customFormat="false" ht="13.8" hidden="false" customHeight="false" outlineLevel="0" collapsed="false">
      <c r="B281" s="2" t="n">
        <v>279</v>
      </c>
      <c r="C281" s="2" t="n">
        <v>0.125603033333333</v>
      </c>
      <c r="D281" s="2" t="n">
        <v>0.0999999999999906</v>
      </c>
      <c r="E281" s="2" t="n">
        <v>0.0267501000030175</v>
      </c>
    </row>
    <row r="282" customFormat="false" ht="13.8" hidden="false" customHeight="false" outlineLevel="0" collapsed="false">
      <c r="B282" s="2" t="n">
        <v>280</v>
      </c>
      <c r="C282" s="2" t="n">
        <v>0.127503033333333</v>
      </c>
      <c r="D282" s="2" t="n">
        <v>0.0999999999999906</v>
      </c>
      <c r="E282" s="2" t="n">
        <v>2.50003154920185E-007</v>
      </c>
    </row>
    <row r="283" customFormat="false" ht="13.8" hidden="false" customHeight="false" outlineLevel="0" collapsed="false">
      <c r="B283" s="2" t="n">
        <v>281</v>
      </c>
      <c r="C283" s="2" t="n">
        <v>0.100237033333333</v>
      </c>
      <c r="D283" s="2" t="n">
        <v>0.0999999999999906</v>
      </c>
      <c r="E283" s="2" t="n">
        <v>0.00108336666995901</v>
      </c>
    </row>
    <row r="284" customFormat="false" ht="13.8" hidden="false" customHeight="false" outlineLevel="0" collapsed="false">
      <c r="B284" s="2" t="n">
        <v>282</v>
      </c>
      <c r="C284" s="2" t="n">
        <v>0.0824708333333333</v>
      </c>
      <c r="D284" s="2" t="n">
        <v>0.0999999999999906</v>
      </c>
      <c r="E284" s="2" t="n">
        <v>0.0272500000034298</v>
      </c>
    </row>
    <row r="285" customFormat="false" ht="13.8" hidden="false" customHeight="false" outlineLevel="0" collapsed="false">
      <c r="B285" s="2" t="n">
        <v>283</v>
      </c>
      <c r="C285" s="2" t="n">
        <v>0.0292544666666667</v>
      </c>
      <c r="D285" s="2" t="n">
        <v>0.0999999999999906</v>
      </c>
      <c r="E285" s="2" t="n">
        <v>0.00766668333690053</v>
      </c>
    </row>
    <row r="286" customFormat="false" ht="13.8" hidden="false" customHeight="false" outlineLevel="0" collapsed="false">
      <c r="B286" s="2" t="n">
        <v>284</v>
      </c>
      <c r="C286" s="2" t="n">
        <v>0.0412705833333333</v>
      </c>
      <c r="D286" s="2" t="n">
        <v>0.0999999999999906</v>
      </c>
      <c r="E286" s="2" t="n">
        <v>0.0240000000037047</v>
      </c>
    </row>
    <row r="287" customFormat="false" ht="13.8" hidden="false" customHeight="false" outlineLevel="0" collapsed="false">
      <c r="B287" s="2" t="n">
        <v>285</v>
      </c>
      <c r="C287" s="2" t="n">
        <v>0.05633705</v>
      </c>
      <c r="D287" s="2" t="n">
        <v>0.0999999999999906</v>
      </c>
      <c r="E287" s="2" t="n">
        <v>0.0110000000038421</v>
      </c>
    </row>
    <row r="288" customFormat="false" ht="13.8" hidden="false" customHeight="false" outlineLevel="0" collapsed="false">
      <c r="B288" s="2" t="n">
        <v>286</v>
      </c>
      <c r="C288" s="2" t="n">
        <v>0.0514531666666667</v>
      </c>
      <c r="D288" s="2" t="n">
        <v>0.0999999999999906</v>
      </c>
      <c r="E288" s="2" t="n">
        <v>0.0240000000039795</v>
      </c>
    </row>
    <row r="289" customFormat="false" ht="13.8" hidden="false" customHeight="false" outlineLevel="0" collapsed="false">
      <c r="B289" s="2" t="n">
        <v>287</v>
      </c>
      <c r="C289" s="2" t="n">
        <v>0.0474855666666667</v>
      </c>
      <c r="D289" s="2" t="n">
        <v>0.0999999999999906</v>
      </c>
      <c r="E289" s="2" t="n">
        <v>0.011000000004117</v>
      </c>
    </row>
    <row r="290" customFormat="false" ht="13.8" hidden="false" customHeight="false" outlineLevel="0" collapsed="false">
      <c r="B290" s="2" t="n">
        <v>288</v>
      </c>
      <c r="C290" s="2" t="n">
        <v>0.0842696833333334</v>
      </c>
      <c r="D290" s="2" t="n">
        <v>0.0999999999999906</v>
      </c>
      <c r="E290" s="2" t="n">
        <v>0.000666783337587793</v>
      </c>
    </row>
    <row r="291" customFormat="false" ht="13.8" hidden="false" customHeight="false" outlineLevel="0" collapsed="false">
      <c r="B291" s="2" t="n">
        <v>289</v>
      </c>
      <c r="C291" s="2" t="n">
        <v>0.0143862</v>
      </c>
      <c r="D291" s="2" t="n">
        <v>2.13550396978299E-008</v>
      </c>
      <c r="E291" s="2" t="n">
        <v>0.000833416666656119</v>
      </c>
    </row>
    <row r="292" customFormat="false" ht="13.8" hidden="false" customHeight="false" outlineLevel="0" collapsed="false">
      <c r="B292" s="2" t="n">
        <v>290</v>
      </c>
      <c r="C292" s="2" t="n">
        <v>0.0266355</v>
      </c>
      <c r="D292" s="2" t="n">
        <v>0.0333333333333239</v>
      </c>
      <c r="E292" s="2" t="n">
        <v>0.0175000000045294</v>
      </c>
    </row>
    <row r="293" customFormat="false" ht="13.8" hidden="false" customHeight="false" outlineLevel="0" collapsed="false">
      <c r="B293" s="2" t="n">
        <v>291</v>
      </c>
      <c r="C293" s="2" t="n">
        <v>0.04961805</v>
      </c>
      <c r="D293" s="2" t="n">
        <v>0.0999999999999906</v>
      </c>
      <c r="E293" s="2" t="n">
        <v>0.0171667333380002</v>
      </c>
    </row>
    <row r="294" customFormat="false" ht="13.8" hidden="false" customHeight="false" outlineLevel="0" collapsed="false">
      <c r="B294" s="2" t="n">
        <v>292</v>
      </c>
      <c r="C294" s="2" t="n">
        <v>0.04021715</v>
      </c>
      <c r="D294" s="2" t="n">
        <v>0.0999999999999906</v>
      </c>
      <c r="E294" s="2" t="n">
        <v>0.00450000000480442</v>
      </c>
    </row>
    <row r="295" customFormat="false" ht="13.8" hidden="false" customHeight="false" outlineLevel="0" collapsed="false">
      <c r="B295" s="2" t="n">
        <v>293</v>
      </c>
      <c r="C295" s="2" t="n">
        <v>0.0418501666666667</v>
      </c>
      <c r="D295" s="2" t="n">
        <v>0.0999999999999906</v>
      </c>
      <c r="E295" s="2" t="n">
        <v>0.0305000000049419</v>
      </c>
    </row>
    <row r="296" customFormat="false" ht="13.8" hidden="false" customHeight="false" outlineLevel="0" collapsed="false">
      <c r="B296" s="2" t="n">
        <v>294</v>
      </c>
      <c r="C296" s="2" t="n">
        <v>0.04415025</v>
      </c>
      <c r="D296" s="2" t="n">
        <v>0.0999999999999906</v>
      </c>
      <c r="E296" s="2" t="n">
        <v>0.00450000000507944</v>
      </c>
    </row>
    <row r="297" customFormat="false" ht="13.8" hidden="false" customHeight="false" outlineLevel="0" collapsed="false">
      <c r="B297" s="2" t="n">
        <v>295</v>
      </c>
      <c r="C297" s="2" t="n">
        <v>0.0246004166666667</v>
      </c>
      <c r="D297" s="2" t="n">
        <v>0.0999999999999906</v>
      </c>
      <c r="E297" s="2" t="n">
        <v>0.0305000000052169</v>
      </c>
    </row>
    <row r="298" customFormat="false" ht="13.8" hidden="false" customHeight="false" outlineLevel="0" collapsed="false">
      <c r="B298" s="2" t="n">
        <v>296</v>
      </c>
      <c r="C298" s="2" t="n">
        <v>0.03690035</v>
      </c>
      <c r="D298" s="2" t="n">
        <v>0.0999999999999906</v>
      </c>
      <c r="E298" s="2" t="n">
        <v>0.00450000000535448</v>
      </c>
    </row>
    <row r="299" customFormat="false" ht="13.8" hidden="false" customHeight="false" outlineLevel="0" collapsed="false">
      <c r="B299" s="2" t="n">
        <v>297</v>
      </c>
      <c r="C299" s="2" t="n">
        <v>0.0247334</v>
      </c>
      <c r="D299" s="2" t="n">
        <v>0.0999999999999906</v>
      </c>
      <c r="E299" s="2" t="n">
        <v>0.030500000005492</v>
      </c>
    </row>
    <row r="300" customFormat="false" ht="13.8" hidden="false" customHeight="false" outlineLevel="0" collapsed="false">
      <c r="B300" s="2" t="n">
        <v>298</v>
      </c>
      <c r="C300" s="2" t="n">
        <v>0.0483001666666667</v>
      </c>
      <c r="D300" s="2" t="n">
        <v>0.0999999999999906</v>
      </c>
      <c r="E300" s="2" t="n">
        <v>0.00450000000562955</v>
      </c>
    </row>
    <row r="301" customFormat="false" ht="13.8" hidden="false" customHeight="false" outlineLevel="0" collapsed="false">
      <c r="B301" s="2" t="n">
        <v>299</v>
      </c>
      <c r="C301" s="2" t="n">
        <v>0.0136336</v>
      </c>
      <c r="D301" s="2" t="n">
        <v>0.0999999999999906</v>
      </c>
      <c r="E301" s="2" t="n">
        <v>0.0305000000057671</v>
      </c>
    </row>
    <row r="302" customFormat="false" ht="13.8" hidden="false" customHeight="false" outlineLevel="0" collapsed="false">
      <c r="B302" s="2" t="n">
        <v>300</v>
      </c>
      <c r="C302" s="2" t="n">
        <v>0.04168375</v>
      </c>
      <c r="D302" s="2" t="n">
        <v>0.0999999999999906</v>
      </c>
      <c r="E302" s="2" t="n">
        <v>0.00450000000590465</v>
      </c>
    </row>
    <row r="303" customFormat="false" ht="13.8" hidden="false" customHeight="false" outlineLevel="0" collapsed="false">
      <c r="B303" s="2" t="n">
        <v>301</v>
      </c>
      <c r="C303" s="2" t="n">
        <v>0.0121502666666667</v>
      </c>
      <c r="D303" s="2" t="n">
        <v>0.0999999999999906</v>
      </c>
      <c r="E303" s="2" t="n">
        <v>0.0305000000060422</v>
      </c>
    </row>
    <row r="304" customFormat="false" ht="13.8" hidden="false" customHeight="false" outlineLevel="0" collapsed="false">
      <c r="B304" s="2" t="n">
        <v>302</v>
      </c>
      <c r="C304" s="2" t="n">
        <v>0.02791675</v>
      </c>
      <c r="D304" s="2" t="n">
        <v>0.0999999999999906</v>
      </c>
      <c r="E304" s="2" t="n">
        <v>0.00450000000617975</v>
      </c>
    </row>
    <row r="305" customFormat="false" ht="13.8" hidden="false" customHeight="false" outlineLevel="0" collapsed="false">
      <c r="B305" s="2" t="n">
        <v>303</v>
      </c>
      <c r="C305" s="2" t="n">
        <v>0.0476167</v>
      </c>
      <c r="D305" s="2" t="n">
        <v>0.0999999999999906</v>
      </c>
      <c r="E305" s="2" t="n">
        <v>0.0305000000063173</v>
      </c>
    </row>
    <row r="306" customFormat="false" ht="13.8" hidden="false" customHeight="false" outlineLevel="0" collapsed="false">
      <c r="B306" s="2" t="n">
        <v>304</v>
      </c>
      <c r="C306" s="2" t="n">
        <v>0.0382336</v>
      </c>
      <c r="D306" s="2" t="n">
        <v>0.0999999999999907</v>
      </c>
      <c r="E306" s="2" t="n">
        <v>0.00450000000645489</v>
      </c>
    </row>
    <row r="307" customFormat="false" ht="13.8" hidden="false" customHeight="false" outlineLevel="0" collapsed="false">
      <c r="B307" s="2" t="n">
        <v>305</v>
      </c>
      <c r="C307" s="2" t="n">
        <v>0.04936675</v>
      </c>
      <c r="D307" s="2" t="n">
        <v>0.0999999999999906</v>
      </c>
      <c r="E307" s="2" t="n">
        <v>0.0305000000065925</v>
      </c>
    </row>
    <row r="308" customFormat="false" ht="13.8" hidden="false" customHeight="false" outlineLevel="0" collapsed="false">
      <c r="B308" s="2" t="n">
        <v>306</v>
      </c>
      <c r="C308" s="2" t="n">
        <v>0.03858355</v>
      </c>
      <c r="D308" s="2" t="n">
        <v>0.0999999999999906</v>
      </c>
      <c r="E308" s="2" t="n">
        <v>0.00450000000673006</v>
      </c>
    </row>
    <row r="309" customFormat="false" ht="13.8" hidden="false" customHeight="false" outlineLevel="0" collapsed="false">
      <c r="B309" s="2" t="n">
        <v>307</v>
      </c>
      <c r="C309" s="2" t="n">
        <v>0.0443835333333333</v>
      </c>
      <c r="D309" s="2" t="n">
        <v>0.0999999999999906</v>
      </c>
      <c r="E309" s="2" t="n">
        <v>0.0305000000068677</v>
      </c>
    </row>
    <row r="310" customFormat="false" ht="13.8" hidden="false" customHeight="false" outlineLevel="0" collapsed="false">
      <c r="B310" s="2" t="n">
        <v>308</v>
      </c>
      <c r="C310" s="2" t="n">
        <v>0.038</v>
      </c>
      <c r="D310" s="2" t="n">
        <v>0.0999999999999854</v>
      </c>
      <c r="E310" s="2" t="n">
        <v>0.00449999999999072</v>
      </c>
    </row>
    <row r="311" customFormat="false" ht="13.8" hidden="false" customHeight="false" outlineLevel="0" collapsed="false">
      <c r="B311" s="2" t="n">
        <v>309</v>
      </c>
      <c r="C311" s="2" t="n">
        <v>0.0460167666666667</v>
      </c>
      <c r="D311" s="2" t="n">
        <v>0.0429886631878572</v>
      </c>
      <c r="E311" s="2" t="n">
        <v>0.0541780034787886</v>
      </c>
    </row>
    <row r="312" customFormat="false" ht="13.8" hidden="false" customHeight="false" outlineLevel="0" collapsed="false">
      <c r="B312" s="2" t="n">
        <v>310</v>
      </c>
      <c r="C312" s="2" t="n">
        <v>0.00300921736591937</v>
      </c>
      <c r="D312" s="2" t="n">
        <v>2.22650071148135E-017</v>
      </c>
      <c r="E312" s="2" t="n">
        <v>0.00207839024339276</v>
      </c>
    </row>
    <row r="313" customFormat="false" ht="13.8" hidden="false" customHeight="false" outlineLevel="0" collapsed="false">
      <c r="B313" s="2" t="n">
        <v>311</v>
      </c>
      <c r="C313" s="2" t="n">
        <v>0.021267784731839</v>
      </c>
      <c r="D313" s="2" t="n">
        <v>0</v>
      </c>
      <c r="E313" s="2" t="n">
        <v>0.0256567804868064</v>
      </c>
    </row>
    <row r="314" customFormat="false" ht="13.8" hidden="false" customHeight="false" outlineLevel="0" collapsed="false">
      <c r="B314" s="2" t="n">
        <v>312</v>
      </c>
      <c r="C314" s="2" t="n">
        <v>0.0102616061613338</v>
      </c>
      <c r="D314" s="2" t="n">
        <v>0</v>
      </c>
      <c r="E314" s="2" t="n">
        <v>1.0885110000418E-015</v>
      </c>
    </row>
    <row r="315" customFormat="false" ht="13.8" hidden="false" customHeight="false" outlineLevel="0" collapsed="false">
      <c r="B315" s="2" t="n">
        <v>313</v>
      </c>
      <c r="C315" s="2" t="n">
        <v>0.0260654804373339</v>
      </c>
      <c r="D315" s="2" t="n">
        <v>0</v>
      </c>
      <c r="E315" s="2" t="n">
        <v>1.10241629745181E-015</v>
      </c>
    </row>
    <row r="316" customFormat="false" ht="13.8" hidden="false" customHeight="false" outlineLevel="0" collapsed="false">
      <c r="B316" s="2" t="n">
        <v>314</v>
      </c>
      <c r="C316" s="2" t="n">
        <v>1.10532345760064E-015</v>
      </c>
      <c r="D316" s="2" t="n">
        <v>1.09327393337193E-015</v>
      </c>
      <c r="E316" s="2" t="n">
        <v>0.00767443018116045</v>
      </c>
    </row>
    <row r="317" customFormat="false" ht="13.8" hidden="false" customHeight="false" outlineLevel="0" collapsed="false">
      <c r="B317" s="2" t="n">
        <v>315</v>
      </c>
      <c r="C317" s="2" t="n">
        <v>1.2843155910533E-018</v>
      </c>
      <c r="D317" s="2" t="n">
        <v>0</v>
      </c>
      <c r="E317" s="2" t="n">
        <v>1.15576227705899E-015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1.1701836606235E-015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1.1851199501718E-015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1.1997583476252E-015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1.22583519167556E-015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1.22984794061068E-015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1.24486510836498E-015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1.25863545026283E-015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1.24418844596919E-015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1.2889420571372E-015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1.30482728044705E-015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1.31938479969446E-015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1.36766187454293E-015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1.34947439267994E-015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1.36405753265646E-015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1.37782787455431E-015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1.35576377943908E-015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0</v>
      </c>
      <c r="E334" s="2" t="n">
        <v>1.40718554766712E-015</v>
      </c>
    </row>
    <row r="335" customFormat="false" ht="13.8" hidden="false" customHeight="false" outlineLevel="0" collapsed="false">
      <c r="B335" s="2" t="n">
        <v>333</v>
      </c>
      <c r="C335" s="2" t="n">
        <v>0</v>
      </c>
      <c r="D335" s="2" t="n">
        <v>0</v>
      </c>
      <c r="E335" s="2" t="n">
        <v>1.42401970473853E-015</v>
      </c>
    </row>
    <row r="336" customFormat="false" ht="13.8" hidden="false" customHeight="false" outlineLevel="0" collapsed="false">
      <c r="B336" s="2" t="n">
        <v>334</v>
      </c>
      <c r="C336" s="2" t="n">
        <v>0</v>
      </c>
      <c r="D336" s="2" t="n">
        <v>1.17389605547137E-011</v>
      </c>
      <c r="E336" s="2" t="n">
        <v>1.43770916843038E-015</v>
      </c>
    </row>
    <row r="337" customFormat="false" ht="13.8" hidden="false" customHeight="false" outlineLevel="0" collapsed="false">
      <c r="B337" s="2" t="n">
        <v>335</v>
      </c>
      <c r="C337" s="2" t="n">
        <v>6.58727886088742E-019</v>
      </c>
      <c r="D337" s="2" t="n">
        <v>5.69016998071066E-018</v>
      </c>
      <c r="E337" s="2" t="n">
        <v>1.45242844408978E-015</v>
      </c>
    </row>
    <row r="338" customFormat="false" ht="13.8" hidden="false" customHeight="false" outlineLevel="0" collapsed="false">
      <c r="B338" s="2" t="n">
        <v>336</v>
      </c>
      <c r="C338" s="2" t="n">
        <v>3.91171774086129E-017</v>
      </c>
      <c r="D338" s="2" t="n">
        <v>0</v>
      </c>
      <c r="E338" s="2" t="n">
        <v>9.03367704934426E-012</v>
      </c>
    </row>
    <row r="339" customFormat="false" ht="13.8" hidden="false" customHeight="false" outlineLevel="0" collapsed="false">
      <c r="B339" s="2" t="n">
        <v>337</v>
      </c>
      <c r="C339" s="2" t="n">
        <v>1.97618365929462E-018</v>
      </c>
      <c r="D339" s="2" t="n">
        <v>0</v>
      </c>
      <c r="E339" s="2" t="n">
        <v>1.02198979702295E-011</v>
      </c>
    </row>
    <row r="340" customFormat="false" ht="13.8" hidden="false" customHeight="false" outlineLevel="0" collapsed="false">
      <c r="B340" s="2" t="n">
        <v>338</v>
      </c>
      <c r="C340" s="2" t="n">
        <v>0</v>
      </c>
      <c r="D340" s="2" t="n">
        <v>0</v>
      </c>
      <c r="E340" s="2" t="n">
        <v>1.14051847096292E-011</v>
      </c>
    </row>
    <row r="341" customFormat="false" ht="13.8" hidden="false" customHeight="false" outlineLevel="0" collapsed="false">
      <c r="B341" s="2" t="n">
        <v>339</v>
      </c>
      <c r="C341" s="2" t="n">
        <v>9.88091828618891E-019</v>
      </c>
      <c r="D341" s="2" t="n">
        <v>0</v>
      </c>
      <c r="E341" s="2" t="n">
        <v>1.25903447883534E-011</v>
      </c>
    </row>
    <row r="342" customFormat="false" ht="13.8" hidden="false" customHeight="false" outlineLevel="0" collapsed="false">
      <c r="B342" s="2" t="n">
        <v>340</v>
      </c>
      <c r="C342" s="2" t="n">
        <v>0</v>
      </c>
      <c r="D342" s="2" t="n">
        <v>0</v>
      </c>
      <c r="E342" s="2" t="n">
        <v>1.37755838116113E-011</v>
      </c>
    </row>
    <row r="343" customFormat="false" ht="13.8" hidden="false" customHeight="false" outlineLevel="0" collapsed="false">
      <c r="B343" s="2" t="n">
        <v>341</v>
      </c>
      <c r="C343" s="2" t="n">
        <v>0</v>
      </c>
      <c r="D343" s="2" t="n">
        <v>5.10868415420533E-017</v>
      </c>
      <c r="E343" s="2" t="n">
        <v>1.49608088676742E-011</v>
      </c>
    </row>
    <row r="344" customFormat="false" ht="13.8" hidden="false" customHeight="false" outlineLevel="0" collapsed="false">
      <c r="B344" s="2" t="n">
        <v>342</v>
      </c>
      <c r="C344" s="2" t="n">
        <v>0</v>
      </c>
      <c r="D344" s="2" t="n">
        <v>1.10864165078549E-016</v>
      </c>
      <c r="E344" s="2" t="n">
        <v>2.54883951571289E-010</v>
      </c>
    </row>
    <row r="345" customFormat="false" ht="13.8" hidden="false" customHeight="false" outlineLevel="0" collapsed="false">
      <c r="B345" s="2" t="n">
        <v>343</v>
      </c>
      <c r="C345" s="2" t="n">
        <v>5.65343492055632E-017</v>
      </c>
      <c r="D345" s="2" t="n">
        <v>5.6249290482575E-017</v>
      </c>
      <c r="E345" s="2" t="n">
        <v>1.73321929279695E-011</v>
      </c>
    </row>
    <row r="346" customFormat="false" ht="13.8" hidden="false" customHeight="false" outlineLevel="0" collapsed="false">
      <c r="B346" s="2" t="n">
        <v>344</v>
      </c>
      <c r="C346" s="2" t="n">
        <v>3.93050751725952E-016</v>
      </c>
      <c r="D346" s="2" t="n">
        <v>2.42497446887809E-017</v>
      </c>
      <c r="E346" s="2" t="n">
        <v>3.62097630042189E-015</v>
      </c>
    </row>
    <row r="347" customFormat="false" ht="13.8" hidden="false" customHeight="false" outlineLevel="0" collapsed="false">
      <c r="B347" s="2" t="n">
        <v>345</v>
      </c>
      <c r="C347" s="2" t="n">
        <v>1.52063446601522E-017</v>
      </c>
      <c r="D347" s="2" t="n">
        <v>5.28868159594147E-017</v>
      </c>
      <c r="E347" s="2" t="n">
        <v>1.62125528403995E-015</v>
      </c>
    </row>
    <row r="348" customFormat="false" ht="13.8" hidden="false" customHeight="false" outlineLevel="0" collapsed="false">
      <c r="B348" s="2" t="n">
        <v>346</v>
      </c>
      <c r="C348" s="2" t="n">
        <v>0</v>
      </c>
      <c r="D348" s="2" t="n">
        <v>1.17045338461486E-016</v>
      </c>
      <c r="E348" s="2" t="n">
        <v>1.62125528403995E-015</v>
      </c>
    </row>
    <row r="349" customFormat="false" ht="13.8" hidden="false" customHeight="false" outlineLevel="0" collapsed="false">
      <c r="B349" s="2" t="n">
        <v>347</v>
      </c>
      <c r="C349" s="2" t="n">
        <v>0</v>
      </c>
      <c r="D349" s="2" t="n">
        <v>6.0630489380263E-017</v>
      </c>
      <c r="E349" s="2" t="n">
        <v>1.64467671996539E-015</v>
      </c>
    </row>
    <row r="350" customFormat="false" ht="13.8" hidden="false" customHeight="false" outlineLevel="0" collapsed="false">
      <c r="B350" s="2" t="n">
        <v>348</v>
      </c>
      <c r="C350" s="2" t="n">
        <v>1.35450490570989E-016</v>
      </c>
      <c r="D350" s="2" t="n">
        <v>7.96818272257021E-017</v>
      </c>
      <c r="E350" s="2" t="n">
        <v>1.64467671996539E-015</v>
      </c>
    </row>
    <row r="351" customFormat="false" ht="13.8" hidden="false" customHeight="false" outlineLevel="0" collapsed="false">
      <c r="B351" s="2" t="n">
        <v>349</v>
      </c>
      <c r="C351" s="2" t="n">
        <v>1.31745577114904E-018</v>
      </c>
      <c r="D351" s="2" t="n">
        <v>6.57929383204169E-017</v>
      </c>
      <c r="E351" s="2" t="n">
        <v>1.69151959181628E-015</v>
      </c>
    </row>
    <row r="352" customFormat="false" ht="13.8" hidden="false" customHeight="false" outlineLevel="0" collapsed="false">
      <c r="B352" s="2" t="n">
        <v>350</v>
      </c>
      <c r="C352" s="2" t="n">
        <v>0</v>
      </c>
      <c r="D352" s="2" t="n">
        <v>1.1219073520729E-016</v>
      </c>
      <c r="E352" s="2" t="n">
        <v>1.65679676158727E-015</v>
      </c>
    </row>
    <row r="353" customFormat="false" ht="13.8" hidden="false" customHeight="false" outlineLevel="0" collapsed="false">
      <c r="B353" s="2" t="n">
        <v>351</v>
      </c>
      <c r="C353" s="2" t="n">
        <v>1.5604622963775E-013</v>
      </c>
      <c r="D353" s="2" t="n">
        <v>1.97376546395306E-011</v>
      </c>
      <c r="E353" s="2" t="n">
        <v>6.2330141308598E-010</v>
      </c>
    </row>
    <row r="354" customFormat="false" ht="13.8" hidden="false" customHeight="false" outlineLevel="0" collapsed="false">
      <c r="B354" s="2" t="n">
        <v>352</v>
      </c>
      <c r="C354" s="2" t="n">
        <v>1.48852503798217E-016</v>
      </c>
      <c r="D354" s="2" t="n">
        <v>1.03523663873754E-016</v>
      </c>
      <c r="E354" s="2" t="n">
        <v>1.71482666411958E-015</v>
      </c>
    </row>
    <row r="355" customFormat="false" ht="13.8" hidden="false" customHeight="false" outlineLevel="0" collapsed="false">
      <c r="B355" s="2" t="n">
        <v>353</v>
      </c>
      <c r="C355" s="2" t="n">
        <v>1.87221890614288E-016</v>
      </c>
      <c r="D355" s="2" t="n">
        <v>2.39885248134086E-016</v>
      </c>
      <c r="E355" s="2" t="n">
        <v>5.14218562646783E-010</v>
      </c>
    </row>
    <row r="356" customFormat="false" ht="13.8" hidden="false" customHeight="false" outlineLevel="0" collapsed="false">
      <c r="B356" s="2" t="n">
        <v>354</v>
      </c>
      <c r="C356" s="2" t="n">
        <v>0.0111292598199988</v>
      </c>
      <c r="D356" s="2" t="n">
        <v>9.41974857780077E-017</v>
      </c>
      <c r="E356" s="2" t="n">
        <v>0.0341859902500363</v>
      </c>
    </row>
    <row r="357" customFormat="false" ht="13.8" hidden="false" customHeight="false" outlineLevel="0" collapsed="false">
      <c r="B357" s="2" t="n">
        <v>355</v>
      </c>
      <c r="C357" s="2" t="n">
        <v>0.00697819758497569</v>
      </c>
      <c r="D357" s="2" t="n">
        <v>1.8629700818231E-016</v>
      </c>
      <c r="E357" s="2" t="n">
        <v>0.0045326203890922</v>
      </c>
    </row>
    <row r="358" customFormat="false" ht="13.8" hidden="false" customHeight="false" outlineLevel="0" collapsed="false">
      <c r="B358" s="2" t="n">
        <v>356</v>
      </c>
      <c r="C358" s="2" t="n">
        <v>0.0432437186832853</v>
      </c>
      <c r="D358" s="2" t="n">
        <v>2.74326948631396E-018</v>
      </c>
      <c r="E358" s="2" t="n">
        <v>0.0398792505281481</v>
      </c>
    </row>
    <row r="359" customFormat="false" ht="13.8" hidden="false" customHeight="false" outlineLevel="0" collapsed="false">
      <c r="B359" s="2" t="n">
        <v>357</v>
      </c>
      <c r="C359" s="2" t="n">
        <v>0.021542539781596</v>
      </c>
      <c r="D359" s="2" t="n">
        <v>1.86135681654158E-016</v>
      </c>
      <c r="E359" s="2" t="n">
        <v>0.010225880667204</v>
      </c>
    </row>
    <row r="360" customFormat="false" ht="13.8" hidden="false" customHeight="false" outlineLevel="0" collapsed="false">
      <c r="B360" s="2" t="n">
        <v>358</v>
      </c>
      <c r="C360" s="2" t="n">
        <v>0.0676736923361955</v>
      </c>
      <c r="D360" s="2" t="n">
        <v>2.80693976446496E-018</v>
      </c>
      <c r="E360" s="2" t="n">
        <v>0.0506110771670614</v>
      </c>
    </row>
    <row r="361" customFormat="false" ht="13.8" hidden="false" customHeight="false" outlineLevel="0" collapsed="false">
      <c r="B361" s="2" t="n">
        <v>359</v>
      </c>
      <c r="C361" s="2" t="n">
        <v>0.0411713448907954</v>
      </c>
      <c r="D361" s="2" t="n">
        <v>9.43099841811588E-017</v>
      </c>
      <c r="E361" s="2" t="n">
        <v>0.0268629403335854</v>
      </c>
    </row>
    <row r="362" customFormat="false" ht="13.8" hidden="false" customHeight="false" outlineLevel="0" collapsed="false">
      <c r="B362" s="2" t="n">
        <v>360</v>
      </c>
      <c r="C362" s="2" t="n">
        <v>0.0866691474453957</v>
      </c>
      <c r="D362" s="2" t="n">
        <v>2.77944386141237E-016</v>
      </c>
      <c r="E362" s="2" t="n">
        <v>0.0542482368334428</v>
      </c>
    </row>
    <row r="363" customFormat="false" ht="13.8" hidden="false" customHeight="false" outlineLevel="0" collapsed="false">
      <c r="B363" s="2" t="n">
        <v>361</v>
      </c>
      <c r="C363" s="2" t="n">
        <v>0.0510006999999992</v>
      </c>
      <c r="D363" s="2" t="n">
        <v>9.17768694056291E-017</v>
      </c>
      <c r="E363" s="2" t="n">
        <v>0.0174999999999851</v>
      </c>
    </row>
    <row r="364" customFormat="false" ht="13.8" hidden="false" customHeight="false" outlineLevel="0" collapsed="false">
      <c r="B364" s="2" t="n">
        <v>362</v>
      </c>
      <c r="C364" s="2" t="n">
        <v>0.0900011999999992</v>
      </c>
      <c r="D364" s="2" t="n">
        <v>0</v>
      </c>
      <c r="E364" s="2" t="n">
        <v>0.0499999999999851</v>
      </c>
    </row>
    <row r="365" customFormat="false" ht="13.8" hidden="false" customHeight="false" outlineLevel="0" collapsed="false">
      <c r="B365" s="2" t="n">
        <v>363</v>
      </c>
      <c r="C365" s="2" t="n">
        <v>0.0630181499999992</v>
      </c>
      <c r="D365" s="2" t="n">
        <v>9.17768694056295E-017</v>
      </c>
      <c r="E365" s="2" t="n">
        <v>0.0174999999999851</v>
      </c>
    </row>
    <row r="366" customFormat="false" ht="13.8" hidden="false" customHeight="false" outlineLevel="0" collapsed="false">
      <c r="B366" s="2" t="n">
        <v>364</v>
      </c>
      <c r="C366" s="2" t="n">
        <v>0.117152066579738</v>
      </c>
      <c r="D366" s="2" t="n">
        <v>0</v>
      </c>
      <c r="E366" s="2" t="n">
        <v>0.0499999999999851</v>
      </c>
    </row>
    <row r="367" customFormat="false" ht="13.8" hidden="false" customHeight="false" outlineLevel="0" collapsed="false">
      <c r="B367" s="2" t="n">
        <v>365</v>
      </c>
      <c r="C367" s="2" t="n">
        <v>0.0912363499130767</v>
      </c>
      <c r="D367" s="2" t="n">
        <v>0.0999999999999994</v>
      </c>
      <c r="E367" s="2" t="n">
        <v>0.0233334666666518</v>
      </c>
    </row>
    <row r="368" customFormat="false" ht="13.8" hidden="false" customHeight="false" outlineLevel="0" collapsed="false">
      <c r="B368" s="2" t="n">
        <v>366</v>
      </c>
      <c r="C368" s="2" t="n">
        <v>0.123754149913082</v>
      </c>
      <c r="D368" s="2" t="n">
        <v>0.0999999999999995</v>
      </c>
      <c r="E368" s="2" t="n">
        <v>0.0499999999999851</v>
      </c>
    </row>
    <row r="369" customFormat="false" ht="13.8" hidden="false" customHeight="false" outlineLevel="0" collapsed="false">
      <c r="B369" s="2" t="n">
        <v>367</v>
      </c>
      <c r="C369" s="2" t="n">
        <v>0.0910207165797543</v>
      </c>
      <c r="D369" s="2" t="n">
        <v>0.0999999999999996</v>
      </c>
      <c r="E369" s="2" t="n">
        <v>0.000833416666651772</v>
      </c>
    </row>
    <row r="370" customFormat="false" ht="13.8" hidden="false" customHeight="false" outlineLevel="0" collapsed="false">
      <c r="B370" s="2" t="n">
        <v>368</v>
      </c>
      <c r="C370" s="2" t="n">
        <v>0.132520883246426</v>
      </c>
      <c r="D370" s="2" t="n">
        <v>0.0999999999999994</v>
      </c>
      <c r="E370" s="2" t="n">
        <v>0.00100004999998509</v>
      </c>
    </row>
    <row r="371" customFormat="false" ht="13.8" hidden="false" customHeight="false" outlineLevel="0" collapsed="false">
      <c r="B371" s="2" t="n">
        <v>369</v>
      </c>
      <c r="C371" s="2" t="n">
        <v>0.107003866579765</v>
      </c>
      <c r="D371" s="2" t="n">
        <v>0.0999999999999994</v>
      </c>
      <c r="E371" s="2" t="n">
        <v>0.0239999999999851</v>
      </c>
    </row>
    <row r="372" customFormat="false" ht="13.8" hidden="false" customHeight="false" outlineLevel="0" collapsed="false">
      <c r="B372" s="2" t="n">
        <v>370</v>
      </c>
      <c r="C372" s="2" t="n">
        <v>0.150203283246436</v>
      </c>
      <c r="D372" s="2" t="n">
        <v>0.0999999999999995</v>
      </c>
      <c r="E372" s="2" t="n">
        <v>0.0109999999999851</v>
      </c>
    </row>
    <row r="373" customFormat="false" ht="13.8" hidden="false" customHeight="false" outlineLevel="0" collapsed="false">
      <c r="B373" s="2" t="n">
        <v>371</v>
      </c>
      <c r="C373" s="2" t="n">
        <v>0.110736633333332</v>
      </c>
      <c r="D373" s="2" t="n">
        <v>0.0999999999999995</v>
      </c>
      <c r="E373" s="2" t="n">
        <v>0.00124999999998509</v>
      </c>
    </row>
    <row r="374" customFormat="false" ht="13.8" hidden="false" customHeight="false" outlineLevel="0" collapsed="false">
      <c r="B374" s="2" t="n">
        <v>372</v>
      </c>
      <c r="C374" s="2" t="n">
        <v>0.145737283333332</v>
      </c>
      <c r="D374" s="2" t="n">
        <v>0.0999999999999995</v>
      </c>
      <c r="E374" s="2" t="n">
        <v>0.0272499999999851</v>
      </c>
    </row>
    <row r="375" customFormat="false" ht="13.8" hidden="false" customHeight="false" outlineLevel="0" collapsed="false">
      <c r="B375" s="2" t="n">
        <v>373</v>
      </c>
      <c r="C375" s="2" t="n">
        <v>0.0894544166666658</v>
      </c>
      <c r="D375" s="2" t="n">
        <v>0.0999999999999996</v>
      </c>
      <c r="E375" s="2" t="n">
        <v>0.00774999999998511</v>
      </c>
    </row>
    <row r="376" customFormat="false" ht="13.8" hidden="false" customHeight="false" outlineLevel="0" collapsed="false">
      <c r="B376" s="2" t="n">
        <v>374</v>
      </c>
      <c r="C376" s="2" t="n">
        <v>0.0792382666666658</v>
      </c>
      <c r="D376" s="2" t="n">
        <v>0.0999999999999994</v>
      </c>
      <c r="E376" s="2" t="n">
        <v>0.0272499999999851</v>
      </c>
    </row>
    <row r="377" customFormat="false" ht="13.8" hidden="false" customHeight="false" outlineLevel="0" collapsed="false">
      <c r="B377" s="2" t="n">
        <v>375</v>
      </c>
      <c r="C377" s="2" t="n">
        <v>0.0832541832464609</v>
      </c>
      <c r="D377" s="2" t="n">
        <v>0.0999999999999996</v>
      </c>
      <c r="E377" s="2" t="n">
        <v>0.00774999999998511</v>
      </c>
    </row>
    <row r="378" customFormat="false" ht="13.8" hidden="false" customHeight="false" outlineLevel="0" collapsed="false">
      <c r="B378" s="2" t="n">
        <v>376</v>
      </c>
      <c r="C378" s="2" t="n">
        <v>0.0675707832464656</v>
      </c>
      <c r="D378" s="2" t="n">
        <v>0.0999999999999995</v>
      </c>
      <c r="E378" s="2" t="n">
        <v>0.0105834166666518</v>
      </c>
    </row>
    <row r="379" customFormat="false" ht="13.8" hidden="false" customHeight="false" outlineLevel="0" collapsed="false">
      <c r="B379" s="2" t="n">
        <v>377</v>
      </c>
      <c r="C379" s="2" t="n">
        <v>0.0465711666666658</v>
      </c>
      <c r="D379" s="2" t="n">
        <v>0.0999999999999995</v>
      </c>
      <c r="E379" s="2" t="n">
        <v>0.000416833333318449</v>
      </c>
    </row>
    <row r="380" customFormat="false" ht="13.8" hidden="false" customHeight="false" outlineLevel="0" collapsed="false">
      <c r="B380" s="2" t="n">
        <v>378</v>
      </c>
      <c r="C380" s="2" t="n">
        <v>0.0438540832464748</v>
      </c>
      <c r="D380" s="2" t="n">
        <v>0.0999999999999995</v>
      </c>
      <c r="E380" s="2" t="n">
        <v>0.00124999999998509</v>
      </c>
    </row>
    <row r="381" customFormat="false" ht="13.8" hidden="false" customHeight="false" outlineLevel="0" collapsed="false">
      <c r="B381" s="2" t="n">
        <v>379</v>
      </c>
      <c r="C381" s="2" t="n">
        <v>0.0795870332464793</v>
      </c>
      <c r="D381" s="2" t="n">
        <v>0.0999999999999995</v>
      </c>
      <c r="E381" s="2" t="n">
        <v>0.0337499999999851</v>
      </c>
    </row>
    <row r="382" customFormat="false" ht="13.8" hidden="false" customHeight="false" outlineLevel="0" collapsed="false">
      <c r="B382" s="2" t="n">
        <v>380</v>
      </c>
      <c r="C382" s="2" t="n">
        <v>0.0716862999131503</v>
      </c>
      <c r="D382" s="2" t="n">
        <v>0.0999999999999995</v>
      </c>
      <c r="E382" s="2" t="n">
        <v>0.00124999999998507</v>
      </c>
    </row>
    <row r="383" customFormat="false" ht="13.8" hidden="false" customHeight="false" outlineLevel="0" collapsed="false">
      <c r="B383" s="2" t="n">
        <v>381</v>
      </c>
      <c r="C383" s="2" t="n">
        <v>0.0777532166666659</v>
      </c>
      <c r="D383" s="2" t="n">
        <v>0.0999999999999995</v>
      </c>
      <c r="E383" s="2" t="n">
        <v>0.0272499999999851</v>
      </c>
    </row>
    <row r="384" customFormat="false" ht="13.8" hidden="false" customHeight="false" outlineLevel="0" collapsed="false">
      <c r="B384" s="2" t="n">
        <v>382</v>
      </c>
      <c r="C384" s="2" t="n">
        <v>0.0595872499999991</v>
      </c>
      <c r="D384" s="2" t="n">
        <v>0.0133333333333328</v>
      </c>
      <c r="E384" s="2" t="n">
        <v>0.00766668333331845</v>
      </c>
    </row>
    <row r="385" customFormat="false" ht="13.8" hidden="false" customHeight="false" outlineLevel="0" collapsed="false">
      <c r="B385" s="2" t="n">
        <v>383</v>
      </c>
      <c r="C385" s="2" t="n">
        <v>0.0286692665798298</v>
      </c>
      <c r="D385" s="2" t="n">
        <v>4.58884346884086E-017</v>
      </c>
      <c r="E385" s="2" t="n">
        <v>0.0207499999999851</v>
      </c>
    </row>
    <row r="386" customFormat="false" ht="13.8" hidden="false" customHeight="false" outlineLevel="0" collapsed="false">
      <c r="B386" s="2" t="n">
        <v>384</v>
      </c>
      <c r="C386" s="2" t="n">
        <v>0.0763862166666658</v>
      </c>
      <c r="D386" s="2" t="n">
        <v>9.17768694056344E-017</v>
      </c>
      <c r="E386" s="2" t="n">
        <v>0.0141666833333184</v>
      </c>
    </row>
    <row r="387" customFormat="false" ht="13.8" hidden="false" customHeight="false" outlineLevel="0" collapsed="false">
      <c r="B387" s="2" t="n">
        <v>385</v>
      </c>
      <c r="C387" s="2" t="n">
        <v>0.0751863666666658</v>
      </c>
      <c r="D387" s="2" t="n">
        <v>4.58884346884087E-017</v>
      </c>
      <c r="E387" s="2" t="n">
        <v>2.4999998510231E-007</v>
      </c>
    </row>
    <row r="388" customFormat="false" ht="13.8" hidden="false" customHeight="false" outlineLevel="0" collapsed="false">
      <c r="B388" s="2" t="n">
        <v>386</v>
      </c>
      <c r="C388" s="2" t="n">
        <v>0.0134359165798422</v>
      </c>
      <c r="D388" s="2" t="n">
        <v>0.0666666666666662</v>
      </c>
      <c r="E388" s="2" t="n">
        <v>0.0335000499999851</v>
      </c>
    </row>
    <row r="389" customFormat="false" ht="13.8" hidden="false" customHeight="false" outlineLevel="0" collapsed="false">
      <c r="B389" s="2" t="n">
        <v>387</v>
      </c>
      <c r="C389" s="2" t="n">
        <v>0.0905680499131796</v>
      </c>
      <c r="D389" s="2" t="n">
        <v>0.0999999999999995</v>
      </c>
      <c r="E389" s="2" t="n">
        <v>0.0012499999999851</v>
      </c>
    </row>
    <row r="390" customFormat="false" ht="13.8" hidden="false" customHeight="false" outlineLevel="0" collapsed="false">
      <c r="B390" s="2" t="n">
        <v>388</v>
      </c>
      <c r="C390" s="2" t="n">
        <v>0.0241509499131835</v>
      </c>
      <c r="D390" s="2" t="n">
        <v>0.0999999999999995</v>
      </c>
      <c r="E390" s="2" t="n">
        <v>0.0337499999999851</v>
      </c>
    </row>
    <row r="391" customFormat="false" ht="13.8" hidden="false" customHeight="false" outlineLevel="0" collapsed="false">
      <c r="B391" s="2" t="n">
        <v>389</v>
      </c>
      <c r="C391" s="2" t="n">
        <v>0.0707169832465207</v>
      </c>
      <c r="D391" s="2" t="n">
        <v>0.0999999999999995</v>
      </c>
      <c r="E391" s="2" t="n">
        <v>0.0335833666666518</v>
      </c>
    </row>
    <row r="392" customFormat="false" ht="13.8" hidden="false" customHeight="false" outlineLevel="0" collapsed="false">
      <c r="B392" s="2" t="n">
        <v>390</v>
      </c>
      <c r="C392" s="2" t="n">
        <v>0.0230001332465245</v>
      </c>
      <c r="D392" s="2" t="n">
        <v>0.0999999999999995</v>
      </c>
      <c r="E392" s="2" t="n">
        <v>0.0012499999999851</v>
      </c>
    </row>
    <row r="393" customFormat="false" ht="13.8" hidden="false" customHeight="false" outlineLevel="0" collapsed="false">
      <c r="B393" s="2" t="n">
        <v>391</v>
      </c>
      <c r="C393" s="2" t="n">
        <v>0.0435001999131949</v>
      </c>
      <c r="D393" s="2" t="n">
        <v>0.0999999999999995</v>
      </c>
      <c r="E393" s="2" t="n">
        <v>0.0237500499999851</v>
      </c>
    </row>
    <row r="394" customFormat="false" ht="13.8" hidden="false" customHeight="false" outlineLevel="0" collapsed="false">
      <c r="B394" s="2" t="n">
        <v>392</v>
      </c>
      <c r="C394" s="2" t="n">
        <v>0.0545169665798652</v>
      </c>
      <c r="D394" s="2" t="n">
        <v>0.0999999999999995</v>
      </c>
      <c r="E394" s="2" t="n">
        <v>0.0166668333333184</v>
      </c>
    </row>
    <row r="395" customFormat="false" ht="13.8" hidden="false" customHeight="false" outlineLevel="0" collapsed="false">
      <c r="B395" s="2" t="n">
        <v>393</v>
      </c>
      <c r="C395" s="2" t="n">
        <v>0.0338334499132021</v>
      </c>
      <c r="D395" s="2" t="n">
        <v>0.0999999999999995</v>
      </c>
      <c r="E395" s="2" t="n">
        <v>0.0174999999999851</v>
      </c>
    </row>
    <row r="396" customFormat="false" ht="13.8" hidden="false" customHeight="false" outlineLevel="0" collapsed="false">
      <c r="B396" s="2" t="n">
        <v>394</v>
      </c>
      <c r="C396" s="2" t="n">
        <v>0.0519002499132056</v>
      </c>
      <c r="D396" s="2" t="n">
        <v>0.0999999999999995</v>
      </c>
      <c r="E396" s="2" t="n">
        <v>0.0174999999999851</v>
      </c>
    </row>
    <row r="397" customFormat="false" ht="13.8" hidden="false" customHeight="false" outlineLevel="0" collapsed="false">
      <c r="B397" s="2" t="n">
        <v>395</v>
      </c>
      <c r="C397" s="2" t="n">
        <v>0.0334335165798756</v>
      </c>
      <c r="D397" s="2" t="n">
        <v>0.0999999999999995</v>
      </c>
      <c r="E397" s="2" t="n">
        <v>0.0174999999999851</v>
      </c>
    </row>
    <row r="398" customFormat="false" ht="13.8" hidden="false" customHeight="false" outlineLevel="0" collapsed="false">
      <c r="B398" s="2" t="n">
        <v>396</v>
      </c>
      <c r="C398" s="2" t="n">
        <v>0.0226008999132123</v>
      </c>
      <c r="D398" s="2" t="n">
        <v>0.0999999999999995</v>
      </c>
      <c r="E398" s="2" t="n">
        <v>0.0174999999999851</v>
      </c>
    </row>
    <row r="399" customFormat="false" ht="13.8" hidden="false" customHeight="false" outlineLevel="0" collapsed="false">
      <c r="B399" s="2" t="n">
        <v>397</v>
      </c>
      <c r="C399" s="2" t="n">
        <v>0.0683670499132156</v>
      </c>
      <c r="D399" s="2" t="n">
        <v>0.0999999999999995</v>
      </c>
      <c r="E399" s="2" t="n">
        <v>0.0174999999999851</v>
      </c>
    </row>
    <row r="400" customFormat="false" ht="13.8" hidden="false" customHeight="false" outlineLevel="0" collapsed="false">
      <c r="B400" s="2" t="n">
        <v>398</v>
      </c>
      <c r="C400" s="2" t="n">
        <v>0.0170667999132189</v>
      </c>
      <c r="D400" s="2" t="n">
        <v>0.0999999999999995</v>
      </c>
      <c r="E400" s="2" t="n">
        <v>0.0174999999999851</v>
      </c>
    </row>
    <row r="401" customFormat="false" ht="13.8" hidden="false" customHeight="false" outlineLevel="0" collapsed="false">
      <c r="B401" s="2" t="n">
        <v>399</v>
      </c>
      <c r="C401" s="2" t="n">
        <v>0.0661169332465554</v>
      </c>
      <c r="D401" s="2" t="n">
        <v>0.0999999999999995</v>
      </c>
      <c r="E401" s="2" t="n">
        <v>0.0174999999999851</v>
      </c>
    </row>
    <row r="402" customFormat="false" ht="13.8" hidden="false" customHeight="false" outlineLevel="0" collapsed="false">
      <c r="B402" s="2" t="n">
        <v>400</v>
      </c>
      <c r="C402" s="2" t="n">
        <v>0.00516724991322513</v>
      </c>
      <c r="D402" s="2" t="n">
        <v>0.0999999999999995</v>
      </c>
      <c r="E402" s="2" t="n">
        <v>0.0174999999999851</v>
      </c>
    </row>
    <row r="403" customFormat="false" ht="13.8" hidden="false" customHeight="false" outlineLevel="0" collapsed="false">
      <c r="B403" s="2" t="n">
        <v>401</v>
      </c>
      <c r="C403" s="2" t="n">
        <v>0.0619669333333325</v>
      </c>
      <c r="D403" s="2" t="n">
        <v>0.0999999999999995</v>
      </c>
      <c r="E403" s="2" t="n">
        <v>0.0174999999999851</v>
      </c>
    </row>
    <row r="404" customFormat="false" ht="13.8" hidden="false" customHeight="false" outlineLevel="0" collapsed="false">
      <c r="B404" s="2" t="n">
        <v>402</v>
      </c>
      <c r="C404" s="2" t="n">
        <v>0.0219834166666658</v>
      </c>
      <c r="D404" s="2" t="n">
        <v>0.0999999999999995</v>
      </c>
      <c r="E404" s="2" t="n">
        <v>0.0174999999999851</v>
      </c>
    </row>
    <row r="405" customFormat="false" ht="13.8" hidden="false" customHeight="false" outlineLevel="0" collapsed="false">
      <c r="B405" s="2" t="n">
        <v>403</v>
      </c>
      <c r="C405" s="2" t="n">
        <v>0.0591003999132342</v>
      </c>
      <c r="D405" s="2" t="n">
        <v>0.0999999999999995</v>
      </c>
      <c r="E405" s="2" t="n">
        <v>0.0174999999999851</v>
      </c>
    </row>
    <row r="406" customFormat="false" ht="13.8" hidden="false" customHeight="false" outlineLevel="0" collapsed="false">
      <c r="B406" s="2" t="n">
        <v>404</v>
      </c>
      <c r="C406" s="2" t="n">
        <v>0.0211169332465705</v>
      </c>
      <c r="D406" s="2" t="n">
        <v>0.0999999999999995</v>
      </c>
      <c r="E406" s="2" t="n">
        <v>0.0174999999999851</v>
      </c>
    </row>
    <row r="407" customFormat="false" ht="13.8" hidden="false" customHeight="false" outlineLevel="0" collapsed="false">
      <c r="B407" s="2" t="n">
        <v>405</v>
      </c>
      <c r="C407" s="2" t="n">
        <v>0.0484168166666658</v>
      </c>
      <c r="D407" s="2" t="n">
        <v>0.0199999999999995</v>
      </c>
      <c r="E407" s="2" t="n">
        <v>0.0174999999999851</v>
      </c>
    </row>
    <row r="408" customFormat="false" ht="13.8" hidden="false" customHeight="false" outlineLevel="0" collapsed="false">
      <c r="B408" s="2" t="n">
        <v>406</v>
      </c>
      <c r="C408" s="2" t="n">
        <v>0.0382097493352306</v>
      </c>
      <c r="D408" s="2" t="n">
        <v>9.31329078802307E-017</v>
      </c>
      <c r="E408" s="2" t="n">
        <v>0.0154105099958026</v>
      </c>
    </row>
    <row r="409" customFormat="false" ht="13.8" hidden="false" customHeight="false" outlineLevel="0" collapsed="false">
      <c r="B409" s="2" t="n">
        <v>407</v>
      </c>
      <c r="C409" s="2" t="n">
        <v>0.0547518653371331</v>
      </c>
      <c r="D409" s="2" t="n">
        <v>9.19154902699218E-017</v>
      </c>
      <c r="E409" s="2" t="n">
        <v>0.0133210199916384</v>
      </c>
    </row>
    <row r="410" customFormat="false" ht="13.8" hidden="false" customHeight="false" outlineLevel="0" collapsed="false">
      <c r="B410" s="2" t="n">
        <v>408</v>
      </c>
      <c r="C410" s="2" t="n">
        <v>0.0275611480057021</v>
      </c>
      <c r="D410" s="2" t="n">
        <v>9.18857263920809E-017</v>
      </c>
      <c r="E410" s="2" t="n">
        <v>0.0112315299874742</v>
      </c>
    </row>
    <row r="411" customFormat="false" ht="13.8" hidden="false" customHeight="false" outlineLevel="0" collapsed="false">
      <c r="B411" s="2" t="n">
        <v>409</v>
      </c>
      <c r="C411" s="2" t="n">
        <v>0.027687380674271</v>
      </c>
      <c r="D411" s="2" t="n">
        <v>9.21024381534449E-017</v>
      </c>
      <c r="E411" s="2" t="n">
        <v>0.00914203998330994</v>
      </c>
    </row>
    <row r="412" customFormat="false" ht="13.8" hidden="false" customHeight="false" outlineLevel="0" collapsed="false">
      <c r="B412" s="2" t="n">
        <v>410</v>
      </c>
      <c r="C412" s="2" t="n">
        <v>2.00578932146177E-018</v>
      </c>
      <c r="D412" s="2" t="n">
        <v>0</v>
      </c>
      <c r="E412" s="2" t="n">
        <v>3.35403513918973E-017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0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0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0</v>
      </c>
      <c r="E423" s="2" t="n">
        <v>0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0</v>
      </c>
      <c r="E424" s="2" t="n">
        <v>0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3.17214557323207E-013</v>
      </c>
      <c r="E425" s="2" t="n">
        <v>0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426</v>
      </c>
      <c r="C428" s="2" t="n">
        <v>0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427</v>
      </c>
      <c r="C429" s="2" t="n">
        <v>0</v>
      </c>
      <c r="D429" s="2" t="n">
        <v>3.81607016443066E-012</v>
      </c>
      <c r="E429" s="2" t="n">
        <v>0</v>
      </c>
    </row>
    <row r="430" customFormat="false" ht="13.8" hidden="false" customHeight="false" outlineLevel="0" collapsed="false">
      <c r="B430" s="2" t="n">
        <v>428</v>
      </c>
      <c r="C430" s="2" t="n">
        <v>0</v>
      </c>
      <c r="D430" s="2" t="n">
        <v>0</v>
      </c>
      <c r="E430" s="2" t="n">
        <v>0</v>
      </c>
    </row>
    <row r="431" customFormat="false" ht="13.8" hidden="false" customHeight="false" outlineLevel="0" collapsed="false">
      <c r="B431" s="2" t="n">
        <v>429</v>
      </c>
      <c r="C431" s="2" t="n">
        <v>6.49189348135795E-012</v>
      </c>
      <c r="D431" s="2" t="n">
        <v>0</v>
      </c>
      <c r="E431" s="2" t="n">
        <v>0</v>
      </c>
    </row>
    <row r="432" customFormat="false" ht="13.8" hidden="false" customHeight="false" outlineLevel="0" collapsed="false">
      <c r="B432" s="2" t="n">
        <v>430</v>
      </c>
      <c r="C432" s="2" t="n">
        <v>9.6964076103442E-017</v>
      </c>
      <c r="D432" s="2" t="n">
        <v>0</v>
      </c>
      <c r="E432" s="2" t="n">
        <v>0</v>
      </c>
    </row>
    <row r="433" customFormat="false" ht="13.8" hidden="false" customHeight="false" outlineLevel="0" collapsed="false">
      <c r="B433" s="2" t="n">
        <v>431</v>
      </c>
      <c r="C433" s="2" t="n">
        <v>8.12884219298648E-017</v>
      </c>
      <c r="D433" s="2" t="n">
        <v>0</v>
      </c>
      <c r="E433" s="2" t="n">
        <v>0</v>
      </c>
    </row>
    <row r="434" customFormat="false" ht="13.8" hidden="false" customHeight="false" outlineLevel="0" collapsed="false">
      <c r="B434" s="2" t="n">
        <v>432</v>
      </c>
      <c r="C434" s="2" t="n">
        <v>0</v>
      </c>
      <c r="D434" s="2" t="n">
        <v>0</v>
      </c>
      <c r="E434" s="2" t="n">
        <v>0</v>
      </c>
    </row>
    <row r="435" customFormat="false" ht="13.8" hidden="false" customHeight="false" outlineLevel="0" collapsed="false">
      <c r="B435" s="2" t="n">
        <v>433</v>
      </c>
      <c r="C435" s="2" t="n">
        <v>0</v>
      </c>
      <c r="D435" s="2" t="n">
        <v>0</v>
      </c>
      <c r="E435" s="2" t="n">
        <v>0</v>
      </c>
    </row>
    <row r="436" customFormat="false" ht="13.8" hidden="false" customHeight="false" outlineLevel="0" collapsed="false">
      <c r="B436" s="2" t="n">
        <v>434</v>
      </c>
      <c r="C436" s="2" t="n">
        <v>0</v>
      </c>
      <c r="D436" s="2" t="n">
        <v>0</v>
      </c>
      <c r="E436" s="2" t="n">
        <v>0</v>
      </c>
    </row>
    <row r="437" customFormat="false" ht="13.8" hidden="false" customHeight="false" outlineLevel="0" collapsed="false">
      <c r="B437" s="2" t="n">
        <v>435</v>
      </c>
      <c r="C437" s="2" t="n">
        <v>0</v>
      </c>
      <c r="D437" s="2" t="n">
        <v>0</v>
      </c>
      <c r="E437" s="2" t="n">
        <v>0</v>
      </c>
    </row>
    <row r="438" customFormat="false" ht="13.8" hidden="false" customHeight="false" outlineLevel="0" collapsed="false">
      <c r="B438" s="2" t="n">
        <v>436</v>
      </c>
      <c r="C438" s="2" t="n">
        <v>0</v>
      </c>
      <c r="D438" s="2" t="n">
        <v>0</v>
      </c>
      <c r="E438" s="2" t="n">
        <v>0</v>
      </c>
    </row>
    <row r="439" customFormat="false" ht="13.8" hidden="false" customHeight="false" outlineLevel="0" collapsed="false">
      <c r="B439" s="2" t="n">
        <v>437</v>
      </c>
      <c r="C439" s="2" t="n">
        <v>0</v>
      </c>
      <c r="D439" s="2" t="n">
        <v>0</v>
      </c>
      <c r="E439" s="2" t="n">
        <v>2.0725268131896E-017</v>
      </c>
    </row>
    <row r="440" customFormat="false" ht="13.8" hidden="false" customHeight="false" outlineLevel="0" collapsed="false">
      <c r="B440" s="2" t="n">
        <v>438</v>
      </c>
      <c r="C440" s="2" t="n">
        <v>0</v>
      </c>
      <c r="D440" s="2" t="n">
        <v>0</v>
      </c>
      <c r="E440" s="2" t="n">
        <v>4.81839115038522E-019</v>
      </c>
    </row>
    <row r="441" customFormat="false" ht="13.8" hidden="false" customHeight="false" outlineLevel="0" collapsed="false">
      <c r="B441" s="2" t="n">
        <v>439</v>
      </c>
      <c r="C441" s="2" t="n">
        <v>8.39233319697359E-017</v>
      </c>
      <c r="D441" s="2" t="n">
        <v>3.40084209082216E-016</v>
      </c>
      <c r="E441" s="2" t="n">
        <v>0</v>
      </c>
    </row>
    <row r="442" customFormat="false" ht="13.8" hidden="false" customHeight="false" outlineLevel="0" collapsed="false">
      <c r="B442" s="2" t="n">
        <v>440</v>
      </c>
      <c r="C442" s="2" t="n">
        <v>1.26691314276385E-016</v>
      </c>
      <c r="D442" s="2" t="n">
        <v>9.98263890309978E-018</v>
      </c>
      <c r="E442" s="2" t="n">
        <v>0</v>
      </c>
    </row>
    <row r="443" customFormat="false" ht="13.8" hidden="false" customHeight="false" outlineLevel="0" collapsed="false">
      <c r="B443" s="2" t="n">
        <v>441</v>
      </c>
      <c r="C443" s="2" t="n">
        <v>8.20696703129042E-017</v>
      </c>
      <c r="D443" s="2" t="n">
        <v>0</v>
      </c>
      <c r="E443" s="2" t="n">
        <v>0</v>
      </c>
    </row>
    <row r="444" customFormat="false" ht="13.8" hidden="false" customHeight="false" outlineLevel="0" collapsed="false">
      <c r="B444" s="2" t="n">
        <v>442</v>
      </c>
      <c r="C444" s="2" t="n">
        <v>8.33871260807096E-017</v>
      </c>
      <c r="D444" s="2" t="n">
        <v>3.42729246838931E-017</v>
      </c>
      <c r="E444" s="2" t="n">
        <v>0</v>
      </c>
    </row>
    <row r="445" customFormat="false" ht="13.8" hidden="false" customHeight="false" outlineLevel="0" collapsed="false">
      <c r="B445" s="2" t="n">
        <v>443</v>
      </c>
      <c r="C445" s="2" t="n">
        <v>3.4545011854536E-017</v>
      </c>
      <c r="D445" s="2" t="n">
        <v>0</v>
      </c>
      <c r="E445" s="2" t="n">
        <v>0</v>
      </c>
    </row>
    <row r="446" customFormat="false" ht="13.8" hidden="false" customHeight="false" outlineLevel="0" collapsed="false">
      <c r="B446" s="2" t="n">
        <v>444</v>
      </c>
      <c r="C446" s="2" t="n">
        <v>1.68678046558673E-016</v>
      </c>
      <c r="D446" s="2" t="n">
        <v>0</v>
      </c>
      <c r="E446" s="2" t="n">
        <v>0</v>
      </c>
    </row>
    <row r="447" customFormat="false" ht="13.8" hidden="false" customHeight="false" outlineLevel="0" collapsed="false">
      <c r="B447" s="2" t="n">
        <v>445</v>
      </c>
      <c r="C447" s="2" t="n">
        <v>8.33871260179921E-017</v>
      </c>
      <c r="D447" s="2" t="n">
        <v>0</v>
      </c>
      <c r="E447" s="2" t="n">
        <v>0</v>
      </c>
    </row>
    <row r="448" customFormat="false" ht="13.8" hidden="false" customHeight="false" outlineLevel="0" collapsed="false">
      <c r="B448" s="2" t="n">
        <v>446</v>
      </c>
      <c r="C448" s="2" t="n">
        <v>1.2932622573317E-016</v>
      </c>
      <c r="D448" s="2" t="n">
        <v>0</v>
      </c>
      <c r="E448" s="2" t="n">
        <v>0</v>
      </c>
    </row>
    <row r="449" customFormat="false" ht="13.8" hidden="false" customHeight="false" outlineLevel="0" collapsed="false">
      <c r="B449" s="2" t="n">
        <v>447</v>
      </c>
      <c r="C449" s="2" t="n">
        <v>8.33871259877838E-017</v>
      </c>
      <c r="D449" s="2" t="n">
        <v>0</v>
      </c>
      <c r="E449" s="2" t="n">
        <v>0</v>
      </c>
    </row>
    <row r="450" customFormat="false" ht="13.8" hidden="false" customHeight="false" outlineLevel="0" collapsed="false">
      <c r="B450" s="2" t="n">
        <v>448</v>
      </c>
      <c r="C450" s="2" t="n">
        <v>1.26691314135105E-016</v>
      </c>
      <c r="D450" s="2" t="n">
        <v>0</v>
      </c>
      <c r="E450" s="2" t="n">
        <v>0</v>
      </c>
    </row>
    <row r="451" customFormat="false" ht="13.8" hidden="false" customHeight="false" outlineLevel="0" collapsed="false">
      <c r="B451" s="2" t="n">
        <v>449</v>
      </c>
      <c r="C451" s="2" t="n">
        <v>8.11428393957012E-017</v>
      </c>
      <c r="D451" s="2" t="n">
        <v>7.93801093545315E-017</v>
      </c>
      <c r="E451" s="2" t="n">
        <v>0</v>
      </c>
    </row>
    <row r="452" customFormat="false" ht="13.8" hidden="false" customHeight="false" outlineLevel="0" collapsed="false">
      <c r="B452" s="2" t="n">
        <v>450</v>
      </c>
      <c r="C452" s="2" t="n">
        <v>3.6521195441273E-017</v>
      </c>
      <c r="D452" s="2" t="n">
        <v>8.06707215731196E-017</v>
      </c>
      <c r="E452" s="2" t="n">
        <v>0</v>
      </c>
    </row>
    <row r="453" customFormat="false" ht="13.8" hidden="false" customHeight="false" outlineLevel="0" collapsed="false">
      <c r="B453" s="2" t="n">
        <v>451</v>
      </c>
      <c r="C453" s="2" t="n">
        <v>8.15835975353401E-017</v>
      </c>
      <c r="D453" s="2" t="n">
        <v>7.53129601945275E-017</v>
      </c>
      <c r="E453" s="2" t="n">
        <v>1.30771022590029E-017</v>
      </c>
    </row>
    <row r="454" customFormat="false" ht="13.8" hidden="false" customHeight="false" outlineLevel="0" collapsed="false">
      <c r="B454" s="2" t="n">
        <v>452</v>
      </c>
      <c r="C454" s="2" t="n">
        <v>8.2264982652804E-017</v>
      </c>
      <c r="D454" s="2" t="n">
        <v>0</v>
      </c>
      <c r="E454" s="2" t="n">
        <v>3.29363942740882E-019</v>
      </c>
    </row>
    <row r="455" customFormat="false" ht="13.8" hidden="false" customHeight="false" outlineLevel="0" collapsed="false">
      <c r="B455" s="2" t="n">
        <v>453</v>
      </c>
      <c r="C455" s="2" t="n">
        <v>0</v>
      </c>
      <c r="D455" s="2" t="n">
        <v>0.00752772452841835</v>
      </c>
      <c r="E455" s="2" t="n">
        <v>0</v>
      </c>
    </row>
    <row r="456" customFormat="false" ht="13.8" hidden="false" customHeight="false" outlineLevel="0" collapsed="false">
      <c r="B456" s="2" t="n">
        <v>454</v>
      </c>
      <c r="C456" s="2" t="n">
        <v>6.54481909622238E-017</v>
      </c>
      <c r="D456" s="2" t="n">
        <v>0</v>
      </c>
      <c r="E456" s="2" t="n">
        <v>0</v>
      </c>
    </row>
    <row r="457" customFormat="false" ht="13.8" hidden="false" customHeight="false" outlineLevel="0" collapsed="false">
      <c r="B457" s="2" t="n">
        <v>455</v>
      </c>
      <c r="C457" s="2" t="n">
        <v>0.0360229414602617</v>
      </c>
      <c r="D457" s="2" t="n">
        <v>0</v>
      </c>
      <c r="E457" s="2" t="n">
        <v>0.0486577410644347</v>
      </c>
    </row>
    <row r="458" customFormat="false" ht="13.8" hidden="false" customHeight="false" outlineLevel="0" collapsed="false">
      <c r="B458" s="2" t="n">
        <v>456</v>
      </c>
      <c r="C458" s="2" t="n">
        <v>0.0217448084448232</v>
      </c>
      <c r="D458" s="2" t="n">
        <v>0</v>
      </c>
      <c r="E458" s="2" t="n">
        <v>0.0102128364113342</v>
      </c>
    </row>
    <row r="459" customFormat="false" ht="13.8" hidden="false" customHeight="false" outlineLevel="0" collapsed="false">
      <c r="B459" s="2" t="n">
        <v>457</v>
      </c>
      <c r="C459" s="2" t="n">
        <v>0.0583013276561981</v>
      </c>
      <c r="D459" s="2" t="n">
        <v>0.0795990477732062</v>
      </c>
      <c r="E459" s="2" t="n">
        <v>0.0497677484249004</v>
      </c>
    </row>
    <row r="460" customFormat="false" ht="13.8" hidden="false" customHeight="false" outlineLevel="0" collapsed="false">
      <c r="B460" s="2" t="n">
        <v>458</v>
      </c>
      <c r="C460" s="2" t="n">
        <v>0.0491478582421488</v>
      </c>
      <c r="D460" s="2" t="n">
        <v>0.0996992858299099</v>
      </c>
      <c r="E460" s="2" t="n">
        <v>0.0173258113186804</v>
      </c>
    </row>
    <row r="461" customFormat="false" ht="13.8" hidden="false" customHeight="false" outlineLevel="0" collapsed="false">
      <c r="B461" s="2" t="n">
        <v>459</v>
      </c>
      <c r="C461" s="2" t="n">
        <v>0.0787935888280996</v>
      </c>
      <c r="D461" s="2" t="n">
        <v>0.0997995238866135</v>
      </c>
      <c r="E461" s="2" t="n">
        <v>0.0498838742124605</v>
      </c>
    </row>
    <row r="462" customFormat="false" ht="13.8" hidden="false" customHeight="false" outlineLevel="0" collapsed="false">
      <c r="B462" s="2" t="n">
        <v>460</v>
      </c>
      <c r="C462" s="2" t="n">
        <v>0.0708901027473837</v>
      </c>
      <c r="D462" s="2" t="n">
        <v>0.0998997619433169</v>
      </c>
      <c r="E462" s="2" t="n">
        <v>0.0174419371062405</v>
      </c>
    </row>
    <row r="463" customFormat="false" ht="13.8" hidden="false" customHeight="false" outlineLevel="0" collapsed="false">
      <c r="B463" s="2" t="n">
        <v>461</v>
      </c>
      <c r="C463" s="2" t="n">
        <v>0.0860525333333338</v>
      </c>
      <c r="D463" s="2" t="n">
        <v>0.100000000000009</v>
      </c>
      <c r="E463" s="2" t="n">
        <v>0.0500000000000093</v>
      </c>
    </row>
    <row r="464" customFormat="false" ht="13.8" hidden="false" customHeight="false" outlineLevel="0" collapsed="false">
      <c r="B464" s="2" t="n">
        <v>462</v>
      </c>
      <c r="C464" s="2" t="n">
        <v>0.0711198833333338</v>
      </c>
      <c r="D464" s="2" t="n">
        <v>0.100000000000009</v>
      </c>
      <c r="E464" s="2" t="n">
        <v>0.0175000000000092</v>
      </c>
    </row>
    <row r="465" customFormat="false" ht="13.8" hidden="false" customHeight="false" outlineLevel="0" collapsed="false">
      <c r="B465" s="2" t="n">
        <v>463</v>
      </c>
      <c r="C465" s="2" t="n">
        <v>0.104519650000001</v>
      </c>
      <c r="D465" s="2" t="n">
        <v>0.100000000000009</v>
      </c>
      <c r="E465" s="2" t="n">
        <v>0.0500000000000093</v>
      </c>
    </row>
    <row r="466" customFormat="false" ht="13.8" hidden="false" customHeight="false" outlineLevel="0" collapsed="false">
      <c r="B466" s="2" t="n">
        <v>464</v>
      </c>
      <c r="C466" s="2" t="n">
        <v>0.102652883333334</v>
      </c>
      <c r="D466" s="2" t="n">
        <v>0.100000000000009</v>
      </c>
      <c r="E466" s="2" t="n">
        <v>0.0175000000000093</v>
      </c>
    </row>
    <row r="467" customFormat="false" ht="13.8" hidden="false" customHeight="false" outlineLevel="0" collapsed="false">
      <c r="B467" s="2" t="n">
        <v>465</v>
      </c>
      <c r="C467" s="2" t="n">
        <v>0.117420100000001</v>
      </c>
      <c r="D467" s="2" t="n">
        <v>0.100000000000009</v>
      </c>
      <c r="E467" s="2" t="n">
        <v>0.0500000000000092</v>
      </c>
    </row>
    <row r="468" customFormat="false" ht="13.8" hidden="false" customHeight="false" outlineLevel="0" collapsed="false">
      <c r="B468" s="2" t="n">
        <v>466</v>
      </c>
      <c r="C468" s="2" t="n">
        <v>0.0774041833333338</v>
      </c>
      <c r="D468" s="2" t="n">
        <v>0.100000000000009</v>
      </c>
      <c r="E468" s="2" t="n">
        <v>0.00691683333334262</v>
      </c>
    </row>
    <row r="469" customFormat="false" ht="13.8" hidden="false" customHeight="false" outlineLevel="0" collapsed="false">
      <c r="B469" s="2" t="n">
        <v>467</v>
      </c>
      <c r="C469" s="2" t="n">
        <v>0.100970950000001</v>
      </c>
      <c r="D469" s="2" t="n">
        <v>0.100000000000009</v>
      </c>
      <c r="E469" s="2" t="n">
        <v>0.00666688333334261</v>
      </c>
    </row>
    <row r="470" customFormat="false" ht="13.8" hidden="false" customHeight="false" outlineLevel="0" collapsed="false">
      <c r="B470" s="2" t="n">
        <v>468</v>
      </c>
      <c r="C470" s="2" t="n">
        <v>0.0777704000000005</v>
      </c>
      <c r="D470" s="2" t="n">
        <v>0.100000000000009</v>
      </c>
      <c r="E470" s="2" t="n">
        <v>0.0272500000000093</v>
      </c>
    </row>
    <row r="471" customFormat="false" ht="13.8" hidden="false" customHeight="false" outlineLevel="0" collapsed="false">
      <c r="B471" s="2" t="n">
        <v>469</v>
      </c>
      <c r="C471" s="2" t="n">
        <v>0.0893877000000005</v>
      </c>
      <c r="D471" s="2" t="n">
        <v>0.100000000000009</v>
      </c>
      <c r="E471" s="2" t="n">
        <v>0.00775000000000928</v>
      </c>
    </row>
    <row r="472" customFormat="false" ht="13.8" hidden="false" customHeight="false" outlineLevel="0" collapsed="false">
      <c r="B472" s="2" t="n">
        <v>470</v>
      </c>
      <c r="C472" s="2" t="n">
        <v>0.0997037000000005</v>
      </c>
      <c r="D472" s="2" t="n">
        <v>0.100000000000009</v>
      </c>
      <c r="E472" s="2" t="n">
        <v>0.0272500000000093</v>
      </c>
    </row>
    <row r="473" customFormat="false" ht="13.8" hidden="false" customHeight="false" outlineLevel="0" collapsed="false">
      <c r="B473" s="2" t="n">
        <v>471</v>
      </c>
      <c r="C473" s="2" t="n">
        <v>0.0627541333333339</v>
      </c>
      <c r="D473" s="2" t="n">
        <v>0.100000000000009</v>
      </c>
      <c r="E473" s="2" t="n">
        <v>0.00775000000000928</v>
      </c>
    </row>
    <row r="474" customFormat="false" ht="13.8" hidden="false" customHeight="false" outlineLevel="0" collapsed="false">
      <c r="B474" s="2" t="n">
        <v>472</v>
      </c>
      <c r="C474" s="2" t="n">
        <v>0.0915040500000003</v>
      </c>
      <c r="D474" s="2" t="n">
        <v>0.100000000000009</v>
      </c>
      <c r="E474" s="2" t="n">
        <v>0.0272500000000093</v>
      </c>
    </row>
    <row r="475" customFormat="false" ht="13.8" hidden="false" customHeight="false" outlineLevel="0" collapsed="false">
      <c r="B475" s="2" t="n">
        <v>473</v>
      </c>
      <c r="C475" s="2" t="n">
        <v>0.0661038166666672</v>
      </c>
      <c r="D475" s="2" t="n">
        <v>0.100000000000009</v>
      </c>
      <c r="E475" s="2" t="n">
        <v>0.00775000000000925</v>
      </c>
    </row>
    <row r="476" customFormat="false" ht="13.8" hidden="false" customHeight="false" outlineLevel="0" collapsed="false">
      <c r="B476" s="2" t="n">
        <v>474</v>
      </c>
      <c r="C476" s="2" t="n">
        <v>0.0921705166666672</v>
      </c>
      <c r="D476" s="2" t="n">
        <v>0.100000000000009</v>
      </c>
      <c r="E476" s="2" t="n">
        <v>0.0272500000000093</v>
      </c>
    </row>
    <row r="477" customFormat="false" ht="13.8" hidden="false" customHeight="false" outlineLevel="0" collapsed="false">
      <c r="B477" s="2" t="n">
        <v>475</v>
      </c>
      <c r="C477" s="2" t="n">
        <v>0.0544203666666672</v>
      </c>
      <c r="D477" s="2" t="n">
        <v>0.100000000000009</v>
      </c>
      <c r="E477" s="2" t="n">
        <v>0.00441668333334262</v>
      </c>
    </row>
    <row r="478" customFormat="false" ht="13.8" hidden="false" customHeight="false" outlineLevel="0" collapsed="false">
      <c r="B478" s="2" t="n">
        <v>476</v>
      </c>
      <c r="C478" s="2" t="n">
        <v>0.0557041833333338</v>
      </c>
      <c r="D478" s="2" t="n">
        <v>0.100000000000009</v>
      </c>
      <c r="E478" s="2" t="n">
        <v>2.50000009260743E-007</v>
      </c>
    </row>
    <row r="479" customFormat="false" ht="13.8" hidden="false" customHeight="false" outlineLevel="0" collapsed="false">
      <c r="B479" s="2" t="n">
        <v>477</v>
      </c>
      <c r="C479" s="2" t="n">
        <v>0.0303361500000005</v>
      </c>
      <c r="D479" s="2" t="n">
        <v>0.100000000000009</v>
      </c>
      <c r="E479" s="2" t="n">
        <v>0.0334167333333427</v>
      </c>
    </row>
    <row r="480" customFormat="false" ht="13.8" hidden="false" customHeight="false" outlineLevel="0" collapsed="false">
      <c r="B480" s="2" t="n">
        <v>478</v>
      </c>
      <c r="C480" s="2" t="n">
        <v>0.0532191166666672</v>
      </c>
      <c r="D480" s="2" t="n">
        <v>0.100000000000009</v>
      </c>
      <c r="E480" s="2" t="n">
        <v>0.0012500000000093</v>
      </c>
    </row>
    <row r="481" customFormat="false" ht="13.8" hidden="false" customHeight="false" outlineLevel="0" collapsed="false">
      <c r="B481" s="2" t="n">
        <v>479</v>
      </c>
      <c r="C481" s="2" t="n">
        <v>0.0453190166666672</v>
      </c>
      <c r="D481" s="2" t="n">
        <v>0.100000000000009</v>
      </c>
      <c r="E481" s="2" t="n">
        <v>0.0337500000000093</v>
      </c>
    </row>
    <row r="482" customFormat="false" ht="13.8" hidden="false" customHeight="false" outlineLevel="0" collapsed="false">
      <c r="B482" s="2" t="n">
        <v>480</v>
      </c>
      <c r="C482" s="2" t="n">
        <v>0.0151200000000005</v>
      </c>
      <c r="D482" s="2" t="n">
        <v>0.100000000000009</v>
      </c>
      <c r="E482" s="2" t="n">
        <v>0.00100005000000926</v>
      </c>
    </row>
    <row r="483" customFormat="false" ht="13.8" hidden="false" customHeight="false" outlineLevel="0" collapsed="false">
      <c r="B483" s="2" t="n">
        <v>481</v>
      </c>
      <c r="C483" s="2" t="n">
        <v>0.00851945000000049</v>
      </c>
      <c r="D483" s="2" t="n">
        <v>0.0666666666666759</v>
      </c>
      <c r="E483" s="2" t="n">
        <v>2.5000000928429E-007</v>
      </c>
    </row>
    <row r="484" customFormat="false" ht="13.8" hidden="false" customHeight="false" outlineLevel="0" collapsed="false">
      <c r="B484" s="2" t="n">
        <v>482</v>
      </c>
      <c r="C484" s="2" t="n">
        <v>0.0382693166666672</v>
      </c>
      <c r="D484" s="2" t="n">
        <v>0.100000000000009</v>
      </c>
      <c r="E484" s="2" t="n">
        <v>0.000833416666675951</v>
      </c>
    </row>
    <row r="485" customFormat="false" ht="13.8" hidden="false" customHeight="false" outlineLevel="0" collapsed="false">
      <c r="B485" s="2" t="n">
        <v>483</v>
      </c>
      <c r="C485" s="2" t="n">
        <v>0.0700681500000005</v>
      </c>
      <c r="D485" s="2" t="n">
        <v>0.100000000000009</v>
      </c>
      <c r="E485" s="2" t="n">
        <v>0.0175000000000093</v>
      </c>
    </row>
    <row r="486" customFormat="false" ht="13.8" hidden="false" customHeight="false" outlineLevel="0" collapsed="false">
      <c r="B486" s="2" t="n">
        <v>484</v>
      </c>
      <c r="C486" s="2" t="n">
        <v>0.0409678000000005</v>
      </c>
      <c r="D486" s="2" t="n">
        <v>0.100000000000009</v>
      </c>
      <c r="E486" s="2" t="n">
        <v>0.0174166833333426</v>
      </c>
    </row>
    <row r="487" customFormat="false" ht="13.8" hidden="false" customHeight="false" outlineLevel="0" collapsed="false">
      <c r="B487" s="2" t="n">
        <v>485</v>
      </c>
      <c r="C487" s="2" t="n">
        <v>0.0519837000000005</v>
      </c>
      <c r="D487" s="2" t="n">
        <v>0.100000000000009</v>
      </c>
      <c r="E487" s="2" t="n">
        <v>0.0142500000000093</v>
      </c>
    </row>
    <row r="488" customFormat="false" ht="13.8" hidden="false" customHeight="false" outlineLevel="0" collapsed="false">
      <c r="B488" s="2" t="n">
        <v>486</v>
      </c>
      <c r="C488" s="2" t="n">
        <v>0.0158503000000005</v>
      </c>
      <c r="D488" s="2" t="n">
        <v>0.100000000000009</v>
      </c>
      <c r="E488" s="2" t="n">
        <v>0.0207500000000093</v>
      </c>
    </row>
    <row r="489" customFormat="false" ht="13.8" hidden="false" customHeight="false" outlineLevel="0" collapsed="false">
      <c r="B489" s="2" t="n">
        <v>487</v>
      </c>
      <c r="C489" s="2" t="n">
        <v>0.0210005166666671</v>
      </c>
      <c r="D489" s="2" t="n">
        <v>0.100000000000009</v>
      </c>
      <c r="E489" s="2" t="n">
        <v>0.0142500000000093</v>
      </c>
    </row>
    <row r="490" customFormat="false" ht="13.8" hidden="false" customHeight="false" outlineLevel="0" collapsed="false">
      <c r="B490" s="2" t="n">
        <v>488</v>
      </c>
      <c r="C490" s="2" t="n">
        <v>0.0123500500000005</v>
      </c>
      <c r="D490" s="2" t="n">
        <v>0.100000000000009</v>
      </c>
      <c r="E490" s="2" t="n">
        <v>0.0207500000000093</v>
      </c>
    </row>
    <row r="491" customFormat="false" ht="13.8" hidden="false" customHeight="false" outlineLevel="0" collapsed="false">
      <c r="B491" s="2" t="n">
        <v>489</v>
      </c>
      <c r="C491" s="2" t="n">
        <v>0.0940333500000005</v>
      </c>
      <c r="D491" s="2" t="n">
        <v>0.100000000000009</v>
      </c>
      <c r="E491" s="2" t="n">
        <v>0.0142500000000093</v>
      </c>
    </row>
    <row r="492" customFormat="false" ht="13.8" hidden="false" customHeight="false" outlineLevel="0" collapsed="false">
      <c r="B492" s="2" t="n">
        <v>490</v>
      </c>
      <c r="C492" s="2" t="n">
        <v>0.0119833666666672</v>
      </c>
      <c r="D492" s="2" t="n">
        <v>0.100000000000009</v>
      </c>
      <c r="E492" s="2" t="n">
        <v>0.0207500000000093</v>
      </c>
    </row>
    <row r="493" customFormat="false" ht="13.8" hidden="false" customHeight="false" outlineLevel="0" collapsed="false">
      <c r="B493" s="2" t="n">
        <v>491</v>
      </c>
      <c r="C493" s="2" t="n">
        <v>0.0898667000000005</v>
      </c>
      <c r="D493" s="2" t="n">
        <v>0.100000000000009</v>
      </c>
      <c r="E493" s="2" t="n">
        <v>0.0142500000003845</v>
      </c>
    </row>
    <row r="494" customFormat="false" ht="13.8" hidden="false" customHeight="false" outlineLevel="0" collapsed="false">
      <c r="B494" s="2" t="n">
        <v>492</v>
      </c>
      <c r="C494" s="2" t="n">
        <v>0.0141001666666671</v>
      </c>
      <c r="D494" s="2" t="n">
        <v>0.100000000000009</v>
      </c>
      <c r="E494" s="2" t="n">
        <v>0.0207500000081213</v>
      </c>
    </row>
    <row r="495" customFormat="false" ht="13.8" hidden="false" customHeight="false" outlineLevel="0" collapsed="false">
      <c r="B495" s="2" t="n">
        <v>493</v>
      </c>
      <c r="C495" s="2" t="n">
        <v>0.100866833333334</v>
      </c>
      <c r="D495" s="2" t="n">
        <v>0.0975752399170447</v>
      </c>
      <c r="E495" s="2" t="n">
        <v>0.0166747600829795</v>
      </c>
    </row>
    <row r="496" customFormat="false" ht="13.8" hidden="false" customHeight="false" outlineLevel="0" collapsed="false">
      <c r="B496" s="2" t="n">
        <v>494</v>
      </c>
      <c r="C496" s="2" t="n">
        <v>0.0431834833333338</v>
      </c>
      <c r="D496" s="2" t="n">
        <v>0.0772811848161768</v>
      </c>
      <c r="E496" s="2" t="n">
        <v>0.0434688151838474</v>
      </c>
    </row>
    <row r="497" customFormat="false" ht="13.8" hidden="false" customHeight="false" outlineLevel="0" collapsed="false">
      <c r="B497" s="2" t="n">
        <v>495</v>
      </c>
      <c r="C497" s="2" t="n">
        <v>0.103500083333334</v>
      </c>
      <c r="D497" s="2" t="n">
        <v>0.0683042212067626</v>
      </c>
      <c r="E497" s="2" t="n">
        <v>0.0459457787932617</v>
      </c>
    </row>
    <row r="498" customFormat="false" ht="13.8" hidden="false" customHeight="false" outlineLevel="0" collapsed="false">
      <c r="B498" s="2" t="n">
        <v>496</v>
      </c>
      <c r="C498" s="2" t="n">
        <v>0.0380002333333338</v>
      </c>
      <c r="D498" s="2" t="n">
        <v>0.0651497287014435</v>
      </c>
      <c r="E498" s="2" t="n">
        <v>0.0556002712985807</v>
      </c>
    </row>
    <row r="499" customFormat="false" ht="13.8" hidden="false" customHeight="false" outlineLevel="0" collapsed="false">
      <c r="B499" s="2" t="n">
        <v>497</v>
      </c>
      <c r="C499" s="2" t="n">
        <v>0.0988167833333338</v>
      </c>
      <c r="D499" s="2" t="n">
        <v>0.0660351647508352</v>
      </c>
      <c r="E499" s="2" t="n">
        <v>0.048214835249189</v>
      </c>
    </row>
    <row r="500" customFormat="false" ht="13.8" hidden="false" customHeight="false" outlineLevel="0" collapsed="false">
      <c r="B500" s="2" t="n">
        <v>498</v>
      </c>
      <c r="C500" s="2" t="n">
        <v>0.0318335166666671</v>
      </c>
      <c r="D500" s="2" t="n">
        <v>0.0712866554056361</v>
      </c>
      <c r="E500" s="2" t="n">
        <v>0.0494633445943881</v>
      </c>
    </row>
    <row r="501" customFormat="false" ht="13.8" hidden="false" customHeight="false" outlineLevel="0" collapsed="false">
      <c r="B501" s="2" t="n">
        <v>499</v>
      </c>
      <c r="C501" s="2" t="n">
        <v>0.0921167000000005</v>
      </c>
      <c r="D501" s="2" t="n">
        <v>0.0843836597665472</v>
      </c>
      <c r="E501" s="2" t="n">
        <v>0.029866340233477</v>
      </c>
    </row>
    <row r="502" customFormat="false" ht="13.8" hidden="false" customHeight="false" outlineLevel="0" collapsed="false">
      <c r="B502" s="2" t="n">
        <v>500</v>
      </c>
      <c r="C502" s="2" t="n">
        <v>0.0305000000000005</v>
      </c>
      <c r="D502" s="2" t="n">
        <v>0.0870889651363163</v>
      </c>
      <c r="E502" s="2" t="n">
        <v>0.0336610348637079</v>
      </c>
    </row>
    <row r="503" customFormat="false" ht="13.8" hidden="false" customHeight="false" outlineLevel="0" collapsed="false">
      <c r="B503" s="2" t="n">
        <v>501</v>
      </c>
      <c r="C503" s="2" t="n">
        <v>0.0920501333333338</v>
      </c>
      <c r="D503" s="2" t="n">
        <v>0.0717776188954023</v>
      </c>
      <c r="E503" s="2" t="n">
        <v>0.0424723811046219</v>
      </c>
    </row>
    <row r="504" customFormat="false" ht="13.8" hidden="false" customHeight="false" outlineLevel="0" collapsed="false">
      <c r="B504" s="2" t="n">
        <v>502</v>
      </c>
      <c r="C504" s="2" t="n">
        <v>0.0311274775459875</v>
      </c>
      <c r="D504" s="2" t="n">
        <v>0.0903270671691889</v>
      </c>
      <c r="E504" s="2" t="n">
        <v>0.0301802047067917</v>
      </c>
    </row>
    <row r="505" customFormat="false" ht="13.8" hidden="false" customHeight="false" outlineLevel="0" collapsed="false">
      <c r="B505" s="2" t="n">
        <v>503</v>
      </c>
      <c r="C505" s="2" t="n">
        <v>0.0917717050919743</v>
      </c>
      <c r="D505" s="2" t="n">
        <v>0.0150463155962773</v>
      </c>
      <c r="E505" s="2" t="n">
        <v>0.0718016781556188</v>
      </c>
    </row>
    <row r="506" customFormat="false" ht="13.8" hidden="false" customHeight="false" outlineLevel="0" collapsed="false">
      <c r="B506" s="2" t="n">
        <v>504</v>
      </c>
      <c r="C506" s="2" t="n">
        <v>0.0291212042437926</v>
      </c>
      <c r="D506" s="2" t="n">
        <v>0</v>
      </c>
      <c r="E506" s="2" t="n">
        <v>6.64273552990705E-005</v>
      </c>
    </row>
    <row r="507" customFormat="false" ht="13.8" hidden="false" customHeight="false" outlineLevel="0" collapsed="false">
      <c r="B507" s="2" t="n">
        <v>505</v>
      </c>
      <c r="C507" s="2" t="n">
        <v>0.0899449167695006</v>
      </c>
      <c r="D507" s="2" t="n">
        <v>2.35915379225652E-011</v>
      </c>
      <c r="E507" s="2" t="n">
        <v>0.000893880918169679</v>
      </c>
    </row>
    <row r="508" customFormat="false" ht="13.8" hidden="false" customHeight="false" outlineLevel="0" collapsed="false">
      <c r="B508" s="2" t="n">
        <v>506</v>
      </c>
      <c r="C508" s="2" t="n">
        <v>0.0242926433083338</v>
      </c>
      <c r="D508" s="2" t="n">
        <v>0</v>
      </c>
      <c r="E508" s="2" t="n">
        <v>0.0324563587266014</v>
      </c>
    </row>
    <row r="509" customFormat="false" ht="13.8" hidden="false" customHeight="false" outlineLevel="0" collapsed="false">
      <c r="B509" s="2" t="n">
        <v>507</v>
      </c>
      <c r="C509" s="2" t="n">
        <v>0.0828259897155085</v>
      </c>
      <c r="D509" s="2" t="n">
        <v>0</v>
      </c>
      <c r="E509" s="2" t="n">
        <v>0</v>
      </c>
    </row>
    <row r="510" customFormat="false" ht="13.8" hidden="false" customHeight="false" outlineLevel="0" collapsed="false">
      <c r="B510" s="2" t="n">
        <v>508</v>
      </c>
      <c r="C510" s="2" t="n">
        <v>0.0188881963859921</v>
      </c>
      <c r="D510" s="2" t="n">
        <v>0</v>
      </c>
      <c r="E510" s="2" t="n">
        <v>0.0304979976767981</v>
      </c>
    </row>
    <row r="511" customFormat="false" ht="13.8" hidden="false" customHeight="false" outlineLevel="0" collapsed="false">
      <c r="B511" s="2" t="n">
        <v>509</v>
      </c>
      <c r="C511" s="2" t="n">
        <v>0.083802606258156</v>
      </c>
      <c r="D511" s="2" t="n">
        <v>0</v>
      </c>
      <c r="E511" s="2" t="n">
        <v>0.00689379215189644</v>
      </c>
    </row>
    <row r="512" customFormat="false" ht="13.8" hidden="false" customHeight="false" outlineLevel="0" collapsed="false">
      <c r="B512" s="2" t="n">
        <v>510</v>
      </c>
      <c r="C512" s="2" t="n">
        <v>0</v>
      </c>
      <c r="D512" s="2" t="n">
        <v>0</v>
      </c>
      <c r="E512" s="2" t="n">
        <v>0.00215853247278465</v>
      </c>
    </row>
    <row r="513" customFormat="false" ht="13.8" hidden="false" customHeight="false" outlineLevel="0" collapsed="false">
      <c r="B513" s="2" t="n">
        <v>511</v>
      </c>
      <c r="C513" s="2" t="n">
        <v>0</v>
      </c>
      <c r="D513" s="2" t="n">
        <v>0</v>
      </c>
      <c r="E513" s="2" t="n">
        <v>0</v>
      </c>
    </row>
    <row r="514" customFormat="false" ht="13.8" hidden="false" customHeight="false" outlineLevel="0" collapsed="false">
      <c r="B514" s="2" t="n">
        <v>512</v>
      </c>
      <c r="C514" s="2" t="n">
        <v>0</v>
      </c>
      <c r="D514" s="2" t="n">
        <v>0</v>
      </c>
      <c r="E514" s="2" t="n">
        <v>2.10880313977586E-011</v>
      </c>
    </row>
    <row r="515" customFormat="false" ht="13.8" hidden="false" customHeight="false" outlineLevel="0" collapsed="false">
      <c r="B515" s="2" t="n">
        <v>513</v>
      </c>
      <c r="C515" s="2" t="n">
        <v>0</v>
      </c>
      <c r="D515" s="2" t="n">
        <v>0</v>
      </c>
      <c r="E515" s="2" t="n">
        <v>2.13150700018317E-011</v>
      </c>
    </row>
    <row r="516" customFormat="false" ht="13.8" hidden="false" customHeight="false" outlineLevel="0" collapsed="false">
      <c r="B516" s="2" t="n">
        <v>514</v>
      </c>
      <c r="C516" s="2" t="n">
        <v>0</v>
      </c>
      <c r="D516" s="2" t="n">
        <v>0</v>
      </c>
      <c r="E516" s="2" t="n">
        <v>2.1537388412734E-011</v>
      </c>
    </row>
    <row r="517" customFormat="false" ht="13.8" hidden="false" customHeight="false" outlineLevel="0" collapsed="false">
      <c r="B517" s="2" t="n">
        <v>515</v>
      </c>
      <c r="C517" s="2" t="n">
        <v>0</v>
      </c>
      <c r="D517" s="2" t="n">
        <v>0</v>
      </c>
      <c r="E517" s="2" t="n">
        <v>2.17537127534948E-011</v>
      </c>
    </row>
    <row r="518" customFormat="false" ht="13.8" hidden="false" customHeight="false" outlineLevel="0" collapsed="false">
      <c r="B518" s="2" t="n">
        <v>516</v>
      </c>
      <c r="C518" s="2" t="n">
        <v>0</v>
      </c>
      <c r="D518" s="2" t="n">
        <v>0</v>
      </c>
      <c r="E518" s="2" t="n">
        <v>2.19624225976595E-011</v>
      </c>
    </row>
    <row r="519" customFormat="false" ht="13.8" hidden="false" customHeight="false" outlineLevel="0" collapsed="false">
      <c r="B519" s="2" t="n">
        <v>517</v>
      </c>
      <c r="C519" s="2" t="n">
        <v>0</v>
      </c>
      <c r="D519" s="2" t="n">
        <v>0</v>
      </c>
      <c r="E519" s="2" t="n">
        <v>2.21618859356562E-011</v>
      </c>
    </row>
    <row r="520" customFormat="false" ht="13.8" hidden="false" customHeight="false" outlineLevel="0" collapsed="false">
      <c r="B520" s="2" t="n">
        <v>518</v>
      </c>
      <c r="C520" s="2" t="n">
        <v>0</v>
      </c>
      <c r="D520" s="2" t="n">
        <v>1.14721086685001E-018</v>
      </c>
      <c r="E520" s="2" t="n">
        <v>2.23491841259518E-011</v>
      </c>
    </row>
    <row r="521" customFormat="false" ht="13.8" hidden="false" customHeight="false" outlineLevel="0" collapsed="false">
      <c r="B521" s="2" t="n">
        <v>519</v>
      </c>
      <c r="C521" s="2" t="n">
        <v>0</v>
      </c>
      <c r="D521" s="2" t="n">
        <v>0</v>
      </c>
      <c r="E521" s="2" t="n">
        <v>2.25250035183776E-011</v>
      </c>
    </row>
    <row r="522" customFormat="false" ht="13.8" hidden="false" customHeight="false" outlineLevel="0" collapsed="false">
      <c r="B522" s="2" t="n">
        <v>520</v>
      </c>
      <c r="C522" s="2" t="n">
        <v>0</v>
      </c>
      <c r="D522" s="2" t="n">
        <v>0</v>
      </c>
      <c r="E522" s="2" t="n">
        <v>2.26887239740333E-011</v>
      </c>
    </row>
    <row r="523" customFormat="false" ht="13.8" hidden="false" customHeight="false" outlineLevel="0" collapsed="false">
      <c r="B523" s="2" t="n">
        <v>521</v>
      </c>
      <c r="C523" s="2" t="n">
        <v>0</v>
      </c>
      <c r="D523" s="2" t="n">
        <v>0</v>
      </c>
      <c r="E523" s="2" t="n">
        <v>2.28397381795397E-011</v>
      </c>
    </row>
    <row r="524" customFormat="false" ht="13.8" hidden="false" customHeight="false" outlineLevel="0" collapsed="false">
      <c r="B524" s="2" t="n">
        <v>522</v>
      </c>
      <c r="C524" s="2" t="n">
        <v>0</v>
      </c>
      <c r="D524" s="2" t="n">
        <v>0</v>
      </c>
      <c r="E524" s="2" t="n">
        <v>2.29794825281411E-011</v>
      </c>
    </row>
    <row r="525" customFormat="false" ht="13.8" hidden="false" customHeight="false" outlineLevel="0" collapsed="false">
      <c r="B525" s="2" t="n">
        <v>523</v>
      </c>
      <c r="C525" s="2" t="n">
        <v>0</v>
      </c>
      <c r="D525" s="2" t="n">
        <v>0</v>
      </c>
      <c r="E525" s="2" t="n">
        <v>2.31036111430421E-011</v>
      </c>
    </row>
    <row r="526" customFormat="false" ht="13.8" hidden="false" customHeight="false" outlineLevel="0" collapsed="false">
      <c r="B526" s="2" t="n">
        <v>524</v>
      </c>
      <c r="C526" s="2" t="n">
        <v>0</v>
      </c>
      <c r="D526" s="2" t="n">
        <v>3.55635368723501E-017</v>
      </c>
      <c r="E526" s="2" t="n">
        <v>2.32098310554593E-011</v>
      </c>
    </row>
    <row r="527" customFormat="false" ht="13.8" hidden="false" customHeight="false" outlineLevel="0" collapsed="false">
      <c r="B527" s="2" t="n">
        <v>525</v>
      </c>
      <c r="C527" s="2" t="n">
        <v>0</v>
      </c>
      <c r="D527" s="2" t="n">
        <v>0</v>
      </c>
      <c r="E527" s="2" t="n">
        <v>2.329587884305E-011</v>
      </c>
    </row>
    <row r="528" customFormat="false" ht="13.8" hidden="false" customHeight="false" outlineLevel="0" collapsed="false">
      <c r="B528" s="2" t="n">
        <v>526</v>
      </c>
      <c r="C528" s="2" t="n">
        <v>0</v>
      </c>
      <c r="D528" s="2" t="n">
        <v>0</v>
      </c>
      <c r="E528" s="2" t="n">
        <v>2.33549263698711E-011</v>
      </c>
    </row>
    <row r="529" customFormat="false" ht="13.8" hidden="false" customHeight="false" outlineLevel="0" collapsed="false">
      <c r="B529" s="2" t="n">
        <v>527</v>
      </c>
      <c r="C529" s="2" t="n">
        <v>0</v>
      </c>
      <c r="D529" s="2" t="n">
        <v>3.55635368723501E-017</v>
      </c>
      <c r="E529" s="2" t="n">
        <v>2.33927730609091E-011</v>
      </c>
    </row>
    <row r="530" customFormat="false" ht="13.8" hidden="false" customHeight="false" outlineLevel="0" collapsed="false">
      <c r="B530" s="2" t="n">
        <v>528</v>
      </c>
      <c r="C530" s="2" t="n">
        <v>0</v>
      </c>
      <c r="D530" s="2" t="n">
        <v>0</v>
      </c>
      <c r="E530" s="2" t="n">
        <v>2.34106464893199E-011</v>
      </c>
    </row>
    <row r="531" customFormat="false" ht="13.8" hidden="false" customHeight="false" outlineLevel="0" collapsed="false">
      <c r="B531" s="2" t="n">
        <v>529</v>
      </c>
      <c r="C531" s="2" t="n">
        <v>0</v>
      </c>
      <c r="D531" s="2" t="n">
        <v>3.55635368723501E-017</v>
      </c>
      <c r="E531" s="2" t="n">
        <v>2.34098251878684E-011</v>
      </c>
    </row>
    <row r="532" customFormat="false" ht="13.8" hidden="false" customHeight="false" outlineLevel="0" collapsed="false">
      <c r="B532" s="2" t="n">
        <v>530</v>
      </c>
      <c r="C532" s="2" t="n">
        <v>0</v>
      </c>
      <c r="D532" s="2" t="n">
        <v>1.83121735330487E-017</v>
      </c>
      <c r="E532" s="2" t="n">
        <v>2.33924406281744E-011</v>
      </c>
    </row>
    <row r="533" customFormat="false" ht="13.8" hidden="false" customHeight="false" outlineLevel="0" collapsed="false">
      <c r="B533" s="2" t="n">
        <v>531</v>
      </c>
      <c r="C533" s="2" t="n">
        <v>0</v>
      </c>
      <c r="D533" s="2" t="n">
        <v>0</v>
      </c>
      <c r="E533" s="2" t="n">
        <v>2.33581532362254E-011</v>
      </c>
    </row>
    <row r="534" customFormat="false" ht="13.8" hidden="false" customHeight="false" outlineLevel="0" collapsed="false">
      <c r="B534" s="2" t="n">
        <v>532</v>
      </c>
      <c r="C534" s="2" t="n">
        <v>0</v>
      </c>
      <c r="D534" s="2" t="n">
        <v>0</v>
      </c>
      <c r="E534" s="2" t="n">
        <v>2.33074768466649E-011</v>
      </c>
    </row>
    <row r="535" customFormat="false" ht="13.8" hidden="false" customHeight="false" outlineLevel="0" collapsed="false">
      <c r="B535" s="2" t="n">
        <v>533</v>
      </c>
      <c r="C535" s="2" t="n">
        <v>2.17013888888943E-019</v>
      </c>
      <c r="D535" s="2" t="n">
        <v>0</v>
      </c>
      <c r="E535" s="2" t="n">
        <v>0</v>
      </c>
    </row>
    <row r="536" customFormat="false" ht="13.8" hidden="false" customHeight="false" outlineLevel="0" collapsed="false">
      <c r="B536" s="2" t="n">
        <v>534</v>
      </c>
      <c r="C536" s="2" t="n">
        <v>0</v>
      </c>
      <c r="D536" s="2" t="n">
        <v>0</v>
      </c>
      <c r="E536" s="2" t="n">
        <v>0</v>
      </c>
    </row>
    <row r="537" customFormat="false" ht="13.8" hidden="false" customHeight="false" outlineLevel="0" collapsed="false">
      <c r="B537" s="2" t="n">
        <v>535</v>
      </c>
      <c r="C537" s="2" t="n">
        <v>1.87717013888893E-018</v>
      </c>
      <c r="D537" s="2" t="n">
        <v>0</v>
      </c>
      <c r="E537" s="2" t="n">
        <v>0</v>
      </c>
    </row>
    <row r="538" customFormat="false" ht="13.8" hidden="false" customHeight="false" outlineLevel="0" collapsed="false">
      <c r="B538" s="2" t="n">
        <v>536</v>
      </c>
      <c r="C538" s="2" t="n">
        <v>0</v>
      </c>
      <c r="D538" s="2" t="n">
        <v>8.06707215463501E-017</v>
      </c>
      <c r="E538" s="2" t="n">
        <v>2.29978361307899E-011</v>
      </c>
    </row>
    <row r="539" customFormat="false" ht="13.8" hidden="false" customHeight="false" outlineLevel="0" collapsed="false">
      <c r="B539" s="2" t="n">
        <v>537</v>
      </c>
      <c r="C539" s="2" t="n">
        <v>1.51316987267032E-018</v>
      </c>
      <c r="D539" s="2" t="n">
        <v>0</v>
      </c>
      <c r="E539" s="2" t="n">
        <v>2.2905956159975E-011</v>
      </c>
    </row>
    <row r="540" customFormat="false" ht="13.8" hidden="false" customHeight="false" outlineLevel="0" collapsed="false">
      <c r="B540" s="2" t="n">
        <v>538</v>
      </c>
      <c r="C540" s="2" t="n">
        <v>0</v>
      </c>
      <c r="D540" s="2" t="n">
        <v>0</v>
      </c>
      <c r="E540" s="2" t="n">
        <v>2.28146079817061E-011</v>
      </c>
    </row>
    <row r="541" customFormat="false" ht="13.8" hidden="false" customHeight="false" outlineLevel="0" collapsed="false">
      <c r="B541" s="2" t="n">
        <v>539</v>
      </c>
      <c r="C541" s="2" t="n">
        <v>1.15451388888889E-017</v>
      </c>
      <c r="D541" s="2" t="n">
        <v>7.98597872400486E-017</v>
      </c>
      <c r="E541" s="2" t="n">
        <v>0</v>
      </c>
    </row>
    <row r="542" customFormat="false" ht="13.8" hidden="false" customHeight="false" outlineLevel="0" collapsed="false">
      <c r="B542" s="2" t="n">
        <v>540</v>
      </c>
      <c r="C542" s="2" t="n">
        <v>1.11607892997328E-016</v>
      </c>
      <c r="D542" s="2" t="n">
        <v>0</v>
      </c>
      <c r="E542" s="2" t="n">
        <v>0</v>
      </c>
    </row>
    <row r="543" customFormat="false" ht="13.8" hidden="false" customHeight="false" outlineLevel="0" collapsed="false">
      <c r="B543" s="2" t="n">
        <v>541</v>
      </c>
      <c r="C543" s="2" t="n">
        <v>3.51562500000001E-018</v>
      </c>
      <c r="D543" s="2" t="n">
        <v>1.4916872956E-018</v>
      </c>
      <c r="E543" s="2" t="n">
        <v>0.0173154450004278</v>
      </c>
    </row>
    <row r="544" customFormat="false" ht="13.8" hidden="false" customHeight="false" outlineLevel="0" collapsed="false">
      <c r="B544" s="2" t="n">
        <v>542</v>
      </c>
      <c r="C544" s="2" t="n">
        <v>1.3160141864068E-009</v>
      </c>
      <c r="D544" s="2" t="n">
        <v>0.0275829354978085</v>
      </c>
      <c r="E544" s="2" t="n">
        <v>0.0333284688104909</v>
      </c>
    </row>
    <row r="545" customFormat="false" ht="13.8" hidden="false" customHeight="false" outlineLevel="0" collapsed="false">
      <c r="B545" s="2" t="n">
        <v>543</v>
      </c>
      <c r="C545" s="2" t="n">
        <v>1.05656307705392E-009</v>
      </c>
      <c r="D545" s="2" t="n">
        <v>0.0380246272031009</v>
      </c>
      <c r="E545" s="2" t="n">
        <v>0.0164158864130709</v>
      </c>
    </row>
    <row r="546" customFormat="false" ht="13.8" hidden="false" customHeight="false" outlineLevel="0" collapsed="false">
      <c r="B546" s="2" t="n">
        <v>544</v>
      </c>
      <c r="C546" s="2" t="n">
        <v>7.97109395211331E-010</v>
      </c>
      <c r="D546" s="2" t="n">
        <v>0.00896626890839145</v>
      </c>
      <c r="E546" s="2" t="n">
        <v>0.0590703206823173</v>
      </c>
    </row>
    <row r="547" customFormat="false" ht="13.8" hidden="false" customHeight="false" outlineLevel="0" collapsed="false">
      <c r="B547" s="2" t="n">
        <v>545</v>
      </c>
      <c r="C547" s="2" t="n">
        <v>0.0405741439470085</v>
      </c>
      <c r="D547" s="2" t="n">
        <v>0</v>
      </c>
      <c r="E547" s="2" t="n">
        <v>0.067357854951564</v>
      </c>
    </row>
    <row r="548" customFormat="false" ht="13.8" hidden="false" customHeight="false" outlineLevel="0" collapsed="false">
      <c r="B548" s="2" t="n">
        <v>546</v>
      </c>
      <c r="C548" s="2" t="n">
        <v>0.0406356821874225</v>
      </c>
      <c r="D548" s="2" t="n">
        <v>0.00915804293184087</v>
      </c>
      <c r="E548" s="2" t="n">
        <v>0.0874408064051155</v>
      </c>
    </row>
    <row r="549" customFormat="false" ht="13.8" hidden="false" customHeight="false" outlineLevel="0" collapsed="false">
      <c r="B549" s="2" t="n">
        <v>547</v>
      </c>
      <c r="C549" s="2" t="n">
        <v>0.0442636562915137</v>
      </c>
      <c r="D549" s="2" t="n">
        <v>0</v>
      </c>
      <c r="E549" s="2" t="n">
        <v>0.0570240078586671</v>
      </c>
    </row>
    <row r="550" customFormat="false" ht="13.8" hidden="false" customHeight="false" outlineLevel="0" collapsed="false">
      <c r="B550" s="2" t="n">
        <v>548</v>
      </c>
      <c r="C550" s="2" t="n">
        <v>0.0539831374637631</v>
      </c>
      <c r="D550" s="2" t="n">
        <v>0</v>
      </c>
      <c r="E550" s="2" t="n">
        <v>0.157606759312219</v>
      </c>
    </row>
    <row r="551" customFormat="false" ht="13.8" hidden="false" customHeight="false" outlineLevel="0" collapsed="false">
      <c r="B551" s="2" t="n">
        <v>549</v>
      </c>
      <c r="C551" s="2" t="n">
        <v>0.0497028686360124</v>
      </c>
      <c r="D551" s="2" t="n">
        <v>0</v>
      </c>
      <c r="E551" s="2" t="n">
        <v>0.13877301076577</v>
      </c>
    </row>
    <row r="552" customFormat="false" ht="13.8" hidden="false" customHeight="false" outlineLevel="0" collapsed="false">
      <c r="B552" s="2" t="n">
        <v>550</v>
      </c>
      <c r="C552" s="2" t="n">
        <v>0.0563120851768803</v>
      </c>
      <c r="D552" s="2" t="n">
        <v>0.00664007880012802</v>
      </c>
      <c r="E552" s="2" t="n">
        <v>0.077517741407661</v>
      </c>
    </row>
    <row r="553" customFormat="false" ht="13.8" hidden="false" customHeight="false" outlineLevel="0" collapsed="false">
      <c r="B553" s="2" t="n">
        <v>551</v>
      </c>
      <c r="C553" s="2" t="n">
        <v>0.0407050059081947</v>
      </c>
      <c r="D553" s="2" t="n">
        <v>0.0187466700764802</v>
      </c>
      <c r="E553" s="2" t="n">
        <v>0.0631952720495518</v>
      </c>
    </row>
    <row r="554" customFormat="false" ht="13.8" hidden="false" customHeight="false" outlineLevel="0" collapsed="false">
      <c r="B554" s="2" t="n">
        <v>552</v>
      </c>
      <c r="C554" s="2" t="n">
        <v>0.0732447396580882</v>
      </c>
      <c r="D554" s="2" t="n">
        <v>0.0114729151065836</v>
      </c>
      <c r="E554" s="2" t="n">
        <v>0.0412727360247759</v>
      </c>
    </row>
    <row r="555" customFormat="false" ht="13.8" hidden="false" customHeight="false" outlineLevel="0" collapsed="false">
      <c r="B555" s="2" t="n">
        <v>553</v>
      </c>
      <c r="C555" s="2" t="n">
        <v>0.0684508500000005</v>
      </c>
      <c r="D555" s="2" t="n">
        <v>0.10000000010566</v>
      </c>
      <c r="E555" s="2" t="n">
        <v>0.0467502833333334</v>
      </c>
    </row>
    <row r="556" customFormat="false" ht="13.8" hidden="false" customHeight="false" outlineLevel="0" collapsed="false">
      <c r="B556" s="2" t="n">
        <v>554</v>
      </c>
      <c r="C556" s="2" t="n">
        <v>0.0974007166666671</v>
      </c>
      <c r="D556" s="2" t="n">
        <v>0.100000000105652</v>
      </c>
      <c r="E556" s="2" t="n">
        <v>0.02075025</v>
      </c>
    </row>
    <row r="557" customFormat="false" ht="13.8" hidden="false" customHeight="false" outlineLevel="0" collapsed="false">
      <c r="B557" s="2" t="n">
        <v>555</v>
      </c>
      <c r="C557" s="2" t="n">
        <v>0.0954513166666671</v>
      </c>
      <c r="D557" s="2" t="n">
        <v>0.100000000105645</v>
      </c>
      <c r="E557" s="2" t="n">
        <v>0.04675025</v>
      </c>
    </row>
    <row r="558" customFormat="false" ht="13.8" hidden="false" customHeight="false" outlineLevel="0" collapsed="false">
      <c r="B558" s="2" t="n">
        <v>556</v>
      </c>
      <c r="C558" s="2" t="n">
        <v>0.110118883333334</v>
      </c>
      <c r="D558" s="2" t="n">
        <v>0.100000000105637</v>
      </c>
      <c r="E558" s="2" t="n">
        <v>0.02075025</v>
      </c>
    </row>
    <row r="559" customFormat="false" ht="13.8" hidden="false" customHeight="false" outlineLevel="0" collapsed="false">
      <c r="B559" s="2" t="n">
        <v>557</v>
      </c>
      <c r="C559" s="2" t="n">
        <v>0.114819183333334</v>
      </c>
      <c r="D559" s="2" t="n">
        <v>0.10000000010563</v>
      </c>
      <c r="E559" s="2" t="n">
        <v>0.04675025</v>
      </c>
    </row>
    <row r="560" customFormat="false" ht="13.8" hidden="false" customHeight="false" outlineLevel="0" collapsed="false">
      <c r="B560" s="2" t="n">
        <v>558</v>
      </c>
      <c r="C560" s="2" t="n">
        <v>0.108886466666667</v>
      </c>
      <c r="D560" s="2" t="n">
        <v>0.100000000105624</v>
      </c>
      <c r="E560" s="2" t="n">
        <v>0.0207500666666667</v>
      </c>
    </row>
    <row r="561" customFormat="false" ht="13.8" hidden="false" customHeight="false" outlineLevel="0" collapsed="false">
      <c r="B561" s="2" t="n">
        <v>559</v>
      </c>
      <c r="C561" s="2" t="n">
        <v>0.0562206333333337</v>
      </c>
      <c r="D561" s="2" t="n">
        <v>0.100000000105617</v>
      </c>
      <c r="E561" s="2" t="n">
        <v>0.0300834166666667</v>
      </c>
    </row>
    <row r="562" customFormat="false" ht="13.8" hidden="false" customHeight="false" outlineLevel="0" collapsed="false">
      <c r="B562" s="2" t="n">
        <v>560</v>
      </c>
      <c r="C562" s="2" t="n">
        <v>0.0799372000000004</v>
      </c>
      <c r="D562" s="2" t="n">
        <v>0.100000000105611</v>
      </c>
      <c r="E562" s="2" t="n">
        <v>0.05</v>
      </c>
    </row>
    <row r="563" customFormat="false" ht="13.8" hidden="false" customHeight="false" outlineLevel="0" collapsed="false">
      <c r="B563" s="2" t="n">
        <v>561</v>
      </c>
      <c r="C563" s="2" t="n">
        <v>0.100870666666667</v>
      </c>
      <c r="D563" s="2" t="n">
        <v>0.100000000105605</v>
      </c>
      <c r="E563" s="2" t="n">
        <v>0.0141666833333334</v>
      </c>
    </row>
    <row r="564" customFormat="false" ht="13.8" hidden="false" customHeight="false" outlineLevel="0" collapsed="false">
      <c r="B564" s="2" t="n">
        <v>562</v>
      </c>
      <c r="C564" s="2" t="n">
        <v>0.0698882166666671</v>
      </c>
      <c r="D564" s="2" t="n">
        <v>0.100000000105599</v>
      </c>
      <c r="E564" s="2" t="n">
        <v>0.00108336666666668</v>
      </c>
    </row>
    <row r="565" customFormat="false" ht="13.8" hidden="false" customHeight="false" outlineLevel="0" collapsed="false">
      <c r="B565" s="2" t="n">
        <v>563</v>
      </c>
      <c r="C565" s="2" t="n">
        <v>0.0747041333333338</v>
      </c>
      <c r="D565" s="2" t="n">
        <v>0.100000000105594</v>
      </c>
      <c r="E565" s="2" t="n">
        <v>0.02725</v>
      </c>
    </row>
    <row r="566" customFormat="false" ht="13.8" hidden="false" customHeight="false" outlineLevel="0" collapsed="false">
      <c r="B566" s="2" t="n">
        <v>564</v>
      </c>
      <c r="C566" s="2" t="n">
        <v>0.109936783332205</v>
      </c>
      <c r="D566" s="2" t="n">
        <v>0.100000000105588</v>
      </c>
      <c r="E566" s="2" t="n">
        <v>0.00775000000000001</v>
      </c>
    </row>
    <row r="567" customFormat="false" ht="13.8" hidden="false" customHeight="false" outlineLevel="0" collapsed="false">
      <c r="B567" s="2" t="n">
        <v>565</v>
      </c>
      <c r="C567" s="2" t="n">
        <v>0.119786933324462</v>
      </c>
      <c r="D567" s="2" t="n">
        <v>0.100000000105583</v>
      </c>
      <c r="E567" s="2" t="n">
        <v>0.0239166833333333</v>
      </c>
    </row>
    <row r="568" customFormat="false" ht="13.8" hidden="false" customHeight="false" outlineLevel="0" collapsed="false">
      <c r="B568" s="2" t="n">
        <v>566</v>
      </c>
      <c r="C568" s="2" t="n">
        <v>0.0930704666500524</v>
      </c>
      <c r="D568" s="2" t="n">
        <v>0.100000000105578</v>
      </c>
      <c r="E568" s="2" t="n">
        <v>0.000750100000000015</v>
      </c>
    </row>
    <row r="569" customFormat="false" ht="13.8" hidden="false" customHeight="false" outlineLevel="0" collapsed="false">
      <c r="B569" s="2" t="n">
        <v>567</v>
      </c>
      <c r="C569" s="2" t="n">
        <v>0.0827201499756427</v>
      </c>
      <c r="D569" s="2" t="n">
        <v>0.100000000105574</v>
      </c>
      <c r="E569" s="2" t="n">
        <v>0.01425</v>
      </c>
    </row>
    <row r="570" customFormat="false" ht="13.8" hidden="false" customHeight="false" outlineLevel="0" collapsed="false">
      <c r="B570" s="2" t="n">
        <v>568</v>
      </c>
      <c r="C570" s="2" t="n">
        <v>0.0910877666345665</v>
      </c>
      <c r="D570" s="2" t="n">
        <v>0.10000000010557</v>
      </c>
      <c r="E570" s="2" t="n">
        <v>0.02075</v>
      </c>
    </row>
    <row r="571" customFormat="false" ht="13.8" hidden="false" customHeight="false" outlineLevel="0" collapsed="false">
      <c r="B571" s="2" t="n">
        <v>569</v>
      </c>
      <c r="C571" s="2" t="n">
        <v>0.0627878832934906</v>
      </c>
      <c r="D571" s="2" t="n">
        <v>0.100000000105565</v>
      </c>
      <c r="E571" s="2" t="n">
        <v>0.01425</v>
      </c>
    </row>
    <row r="572" customFormat="false" ht="13.8" hidden="false" customHeight="false" outlineLevel="0" collapsed="false">
      <c r="B572" s="2" t="n">
        <v>570</v>
      </c>
      <c r="C572" s="2" t="n">
        <v>0.0860378666190814</v>
      </c>
      <c r="D572" s="2" t="n">
        <v>0.100000000105562</v>
      </c>
      <c r="E572" s="2" t="n">
        <v>0.02075</v>
      </c>
    </row>
    <row r="573" customFormat="false" ht="13.8" hidden="false" customHeight="false" outlineLevel="0" collapsed="false">
      <c r="B573" s="2" t="n">
        <v>571</v>
      </c>
      <c r="C573" s="2" t="n">
        <v>0.0955209832780056</v>
      </c>
      <c r="D573" s="2" t="n">
        <v>0.100000000105558</v>
      </c>
      <c r="E573" s="2" t="n">
        <v>0.000666783333333338</v>
      </c>
    </row>
    <row r="574" customFormat="false" ht="13.8" hidden="false" customHeight="false" outlineLevel="0" collapsed="false">
      <c r="B574" s="2" t="n">
        <v>572</v>
      </c>
      <c r="C574" s="2" t="n">
        <v>0.0731370832702634</v>
      </c>
      <c r="D574" s="2" t="n">
        <v>0.100000000105554</v>
      </c>
      <c r="E574" s="2" t="n">
        <v>0.000916733333333342</v>
      </c>
    </row>
    <row r="575" customFormat="false" ht="13.8" hidden="false" customHeight="false" outlineLevel="0" collapsed="false">
      <c r="B575" s="2" t="n">
        <v>573</v>
      </c>
      <c r="C575" s="2" t="n">
        <v>0.0593541665958547</v>
      </c>
      <c r="D575" s="2" t="n">
        <v>0.100000000105551</v>
      </c>
      <c r="E575" s="2" t="n">
        <v>0.02075</v>
      </c>
    </row>
    <row r="576" customFormat="false" ht="13.8" hidden="false" customHeight="false" outlineLevel="0" collapsed="false">
      <c r="B576" s="2" t="n">
        <v>574</v>
      </c>
      <c r="C576" s="2" t="n">
        <v>0.0501201999214461</v>
      </c>
      <c r="D576" s="2" t="n">
        <v>0.100000000105548</v>
      </c>
      <c r="E576" s="2" t="n">
        <v>0.01425</v>
      </c>
    </row>
    <row r="577" customFormat="false" ht="13.8" hidden="false" customHeight="false" outlineLevel="0" collapsed="false">
      <c r="B577" s="2" t="n">
        <v>575</v>
      </c>
      <c r="C577" s="2" t="n">
        <v>0.0454029499137043</v>
      </c>
      <c r="D577" s="2" t="n">
        <v>0.100000000105546</v>
      </c>
      <c r="E577" s="2" t="n">
        <v>0.0140833666666667</v>
      </c>
    </row>
    <row r="578" customFormat="false" ht="13.8" hidden="false" customHeight="false" outlineLevel="0" collapsed="false">
      <c r="B578" s="2" t="n">
        <v>576</v>
      </c>
      <c r="C578" s="2" t="n">
        <v>0.052003433239296</v>
      </c>
      <c r="D578" s="2" t="n">
        <v>0.100000000105543</v>
      </c>
      <c r="E578" s="2" t="n">
        <v>2.50000000008619E-007</v>
      </c>
    </row>
    <row r="579" customFormat="false" ht="13.8" hidden="false" customHeight="false" outlineLevel="0" collapsed="false">
      <c r="B579" s="2" t="n">
        <v>577</v>
      </c>
      <c r="C579" s="2" t="n">
        <v>0.0454856498982211</v>
      </c>
      <c r="D579" s="2" t="n">
        <v>3.5392602864734E-009</v>
      </c>
      <c r="E579" s="2" t="n">
        <v>2.50000000008619E-007</v>
      </c>
    </row>
    <row r="580" customFormat="false" ht="13.8" hidden="false" customHeight="false" outlineLevel="0" collapsed="false">
      <c r="B580" s="2" t="n">
        <v>578</v>
      </c>
      <c r="C580" s="2" t="n">
        <v>0.0283189498904797</v>
      </c>
      <c r="D580" s="2" t="n">
        <v>3.53919004660878E-009</v>
      </c>
      <c r="E580" s="2" t="n">
        <v>0.000416833333333342</v>
      </c>
    </row>
    <row r="581" customFormat="false" ht="13.8" hidden="false" customHeight="false" outlineLevel="0" collapsed="false">
      <c r="B581" s="2" t="n">
        <v>579</v>
      </c>
      <c r="C581" s="2" t="n">
        <v>0.0844180665494052</v>
      </c>
      <c r="D581" s="2" t="n">
        <v>3.53912717512008E-009</v>
      </c>
      <c r="E581" s="2" t="n">
        <v>0.00125</v>
      </c>
    </row>
    <row r="582" customFormat="false" ht="13.8" hidden="false" customHeight="false" outlineLevel="0" collapsed="false">
      <c r="B582" s="2" t="n">
        <v>580</v>
      </c>
      <c r="C582" s="2" t="n">
        <v>0.0140843332083308</v>
      </c>
      <c r="D582" s="2" t="n">
        <v>0.0133333334388685</v>
      </c>
      <c r="E582" s="2" t="n">
        <v>0.03375</v>
      </c>
    </row>
    <row r="583" customFormat="false" ht="13.8" hidden="false" customHeight="false" outlineLevel="0" collapsed="false">
      <c r="B583" s="2" t="n">
        <v>581</v>
      </c>
      <c r="C583" s="2" t="n">
        <v>0.0769670665339231</v>
      </c>
      <c r="D583" s="2" t="n">
        <v>0.100000000105534</v>
      </c>
      <c r="E583" s="2" t="n">
        <v>0.00116668333333334</v>
      </c>
    </row>
    <row r="584" customFormat="false" ht="13.8" hidden="false" customHeight="false" outlineLevel="0" collapsed="false">
      <c r="B584" s="2" t="n">
        <v>582</v>
      </c>
      <c r="C584" s="2" t="n">
        <v>0.0269168165261823</v>
      </c>
      <c r="D584" s="2" t="n">
        <v>0.100000000105533</v>
      </c>
      <c r="E584" s="2" t="n">
        <v>0.01425</v>
      </c>
    </row>
    <row r="585" customFormat="false" ht="13.8" hidden="false" customHeight="false" outlineLevel="0" collapsed="false">
      <c r="B585" s="2" t="n">
        <v>583</v>
      </c>
      <c r="C585" s="2" t="n">
        <v>0.0417001331851083</v>
      </c>
      <c r="D585" s="2" t="n">
        <v>0.100000000105531</v>
      </c>
      <c r="E585" s="2" t="n">
        <v>0.02075</v>
      </c>
    </row>
    <row r="586" customFormat="false" ht="13.8" hidden="false" customHeight="false" outlineLevel="0" collapsed="false">
      <c r="B586" s="2" t="n">
        <v>584</v>
      </c>
      <c r="C586" s="2" t="n">
        <v>0.0666502998440344</v>
      </c>
      <c r="D586" s="2" t="n">
        <v>0.100000000105531</v>
      </c>
      <c r="E586" s="2" t="n">
        <v>0.01425</v>
      </c>
    </row>
    <row r="587" customFormat="false" ht="13.8" hidden="false" customHeight="false" outlineLevel="0" collapsed="false">
      <c r="B587" s="2" t="n">
        <v>585</v>
      </c>
      <c r="C587" s="2" t="n">
        <v>0.027766899836294</v>
      </c>
      <c r="D587" s="2" t="n">
        <v>0.10000000010553</v>
      </c>
      <c r="E587" s="2" t="n">
        <v>0.00425005000000001</v>
      </c>
    </row>
    <row r="588" customFormat="false" ht="13.8" hidden="false" customHeight="false" outlineLevel="0" collapsed="false">
      <c r="B588" s="2" t="n">
        <v>586</v>
      </c>
      <c r="C588" s="2" t="n">
        <v>0.0314834998285537</v>
      </c>
      <c r="D588" s="2" t="n">
        <v>0.10000000010553</v>
      </c>
      <c r="E588" s="2" t="n">
        <v>0.02075</v>
      </c>
    </row>
    <row r="589" customFormat="false" ht="13.8" hidden="false" customHeight="false" outlineLevel="0" collapsed="false">
      <c r="B589" s="2" t="n">
        <v>587</v>
      </c>
      <c r="C589" s="2" t="n">
        <v>0.0712000664874803</v>
      </c>
      <c r="D589" s="2" t="n">
        <v>0.100000000105529</v>
      </c>
      <c r="E589" s="2" t="n">
        <v>0.0140833666666667</v>
      </c>
    </row>
    <row r="590" customFormat="false" ht="13.8" hidden="false" customHeight="false" outlineLevel="0" collapsed="false">
      <c r="B590" s="2" t="n">
        <v>588</v>
      </c>
      <c r="C590" s="2" t="n">
        <v>0.0193500331464069</v>
      </c>
      <c r="D590" s="2" t="n">
        <v>0.10000000010553</v>
      </c>
      <c r="E590" s="2" t="n">
        <v>0.011</v>
      </c>
    </row>
    <row r="591" customFormat="false" ht="13.8" hidden="false" customHeight="false" outlineLevel="0" collapsed="false">
      <c r="B591" s="2" t="n">
        <v>589</v>
      </c>
      <c r="C591" s="2" t="n">
        <v>0.0513334664720004</v>
      </c>
      <c r="D591" s="2" t="n">
        <v>0.10000000010553</v>
      </c>
      <c r="E591" s="2" t="n">
        <v>0.0235834166666667</v>
      </c>
    </row>
    <row r="592" customFormat="false" ht="13.8" hidden="false" customHeight="false" outlineLevel="0" collapsed="false">
      <c r="B592" s="2" t="n">
        <v>590</v>
      </c>
      <c r="C592" s="2" t="n">
        <v>0.042249999797594</v>
      </c>
      <c r="D592" s="2" t="n">
        <v>0.10000000010553</v>
      </c>
      <c r="E592" s="2" t="n">
        <v>0.000750100000000009</v>
      </c>
    </row>
    <row r="593" customFormat="false" ht="13.8" hidden="false" customHeight="false" outlineLevel="0" collapsed="false">
      <c r="B593" s="2" t="n">
        <v>591</v>
      </c>
      <c r="C593" s="2" t="n">
        <v>0.0484833997898543</v>
      </c>
      <c r="D593" s="2" t="n">
        <v>0.100000000105531</v>
      </c>
      <c r="E593" s="2" t="n">
        <v>0.01425</v>
      </c>
    </row>
    <row r="594" customFormat="false" ht="13.8" hidden="false" customHeight="false" outlineLevel="0" collapsed="false">
      <c r="B594" s="2" t="n">
        <v>592</v>
      </c>
      <c r="C594" s="2" t="n">
        <v>0.0418166997821148</v>
      </c>
      <c r="D594" s="2" t="n">
        <v>0.100000000105532</v>
      </c>
      <c r="E594" s="2" t="n">
        <v>0.02050005</v>
      </c>
    </row>
    <row r="595" customFormat="false" ht="13.8" hidden="false" customHeight="false" outlineLevel="0" collapsed="false">
      <c r="B595" s="2" t="n">
        <v>593</v>
      </c>
      <c r="C595" s="2" t="n">
        <v>0.0248502331077088</v>
      </c>
      <c r="D595" s="2" t="n">
        <v>0.100000000105533</v>
      </c>
      <c r="E595" s="2" t="n">
        <v>0.000666783333333342</v>
      </c>
    </row>
    <row r="596" customFormat="false" ht="13.8" hidden="false" customHeight="false" outlineLevel="0" collapsed="false">
      <c r="B596" s="2" t="n">
        <v>594</v>
      </c>
      <c r="C596" s="2" t="n">
        <v>0.0466834330999696</v>
      </c>
      <c r="D596" s="2" t="n">
        <v>0.100000000105534</v>
      </c>
      <c r="E596" s="2" t="n">
        <v>0.011</v>
      </c>
    </row>
    <row r="597" customFormat="false" ht="13.8" hidden="false" customHeight="false" outlineLevel="0" collapsed="false">
      <c r="B597" s="2" t="n">
        <v>595</v>
      </c>
      <c r="C597" s="2" t="n">
        <v>0.0387168330922305</v>
      </c>
      <c r="D597" s="2" t="n">
        <v>0.100000000105536</v>
      </c>
      <c r="E597" s="2" t="n">
        <v>0.024</v>
      </c>
    </row>
    <row r="598" customFormat="false" ht="13.8" hidden="false" customHeight="false" outlineLevel="0" collapsed="false">
      <c r="B598" s="2" t="n">
        <v>596</v>
      </c>
      <c r="C598" s="2" t="n">
        <v>0.0246669664178249</v>
      </c>
      <c r="D598" s="2" t="n">
        <v>0.100000000105537</v>
      </c>
      <c r="E598" s="2" t="n">
        <v>0.011</v>
      </c>
    </row>
    <row r="599" customFormat="false" ht="13.8" hidden="false" customHeight="false" outlineLevel="0" collapsed="false">
      <c r="B599" s="2" t="n">
        <v>597</v>
      </c>
      <c r="C599" s="2" t="n">
        <v>0.0510168330767527</v>
      </c>
      <c r="D599" s="2" t="n">
        <v>0.100000000105539</v>
      </c>
      <c r="E599" s="2" t="n">
        <v>0.024</v>
      </c>
    </row>
    <row r="600" customFormat="false" ht="13.8" hidden="false" customHeight="false" outlineLevel="0" collapsed="false">
      <c r="B600" s="2" t="n">
        <v>598</v>
      </c>
      <c r="C600" s="2" t="n">
        <v>0</v>
      </c>
      <c r="D600" s="2" t="n">
        <v>0.105575783545587</v>
      </c>
      <c r="E600" s="2" t="n">
        <v>0.00919230857364824</v>
      </c>
    </row>
    <row r="601" customFormat="false" ht="13.8" hidden="false" customHeight="false" outlineLevel="0" collapsed="false">
      <c r="B601" s="2" t="n">
        <v>599</v>
      </c>
      <c r="C601" s="2" t="n">
        <v>0.0487505680729488</v>
      </c>
      <c r="D601" s="2" t="n">
        <v>8.05808919877961E-010</v>
      </c>
      <c r="E601" s="2" t="n">
        <v>0.0203846171472965</v>
      </c>
    </row>
    <row r="602" customFormat="false" ht="13.8" hidden="false" customHeight="false" outlineLevel="0" collapsed="false">
      <c r="B602" s="2" t="n">
        <v>600</v>
      </c>
      <c r="C602" s="2" t="n">
        <v>0.0453758854427557</v>
      </c>
      <c r="D602" s="2" t="n">
        <v>0</v>
      </c>
      <c r="E602" s="2" t="n">
        <v>0.00557692572094468</v>
      </c>
    </row>
    <row r="603" customFormat="false" ht="13.8" hidden="false" customHeight="false" outlineLevel="0" collapsed="false">
      <c r="B603" s="2" t="n">
        <v>601</v>
      </c>
      <c r="C603" s="2" t="n">
        <v>0.0142683194792291</v>
      </c>
      <c r="D603" s="2" t="n">
        <v>7.73732536264006E-012</v>
      </c>
      <c r="E603" s="2" t="n">
        <v>0.0167692342945929</v>
      </c>
    </row>
    <row r="604" customFormat="false" ht="13.8" hidden="false" customHeight="false" outlineLevel="0" collapsed="false">
      <c r="B604" s="2" t="n">
        <v>602</v>
      </c>
      <c r="C604" s="2" t="n">
        <v>0</v>
      </c>
      <c r="D604" s="2" t="n">
        <v>0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1.2843155910533E-018</v>
      </c>
      <c r="D605" s="2" t="n">
        <v>0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0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8.07758424467948E-011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</v>
      </c>
    </row>
    <row r="624" customFormat="false" ht="13.8" hidden="false" customHeight="false" outlineLevel="0" collapsed="false">
      <c r="B624" s="2" t="n">
        <v>622</v>
      </c>
      <c r="C624" s="2" t="n">
        <v>0</v>
      </c>
      <c r="D624" s="2" t="n">
        <v>0</v>
      </c>
      <c r="E624" s="2" t="n">
        <v>0</v>
      </c>
    </row>
    <row r="625" customFormat="false" ht="13.8" hidden="false" customHeight="false" outlineLevel="0" collapsed="false">
      <c r="B625" s="2" t="n">
        <v>623</v>
      </c>
      <c r="C625" s="2" t="n">
        <v>0</v>
      </c>
      <c r="D625" s="2" t="n">
        <v>0</v>
      </c>
      <c r="E625" s="2" t="n">
        <v>0</v>
      </c>
    </row>
    <row r="626" customFormat="false" ht="13.8" hidden="false" customHeight="false" outlineLevel="0" collapsed="false">
      <c r="B626" s="2" t="n">
        <v>624</v>
      </c>
      <c r="C626" s="2" t="n">
        <v>0</v>
      </c>
      <c r="D626" s="2" t="n">
        <v>7.99513704427085E-012</v>
      </c>
      <c r="E626" s="2" t="n">
        <v>0</v>
      </c>
    </row>
    <row r="627" customFormat="false" ht="13.8" hidden="false" customHeight="false" outlineLevel="0" collapsed="false">
      <c r="B627" s="2" t="n">
        <v>625</v>
      </c>
      <c r="C627" s="2" t="n">
        <v>0</v>
      </c>
      <c r="D627" s="2" t="n">
        <v>0</v>
      </c>
      <c r="E627" s="2" t="n">
        <v>0</v>
      </c>
    </row>
    <row r="628" customFormat="false" ht="13.8" hidden="false" customHeight="false" outlineLevel="0" collapsed="false">
      <c r="B628" s="2" t="n">
        <v>626</v>
      </c>
      <c r="C628" s="2" t="n">
        <v>0</v>
      </c>
      <c r="D628" s="2" t="n">
        <v>0</v>
      </c>
      <c r="E628" s="2" t="n">
        <v>0</v>
      </c>
    </row>
    <row r="629" customFormat="false" ht="13.8" hidden="false" customHeight="false" outlineLevel="0" collapsed="false">
      <c r="B629" s="2" t="n">
        <v>627</v>
      </c>
      <c r="C629" s="2" t="n">
        <v>0</v>
      </c>
      <c r="D629" s="2" t="n">
        <v>0</v>
      </c>
      <c r="E629" s="2" t="n">
        <v>2.16156989061497E-017</v>
      </c>
    </row>
    <row r="630" customFormat="false" ht="13.8" hidden="false" customHeight="false" outlineLevel="0" collapsed="false">
      <c r="B630" s="2" t="n">
        <v>628</v>
      </c>
      <c r="C630" s="2" t="n">
        <v>6.34324521366899E-011</v>
      </c>
      <c r="D630" s="2" t="n">
        <v>1.55207369840327E-010</v>
      </c>
      <c r="E630" s="2" t="n">
        <v>3.60170383831879E-014</v>
      </c>
    </row>
    <row r="631" customFormat="false" ht="13.8" hidden="false" customHeight="false" outlineLevel="0" collapsed="false">
      <c r="B631" s="2" t="n">
        <v>629</v>
      </c>
      <c r="C631" s="2" t="n">
        <v>6.27395679988038E-011</v>
      </c>
      <c r="D631" s="2" t="n">
        <v>1.48614449267069E-010</v>
      </c>
      <c r="E631" s="2" t="n">
        <v>3.77072984311092E-014</v>
      </c>
    </row>
    <row r="632" customFormat="false" ht="13.8" hidden="false" customHeight="false" outlineLevel="0" collapsed="false">
      <c r="B632" s="2" t="n">
        <v>630</v>
      </c>
      <c r="C632" s="2" t="n">
        <v>0</v>
      </c>
      <c r="D632" s="2" t="n">
        <v>0</v>
      </c>
      <c r="E632" s="2" t="n">
        <v>1.56957414815914E-017</v>
      </c>
    </row>
    <row r="633" customFormat="false" ht="13.8" hidden="false" customHeight="false" outlineLevel="0" collapsed="false">
      <c r="B633" s="2" t="n">
        <v>631</v>
      </c>
      <c r="C633" s="2" t="n">
        <v>6.17802546683841E-011</v>
      </c>
      <c r="D633" s="2" t="n">
        <v>1.40759933933555E-010</v>
      </c>
      <c r="E633" s="2" t="n">
        <v>3.87174340938725E-014</v>
      </c>
    </row>
    <row r="634" customFormat="false" ht="13.8" hidden="false" customHeight="false" outlineLevel="0" collapsed="false">
      <c r="B634" s="2" t="n">
        <v>632</v>
      </c>
      <c r="C634" s="2" t="n">
        <v>6.14354497789414E-011</v>
      </c>
      <c r="D634" s="2" t="n">
        <v>1.38238975914517E-010</v>
      </c>
      <c r="E634" s="2" t="n">
        <v>3.94413142286636E-014</v>
      </c>
    </row>
    <row r="635" customFormat="false" ht="13.8" hidden="false" customHeight="false" outlineLevel="0" collapsed="false">
      <c r="B635" s="2" t="n">
        <v>633</v>
      </c>
      <c r="C635" s="2" t="n">
        <v>2.74391156599823E-017</v>
      </c>
      <c r="D635" s="2" t="n">
        <v>0</v>
      </c>
      <c r="E635" s="2" t="n">
        <v>2.70819694444403E-010</v>
      </c>
    </row>
    <row r="636" customFormat="false" ht="13.8" hidden="false" customHeight="false" outlineLevel="0" collapsed="false">
      <c r="B636" s="2" t="n">
        <v>634</v>
      </c>
      <c r="C636" s="2" t="n">
        <v>0</v>
      </c>
      <c r="D636" s="2" t="n">
        <v>0</v>
      </c>
      <c r="E636" s="2" t="n">
        <v>2.90165409722143E-010</v>
      </c>
    </row>
    <row r="637" customFormat="false" ht="13.8" hidden="false" customHeight="false" outlineLevel="0" collapsed="false">
      <c r="B637" s="2" t="n">
        <v>635</v>
      </c>
      <c r="C637" s="2" t="n">
        <v>4.44263314686874E-017</v>
      </c>
      <c r="D637" s="2" t="n">
        <v>0</v>
      </c>
      <c r="E637" s="2" t="n">
        <v>3.09511319443961E-010</v>
      </c>
    </row>
    <row r="638" customFormat="false" ht="13.8" hidden="false" customHeight="false" outlineLevel="0" collapsed="false">
      <c r="B638" s="2" t="n">
        <v>636</v>
      </c>
      <c r="C638" s="2" t="n">
        <v>0</v>
      </c>
      <c r="D638" s="2" t="n">
        <v>0</v>
      </c>
      <c r="E638" s="2" t="n">
        <v>3.28857402777594E-010</v>
      </c>
    </row>
    <row r="639" customFormat="false" ht="13.8" hidden="false" customHeight="false" outlineLevel="0" collapsed="false">
      <c r="B639" s="2" t="n">
        <v>637</v>
      </c>
      <c r="C639" s="2" t="n">
        <v>4.50850593530843E-017</v>
      </c>
      <c r="D639" s="2" t="n">
        <v>0</v>
      </c>
      <c r="E639" s="2" t="n">
        <v>0</v>
      </c>
    </row>
    <row r="640" customFormat="false" ht="13.8" hidden="false" customHeight="false" outlineLevel="0" collapsed="false">
      <c r="B640" s="2" t="n">
        <v>638</v>
      </c>
      <c r="C640" s="2" t="n">
        <v>7.9981412154448E-012</v>
      </c>
      <c r="D640" s="2" t="n">
        <v>7.34362502372495E-011</v>
      </c>
      <c r="E640" s="2" t="n">
        <v>3.67550201387726E-010</v>
      </c>
    </row>
    <row r="641" customFormat="false" ht="13.8" hidden="false" customHeight="false" outlineLevel="0" collapsed="false">
      <c r="B641" s="2" t="n">
        <v>639</v>
      </c>
      <c r="C641" s="2" t="n">
        <v>0</v>
      </c>
      <c r="D641" s="2" t="n">
        <v>4.45978224487942E-017</v>
      </c>
      <c r="E641" s="2" t="n">
        <v>0.0487521019314868</v>
      </c>
    </row>
    <row r="642" customFormat="false" ht="13.8" hidden="false" customHeight="false" outlineLevel="0" collapsed="false">
      <c r="B642" s="2" t="n">
        <v>640</v>
      </c>
      <c r="C642" s="2" t="n">
        <v>2.40290353861108E-009</v>
      </c>
      <c r="D642" s="2" t="n">
        <v>0</v>
      </c>
      <c r="E642" s="2" t="n">
        <v>0.109150154415953</v>
      </c>
    </row>
    <row r="643" customFormat="false" ht="13.8" hidden="false" customHeight="false" outlineLevel="0" collapsed="false">
      <c r="B643" s="2" t="n">
        <v>641</v>
      </c>
      <c r="C643" s="2" t="n">
        <v>0.0188154488578283</v>
      </c>
      <c r="D643" s="2" t="n">
        <v>0</v>
      </c>
      <c r="E643" s="2" t="n">
        <v>0.164365807970936</v>
      </c>
    </row>
    <row r="644" customFormat="false" ht="13.8" hidden="false" customHeight="false" outlineLevel="0" collapsed="false">
      <c r="B644" s="2" t="n">
        <v>642</v>
      </c>
      <c r="C644" s="2" t="n">
        <v>2.40295160328329E-009</v>
      </c>
      <c r="D644" s="2" t="n">
        <v>0</v>
      </c>
      <c r="E644" s="2" t="n">
        <v>0.121362455514583</v>
      </c>
    </row>
    <row r="645" customFormat="false" ht="13.8" hidden="false" customHeight="false" outlineLevel="0" collapsed="false">
      <c r="B645" s="2" t="n">
        <v>643</v>
      </c>
      <c r="C645" s="2" t="n">
        <v>0.052248748996774</v>
      </c>
      <c r="D645" s="2" t="n">
        <v>0</v>
      </c>
      <c r="E645" s="2" t="n">
        <v>0.0177946883936501</v>
      </c>
    </row>
    <row r="646" customFormat="false" ht="13.8" hidden="false" customHeight="false" outlineLevel="0" collapsed="false">
      <c r="B646" s="2" t="n">
        <v>644</v>
      </c>
      <c r="C646" s="2" t="n">
        <v>0.0299655490662469</v>
      </c>
      <c r="D646" s="2" t="n">
        <v>4.58884346740004E-017</v>
      </c>
      <c r="E646" s="2" t="n">
        <v>0.0370420869383407</v>
      </c>
    </row>
    <row r="647" customFormat="false" ht="13.8" hidden="false" customHeight="false" outlineLevel="0" collapsed="false">
      <c r="B647" s="2" t="n">
        <v>645</v>
      </c>
      <c r="C647" s="2" t="n">
        <v>0.0643487324690538</v>
      </c>
      <c r="D647" s="2" t="n">
        <v>0</v>
      </c>
      <c r="E647" s="2" t="n">
        <v>0.0448563854830313</v>
      </c>
    </row>
    <row r="648" customFormat="false" ht="13.8" hidden="false" customHeight="false" outlineLevel="0" collapsed="false">
      <c r="B648" s="2" t="n">
        <v>646</v>
      </c>
      <c r="C648" s="2" t="n">
        <v>0.0451365368517901</v>
      </c>
      <c r="D648" s="2" t="n">
        <v>0</v>
      </c>
      <c r="E648" s="2" t="n">
        <v>0.018817793261025</v>
      </c>
    </row>
    <row r="649" customFormat="false" ht="13.8" hidden="false" customHeight="false" outlineLevel="0" collapsed="false">
      <c r="B649" s="2" t="n">
        <v>647</v>
      </c>
      <c r="C649" s="2" t="n">
        <v>0.0749248745678603</v>
      </c>
      <c r="D649" s="2" t="n">
        <v>0</v>
      </c>
      <c r="E649" s="2" t="n">
        <v>0.046711984372352</v>
      </c>
    </row>
    <row r="650" customFormat="false" ht="13.8" hidden="false" customHeight="false" outlineLevel="0" collapsed="false">
      <c r="B650" s="2" t="n">
        <v>648</v>
      </c>
      <c r="C650" s="2" t="n">
        <v>0.0636292956172632</v>
      </c>
      <c r="D650" s="2" t="n">
        <v>0</v>
      </c>
      <c r="E650" s="2" t="n">
        <v>0.0437396921503457</v>
      </c>
    </row>
    <row r="651" customFormat="false" ht="13.8" hidden="false" customHeight="false" outlineLevel="0" collapsed="false">
      <c r="B651" s="2" t="n">
        <v>649</v>
      </c>
      <c r="C651" s="2" t="n">
        <v>0.0949676500720136</v>
      </c>
      <c r="D651" s="2" t="n">
        <v>6.21407335875103E-010</v>
      </c>
      <c r="E651" s="2" t="n">
        <v>0.0240010000003525</v>
      </c>
    </row>
    <row r="652" customFormat="false" ht="13.8" hidden="false" customHeight="false" outlineLevel="0" collapsed="false">
      <c r="B652" s="2" t="n">
        <v>650</v>
      </c>
      <c r="C652" s="2" t="n">
        <v>0.0744679667386796</v>
      </c>
      <c r="D652" s="2" t="n">
        <v>6.21406833418471E-010</v>
      </c>
      <c r="E652" s="2" t="n">
        <v>0.0515007333336845</v>
      </c>
    </row>
    <row r="653" customFormat="false" ht="13.8" hidden="false" customHeight="false" outlineLevel="0" collapsed="false">
      <c r="B653" s="2" t="n">
        <v>651</v>
      </c>
      <c r="C653" s="2" t="n">
        <v>0.107651316590495</v>
      </c>
      <c r="D653" s="2" t="n">
        <v>0.0933333333333334</v>
      </c>
      <c r="E653" s="2" t="n">
        <v>0.0390004665188332</v>
      </c>
    </row>
    <row r="654" customFormat="false" ht="13.8" hidden="false" customHeight="false" outlineLevel="0" collapsed="false">
      <c r="B654" s="2" t="n">
        <v>652</v>
      </c>
      <c r="C654" s="2" t="n">
        <v>0.0779190665904939</v>
      </c>
      <c r="D654" s="2" t="n">
        <v>0.1</v>
      </c>
      <c r="E654" s="2" t="n">
        <v>0.058500249852165</v>
      </c>
    </row>
    <row r="655" customFormat="false" ht="13.8" hidden="false" customHeight="false" outlineLevel="0" collapsed="false">
      <c r="B655" s="2" t="n">
        <v>653</v>
      </c>
      <c r="C655" s="2" t="n">
        <v>0.0826531834053449</v>
      </c>
      <c r="D655" s="2" t="n">
        <v>0.100000000148186</v>
      </c>
      <c r="E655" s="2" t="n">
        <v>0.0146669666670143</v>
      </c>
    </row>
    <row r="656" customFormat="false" ht="13.8" hidden="false" customHeight="false" outlineLevel="0" collapsed="false">
      <c r="B656" s="2" t="n">
        <v>654</v>
      </c>
      <c r="C656" s="2" t="n">
        <v>0.111936266590492</v>
      </c>
      <c r="D656" s="2" t="n">
        <v>0.1</v>
      </c>
      <c r="E656" s="2" t="n">
        <v>0.00333356651882874</v>
      </c>
    </row>
    <row r="657" customFormat="false" ht="13.8" hidden="false" customHeight="false" outlineLevel="0" collapsed="false">
      <c r="B657" s="2" t="n">
        <v>655</v>
      </c>
      <c r="C657" s="2" t="n">
        <v>0.117602516590492</v>
      </c>
      <c r="D657" s="2" t="n">
        <v>0.1</v>
      </c>
      <c r="E657" s="2" t="n">
        <v>0.0499999998521606</v>
      </c>
    </row>
    <row r="658" customFormat="false" ht="13.8" hidden="false" customHeight="false" outlineLevel="0" collapsed="false">
      <c r="B658" s="2" t="n">
        <v>656</v>
      </c>
      <c r="C658" s="2" t="n">
        <v>0.123253249923824</v>
      </c>
      <c r="D658" s="2" t="n">
        <v>0.1</v>
      </c>
      <c r="E658" s="2" t="n">
        <v>0.0142499998521591</v>
      </c>
    </row>
    <row r="659" customFormat="false" ht="13.8" hidden="false" customHeight="false" outlineLevel="0" collapsed="false">
      <c r="B659" s="2" t="n">
        <v>657</v>
      </c>
      <c r="C659" s="2" t="n">
        <v>0.0943036332571568</v>
      </c>
      <c r="D659" s="2" t="n">
        <v>0.1</v>
      </c>
      <c r="E659" s="2" t="n">
        <v>0.00124999985215763</v>
      </c>
    </row>
    <row r="660" customFormat="false" ht="13.8" hidden="false" customHeight="false" outlineLevel="0" collapsed="false">
      <c r="B660" s="2" t="n">
        <v>658</v>
      </c>
      <c r="C660" s="2" t="n">
        <v>0.117403483257156</v>
      </c>
      <c r="D660" s="2" t="n">
        <v>0.1</v>
      </c>
      <c r="E660" s="2" t="n">
        <v>0.0337499998521561</v>
      </c>
    </row>
    <row r="661" customFormat="false" ht="13.8" hidden="false" customHeight="false" outlineLevel="0" collapsed="false">
      <c r="B661" s="2" t="n">
        <v>659</v>
      </c>
      <c r="C661" s="2" t="n">
        <v>0.0893202332571553</v>
      </c>
      <c r="D661" s="2" t="n">
        <v>0.1</v>
      </c>
      <c r="E661" s="2" t="n">
        <v>0.00124999985215467</v>
      </c>
    </row>
    <row r="662" customFormat="false" ht="13.8" hidden="false" customHeight="false" outlineLevel="0" collapsed="false">
      <c r="B662" s="2" t="n">
        <v>660</v>
      </c>
      <c r="C662" s="2" t="n">
        <v>0.11127020007201</v>
      </c>
      <c r="D662" s="2" t="n">
        <v>0.10000000014819</v>
      </c>
      <c r="E662" s="2" t="n">
        <v>0.0337500000003411</v>
      </c>
    </row>
    <row r="663" customFormat="false" ht="13.8" hidden="false" customHeight="false" outlineLevel="0" collapsed="false">
      <c r="B663" s="2" t="n">
        <v>661</v>
      </c>
      <c r="C663" s="2" t="n">
        <v>0.10792030007201</v>
      </c>
      <c r="D663" s="2" t="n">
        <v>0.100000000148191</v>
      </c>
      <c r="E663" s="2" t="n">
        <v>2.50000340418418E-007</v>
      </c>
    </row>
    <row r="664" customFormat="false" ht="13.8" hidden="false" customHeight="false" outlineLevel="0" collapsed="false">
      <c r="B664" s="2" t="n">
        <v>662</v>
      </c>
      <c r="C664" s="2" t="n">
        <v>0.126637133257153</v>
      </c>
      <c r="D664" s="2" t="n">
        <v>0.1</v>
      </c>
      <c r="E664" s="2" t="n">
        <v>0.0010833665188169</v>
      </c>
    </row>
    <row r="665" customFormat="false" ht="13.8" hidden="false" customHeight="false" outlineLevel="0" collapsed="false">
      <c r="B665" s="2" t="n">
        <v>663</v>
      </c>
      <c r="C665" s="2" t="n">
        <v>0.0764712332571522</v>
      </c>
      <c r="D665" s="2" t="n">
        <v>0.1</v>
      </c>
      <c r="E665" s="2" t="n">
        <v>0.0272499998521488</v>
      </c>
    </row>
    <row r="666" customFormat="false" ht="13.8" hidden="false" customHeight="false" outlineLevel="0" collapsed="false">
      <c r="B666" s="2" t="n">
        <v>664</v>
      </c>
      <c r="C666" s="2" t="n">
        <v>0.102704383257151</v>
      </c>
      <c r="D666" s="2" t="n">
        <v>0.1</v>
      </c>
      <c r="E666" s="2" t="n">
        <v>0.00774999985214728</v>
      </c>
    </row>
    <row r="667" customFormat="false" ht="13.8" hidden="false" customHeight="false" outlineLevel="0" collapsed="false">
      <c r="B667" s="2" t="n">
        <v>665</v>
      </c>
      <c r="C667" s="2" t="n">
        <v>0.0672212499238173</v>
      </c>
      <c r="D667" s="2" t="n">
        <v>0.1</v>
      </c>
      <c r="E667" s="2" t="n">
        <v>0.0272499998521458</v>
      </c>
    </row>
    <row r="668" customFormat="false" ht="13.8" hidden="false" customHeight="false" outlineLevel="0" collapsed="false">
      <c r="B668" s="2" t="n">
        <v>666</v>
      </c>
      <c r="C668" s="2" t="n">
        <v>0.0953546165904832</v>
      </c>
      <c r="D668" s="2" t="n">
        <v>0.1</v>
      </c>
      <c r="E668" s="2" t="n">
        <v>0.00716678318547766</v>
      </c>
    </row>
    <row r="669" customFormat="false" ht="13.8" hidden="false" customHeight="false" outlineLevel="0" collapsed="false">
      <c r="B669" s="2" t="n">
        <v>667</v>
      </c>
      <c r="C669" s="2" t="n">
        <v>0.0783206332571491</v>
      </c>
      <c r="D669" s="2" t="n">
        <v>0.1</v>
      </c>
      <c r="E669" s="2" t="n">
        <v>0.00100004985214285</v>
      </c>
    </row>
    <row r="670" customFormat="false" ht="13.8" hidden="false" customHeight="false" outlineLevel="0" collapsed="false">
      <c r="B670" s="2" t="n">
        <v>668</v>
      </c>
      <c r="C670" s="2" t="n">
        <v>0.105570366738678</v>
      </c>
      <c r="D670" s="2" t="n">
        <v>0.100000000148198</v>
      </c>
      <c r="E670" s="2" t="n">
        <v>0.0240000000003368</v>
      </c>
    </row>
    <row r="671" customFormat="false" ht="13.8" hidden="false" customHeight="false" outlineLevel="0" collapsed="false">
      <c r="B671" s="2" t="n">
        <v>669</v>
      </c>
      <c r="C671" s="2" t="n">
        <v>0.0650041334053452</v>
      </c>
      <c r="D671" s="2" t="n">
        <v>0.100000000148199</v>
      </c>
      <c r="E671" s="2" t="n">
        <v>0.0109166833336698</v>
      </c>
    </row>
    <row r="672" customFormat="false" ht="13.8" hidden="false" customHeight="false" outlineLevel="0" collapsed="false">
      <c r="B672" s="2" t="n">
        <v>670</v>
      </c>
      <c r="C672" s="2" t="n">
        <v>0.0860038834053457</v>
      </c>
      <c r="D672" s="2" t="n">
        <v>0.1000000001482</v>
      </c>
      <c r="E672" s="2" t="n">
        <v>0.0207500000003362</v>
      </c>
    </row>
    <row r="673" customFormat="false" ht="13.8" hidden="false" customHeight="false" outlineLevel="0" collapsed="false">
      <c r="B673" s="2" t="n">
        <v>671</v>
      </c>
      <c r="C673" s="2" t="n">
        <v>0.0755704167386796</v>
      </c>
      <c r="D673" s="2" t="n">
        <v>0.100000000148201</v>
      </c>
      <c r="E673" s="2" t="n">
        <v>0.0141666833336694</v>
      </c>
    </row>
    <row r="674" customFormat="false" ht="13.8" hidden="false" customHeight="false" outlineLevel="0" collapsed="false">
      <c r="B674" s="2" t="n">
        <v>672</v>
      </c>
      <c r="C674" s="2" t="n">
        <v>0.053754166666745</v>
      </c>
      <c r="D674" s="2" t="n">
        <v>0.0933333333334117</v>
      </c>
      <c r="E674" s="2" t="n">
        <v>2.50000078334513E-007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9" colorId="64" zoomScale="100" zoomScaleNormal="100" zoomScalePageLayoutView="100" workbookViewId="0">
      <selection pane="topLeft" activeCell="C3" activeCellId="1" sqref="I2:I4 C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2" t="n">
        <v>1</v>
      </c>
      <c r="C3" s="2" t="n">
        <v>2.63941721353405</v>
      </c>
      <c r="D3" s="2" t="n">
        <v>3.37632962879602</v>
      </c>
      <c r="E3" s="2" t="n">
        <v>1.22816236639821</v>
      </c>
    </row>
    <row r="4" customFormat="false" ht="13.8" hidden="false" customHeight="false" outlineLevel="0" collapsed="false">
      <c r="B4" s="2" t="n">
        <v>2</v>
      </c>
      <c r="C4" s="2" t="n">
        <v>2.58562917121377</v>
      </c>
      <c r="D4" s="2" t="n">
        <v>3.37629586549974</v>
      </c>
      <c r="E4" s="2" t="n">
        <v>1.21592786255232</v>
      </c>
    </row>
    <row r="5" customFormat="false" ht="13.8" hidden="false" customHeight="false" outlineLevel="0" collapsed="false">
      <c r="B5" s="2" t="n">
        <v>3</v>
      </c>
      <c r="C5" s="2" t="n">
        <v>2.52428635195909</v>
      </c>
      <c r="D5" s="2" t="n">
        <v>3.37626210254108</v>
      </c>
      <c r="E5" s="2" t="n">
        <v>1.20036009216259</v>
      </c>
    </row>
    <row r="6" customFormat="false" ht="13.8" hidden="false" customHeight="false" outlineLevel="0" collapsed="false">
      <c r="B6" s="2" t="n">
        <v>4</v>
      </c>
      <c r="C6" s="2" t="n">
        <v>2.46518599798446</v>
      </c>
      <c r="D6" s="2" t="n">
        <v>3.33919130288302</v>
      </c>
      <c r="E6" s="2" t="n">
        <v>1.18923675522833</v>
      </c>
    </row>
    <row r="7" customFormat="false" ht="13.8" hidden="false" customHeight="false" outlineLevel="0" collapsed="false">
      <c r="B7" s="2" t="n">
        <v>5</v>
      </c>
      <c r="C7" s="2" t="n">
        <v>2.40488308686522</v>
      </c>
      <c r="D7" s="2" t="n">
        <v>3.22804679985888</v>
      </c>
      <c r="E7" s="2" t="n">
        <v>1.16255819619411</v>
      </c>
    </row>
    <row r="8" customFormat="false" ht="13.8" hidden="false" customHeight="false" outlineLevel="0" collapsed="false">
      <c r="B8" s="2" t="n">
        <v>6</v>
      </c>
      <c r="C8" s="2" t="n">
        <v>2.36071064914547</v>
      </c>
      <c r="D8" s="2" t="n">
        <v>3.11690340827977</v>
      </c>
      <c r="E8" s="2" t="n">
        <v>1.15032434838993</v>
      </c>
    </row>
    <row r="9" customFormat="false" ht="13.8" hidden="false" customHeight="false" outlineLevel="0" collapsed="false">
      <c r="B9" s="2" t="n">
        <v>7</v>
      </c>
      <c r="C9" s="2" t="n">
        <v>2.30064985685379</v>
      </c>
      <c r="D9" s="2" t="n">
        <v>3.00576112813458</v>
      </c>
      <c r="E9" s="2" t="n">
        <v>1.12364617847978</v>
      </c>
    </row>
    <row r="10" customFormat="false" ht="13.8" hidden="false" customHeight="false" outlineLevel="0" collapsed="false">
      <c r="B10" s="2" t="n">
        <v>8</v>
      </c>
      <c r="C10" s="2" t="n">
        <v>2.25494147998485</v>
      </c>
      <c r="D10" s="2" t="n">
        <v>2.89461995941219</v>
      </c>
      <c r="E10" s="2" t="n">
        <v>1.11141271979577</v>
      </c>
    </row>
    <row r="11" customFormat="false" ht="13.8" hidden="false" customHeight="false" outlineLevel="0" collapsed="false">
      <c r="B11" s="2" t="n">
        <v>9</v>
      </c>
      <c r="C11" s="2" t="n">
        <v>2.19352991205153</v>
      </c>
      <c r="D11" s="2" t="n">
        <v>2.78347990210148</v>
      </c>
      <c r="E11" s="2" t="n">
        <v>1.08473493900191</v>
      </c>
    </row>
    <row r="12" customFormat="false" ht="13.8" hidden="false" customHeight="false" outlineLevel="0" collapsed="false">
      <c r="B12" s="2" t="n">
        <v>10</v>
      </c>
      <c r="C12" s="2" t="n">
        <v>2.14900768045612</v>
      </c>
      <c r="D12" s="2" t="n">
        <v>2.67234095619135</v>
      </c>
      <c r="E12" s="2" t="n">
        <v>1.07250186943029</v>
      </c>
    </row>
    <row r="13" customFormat="false" ht="13.8" hidden="false" customHeight="false" outlineLevel="0" collapsed="false">
      <c r="B13" s="2" t="n">
        <v>11</v>
      </c>
      <c r="C13" s="2" t="n">
        <v>2.12546754223116</v>
      </c>
      <c r="D13" s="2" t="n">
        <v>2.56120312167067</v>
      </c>
      <c r="E13" s="2" t="n">
        <v>1.05767612589308</v>
      </c>
    </row>
    <row r="14" customFormat="false" ht="13.8" hidden="false" customHeight="false" outlineLevel="0" collapsed="false">
      <c r="B14" s="2" t="n">
        <v>12</v>
      </c>
      <c r="C14" s="2" t="n">
        <v>2.06811295422241</v>
      </c>
      <c r="D14" s="2" t="n">
        <v>2.45006639852835</v>
      </c>
      <c r="E14" s="2" t="n">
        <v>1.03914684542812</v>
      </c>
    </row>
    <row r="15" customFormat="false" ht="13.8" hidden="false" customHeight="false" outlineLevel="0" collapsed="false">
      <c r="B15" s="2" t="n">
        <v>13</v>
      </c>
      <c r="C15" s="2" t="n">
        <v>1.98692547679657</v>
      </c>
      <c r="D15" s="2" t="n">
        <v>2.33893078675325</v>
      </c>
      <c r="E15" s="2" t="n">
        <v>1.01969200951522</v>
      </c>
    </row>
    <row r="16" customFormat="false" ht="13.8" hidden="false" customHeight="false" outlineLevel="0" collapsed="false">
      <c r="B16" s="2" t="n">
        <v>14</v>
      </c>
      <c r="C16" s="2" t="n">
        <v>1.89360929272699</v>
      </c>
      <c r="D16" s="2" t="n">
        <v>2.22779628633427</v>
      </c>
      <c r="E16" s="2" t="n">
        <v>1.00394105333587</v>
      </c>
    </row>
    <row r="17" customFormat="false" ht="13.8" hidden="false" customHeight="false" outlineLevel="0" collapsed="false">
      <c r="B17" s="2" t="n">
        <v>15</v>
      </c>
      <c r="C17" s="2" t="n">
        <v>1.84101626404147</v>
      </c>
      <c r="D17" s="2" t="n">
        <v>2.1166628972603</v>
      </c>
      <c r="E17" s="2" t="n">
        <v>0.980875458369778</v>
      </c>
    </row>
    <row r="18" customFormat="false" ht="13.8" hidden="false" customHeight="false" outlineLevel="0" collapsed="false">
      <c r="B18" s="2" t="n">
        <v>16</v>
      </c>
      <c r="C18" s="2" t="n">
        <v>1.75555326128623</v>
      </c>
      <c r="D18" s="2" t="n">
        <v>2.00553061952021</v>
      </c>
      <c r="E18" s="2" t="n">
        <v>0.972439686652231</v>
      </c>
    </row>
    <row r="19" customFormat="false" ht="13.8" hidden="false" customHeight="false" outlineLevel="0" collapsed="false">
      <c r="B19" s="2" t="n">
        <v>17</v>
      </c>
      <c r="C19" s="2" t="n">
        <v>1.70753546501288</v>
      </c>
      <c r="D19" s="2" t="n">
        <v>1.89439945310291</v>
      </c>
      <c r="E19" s="2" t="n">
        <v>0.972429684477587</v>
      </c>
    </row>
    <row r="20" customFormat="false" ht="13.8" hidden="false" customHeight="false" outlineLevel="0" collapsed="false">
      <c r="B20" s="2" t="n">
        <v>18</v>
      </c>
      <c r="C20" s="2" t="n">
        <v>1.62655516743601</v>
      </c>
      <c r="D20" s="2" t="n">
        <v>1.78326939799727</v>
      </c>
      <c r="E20" s="2" t="n">
        <v>0.934919960180742</v>
      </c>
    </row>
    <row r="21" customFormat="false" ht="13.8" hidden="false" customHeight="false" outlineLevel="0" collapsed="false">
      <c r="B21" s="2" t="n">
        <v>19</v>
      </c>
      <c r="C21" s="2" t="n">
        <v>1.58100166114359</v>
      </c>
      <c r="D21" s="2" t="n">
        <v>1.67214045419217</v>
      </c>
      <c r="E21" s="2" t="n">
        <v>0.933521722092252</v>
      </c>
    </row>
    <row r="22" customFormat="false" ht="13.8" hidden="false" customHeight="false" outlineLevel="0" collapsed="false">
      <c r="B22" s="2" t="n">
        <v>20</v>
      </c>
      <c r="C22" s="2" t="n">
        <v>1.52133735112698</v>
      </c>
      <c r="D22" s="2" t="n">
        <v>1.56101262167652</v>
      </c>
      <c r="E22" s="2" t="n">
        <v>0.903882627615771</v>
      </c>
    </row>
    <row r="23" customFormat="false" ht="13.8" hidden="false" customHeight="false" outlineLevel="0" collapsed="false">
      <c r="B23" s="2" t="n">
        <v>21</v>
      </c>
      <c r="C23" s="2" t="n">
        <v>1.44987721182754</v>
      </c>
      <c r="D23" s="2" t="n">
        <v>1.44988590043919</v>
      </c>
      <c r="E23" s="2" t="n">
        <v>0.891651366567273</v>
      </c>
    </row>
    <row r="24" customFormat="false" ht="13.8" hidden="false" customHeight="false" outlineLevel="0" collapsed="false">
      <c r="B24" s="2" t="n">
        <v>22</v>
      </c>
      <c r="C24" s="2" t="n">
        <v>1.37196183059692</v>
      </c>
      <c r="D24" s="2" t="n">
        <v>1.44987140158019</v>
      </c>
      <c r="E24" s="2" t="n">
        <v>0.865245481302579</v>
      </c>
    </row>
    <row r="25" customFormat="false" ht="13.8" hidden="false" customHeight="false" outlineLevel="0" collapsed="false">
      <c r="B25" s="2" t="n">
        <v>23</v>
      </c>
      <c r="C25" s="2" t="n">
        <v>1.33003508680235</v>
      </c>
      <c r="D25" s="2" t="n">
        <v>1.44985690286617</v>
      </c>
      <c r="E25" s="2" t="n">
        <v>0.853554002456821</v>
      </c>
    </row>
    <row r="26" customFormat="false" ht="13.8" hidden="false" customHeight="false" outlineLevel="0" collapsed="false">
      <c r="B26" s="2" t="n">
        <v>24</v>
      </c>
      <c r="C26" s="2" t="n">
        <v>1.22428199092782</v>
      </c>
      <c r="D26" s="2" t="n">
        <v>1.44984240429714</v>
      </c>
      <c r="E26" s="2" t="n">
        <v>0.838798949552602</v>
      </c>
    </row>
    <row r="27" customFormat="false" ht="13.8" hidden="false" customHeight="false" outlineLevel="0" collapsed="false">
      <c r="B27" s="2" t="n">
        <v>25</v>
      </c>
      <c r="C27" s="2" t="n">
        <v>1.18324023679242</v>
      </c>
      <c r="D27" s="2" t="n">
        <v>1.4498279058731</v>
      </c>
      <c r="E27" s="2" t="n">
        <v>0.809591575447883</v>
      </c>
    </row>
    <row r="28" customFormat="false" ht="13.8" hidden="false" customHeight="false" outlineLevel="0" collapsed="false">
      <c r="B28" s="2" t="n">
        <v>26</v>
      </c>
      <c r="C28" s="2" t="n">
        <v>1.07810861930755</v>
      </c>
      <c r="D28" s="2" t="n">
        <v>1.44981340759404</v>
      </c>
      <c r="E28" s="2" t="n">
        <v>0.809583479532129</v>
      </c>
    </row>
    <row r="29" customFormat="false" ht="13.8" hidden="false" customHeight="false" outlineLevel="0" collapsed="false">
      <c r="B29" s="2" t="n">
        <v>27</v>
      </c>
      <c r="C29" s="2" t="n">
        <v>1.04655094711951</v>
      </c>
      <c r="D29" s="2" t="n">
        <v>1.44979890945997</v>
      </c>
      <c r="E29" s="2" t="n">
        <v>0.797777776138975</v>
      </c>
    </row>
    <row r="30" customFormat="false" ht="13.8" hidden="false" customHeight="false" outlineLevel="0" collapsed="false">
      <c r="B30" s="2" t="n">
        <v>28</v>
      </c>
      <c r="C30" s="2" t="n">
        <v>0.97761906566842</v>
      </c>
      <c r="D30" s="2" t="n">
        <v>1.44978441147087</v>
      </c>
      <c r="E30" s="2" t="n">
        <v>0.797769798361214</v>
      </c>
    </row>
    <row r="31" customFormat="false" ht="13.8" hidden="false" customHeight="false" outlineLevel="0" collapsed="false">
      <c r="B31" s="2" t="n">
        <v>29</v>
      </c>
      <c r="C31" s="2" t="n">
        <v>0.971704104402884</v>
      </c>
      <c r="D31" s="2" t="n">
        <v>1.44976991362676</v>
      </c>
      <c r="E31" s="2" t="n">
        <v>0.79776182066323</v>
      </c>
    </row>
    <row r="32" customFormat="false" ht="13.8" hidden="false" customHeight="false" outlineLevel="0" collapsed="false">
      <c r="B32" s="2" t="n">
        <v>30</v>
      </c>
      <c r="C32" s="2" t="n">
        <v>0.97169438736184</v>
      </c>
      <c r="D32" s="2" t="n">
        <v>1.44975541592762</v>
      </c>
      <c r="E32" s="2" t="n">
        <v>0.797753843045023</v>
      </c>
    </row>
    <row r="33" customFormat="false" ht="13.8" hidden="false" customHeight="false" outlineLevel="0" collapsed="false">
      <c r="B33" s="2" t="n">
        <v>31</v>
      </c>
      <c r="C33" s="2" t="n">
        <v>0.971684670417966</v>
      </c>
      <c r="D33" s="2" t="n">
        <v>1.44974091837346</v>
      </c>
      <c r="E33" s="2" t="n">
        <v>0.797745865506593</v>
      </c>
    </row>
    <row r="34" customFormat="false" ht="13.8" hidden="false" customHeight="false" outlineLevel="0" collapsed="false">
      <c r="B34" s="2" t="n">
        <v>32</v>
      </c>
      <c r="C34" s="2" t="n">
        <v>0.971674953571262</v>
      </c>
      <c r="D34" s="2" t="n">
        <v>1.44972642096428</v>
      </c>
      <c r="E34" s="2" t="n">
        <v>0.797737888047938</v>
      </c>
    </row>
    <row r="35" customFormat="false" ht="13.8" hidden="false" customHeight="false" outlineLevel="0" collapsed="false">
      <c r="B35" s="2" t="n">
        <v>33</v>
      </c>
      <c r="C35" s="2" t="n">
        <v>0.971665236821726</v>
      </c>
      <c r="D35" s="2" t="n">
        <v>1.44971192370007</v>
      </c>
      <c r="E35" s="2" t="n">
        <v>0.797729910669058</v>
      </c>
    </row>
    <row r="36" customFormat="false" ht="13.8" hidden="false" customHeight="false" outlineLevel="0" collapsed="false">
      <c r="B36" s="2" t="n">
        <v>34</v>
      </c>
      <c r="C36" s="2" t="n">
        <v>0.971655520169358</v>
      </c>
      <c r="D36" s="2" t="n">
        <v>1.44969742658083</v>
      </c>
      <c r="E36" s="2" t="n">
        <v>0.797721933369951</v>
      </c>
    </row>
    <row r="37" customFormat="false" ht="13.8" hidden="false" customHeight="false" outlineLevel="0" collapsed="false">
      <c r="B37" s="2" t="n">
        <v>35</v>
      </c>
      <c r="C37" s="2" t="n">
        <v>0.971645803614156</v>
      </c>
      <c r="D37" s="2" t="n">
        <v>1.44968292960657</v>
      </c>
      <c r="E37" s="2" t="n">
        <v>0.797713956150617</v>
      </c>
    </row>
    <row r="38" customFormat="false" ht="13.8" hidden="false" customHeight="false" outlineLevel="0" collapsed="false">
      <c r="B38" s="2" t="n">
        <v>36</v>
      </c>
      <c r="C38" s="2" t="n">
        <v>0.97163608715612</v>
      </c>
      <c r="D38" s="2" t="n">
        <v>1.44966843277727</v>
      </c>
      <c r="E38" s="2" t="n">
        <v>0.802827489966357</v>
      </c>
    </row>
    <row r="39" customFormat="false" ht="13.8" hidden="false" customHeight="false" outlineLevel="0" collapsed="false">
      <c r="B39" s="2" t="n">
        <v>37</v>
      </c>
      <c r="C39" s="2" t="n">
        <v>0.971626370795249</v>
      </c>
      <c r="D39" s="2" t="n">
        <v>1.44965393609294</v>
      </c>
      <c r="E39" s="2" t="n">
        <v>0.823854786771413</v>
      </c>
    </row>
    <row r="40" customFormat="false" ht="13.8" hidden="false" customHeight="false" outlineLevel="0" collapsed="false">
      <c r="B40" s="2" t="n">
        <v>38</v>
      </c>
      <c r="C40" s="2" t="n">
        <v>0.971616654531541</v>
      </c>
      <c r="D40" s="2" t="n">
        <v>1.44963943955358</v>
      </c>
      <c r="E40" s="2" t="n">
        <v>0.905957317546386</v>
      </c>
    </row>
    <row r="41" customFormat="false" ht="13.8" hidden="false" customHeight="false" outlineLevel="0" collapsed="false">
      <c r="B41" s="2" t="n">
        <v>39</v>
      </c>
      <c r="C41" s="2" t="n">
        <v>0.971606938364995</v>
      </c>
      <c r="D41" s="2" t="n">
        <v>1.44962494315919</v>
      </c>
      <c r="E41" s="2" t="n">
        <v>1.00389977268081</v>
      </c>
    </row>
    <row r="42" customFormat="false" ht="13.8" hidden="false" customHeight="false" outlineLevel="0" collapsed="false">
      <c r="B42" s="2" t="n">
        <v>40</v>
      </c>
      <c r="C42" s="2" t="n">
        <v>0.971597222295612</v>
      </c>
      <c r="D42" s="2" t="n">
        <v>1.44961044690975</v>
      </c>
      <c r="E42" s="2" t="n">
        <v>1.00388973368309</v>
      </c>
    </row>
    <row r="43" customFormat="false" ht="13.8" hidden="false" customHeight="false" outlineLevel="0" collapsed="false">
      <c r="B43" s="2" t="n">
        <v>41</v>
      </c>
      <c r="C43" s="2" t="n">
        <v>0.971587506323389</v>
      </c>
      <c r="D43" s="2" t="n">
        <v>1.44959595080529</v>
      </c>
      <c r="E43" s="2" t="n">
        <v>1.00387969478575</v>
      </c>
    </row>
    <row r="44" customFormat="false" ht="13.8" hidden="false" customHeight="false" outlineLevel="0" collapsed="false">
      <c r="B44" s="2" t="n">
        <v>42</v>
      </c>
      <c r="C44" s="2" t="n">
        <v>0.971577790448326</v>
      </c>
      <c r="D44" s="2" t="n">
        <v>1.44958145484578</v>
      </c>
      <c r="E44" s="2" t="n">
        <v>1.0038696559888</v>
      </c>
    </row>
    <row r="45" customFormat="false" ht="13.8" hidden="false" customHeight="false" outlineLevel="0" collapsed="false">
      <c r="B45" s="2" t="n">
        <v>43</v>
      </c>
      <c r="C45" s="2" t="n">
        <v>0.971568074670421</v>
      </c>
      <c r="D45" s="2" t="n">
        <v>1.44956695903123</v>
      </c>
      <c r="E45" s="2" t="n">
        <v>1.00385961729224</v>
      </c>
    </row>
    <row r="46" customFormat="false" ht="13.8" hidden="false" customHeight="false" outlineLevel="0" collapsed="false">
      <c r="B46" s="2" t="n">
        <v>44</v>
      </c>
      <c r="C46" s="2" t="n">
        <v>0.971558358989674</v>
      </c>
      <c r="D46" s="2" t="n">
        <v>1.44955246336164</v>
      </c>
      <c r="E46" s="2" t="n">
        <v>1.00384957869607</v>
      </c>
    </row>
    <row r="47" customFormat="false" ht="13.8" hidden="false" customHeight="false" outlineLevel="0" collapsed="false">
      <c r="B47" s="2" t="n">
        <v>45</v>
      </c>
      <c r="C47" s="2" t="n">
        <v>0.971548643406084</v>
      </c>
      <c r="D47" s="2" t="n">
        <v>1.44953796783701</v>
      </c>
      <c r="E47" s="2" t="n">
        <v>1.00383954020028</v>
      </c>
    </row>
    <row r="48" customFormat="false" ht="13.8" hidden="false" customHeight="false" outlineLevel="0" collapsed="false">
      <c r="B48" s="2" t="n">
        <v>46</v>
      </c>
      <c r="C48" s="2" t="n">
        <v>0.97153892791965</v>
      </c>
      <c r="D48" s="2" t="n">
        <v>1.44952347245733</v>
      </c>
      <c r="E48" s="2" t="n">
        <v>1.00382950180488</v>
      </c>
    </row>
    <row r="49" customFormat="false" ht="13.8" hidden="false" customHeight="false" outlineLevel="0" collapsed="false">
      <c r="B49" s="2" t="n">
        <v>47</v>
      </c>
      <c r="C49" s="2" t="n">
        <v>0.971529212530371</v>
      </c>
      <c r="D49" s="2" t="n">
        <v>1.4495089772226</v>
      </c>
      <c r="E49" s="2" t="n">
        <v>1.00381946350986</v>
      </c>
    </row>
    <row r="50" customFormat="false" ht="13.8" hidden="false" customHeight="false" outlineLevel="0" collapsed="false">
      <c r="B50" s="2" t="n">
        <v>48</v>
      </c>
      <c r="C50" s="2" t="n">
        <v>0.971519497238246</v>
      </c>
      <c r="D50" s="2" t="n">
        <v>1.44949448213283</v>
      </c>
      <c r="E50" s="2" t="n">
        <v>1.00380942531523</v>
      </c>
    </row>
    <row r="51" customFormat="false" ht="13.8" hidden="false" customHeight="false" outlineLevel="0" collapsed="false">
      <c r="B51" s="2" t="n">
        <v>49</v>
      </c>
      <c r="C51" s="2" t="n">
        <v>0.971509782043274</v>
      </c>
      <c r="D51" s="2" t="n">
        <v>1.44947998718801</v>
      </c>
      <c r="E51" s="2" t="n">
        <v>1.00379938722098</v>
      </c>
    </row>
    <row r="52" customFormat="false" ht="13.8" hidden="false" customHeight="false" outlineLevel="0" collapsed="false">
      <c r="B52" s="2" t="n">
        <v>50</v>
      </c>
      <c r="C52" s="2" t="n">
        <v>0.971500066945453</v>
      </c>
      <c r="D52" s="2" t="n">
        <v>1.44946549238814</v>
      </c>
      <c r="E52" s="2" t="n">
        <v>1.0037893492271</v>
      </c>
    </row>
    <row r="53" customFormat="false" ht="13.8" hidden="false" customHeight="false" outlineLevel="0" collapsed="false">
      <c r="B53" s="2" t="n">
        <v>51</v>
      </c>
      <c r="C53" s="2" t="n">
        <v>0.971490351944784</v>
      </c>
      <c r="D53" s="2" t="n">
        <v>1.44945099773321</v>
      </c>
      <c r="E53" s="2" t="n">
        <v>1.00377931133361</v>
      </c>
    </row>
    <row r="54" customFormat="false" ht="13.8" hidden="false" customHeight="false" outlineLevel="0" collapsed="false">
      <c r="B54" s="2" t="n">
        <v>52</v>
      </c>
      <c r="C54" s="2" t="n">
        <v>1.16066638376332</v>
      </c>
      <c r="D54" s="2" t="n">
        <v>1.69412733838155</v>
      </c>
      <c r="E54" s="2" t="n">
        <v>1.11349733567243</v>
      </c>
    </row>
    <row r="55" customFormat="false" ht="13.8" hidden="false" customHeight="false" outlineLevel="0" collapsed="false">
      <c r="B55" s="2" t="n">
        <v>53</v>
      </c>
      <c r="C55" s="2" t="n">
        <v>1.45140321989885</v>
      </c>
      <c r="D55" s="2" t="n">
        <v>2.01531643362686</v>
      </c>
      <c r="E55" s="2" t="n">
        <v>1.28379457054042</v>
      </c>
    </row>
    <row r="56" customFormat="false" ht="13.8" hidden="false" customHeight="false" outlineLevel="0" collapsed="false">
      <c r="B56" s="2" t="n">
        <v>54</v>
      </c>
      <c r="C56" s="2" t="n">
        <v>1.74225394316991</v>
      </c>
      <c r="D56" s="2" t="n">
        <v>2.32585222393258</v>
      </c>
      <c r="E56" s="2" t="n">
        <v>1.35567118609772</v>
      </c>
    </row>
    <row r="57" customFormat="false" ht="13.8" hidden="false" customHeight="false" outlineLevel="0" collapsed="false">
      <c r="B57" s="2" t="n">
        <v>55</v>
      </c>
      <c r="C57" s="2" t="n">
        <v>2.01529418243765</v>
      </c>
      <c r="D57" s="2" t="n">
        <v>2.62573481583176</v>
      </c>
      <c r="E57" s="2" t="n">
        <v>1.52915268655052</v>
      </c>
    </row>
    <row r="58" customFormat="false" ht="13.8" hidden="false" customHeight="false" outlineLevel="0" collapsed="false">
      <c r="B58" s="2" t="n">
        <v>56</v>
      </c>
      <c r="C58" s="2" t="n">
        <v>2.2822241758069</v>
      </c>
      <c r="D58" s="2" t="n">
        <v>2.91496431585638</v>
      </c>
      <c r="E58" s="2" t="n">
        <v>1.53128831083601</v>
      </c>
    </row>
    <row r="59" customFormat="false" ht="13.8" hidden="false" customHeight="false" outlineLevel="0" collapsed="false">
      <c r="B59" s="2" t="n">
        <v>57</v>
      </c>
      <c r="C59" s="2" t="n">
        <v>2.54949371438012</v>
      </c>
      <c r="D59" s="2" t="n">
        <v>3.19354083053737</v>
      </c>
      <c r="E59" s="2" t="n">
        <v>1.53571136148808</v>
      </c>
    </row>
    <row r="60" customFormat="false" ht="13.8" hidden="false" customHeight="false" outlineLevel="0" collapsed="false">
      <c r="B60" s="2" t="n">
        <v>58</v>
      </c>
      <c r="C60" s="2" t="n">
        <v>2.76270369778392</v>
      </c>
      <c r="D60" s="2" t="n">
        <v>3.44273959646011</v>
      </c>
      <c r="E60" s="2" t="n">
        <v>1.54600486704118</v>
      </c>
    </row>
    <row r="61" customFormat="false" ht="13.8" hidden="false" customHeight="false" outlineLevel="0" collapsed="false">
      <c r="B61" s="2" t="n">
        <v>59</v>
      </c>
      <c r="C61" s="2" t="n">
        <v>2.95462972661383</v>
      </c>
      <c r="D61" s="2" t="n">
        <v>3.6625609074021</v>
      </c>
      <c r="E61" s="2" t="n">
        <v>1.57050783255312</v>
      </c>
    </row>
    <row r="62" customFormat="false" ht="13.8" hidden="false" customHeight="false" outlineLevel="0" collapsed="false">
      <c r="B62" s="2" t="n">
        <v>60</v>
      </c>
      <c r="C62" s="2" t="n">
        <v>3.10187192370941</v>
      </c>
      <c r="D62" s="2" t="n">
        <v>3.85300505713789</v>
      </c>
      <c r="E62" s="2" t="n">
        <v>1.62900601938975</v>
      </c>
    </row>
    <row r="63" customFormat="false" ht="13.8" hidden="false" customHeight="false" outlineLevel="0" collapsed="false">
      <c r="B63" s="2" t="n">
        <v>61</v>
      </c>
      <c r="C63" s="2" t="n">
        <v>3.22783030090899</v>
      </c>
      <c r="D63" s="2" t="n">
        <v>4.01407233943909</v>
      </c>
      <c r="E63" s="2" t="n">
        <v>1.68721004522543</v>
      </c>
    </row>
    <row r="64" customFormat="false" ht="13.8" hidden="false" customHeight="false" outlineLevel="0" collapsed="false">
      <c r="B64" s="2" t="n">
        <v>62</v>
      </c>
      <c r="C64" s="2" t="n">
        <v>3.32442633991124</v>
      </c>
      <c r="D64" s="2" t="n">
        <v>4.16014319968907</v>
      </c>
      <c r="E64" s="2" t="n">
        <v>1.74257774461451</v>
      </c>
    </row>
    <row r="65" customFormat="false" ht="13.8" hidden="false" customHeight="false" outlineLevel="0" collapsed="false">
      <c r="B65" s="2" t="n">
        <v>63</v>
      </c>
      <c r="C65" s="2" t="n">
        <v>3.38293434142275</v>
      </c>
      <c r="D65" s="2" t="n">
        <v>4.29121778785205</v>
      </c>
      <c r="E65" s="2" t="n">
        <v>1.74256031883706</v>
      </c>
    </row>
    <row r="66" customFormat="false" ht="13.8" hidden="false" customHeight="false" outlineLevel="0" collapsed="false">
      <c r="B66" s="2" t="n">
        <v>64</v>
      </c>
      <c r="C66" s="2" t="n">
        <v>3.40481985983436</v>
      </c>
      <c r="D66" s="2" t="n">
        <v>4.40729625389075</v>
      </c>
      <c r="E66" s="2" t="n">
        <v>1.74254289323388</v>
      </c>
    </row>
    <row r="67" customFormat="false" ht="13.8" hidden="false" customHeight="false" outlineLevel="0" collapsed="false">
      <c r="B67" s="2" t="n">
        <v>65</v>
      </c>
      <c r="C67" s="2" t="n">
        <v>3.40703324637089</v>
      </c>
      <c r="D67" s="2" t="n">
        <v>4.50837874776639</v>
      </c>
      <c r="E67" s="2" t="n">
        <v>1.74252546780494</v>
      </c>
    </row>
    <row r="68" customFormat="false" ht="13.8" hidden="false" customHeight="false" outlineLevel="0" collapsed="false">
      <c r="B68" s="2" t="n">
        <v>66</v>
      </c>
      <c r="C68" s="2" t="n">
        <v>3.43679567290525</v>
      </c>
      <c r="D68" s="2" t="n">
        <v>4.59418755954551</v>
      </c>
      <c r="E68" s="2" t="n">
        <v>1.75248871607287</v>
      </c>
    </row>
    <row r="69" customFormat="false" ht="13.8" hidden="false" customHeight="false" outlineLevel="0" collapsed="false">
      <c r="B69" s="2" t="n">
        <v>67</v>
      </c>
      <c r="C69" s="2" t="n">
        <v>3.46110965221755</v>
      </c>
      <c r="D69" s="2" t="n">
        <v>4.66472284196493</v>
      </c>
      <c r="E69" s="2" t="n">
        <v>1.79155491496041</v>
      </c>
    </row>
    <row r="70" customFormat="false" ht="13.8" hidden="false" customHeight="false" outlineLevel="0" collapsed="false">
      <c r="B70" s="2" t="n">
        <v>68</v>
      </c>
      <c r="C70" s="2" t="n">
        <v>3.46107504112102</v>
      </c>
      <c r="D70" s="2" t="n">
        <v>4.67357198945796</v>
      </c>
      <c r="E70" s="2" t="n">
        <v>1.79153699941126</v>
      </c>
    </row>
    <row r="71" customFormat="false" ht="13.8" hidden="false" customHeight="false" outlineLevel="0" collapsed="false">
      <c r="B71" s="2" t="n">
        <v>69</v>
      </c>
      <c r="C71" s="2" t="n">
        <v>3.44875900823903</v>
      </c>
      <c r="D71" s="2" t="n">
        <v>4.67352525373807</v>
      </c>
      <c r="E71" s="2" t="n">
        <v>1.77327997420268</v>
      </c>
    </row>
    <row r="72" customFormat="false" ht="13.8" hidden="false" customHeight="false" outlineLevel="0" collapsed="false">
      <c r="B72" s="2" t="n">
        <v>70</v>
      </c>
      <c r="C72" s="2" t="n">
        <v>3.33834779647141</v>
      </c>
      <c r="D72" s="2" t="n">
        <v>4.67347851848553</v>
      </c>
      <c r="E72" s="2" t="n">
        <v>1.77171127956583</v>
      </c>
    </row>
    <row r="73" customFormat="false" ht="13.8" hidden="false" customHeight="false" outlineLevel="0" collapsed="false">
      <c r="B73" s="2" t="n">
        <v>71</v>
      </c>
      <c r="C73" s="2" t="n">
        <v>3.2982843963721</v>
      </c>
      <c r="D73" s="2" t="n">
        <v>4.67171323138828</v>
      </c>
      <c r="E73" s="2" t="n">
        <v>1.66382953207722</v>
      </c>
    </row>
    <row r="74" customFormat="false" ht="13.8" hidden="false" customHeight="false" outlineLevel="0" collapsed="false">
      <c r="B74" s="2" t="n">
        <v>72</v>
      </c>
      <c r="C74" s="2" t="n">
        <v>3.22990279410635</v>
      </c>
      <c r="D74" s="2" t="n">
        <v>4.67166651423785</v>
      </c>
      <c r="E74" s="2" t="n">
        <v>1.53571574132226</v>
      </c>
    </row>
    <row r="75" customFormat="false" ht="13.8" hidden="false" customHeight="false" outlineLevel="0" collapsed="false">
      <c r="B75" s="2" t="n">
        <v>73</v>
      </c>
      <c r="C75" s="2" t="n">
        <v>3.15144392100433</v>
      </c>
      <c r="D75" s="2" t="n">
        <v>4.67161979758163</v>
      </c>
      <c r="E75" s="2" t="n">
        <v>1.40884801379448</v>
      </c>
    </row>
    <row r="76" customFormat="false" ht="13.8" hidden="false" customHeight="false" outlineLevel="0" collapsed="false">
      <c r="B76" s="2" t="n">
        <v>74</v>
      </c>
      <c r="C76" s="2" t="n">
        <v>3.05483705471327</v>
      </c>
      <c r="D76" s="2" t="n">
        <v>4.67157308138366</v>
      </c>
      <c r="E76" s="2" t="n">
        <v>1.28438931420323</v>
      </c>
    </row>
    <row r="77" customFormat="false" ht="13.8" hidden="false" customHeight="false" outlineLevel="0" collapsed="false">
      <c r="B77" s="2" t="n">
        <v>75</v>
      </c>
      <c r="C77" s="2" t="n">
        <v>2.96832296930569</v>
      </c>
      <c r="D77" s="2" t="n">
        <v>4.67152636565284</v>
      </c>
      <c r="E77" s="2" t="n">
        <v>1.16715424808786</v>
      </c>
    </row>
    <row r="78" customFormat="false" ht="13.8" hidden="false" customHeight="false" outlineLevel="0" collapsed="false">
      <c r="B78" s="2" t="n">
        <v>76</v>
      </c>
      <c r="C78" s="2" t="n">
        <v>2.91779011940933</v>
      </c>
      <c r="D78" s="2" t="n">
        <v>4.67147965038919</v>
      </c>
      <c r="E78" s="2" t="n">
        <v>1.06492028024908</v>
      </c>
    </row>
    <row r="79" customFormat="false" ht="13.8" hidden="false" customHeight="false" outlineLevel="0" collapsed="false">
      <c r="B79" s="2" t="n">
        <v>77</v>
      </c>
      <c r="C79" s="2" t="n">
        <v>2.80379449706369</v>
      </c>
      <c r="D79" s="2" t="n">
        <v>4.67143293559244</v>
      </c>
      <c r="E79" s="2" t="n">
        <v>1.00324292734258</v>
      </c>
    </row>
    <row r="80" customFormat="false" ht="13.8" hidden="false" customHeight="false" outlineLevel="0" collapsed="false">
      <c r="B80" s="2" t="n">
        <v>78</v>
      </c>
      <c r="C80" s="2" t="n">
        <v>2.73187419985946</v>
      </c>
      <c r="D80" s="2" t="n">
        <v>4.63434918422629</v>
      </c>
      <c r="E80" s="2" t="n">
        <v>0.962121783802194</v>
      </c>
    </row>
    <row r="81" customFormat="false" ht="13.8" hidden="false" customHeight="false" outlineLevel="0" collapsed="false">
      <c r="B81" s="2" t="n">
        <v>79</v>
      </c>
      <c r="C81" s="2" t="n">
        <v>2.58573206630265</v>
      </c>
      <c r="D81" s="2" t="n">
        <v>4.52319172962334</v>
      </c>
      <c r="E81" s="2" t="n">
        <v>0.928223273695467</v>
      </c>
    </row>
    <row r="82" customFormat="false" ht="13.8" hidden="false" customHeight="false" outlineLevel="0" collapsed="false">
      <c r="B82" s="2" t="n">
        <v>80</v>
      </c>
      <c r="C82" s="2" t="n">
        <v>2.52923826453754</v>
      </c>
      <c r="D82" s="2" t="n">
        <v>4.41203538659493</v>
      </c>
      <c r="E82" s="2" t="n">
        <v>0.887102880351619</v>
      </c>
    </row>
    <row r="83" customFormat="false" ht="13.8" hidden="false" customHeight="false" outlineLevel="0" collapsed="false">
      <c r="B83" s="2" t="n">
        <v>81</v>
      </c>
      <c r="C83" s="2" t="n">
        <v>2.41028234252527</v>
      </c>
      <c r="D83" s="2" t="n">
        <v>4.30088015512996</v>
      </c>
      <c r="E83" s="2" t="n">
        <v>0.853205120433927</v>
      </c>
    </row>
    <row r="84" customFormat="false" ht="13.8" hidden="false" customHeight="false" outlineLevel="0" collapsed="false">
      <c r="B84" s="2" t="n">
        <v>82</v>
      </c>
      <c r="C84" s="2" t="n">
        <v>2.33945748044258</v>
      </c>
      <c r="D84" s="2" t="n">
        <v>4.18972603521729</v>
      </c>
      <c r="E84" s="2" t="n">
        <v>0.812085477271611</v>
      </c>
    </row>
    <row r="85" customFormat="false" ht="13.8" hidden="false" customHeight="false" outlineLevel="0" collapsed="false">
      <c r="B85" s="2" t="n">
        <v>83</v>
      </c>
      <c r="C85" s="2" t="n">
        <v>2.22881895623815</v>
      </c>
      <c r="D85" s="2" t="n">
        <v>4.07857302684583</v>
      </c>
      <c r="E85" s="2" t="n">
        <v>0.77818846752795</v>
      </c>
    </row>
    <row r="86" customFormat="false" ht="13.8" hidden="false" customHeight="false" outlineLevel="0" collapsed="false">
      <c r="B86" s="2" t="n">
        <v>84</v>
      </c>
      <c r="C86" s="2" t="n">
        <v>2.11120009397451</v>
      </c>
      <c r="D86" s="2" t="n">
        <v>3.96742113000445</v>
      </c>
      <c r="E86" s="2" t="n">
        <v>0.737069574532163</v>
      </c>
    </row>
    <row r="87" customFormat="false" ht="13.8" hidden="false" customHeight="false" outlineLevel="0" collapsed="false">
      <c r="B87" s="2" t="n">
        <v>85</v>
      </c>
      <c r="C87" s="2" t="n">
        <v>2.01093372271431</v>
      </c>
      <c r="D87" s="2" t="n">
        <v>3.85627034468204</v>
      </c>
      <c r="E87" s="2" t="n">
        <v>0.703173314947529</v>
      </c>
    </row>
    <row r="88" customFormat="false" ht="13.8" hidden="false" customHeight="false" outlineLevel="0" collapsed="false">
      <c r="B88" s="2" t="n">
        <v>86</v>
      </c>
      <c r="C88" s="2" t="n">
        <v>1.92420550226597</v>
      </c>
      <c r="D88" s="2" t="n">
        <v>3.74512067086748</v>
      </c>
      <c r="E88" s="2" t="n">
        <v>0.662055172103268</v>
      </c>
    </row>
    <row r="89" customFormat="false" ht="13.8" hidden="false" customHeight="false" outlineLevel="0" collapsed="false">
      <c r="B89" s="2" t="n">
        <v>87</v>
      </c>
      <c r="C89" s="2" t="n">
        <v>1.84399722317391</v>
      </c>
      <c r="D89" s="2" t="n">
        <v>3.63397210854966</v>
      </c>
      <c r="E89" s="2" t="n">
        <v>0.628159662662659</v>
      </c>
    </row>
    <row r="90" customFormat="false" ht="13.8" hidden="false" customHeight="false" outlineLevel="0" collapsed="false">
      <c r="B90" s="2" t="n">
        <v>88</v>
      </c>
      <c r="C90" s="2" t="n">
        <v>1.73877167209057</v>
      </c>
      <c r="D90" s="2" t="n">
        <v>3.52282465771747</v>
      </c>
      <c r="E90" s="2" t="n">
        <v>0.587042269954921</v>
      </c>
    </row>
    <row r="91" customFormat="false" ht="13.8" hidden="false" customHeight="false" outlineLevel="0" collapsed="false">
      <c r="B91" s="2" t="n">
        <v>89</v>
      </c>
      <c r="C91" s="2" t="n">
        <v>1.65095445104052</v>
      </c>
      <c r="D91" s="2" t="n">
        <v>3.41167831835978</v>
      </c>
      <c r="E91" s="2" t="n">
        <v>0.568332547680369</v>
      </c>
    </row>
    <row r="92" customFormat="false" ht="13.8" hidden="false" customHeight="false" outlineLevel="0" collapsed="false">
      <c r="B92" s="2" t="n">
        <v>90</v>
      </c>
      <c r="C92" s="2" t="n">
        <v>1.60424836742193</v>
      </c>
      <c r="D92" s="2" t="n">
        <v>3.30053309046548</v>
      </c>
      <c r="E92" s="2" t="n">
        <v>0.548882419910448</v>
      </c>
    </row>
    <row r="93" customFormat="false" ht="13.8" hidden="false" customHeight="false" outlineLevel="0" collapsed="false">
      <c r="B93" s="2" t="n">
        <v>91</v>
      </c>
      <c r="C93" s="2" t="n">
        <v>1.56200612123455</v>
      </c>
      <c r="D93" s="2" t="n">
        <v>3.18938897402347</v>
      </c>
      <c r="E93" s="2" t="n">
        <v>0.529432486641805</v>
      </c>
    </row>
    <row r="94" customFormat="false" ht="13.8" hidden="false" customHeight="false" outlineLevel="0" collapsed="false">
      <c r="B94" s="2" t="n">
        <v>92</v>
      </c>
      <c r="C94" s="2" t="n">
        <v>1.45180177895112</v>
      </c>
      <c r="D94" s="2" t="n">
        <v>3.07824596902262</v>
      </c>
      <c r="E94" s="2" t="n">
        <v>0.509982747872494</v>
      </c>
    </row>
    <row r="95" customFormat="false" ht="13.8" hidden="false" customHeight="false" outlineLevel="0" collapsed="false">
      <c r="B95" s="2" t="n">
        <v>93</v>
      </c>
      <c r="C95" s="2" t="n">
        <v>1.39200729797037</v>
      </c>
      <c r="D95" s="2" t="n">
        <v>2.96710407545182</v>
      </c>
      <c r="E95" s="2" t="n">
        <v>0.509421925822793</v>
      </c>
    </row>
    <row r="96" customFormat="false" ht="13.8" hidden="false" customHeight="false" outlineLevel="0" collapsed="false">
      <c r="B96" s="2" t="n">
        <v>94</v>
      </c>
      <c r="C96" s="2" t="n">
        <v>1.26900982234183</v>
      </c>
      <c r="D96" s="2" t="n">
        <v>2.85596329329995</v>
      </c>
      <c r="E96" s="2" t="n">
        <v>0.472287127899831</v>
      </c>
    </row>
    <row r="97" customFormat="false" ht="13.8" hidden="false" customHeight="false" outlineLevel="0" collapsed="false">
      <c r="B97" s="2" t="n">
        <v>95</v>
      </c>
      <c r="C97" s="2" t="n">
        <v>1.22449442853991</v>
      </c>
      <c r="D97" s="2" t="n">
        <v>2.74482362255591</v>
      </c>
      <c r="E97" s="2" t="n">
        <v>0.470893516139663</v>
      </c>
    </row>
    <row r="98" customFormat="false" ht="13.8" hidden="false" customHeight="false" outlineLevel="0" collapsed="false">
      <c r="B98" s="2" t="n">
        <v>96</v>
      </c>
      <c r="C98" s="2" t="n">
        <v>1.18512736878081</v>
      </c>
      <c r="D98" s="2" t="n">
        <v>2.64109247061598</v>
      </c>
      <c r="E98" s="2" t="n">
        <v>0.470518233130428</v>
      </c>
    </row>
    <row r="99" customFormat="false" ht="13.8" hidden="false" customHeight="false" outlineLevel="0" collapsed="false">
      <c r="B99" s="2" t="n">
        <v>97</v>
      </c>
      <c r="C99" s="2" t="n">
        <v>1.15064914713675</v>
      </c>
      <c r="D99" s="2" t="n">
        <v>2.52995494858016</v>
      </c>
      <c r="E99" s="2" t="n">
        <v>0.455698509429578</v>
      </c>
    </row>
    <row r="100" customFormat="false" ht="13.8" hidden="false" customHeight="false" outlineLevel="0" collapsed="false">
      <c r="B100" s="2" t="n">
        <v>98</v>
      </c>
      <c r="C100" s="2" t="n">
        <v>1.02776541842305</v>
      </c>
      <c r="D100" s="2" t="n">
        <v>2.41881853791956</v>
      </c>
      <c r="E100" s="2" t="n">
        <v>0.432638396888928</v>
      </c>
    </row>
    <row r="101" customFormat="false" ht="13.8" hidden="false" customHeight="false" outlineLevel="0" collapsed="false">
      <c r="B101" s="2" t="n">
        <v>99</v>
      </c>
      <c r="C101" s="2" t="n">
        <v>0.983586955583685</v>
      </c>
      <c r="D101" s="2" t="n">
        <v>2.30768323862307</v>
      </c>
      <c r="E101" s="2" t="n">
        <v>0.416800737171626</v>
      </c>
    </row>
    <row r="102" customFormat="false" ht="13.8" hidden="false" customHeight="false" outlineLevel="0" collapsed="false">
      <c r="B102" s="2" t="n">
        <v>100</v>
      </c>
      <c r="C102" s="2" t="n">
        <v>0.937335064158573</v>
      </c>
      <c r="D102" s="2" t="n">
        <v>2.19654905067958</v>
      </c>
      <c r="E102" s="2" t="n">
        <v>0.37225949509018</v>
      </c>
    </row>
    <row r="103" customFormat="false" ht="13.8" hidden="false" customHeight="false" outlineLevel="0" collapsed="false">
      <c r="B103" s="2" t="n">
        <v>101</v>
      </c>
      <c r="C103" s="2" t="n">
        <v>0.878455153770894</v>
      </c>
      <c r="D103" s="2" t="n">
        <v>2.08541597407796</v>
      </c>
      <c r="E103" s="2" t="n">
        <v>0.37086688360634</v>
      </c>
    </row>
    <row r="104" customFormat="false" ht="13.8" hidden="false" customHeight="false" outlineLevel="0" collapsed="false">
      <c r="B104" s="2" t="n">
        <v>102</v>
      </c>
      <c r="C104" s="2" t="n">
        <v>0.858797887737875</v>
      </c>
      <c r="D104" s="2" t="n">
        <v>1.97428400880711</v>
      </c>
      <c r="E104" s="2" t="n">
        <v>0.337159434196764</v>
      </c>
    </row>
    <row r="105" customFormat="false" ht="13.8" hidden="false" customHeight="false" outlineLevel="0" collapsed="false">
      <c r="B105" s="2" t="n">
        <v>103</v>
      </c>
      <c r="C105" s="2" t="n">
        <v>0.77308552198122</v>
      </c>
      <c r="D105" s="2" t="n">
        <v>1.86315315485591</v>
      </c>
      <c r="E105" s="2" t="n">
        <v>0.332156062602422</v>
      </c>
    </row>
    <row r="106" customFormat="false" ht="13.8" hidden="false" customHeight="false" outlineLevel="0" collapsed="false">
      <c r="B106" s="2" t="n">
        <v>104</v>
      </c>
      <c r="C106" s="2" t="n">
        <v>0.759688698533408</v>
      </c>
      <c r="D106" s="2" t="n">
        <v>1.75202341221325</v>
      </c>
      <c r="E106" s="2" t="n">
        <v>0.298263852152907</v>
      </c>
    </row>
    <row r="107" customFormat="false" ht="13.8" hidden="false" customHeight="false" outlineLevel="0" collapsed="false">
      <c r="B107" s="2" t="n">
        <v>105</v>
      </c>
      <c r="C107" s="2" t="n">
        <v>0.7044028794242</v>
      </c>
      <c r="D107" s="2" t="n">
        <v>1.64089478086801</v>
      </c>
      <c r="E107" s="2" t="n">
        <v>0.293260869514385</v>
      </c>
    </row>
    <row r="108" customFormat="false" ht="13.8" hidden="false" customHeight="false" outlineLevel="0" collapsed="false">
      <c r="B108" s="2" t="n">
        <v>106</v>
      </c>
      <c r="C108" s="2" t="n">
        <v>0.688932853913924</v>
      </c>
      <c r="D108" s="2" t="n">
        <v>1.52976726080909</v>
      </c>
      <c r="E108" s="2" t="n">
        <v>0.259369048016801</v>
      </c>
    </row>
    <row r="109" customFormat="false" ht="13.8" hidden="false" customHeight="false" outlineLevel="0" collapsed="false">
      <c r="B109" s="2" t="n">
        <v>107</v>
      </c>
      <c r="C109" s="2" t="n">
        <v>0.606092483103904</v>
      </c>
      <c r="D109" s="2" t="n">
        <v>1.41864085202537</v>
      </c>
      <c r="E109" s="2" t="n">
        <v>0.254366454326321</v>
      </c>
    </row>
    <row r="110" customFormat="false" ht="13.8" hidden="false" customHeight="false" outlineLevel="0" collapsed="false">
      <c r="B110" s="2" t="n">
        <v>108</v>
      </c>
      <c r="C110" s="2" t="n">
        <v>0.588123125882777</v>
      </c>
      <c r="D110" s="2" t="n">
        <v>1.30751555450574</v>
      </c>
      <c r="E110" s="2" t="n">
        <v>0.220475021772889</v>
      </c>
    </row>
    <row r="111" customFormat="false" ht="13.8" hidden="false" customHeight="false" outlineLevel="0" collapsed="false">
      <c r="B111" s="2" t="n">
        <v>109</v>
      </c>
      <c r="C111" s="2" t="n">
        <v>0.517005855762629</v>
      </c>
      <c r="D111" s="2" t="n">
        <v>1.19639136823909</v>
      </c>
      <c r="E111" s="2" t="n">
        <v>0.215472817022671</v>
      </c>
    </row>
    <row r="112" customFormat="false" ht="13.8" hidden="false" customHeight="false" outlineLevel="0" collapsed="false">
      <c r="B112" s="2" t="n">
        <v>110</v>
      </c>
      <c r="C112" s="2" t="n">
        <v>0.482130056074442</v>
      </c>
      <c r="D112" s="2" t="n">
        <v>1.08526829321429</v>
      </c>
      <c r="E112" s="2" t="n">
        <v>0.181581773405612</v>
      </c>
    </row>
    <row r="113" customFormat="false" ht="13.8" hidden="false" customHeight="false" outlineLevel="0" collapsed="false">
      <c r="B113" s="2" t="n">
        <v>111</v>
      </c>
      <c r="C113" s="2" t="n">
        <v>0.432254660699807</v>
      </c>
      <c r="D113" s="2" t="n">
        <v>0.97414632942025</v>
      </c>
      <c r="E113" s="2" t="n">
        <v>0.176579957587878</v>
      </c>
    </row>
    <row r="114" customFormat="false" ht="13.8" hidden="false" customHeight="false" outlineLevel="0" collapsed="false">
      <c r="B114" s="2" t="n">
        <v>112</v>
      </c>
      <c r="C114" s="2" t="n">
        <v>0.386990801116163</v>
      </c>
      <c r="D114" s="2" t="n">
        <v>0.863025476845845</v>
      </c>
      <c r="E114" s="2" t="n">
        <v>0.142689302899413</v>
      </c>
    </row>
    <row r="115" customFormat="false" ht="13.8" hidden="false" customHeight="false" outlineLevel="0" collapsed="false">
      <c r="B115" s="2" t="n">
        <v>113</v>
      </c>
      <c r="C115" s="2" t="n">
        <v>0.343653597874819</v>
      </c>
      <c r="D115" s="2" t="n">
        <v>0.751905735479965</v>
      </c>
      <c r="E115" s="2" t="n">
        <v>0.137687876006384</v>
      </c>
    </row>
    <row r="116" customFormat="false" ht="13.8" hidden="false" customHeight="false" outlineLevel="0" collapsed="false">
      <c r="B116" s="2" t="n">
        <v>114</v>
      </c>
      <c r="C116" s="2" t="n">
        <v>0.301372216894395</v>
      </c>
      <c r="D116" s="2" t="n">
        <v>0.640787105311499</v>
      </c>
      <c r="E116" s="2" t="n">
        <v>0.103797610238735</v>
      </c>
    </row>
    <row r="117" customFormat="false" ht="13.8" hidden="false" customHeight="false" outlineLevel="0" collapsed="false">
      <c r="B117" s="2" t="n">
        <v>115</v>
      </c>
      <c r="C117" s="2" t="n">
        <v>0.240443184653707</v>
      </c>
      <c r="D117" s="2" t="n">
        <v>0.529669586329335</v>
      </c>
      <c r="E117" s="2" t="n">
        <v>0.0987965722626329</v>
      </c>
    </row>
    <row r="118" customFormat="false" ht="13.8" hidden="false" customHeight="false" outlineLevel="0" collapsed="false">
      <c r="B118" s="2" t="n">
        <v>116</v>
      </c>
      <c r="C118" s="2" t="n">
        <v>0.215533280221861</v>
      </c>
      <c r="D118" s="2" t="n">
        <v>0.418553178522361</v>
      </c>
      <c r="E118" s="2" t="n">
        <v>0.0949064731857991</v>
      </c>
    </row>
    <row r="119" customFormat="false" ht="13.8" hidden="false" customHeight="false" outlineLevel="0" collapsed="false">
      <c r="B119" s="2" t="n">
        <v>117</v>
      </c>
      <c r="C119" s="2" t="n">
        <v>0.153919995259429</v>
      </c>
      <c r="D119" s="2" t="n">
        <v>0.307437881879465</v>
      </c>
      <c r="E119" s="2" t="n">
        <v>0.0610166352321783</v>
      </c>
    </row>
    <row r="120" customFormat="false" ht="13.8" hidden="false" customHeight="false" outlineLevel="0" collapsed="false">
      <c r="B120" s="2" t="n">
        <v>118</v>
      </c>
      <c r="C120" s="2" t="n">
        <v>0.1351354910722</v>
      </c>
      <c r="D120" s="2" t="n">
        <v>0.200640615364901</v>
      </c>
      <c r="E120" s="2" t="n">
        <v>0.0585166003579529</v>
      </c>
    </row>
    <row r="121" customFormat="false" ht="13.8" hidden="false" customHeight="false" outlineLevel="0" collapsed="false">
      <c r="B121" s="2" t="n">
        <v>119</v>
      </c>
      <c r="C121" s="2" t="n">
        <v>0.111179876409404</v>
      </c>
      <c r="D121" s="2" t="n">
        <v>0.0981613357984549</v>
      </c>
      <c r="E121" s="2" t="n">
        <v>0.0299059991095364</v>
      </c>
    </row>
    <row r="122" customFormat="false" ht="13.8" hidden="false" customHeight="false" outlineLevel="0" collapsed="false">
      <c r="B122" s="2" t="n">
        <v>120</v>
      </c>
      <c r="C122" s="2" t="n">
        <v>0.0461270363154785</v>
      </c>
      <c r="D122" s="2" t="n">
        <v>2.92811397667506E-012</v>
      </c>
      <c r="E122" s="2" t="n">
        <v>0</v>
      </c>
    </row>
    <row r="123" customFormat="false" ht="13.8" hidden="false" customHeight="false" outlineLevel="0" collapsed="false">
      <c r="B123" s="2" t="n">
        <v>121</v>
      </c>
      <c r="C123" s="2" t="n">
        <v>0.0461265750451976</v>
      </c>
      <c r="D123" s="2" t="n">
        <v>3.91284706080635E-013</v>
      </c>
      <c r="E123" s="2" t="n">
        <v>0.00366807486790385</v>
      </c>
    </row>
    <row r="124" customFormat="false" ht="13.8" hidden="false" customHeight="false" outlineLevel="0" collapsed="false">
      <c r="B124" s="2" t="n">
        <v>122</v>
      </c>
      <c r="C124" s="2" t="n">
        <v>0</v>
      </c>
      <c r="D124" s="2" t="n">
        <v>0</v>
      </c>
      <c r="E124" s="2" t="n">
        <v>0</v>
      </c>
    </row>
    <row r="125" customFormat="false" ht="13.8" hidden="false" customHeight="false" outlineLevel="0" collapsed="false">
      <c r="B125" s="2" t="n">
        <v>123</v>
      </c>
      <c r="C125" s="2" t="n">
        <v>6.17142169754373E-009</v>
      </c>
      <c r="D125" s="2" t="n">
        <v>1.23894832757006E-009</v>
      </c>
      <c r="E125" s="2" t="n">
        <v>0</v>
      </c>
    </row>
    <row r="126" customFormat="false" ht="13.8" hidden="false" customHeight="false" outlineLevel="0" collapsed="false">
      <c r="B126" s="2" t="n">
        <v>124</v>
      </c>
      <c r="C126" s="2" t="n">
        <v>0</v>
      </c>
      <c r="D126" s="2" t="n">
        <v>0</v>
      </c>
      <c r="E126" s="2" t="n">
        <v>0</v>
      </c>
    </row>
    <row r="127" customFormat="false" ht="13.8" hidden="false" customHeight="false" outlineLevel="0" collapsed="false">
      <c r="B127" s="2" t="n">
        <v>125</v>
      </c>
      <c r="C127" s="2" t="n">
        <v>0</v>
      </c>
      <c r="D127" s="2" t="n">
        <v>0</v>
      </c>
      <c r="E127" s="2" t="n">
        <v>0</v>
      </c>
    </row>
    <row r="128" customFormat="false" ht="13.8" hidden="false" customHeight="false" outlineLevel="0" collapsed="false">
      <c r="B128" s="2" t="n">
        <v>126</v>
      </c>
      <c r="C128" s="2" t="n">
        <v>0</v>
      </c>
      <c r="D128" s="2" t="n">
        <v>0</v>
      </c>
      <c r="E128" s="2" t="n">
        <v>0</v>
      </c>
    </row>
    <row r="129" customFormat="false" ht="13.8" hidden="false" customHeight="false" outlineLevel="0" collapsed="false">
      <c r="B129" s="2" t="n">
        <v>127</v>
      </c>
      <c r="C129" s="2" t="n">
        <v>0</v>
      </c>
      <c r="D129" s="2" t="n">
        <v>0</v>
      </c>
      <c r="E129" s="2" t="n">
        <v>0</v>
      </c>
    </row>
    <row r="130" customFormat="false" ht="13.8" hidden="false" customHeight="false" outlineLevel="0" collapsed="false">
      <c r="B130" s="2" t="n">
        <v>128</v>
      </c>
      <c r="C130" s="2" t="n">
        <v>0</v>
      </c>
      <c r="D130" s="2" t="n">
        <v>0</v>
      </c>
      <c r="E130" s="2" t="n">
        <v>0</v>
      </c>
    </row>
    <row r="131" customFormat="false" ht="13.8" hidden="false" customHeight="false" outlineLevel="0" collapsed="false">
      <c r="B131" s="2" t="n">
        <v>129</v>
      </c>
      <c r="C131" s="2" t="n">
        <v>0</v>
      </c>
      <c r="D131" s="2" t="n">
        <v>0</v>
      </c>
      <c r="E131" s="2" t="n">
        <v>0</v>
      </c>
    </row>
    <row r="132" customFormat="false" ht="13.8" hidden="false" customHeight="false" outlineLevel="0" collapsed="false">
      <c r="B132" s="2" t="n">
        <v>130</v>
      </c>
      <c r="C132" s="2" t="n">
        <v>0</v>
      </c>
      <c r="D132" s="2" t="n">
        <v>0</v>
      </c>
      <c r="E132" s="2" t="n">
        <v>0</v>
      </c>
    </row>
    <row r="133" customFormat="false" ht="13.8" hidden="false" customHeight="false" outlineLevel="0" collapsed="false">
      <c r="B133" s="2" t="n">
        <v>131</v>
      </c>
      <c r="C133" s="2" t="n">
        <v>0</v>
      </c>
      <c r="D133" s="2" t="n">
        <v>0</v>
      </c>
      <c r="E133" s="2" t="n">
        <v>0</v>
      </c>
    </row>
    <row r="134" customFormat="false" ht="13.8" hidden="false" customHeight="false" outlineLevel="0" collapsed="false">
      <c r="B134" s="2" t="n">
        <v>132</v>
      </c>
      <c r="C134" s="2" t="n">
        <v>0</v>
      </c>
      <c r="D134" s="2" t="n">
        <v>0</v>
      </c>
      <c r="E134" s="2" t="n">
        <v>0</v>
      </c>
    </row>
    <row r="135" customFormat="false" ht="13.8" hidden="false" customHeight="false" outlineLevel="0" collapsed="false">
      <c r="B135" s="2" t="n">
        <v>133</v>
      </c>
      <c r="C135" s="2" t="n">
        <v>0</v>
      </c>
      <c r="D135" s="2" t="n">
        <v>0</v>
      </c>
      <c r="E135" s="2" t="n">
        <v>0</v>
      </c>
    </row>
    <row r="136" customFormat="false" ht="13.8" hidden="false" customHeight="false" outlineLevel="0" collapsed="false">
      <c r="B136" s="2" t="n">
        <v>134</v>
      </c>
      <c r="C136" s="2" t="n">
        <v>0</v>
      </c>
      <c r="D136" s="2" t="n">
        <v>0</v>
      </c>
      <c r="E136" s="2" t="n">
        <v>0</v>
      </c>
    </row>
    <row r="137" customFormat="false" ht="13.8" hidden="false" customHeight="false" outlineLevel="0" collapsed="false">
      <c r="B137" s="2" t="n">
        <v>135</v>
      </c>
      <c r="C137" s="2" t="n">
        <v>0</v>
      </c>
      <c r="D137" s="2" t="n">
        <v>0</v>
      </c>
      <c r="E137" s="2" t="n">
        <v>0</v>
      </c>
    </row>
    <row r="138" customFormat="false" ht="13.8" hidden="false" customHeight="false" outlineLevel="0" collapsed="false">
      <c r="B138" s="2" t="n">
        <v>136</v>
      </c>
      <c r="C138" s="2" t="n">
        <v>0</v>
      </c>
      <c r="D138" s="2" t="n">
        <v>0</v>
      </c>
      <c r="E138" s="2" t="n">
        <v>0</v>
      </c>
    </row>
    <row r="139" customFormat="false" ht="13.8" hidden="false" customHeight="false" outlineLevel="0" collapsed="false">
      <c r="B139" s="2" t="n">
        <v>137</v>
      </c>
      <c r="C139" s="2" t="n">
        <v>0</v>
      </c>
      <c r="D139" s="2" t="n">
        <v>0</v>
      </c>
      <c r="E139" s="2" t="n">
        <v>0</v>
      </c>
    </row>
    <row r="140" customFormat="false" ht="13.8" hidden="false" customHeight="false" outlineLevel="0" collapsed="false">
      <c r="B140" s="2" t="n">
        <v>138</v>
      </c>
      <c r="C140" s="2" t="n">
        <v>0</v>
      </c>
      <c r="D140" s="2" t="n">
        <v>2.43708354363561E-010</v>
      </c>
      <c r="E140" s="2" t="n">
        <v>0</v>
      </c>
    </row>
    <row r="141" customFormat="false" ht="13.8" hidden="false" customHeight="false" outlineLevel="0" collapsed="false">
      <c r="B141" s="2" t="n">
        <v>139</v>
      </c>
      <c r="C141" s="2" t="n">
        <v>0</v>
      </c>
      <c r="D141" s="2" t="n">
        <v>0</v>
      </c>
      <c r="E141" s="2" t="n">
        <v>0</v>
      </c>
    </row>
    <row r="142" customFormat="false" ht="13.8" hidden="false" customHeight="false" outlineLevel="0" collapsed="false">
      <c r="B142" s="2" t="n">
        <v>140</v>
      </c>
      <c r="C142" s="2" t="n">
        <v>0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141</v>
      </c>
      <c r="C143" s="2" t="n">
        <v>0</v>
      </c>
      <c r="D143" s="2" t="n">
        <v>0</v>
      </c>
      <c r="E143" s="2" t="n">
        <v>1.06004371644811E-010</v>
      </c>
    </row>
    <row r="144" customFormat="false" ht="13.8" hidden="false" customHeight="false" outlineLevel="0" collapsed="false">
      <c r="B144" s="2" t="n">
        <v>142</v>
      </c>
      <c r="C144" s="2" t="n">
        <v>0</v>
      </c>
      <c r="D144" s="2" t="n">
        <v>1.90358487604705E-011</v>
      </c>
      <c r="E144" s="2" t="n">
        <v>9.77516783745553E-010</v>
      </c>
    </row>
    <row r="145" customFormat="false" ht="13.8" hidden="false" customHeight="false" outlineLevel="0" collapsed="false">
      <c r="B145" s="2" t="n">
        <v>143</v>
      </c>
      <c r="C145" s="2" t="n">
        <v>0</v>
      </c>
      <c r="D145" s="2" t="n">
        <v>1.36387562697587E-010</v>
      </c>
      <c r="E145" s="2" t="n">
        <v>2.85369587602892E-011</v>
      </c>
    </row>
    <row r="146" customFormat="false" ht="13.8" hidden="false" customHeight="false" outlineLevel="0" collapsed="false">
      <c r="B146" s="2" t="n">
        <v>144</v>
      </c>
      <c r="C146" s="2" t="n">
        <v>0</v>
      </c>
      <c r="D146" s="2" t="n">
        <v>0.0359479118034169</v>
      </c>
      <c r="E146" s="2" t="n">
        <v>0</v>
      </c>
    </row>
    <row r="147" customFormat="false" ht="13.8" hidden="false" customHeight="false" outlineLevel="0" collapsed="false">
      <c r="B147" s="2" t="n">
        <v>145</v>
      </c>
      <c r="C147" s="2" t="n">
        <v>3.48187651218354E-010</v>
      </c>
      <c r="D147" s="2" t="n">
        <v>0.365335157966867</v>
      </c>
      <c r="E147" s="2" t="n">
        <v>0</v>
      </c>
    </row>
    <row r="148" customFormat="false" ht="13.8" hidden="false" customHeight="false" outlineLevel="0" collapsed="false">
      <c r="B148" s="2" t="n">
        <v>146</v>
      </c>
      <c r="C148" s="2" t="n">
        <v>0.077000546041309</v>
      </c>
      <c r="D148" s="2" t="n">
        <v>0.711747011442701</v>
      </c>
      <c r="E148" s="2" t="n">
        <v>0.0134704045007286</v>
      </c>
    </row>
    <row r="149" customFormat="false" ht="13.8" hidden="false" customHeight="false" outlineLevel="0" collapsed="false">
      <c r="B149" s="2" t="n">
        <v>147</v>
      </c>
      <c r="C149" s="2" t="n">
        <v>0.419721590258406</v>
      </c>
      <c r="D149" s="2" t="n">
        <v>1.05236966016707</v>
      </c>
      <c r="E149" s="2" t="n">
        <v>0.0293480043777885</v>
      </c>
    </row>
    <row r="150" customFormat="false" ht="13.8" hidden="false" customHeight="false" outlineLevel="0" collapsed="false">
      <c r="B150" s="2" t="n">
        <v>148</v>
      </c>
      <c r="C150" s="2" t="n">
        <v>0.708633684843983</v>
      </c>
      <c r="D150" s="2" t="n">
        <v>1.38720316203203</v>
      </c>
      <c r="E150" s="2" t="n">
        <v>0.0659206405625431</v>
      </c>
    </row>
    <row r="151" customFormat="false" ht="13.8" hidden="false" customHeight="false" outlineLevel="0" collapsed="false">
      <c r="B151" s="2" t="n">
        <v>149</v>
      </c>
      <c r="C151" s="2" t="n">
        <v>1.03228158788754</v>
      </c>
      <c r="D151" s="2" t="n">
        <v>1.71624757492904</v>
      </c>
      <c r="E151" s="2" t="n">
        <v>0.229643972646545</v>
      </c>
    </row>
    <row r="152" customFormat="false" ht="13.8" hidden="false" customHeight="false" outlineLevel="0" collapsed="false">
      <c r="B152" s="2" t="n">
        <v>150</v>
      </c>
      <c r="C152" s="2" t="n">
        <v>1.30157436233359</v>
      </c>
      <c r="D152" s="2" t="n">
        <v>2.03324569629733</v>
      </c>
      <c r="E152" s="2" t="n">
        <v>0.376054530534342</v>
      </c>
    </row>
    <row r="153" customFormat="false" ht="13.8" hidden="false" customHeight="false" outlineLevel="0" collapsed="false">
      <c r="B153" s="2" t="n">
        <v>151</v>
      </c>
      <c r="C153" s="2" t="n">
        <v>1.60156256673343</v>
      </c>
      <c r="D153" s="2" t="n">
        <v>2.33819764659981</v>
      </c>
      <c r="E153" s="2" t="n">
        <v>0.527759666333246</v>
      </c>
    </row>
    <row r="154" customFormat="false" ht="13.8" hidden="false" customHeight="false" outlineLevel="0" collapsed="false">
      <c r="B154" s="2" t="n">
        <v>152</v>
      </c>
      <c r="C154" s="2" t="n">
        <v>1.83995129913276</v>
      </c>
      <c r="D154" s="2" t="n">
        <v>2.63110354629819</v>
      </c>
      <c r="E154" s="2" t="n">
        <v>0.661015920313197</v>
      </c>
    </row>
    <row r="155" customFormat="false" ht="13.8" hidden="false" customHeight="false" outlineLevel="0" collapsed="false">
      <c r="B155" s="2" t="n">
        <v>153</v>
      </c>
      <c r="C155" s="2" t="n">
        <v>2.1266611155263</v>
      </c>
      <c r="D155" s="2" t="n">
        <v>2.91196351585298</v>
      </c>
      <c r="E155" s="2" t="n">
        <v>0.798829014746362</v>
      </c>
    </row>
    <row r="156" customFormat="false" ht="13.8" hidden="false" customHeight="false" outlineLevel="0" collapsed="false">
      <c r="B156" s="2" t="n">
        <v>154</v>
      </c>
      <c r="C156" s="2" t="n">
        <v>2.35887336175155</v>
      </c>
      <c r="D156" s="2" t="n">
        <v>3.1706039139203</v>
      </c>
      <c r="E156" s="2" t="n">
        <v>0.940716780478198</v>
      </c>
    </row>
    <row r="157" customFormat="false" ht="13.8" hidden="false" customHeight="false" outlineLevel="0" collapsed="false">
      <c r="B157" s="2" t="n">
        <v>155</v>
      </c>
      <c r="C157" s="2" t="n">
        <v>2.55728861278421</v>
      </c>
      <c r="D157" s="2" t="n">
        <v>3.40702496269587</v>
      </c>
      <c r="E157" s="2" t="n">
        <v>1.03177218020284</v>
      </c>
    </row>
    <row r="158" customFormat="false" ht="13.8" hidden="false" customHeight="false" outlineLevel="0" collapsed="false">
      <c r="B158" s="2" t="n">
        <v>156</v>
      </c>
      <c r="C158" s="2" t="n">
        <v>2.73930695159423</v>
      </c>
      <c r="D158" s="2" t="n">
        <v>3.62122688437317</v>
      </c>
      <c r="E158" s="2" t="n">
        <v>1.13926747459608</v>
      </c>
    </row>
    <row r="159" customFormat="false" ht="13.8" hidden="false" customHeight="false" outlineLevel="0" collapsed="false">
      <c r="B159" s="2" t="n">
        <v>157</v>
      </c>
      <c r="C159" s="2" t="n">
        <v>2.89120367715074</v>
      </c>
      <c r="D159" s="2" t="n">
        <v>3.81320990114347</v>
      </c>
      <c r="E159" s="2" t="n">
        <v>1.13925608192134</v>
      </c>
    </row>
    <row r="160" customFormat="false" ht="13.8" hidden="false" customHeight="false" outlineLevel="0" collapsed="false">
      <c r="B160" s="2" t="n">
        <v>158</v>
      </c>
      <c r="C160" s="2" t="n">
        <v>3.00225631052934</v>
      </c>
      <c r="D160" s="2" t="n">
        <v>3.98965610405569</v>
      </c>
      <c r="E160" s="2" t="n">
        <v>1.13924468936052</v>
      </c>
    </row>
    <row r="161" customFormat="false" ht="13.8" hidden="false" customHeight="false" outlineLevel="0" collapsed="false">
      <c r="B161" s="2" t="n">
        <v>159</v>
      </c>
      <c r="C161" s="2" t="n">
        <v>3.13719018517097</v>
      </c>
      <c r="D161" s="2" t="n">
        <v>4.15056564847797</v>
      </c>
      <c r="E161" s="2" t="n">
        <v>1.13923329691362</v>
      </c>
    </row>
    <row r="162" customFormat="false" ht="13.8" hidden="false" customHeight="false" outlineLevel="0" collapsed="false">
      <c r="B162" s="2" t="n">
        <v>160</v>
      </c>
      <c r="C162" s="2" t="n">
        <v>3.21920521226319</v>
      </c>
      <c r="D162" s="2" t="n">
        <v>4.29593868977688</v>
      </c>
      <c r="E162" s="2" t="n">
        <v>1.13922190458065</v>
      </c>
    </row>
    <row r="163" customFormat="false" ht="13.8" hidden="false" customHeight="false" outlineLevel="0" collapsed="false">
      <c r="B163" s="2" t="n">
        <v>161</v>
      </c>
      <c r="C163" s="2" t="n">
        <v>3.3307268159945</v>
      </c>
      <c r="D163" s="2" t="n">
        <v>4.42577538331747</v>
      </c>
      <c r="E163" s="2" t="n">
        <v>1.13921051236164</v>
      </c>
    </row>
    <row r="164" customFormat="false" ht="13.8" hidden="false" customHeight="false" outlineLevel="0" collapsed="false">
      <c r="B164" s="2" t="n">
        <v>162</v>
      </c>
      <c r="C164" s="2" t="n">
        <v>3.33639334829498</v>
      </c>
      <c r="D164" s="2" t="n">
        <v>4.51320400990259</v>
      </c>
      <c r="E164" s="2" t="n">
        <v>1.13919912025649</v>
      </c>
    </row>
    <row r="165" customFormat="false" ht="13.8" hidden="false" customHeight="false" outlineLevel="0" collapsed="false">
      <c r="B165" s="2" t="n">
        <v>163</v>
      </c>
      <c r="C165" s="2" t="n">
        <v>3.34131814321923</v>
      </c>
      <c r="D165" s="2" t="n">
        <v>4.55747527488353</v>
      </c>
      <c r="E165" s="2" t="n">
        <v>1.13918772826529</v>
      </c>
    </row>
    <row r="166" customFormat="false" ht="13.8" hidden="false" customHeight="false" outlineLevel="0" collapsed="false">
      <c r="B166" s="2" t="n">
        <v>164</v>
      </c>
      <c r="C166" s="2" t="n">
        <v>3.3412847300378</v>
      </c>
      <c r="D166" s="2" t="n">
        <v>4.55742970013079</v>
      </c>
      <c r="E166" s="2" t="n">
        <v>1.10946192632621</v>
      </c>
    </row>
    <row r="167" customFormat="false" ht="13.8" hidden="false" customHeight="false" outlineLevel="0" collapsed="false">
      <c r="B167" s="2" t="n">
        <v>165</v>
      </c>
      <c r="C167" s="2" t="n">
        <v>3.3412513171905</v>
      </c>
      <c r="D167" s="2" t="n">
        <v>4.5796121056549</v>
      </c>
      <c r="E167" s="2" t="n">
        <v>1.10945083170694</v>
      </c>
    </row>
    <row r="168" customFormat="false" ht="13.8" hidden="false" customHeight="false" outlineLevel="0" collapsed="false">
      <c r="B168" s="2" t="n">
        <v>166</v>
      </c>
      <c r="C168" s="2" t="n">
        <v>3.34121790467732</v>
      </c>
      <c r="D168" s="2" t="n">
        <v>4.57956630953384</v>
      </c>
      <c r="E168" s="2" t="n">
        <v>1.10532914047165</v>
      </c>
    </row>
    <row r="169" customFormat="false" ht="13.8" hidden="false" customHeight="false" outlineLevel="0" collapsed="false">
      <c r="B169" s="2" t="n">
        <v>167</v>
      </c>
      <c r="C169" s="2" t="n">
        <v>3.34118449249828</v>
      </c>
      <c r="D169" s="2" t="n">
        <v>4.57952051387075</v>
      </c>
      <c r="E169" s="2" t="n">
        <v>1.08278405444097</v>
      </c>
    </row>
    <row r="170" customFormat="false" ht="13.8" hidden="false" customHeight="false" outlineLevel="0" collapsed="false">
      <c r="B170" s="2" t="n">
        <v>168</v>
      </c>
      <c r="C170" s="2" t="n">
        <v>3.27791229410817</v>
      </c>
      <c r="D170" s="2" t="n">
        <v>4.57947471866561</v>
      </c>
      <c r="E170" s="2" t="n">
        <v>1.03805548883846</v>
      </c>
    </row>
    <row r="171" customFormat="false" ht="13.8" hidden="false" customHeight="false" outlineLevel="0" collapsed="false">
      <c r="B171" s="2" t="n">
        <v>169</v>
      </c>
      <c r="C171" s="2" t="n">
        <v>3.21625004718837</v>
      </c>
      <c r="D171" s="2" t="n">
        <v>4.57942892391842</v>
      </c>
      <c r="E171" s="2" t="n">
        <v>1.01061015279802</v>
      </c>
    </row>
    <row r="172" customFormat="false" ht="13.8" hidden="false" customHeight="false" outlineLevel="0" collapsed="false">
      <c r="B172" s="2" t="n">
        <v>170</v>
      </c>
      <c r="C172" s="2" t="n">
        <v>3.11124479309951</v>
      </c>
      <c r="D172" s="2" t="n">
        <v>4.57938312962918</v>
      </c>
      <c r="E172" s="2" t="n">
        <v>1.010514621749</v>
      </c>
    </row>
    <row r="173" customFormat="false" ht="13.8" hidden="false" customHeight="false" outlineLevel="0" collapsed="false">
      <c r="B173" s="2" t="n">
        <v>171</v>
      </c>
      <c r="C173" s="2" t="n">
        <v>3.06208710789926</v>
      </c>
      <c r="D173" s="2" t="n">
        <v>4.57933733579789</v>
      </c>
      <c r="E173" s="2" t="n">
        <v>1.01050451660278</v>
      </c>
    </row>
    <row r="174" customFormat="false" ht="13.8" hidden="false" customHeight="false" outlineLevel="0" collapsed="false">
      <c r="B174" s="2" t="n">
        <v>172</v>
      </c>
      <c r="C174" s="2" t="n">
        <v>2.98228514785675</v>
      </c>
      <c r="D174" s="2" t="n">
        <v>4.57929154242453</v>
      </c>
      <c r="E174" s="2" t="n">
        <v>0.991052547686226</v>
      </c>
    </row>
    <row r="175" customFormat="false" ht="13.8" hidden="false" customHeight="false" outlineLevel="0" collapsed="false">
      <c r="B175" s="2" t="n">
        <v>173</v>
      </c>
      <c r="C175" s="2" t="n">
        <v>2.9010106583386</v>
      </c>
      <c r="D175" s="2" t="n">
        <v>4.5792457495091</v>
      </c>
      <c r="E175" s="2" t="n">
        <v>0.935487081605194</v>
      </c>
    </row>
    <row r="176" customFormat="false" ht="13.8" hidden="false" customHeight="false" outlineLevel="0" collapsed="false">
      <c r="B176" s="2" t="n">
        <v>174</v>
      </c>
      <c r="C176" s="2" t="n">
        <v>2.78732951860239</v>
      </c>
      <c r="D176" s="2" t="n">
        <v>4.49771847557013</v>
      </c>
      <c r="E176" s="2" t="n">
        <v>0.916033282289933</v>
      </c>
    </row>
    <row r="177" customFormat="false" ht="13.8" hidden="false" customHeight="false" outlineLevel="0" collapsed="false">
      <c r="B177" s="2" t="n">
        <v>175</v>
      </c>
      <c r="C177" s="2" t="n">
        <v>2.70318588604794</v>
      </c>
      <c r="D177" s="2" t="n">
        <v>4.38656238727426</v>
      </c>
      <c r="E177" s="2" t="n">
        <v>0.860468566401555</v>
      </c>
    </row>
    <row r="178" customFormat="false" ht="13.8" hidden="false" customHeight="false" outlineLevel="0" collapsed="false">
      <c r="B178" s="2" t="n">
        <v>176</v>
      </c>
      <c r="C178" s="2" t="n">
        <v>2.58411790974464</v>
      </c>
      <c r="D178" s="2" t="n">
        <v>4.27540741053928</v>
      </c>
      <c r="E178" s="2" t="n">
        <v>0.860459683938114</v>
      </c>
    </row>
    <row r="179" customFormat="false" ht="13.8" hidden="false" customHeight="false" outlineLevel="0" collapsed="false">
      <c r="B179" s="2" t="n">
        <v>177</v>
      </c>
      <c r="C179" s="2" t="n">
        <v>2.48443938338036</v>
      </c>
      <c r="D179" s="2" t="n">
        <v>4.16425354535406</v>
      </c>
      <c r="E179" s="2" t="n">
        <v>0.823228801563497</v>
      </c>
    </row>
    <row r="180" customFormat="false" ht="13.8" hidden="false" customHeight="false" outlineLevel="0" collapsed="false">
      <c r="B180" s="2" t="n">
        <v>178</v>
      </c>
      <c r="C180" s="2" t="n">
        <v>2.36390959454208</v>
      </c>
      <c r="D180" s="2" t="n">
        <v>4.0531007917075</v>
      </c>
      <c r="E180" s="2" t="n">
        <v>0.821831680386592</v>
      </c>
    </row>
    <row r="181" customFormat="false" ht="13.8" hidden="false" customHeight="false" outlineLevel="0" collapsed="false">
      <c r="B181" s="2" t="n">
        <v>179</v>
      </c>
      <c r="C181" s="2" t="n">
        <v>2.26704777026095</v>
      </c>
      <c r="D181" s="2" t="n">
        <v>3.94194914958847</v>
      </c>
      <c r="E181" s="2" t="n">
        <v>0.784323462069789</v>
      </c>
    </row>
    <row r="182" customFormat="false" ht="13.8" hidden="false" customHeight="false" outlineLevel="0" collapsed="false">
      <c r="B182" s="2" t="n">
        <v>180</v>
      </c>
      <c r="C182" s="2" t="n">
        <v>2.15933500719065</v>
      </c>
      <c r="D182" s="2" t="n">
        <v>3.83079861898586</v>
      </c>
      <c r="E182" s="2" t="n">
        <v>0.782926729946279</v>
      </c>
    </row>
    <row r="183" customFormat="false" ht="13.8" hidden="false" customHeight="false" outlineLevel="0" collapsed="false">
      <c r="B183" s="2" t="n">
        <v>181</v>
      </c>
      <c r="C183" s="2" t="n">
        <v>2.07377189532206</v>
      </c>
      <c r="D183" s="2" t="n">
        <v>3.71964919988856</v>
      </c>
      <c r="E183" s="2" t="n">
        <v>0.74541890067898</v>
      </c>
    </row>
    <row r="184" customFormat="false" ht="13.8" hidden="false" customHeight="false" outlineLevel="0" collapsed="false">
      <c r="B184" s="2" t="n">
        <v>182</v>
      </c>
      <c r="C184" s="2" t="n">
        <v>1.98967280575126</v>
      </c>
      <c r="D184" s="2" t="n">
        <v>3.60850089228545</v>
      </c>
      <c r="E184" s="2" t="n">
        <v>0.719392798341826</v>
      </c>
    </row>
    <row r="185" customFormat="false" ht="13.8" hidden="false" customHeight="false" outlineLevel="0" collapsed="false">
      <c r="B185" s="2" t="n">
        <v>183</v>
      </c>
      <c r="C185" s="2" t="n">
        <v>1.91988989050468</v>
      </c>
      <c r="D185" s="2" t="n">
        <v>3.49735369616542</v>
      </c>
      <c r="E185" s="2" t="n">
        <v>0.70716338219162</v>
      </c>
    </row>
    <row r="186" customFormat="false" ht="13.8" hidden="false" customHeight="false" outlineLevel="0" collapsed="false">
      <c r="B186" s="2" t="n">
        <v>184</v>
      </c>
      <c r="C186" s="2" t="n">
        <v>1.87071813605022</v>
      </c>
      <c r="D186" s="2" t="n">
        <v>3.38620761151735</v>
      </c>
      <c r="E186" s="2" t="n">
        <v>0.691600699446687</v>
      </c>
    </row>
    <row r="187" customFormat="false" ht="13.8" hidden="false" customHeight="false" outlineLevel="0" collapsed="false">
      <c r="B187" s="2" t="n">
        <v>185</v>
      </c>
      <c r="C187" s="2" t="n">
        <v>1.75073211405405</v>
      </c>
      <c r="D187" s="2" t="n">
        <v>3.27506263833012</v>
      </c>
      <c r="E187" s="2" t="n">
        <v>0.654371505661915</v>
      </c>
    </row>
    <row r="188" customFormat="false" ht="13.8" hidden="false" customHeight="false" outlineLevel="0" collapsed="false">
      <c r="B188" s="2" t="n">
        <v>186</v>
      </c>
      <c r="C188" s="2" t="n">
        <v>1.69678401414031</v>
      </c>
      <c r="D188" s="2" t="n">
        <v>3.16391877659263</v>
      </c>
      <c r="E188" s="2" t="n">
        <v>0.65297607305797</v>
      </c>
    </row>
    <row r="189" customFormat="false" ht="13.8" hidden="false" customHeight="false" outlineLevel="0" collapsed="false">
      <c r="B189" s="2" t="n">
        <v>187</v>
      </c>
      <c r="C189" s="2" t="n">
        <v>1.61481893518906</v>
      </c>
      <c r="D189" s="2" t="n">
        <v>3.05277602629375</v>
      </c>
      <c r="E189" s="2" t="n">
        <v>0.61546954329724</v>
      </c>
    </row>
    <row r="190" customFormat="false" ht="13.8" hidden="false" customHeight="false" outlineLevel="0" collapsed="false">
      <c r="B190" s="2" t="n">
        <v>188</v>
      </c>
      <c r="C190" s="2" t="n">
        <v>1.50942904625897</v>
      </c>
      <c r="D190" s="2" t="n">
        <v>2.94163438742237</v>
      </c>
      <c r="E190" s="2" t="n">
        <v>0.614074499712918</v>
      </c>
    </row>
    <row r="191" customFormat="false" ht="13.8" hidden="false" customHeight="false" outlineLevel="0" collapsed="false">
      <c r="B191" s="2" t="n">
        <v>189</v>
      </c>
      <c r="C191" s="2" t="n">
        <v>1.43313280382036</v>
      </c>
      <c r="D191" s="2" t="n">
        <v>2.83049385996739</v>
      </c>
      <c r="E191" s="2" t="n">
        <v>0.576660933041995</v>
      </c>
    </row>
    <row r="192" customFormat="false" ht="13.8" hidden="false" customHeight="false" outlineLevel="0" collapsed="false">
      <c r="B192" s="2" t="n">
        <v>190</v>
      </c>
      <c r="C192" s="2" t="n">
        <v>1.36742952804788</v>
      </c>
      <c r="D192" s="2" t="n">
        <v>2.71935444391768</v>
      </c>
      <c r="E192" s="2" t="n">
        <v>0.539618036803036</v>
      </c>
    </row>
    <row r="193" customFormat="false" ht="13.8" hidden="false" customHeight="false" outlineLevel="0" collapsed="false">
      <c r="B193" s="2" t="n">
        <v>191</v>
      </c>
      <c r="C193" s="2" t="n">
        <v>1.34678381671556</v>
      </c>
      <c r="D193" s="2" t="n">
        <v>2.63043836148435</v>
      </c>
      <c r="E193" s="2" t="n">
        <v>0.538223751733779</v>
      </c>
    </row>
    <row r="194" customFormat="false" ht="13.8" hidden="false" customHeight="false" outlineLevel="0" collapsed="false">
      <c r="B194" s="2" t="n">
        <v>192</v>
      </c>
      <c r="C194" s="2" t="n">
        <v>1.29732314517369</v>
      </c>
      <c r="D194" s="2" t="n">
        <v>2.63041205710074</v>
      </c>
      <c r="E194" s="2" t="n">
        <v>0.530347850977743</v>
      </c>
    </row>
    <row r="195" customFormat="false" ht="13.8" hidden="false" customHeight="false" outlineLevel="0" collapsed="false">
      <c r="B195" s="2" t="n">
        <v>193</v>
      </c>
      <c r="C195" s="2" t="n">
        <v>1.28701106083113</v>
      </c>
      <c r="D195" s="2" t="n">
        <v>2.63038575298017</v>
      </c>
      <c r="E195" s="2" t="n">
        <v>0.529138806758493</v>
      </c>
    </row>
    <row r="196" customFormat="false" ht="13.8" hidden="false" customHeight="false" outlineLevel="0" collapsed="false">
      <c r="B196" s="2" t="n">
        <v>194</v>
      </c>
      <c r="C196" s="2" t="n">
        <v>1.2548288759057</v>
      </c>
      <c r="D196" s="2" t="n">
        <v>2.63035944912264</v>
      </c>
      <c r="E196" s="2" t="n">
        <v>0.498855737592648</v>
      </c>
    </row>
    <row r="197" customFormat="false" ht="13.8" hidden="false" customHeight="false" outlineLevel="0" collapsed="false">
      <c r="B197" s="2" t="n">
        <v>195</v>
      </c>
      <c r="C197" s="2" t="n">
        <v>1.16396293872805</v>
      </c>
      <c r="D197" s="2" t="n">
        <v>2.52662944182444</v>
      </c>
      <c r="E197" s="2" t="n">
        <v>0.490239637924161</v>
      </c>
    </row>
    <row r="198" customFormat="false" ht="13.8" hidden="false" customHeight="false" outlineLevel="0" collapsed="false">
      <c r="B198" s="2" t="n">
        <v>196</v>
      </c>
      <c r="C198" s="2" t="n">
        <v>1.14922853983941</v>
      </c>
      <c r="D198" s="2" t="n">
        <v>2.41549306441891</v>
      </c>
      <c r="E198" s="2" t="n">
        <v>0.459956957750004</v>
      </c>
    </row>
    <row r="199" customFormat="false" ht="13.8" hidden="false" customHeight="false" outlineLevel="0" collapsed="false">
      <c r="B199" s="2" t="n">
        <v>197</v>
      </c>
      <c r="C199" s="2" t="n">
        <v>1.06297606607253</v>
      </c>
      <c r="D199" s="2" t="n">
        <v>2.30435779837716</v>
      </c>
      <c r="E199" s="2" t="n">
        <v>0.451341247069316</v>
      </c>
    </row>
    <row r="200" customFormat="false" ht="13.8" hidden="false" customHeight="false" outlineLevel="0" collapsed="false">
      <c r="B200" s="2" t="n">
        <v>198</v>
      </c>
      <c r="C200" s="2" t="n">
        <v>1.04768752890446</v>
      </c>
      <c r="D200" s="2" t="n">
        <v>2.19322364368806</v>
      </c>
      <c r="E200" s="2" t="n">
        <v>0.421058955879068</v>
      </c>
    </row>
    <row r="201" customFormat="false" ht="13.8" hidden="false" customHeight="false" outlineLevel="0" collapsed="false">
      <c r="B201" s="2" t="n">
        <v>199</v>
      </c>
      <c r="C201" s="2" t="n">
        <v>0.995917514992133</v>
      </c>
      <c r="D201" s="2" t="n">
        <v>2.08209060034051</v>
      </c>
      <c r="E201" s="2" t="n">
        <v>0.412443634178398</v>
      </c>
    </row>
    <row r="202" customFormat="false" ht="13.8" hidden="false" customHeight="false" outlineLevel="0" collapsed="false">
      <c r="B202" s="2" t="n">
        <v>200</v>
      </c>
      <c r="C202" s="2" t="n">
        <v>0.978963111372539</v>
      </c>
      <c r="D202" s="2" t="n">
        <v>1.9709586683234</v>
      </c>
      <c r="E202" s="2" t="n">
        <v>0.382161731964279</v>
      </c>
    </row>
    <row r="203" customFormat="false" ht="13.8" hidden="false" customHeight="false" outlineLevel="0" collapsed="false">
      <c r="B203" s="2" t="n">
        <v>201</v>
      </c>
      <c r="C203" s="2" t="n">
        <v>0.890156932852536</v>
      </c>
      <c r="D203" s="2" t="n">
        <v>1.85982784762561</v>
      </c>
      <c r="E203" s="2" t="n">
        <v>0.373546799235849</v>
      </c>
    </row>
    <row r="204" customFormat="false" ht="13.8" hidden="false" customHeight="false" outlineLevel="0" collapsed="false">
      <c r="B204" s="2" t="n">
        <v>202</v>
      </c>
      <c r="C204" s="2" t="n">
        <v>0.873869994246171</v>
      </c>
      <c r="D204" s="2" t="n">
        <v>1.74869813823602</v>
      </c>
      <c r="E204" s="2" t="n">
        <v>0.372154174878968</v>
      </c>
    </row>
    <row r="205" customFormat="false" ht="13.8" hidden="false" customHeight="false" outlineLevel="0" collapsed="false">
      <c r="B205" s="2" t="n">
        <v>203</v>
      </c>
      <c r="C205" s="2" t="n">
        <v>0.858064681472154</v>
      </c>
      <c r="D205" s="2" t="n">
        <v>1.63756954014352</v>
      </c>
      <c r="E205" s="2" t="n">
        <v>0.349094897781664</v>
      </c>
    </row>
    <row r="206" customFormat="false" ht="13.8" hidden="false" customHeight="false" outlineLevel="0" collapsed="false">
      <c r="B206" s="2" t="n">
        <v>204</v>
      </c>
      <c r="C206" s="2" t="n">
        <v>0.780278174899413</v>
      </c>
      <c r="D206" s="2" t="n">
        <v>1.52644205333701</v>
      </c>
      <c r="E206" s="2" t="n">
        <v>0.333258073499353</v>
      </c>
    </row>
    <row r="207" customFormat="false" ht="13.8" hidden="false" customHeight="false" outlineLevel="0" collapsed="false">
      <c r="B207" s="2" t="n">
        <v>205</v>
      </c>
      <c r="C207" s="2" t="n">
        <v>0.755881446191739</v>
      </c>
      <c r="D207" s="2" t="n">
        <v>1.41531567780537</v>
      </c>
      <c r="E207" s="2" t="n">
        <v>0.310199185363063</v>
      </c>
    </row>
    <row r="208" customFormat="false" ht="13.8" hidden="false" customHeight="false" outlineLevel="0" collapsed="false">
      <c r="B208" s="2" t="n">
        <v>206</v>
      </c>
      <c r="C208" s="2" t="n">
        <v>0.677818183673573</v>
      </c>
      <c r="D208" s="2" t="n">
        <v>1.30419041353748</v>
      </c>
      <c r="E208" s="2" t="n">
        <v>0.294362750037876</v>
      </c>
    </row>
    <row r="209" customFormat="false" ht="13.8" hidden="false" customHeight="false" outlineLevel="0" collapsed="false">
      <c r="B209" s="2" t="n">
        <v>207</v>
      </c>
      <c r="C209" s="2" t="n">
        <v>0.656607627713958</v>
      </c>
      <c r="D209" s="2" t="n">
        <v>1.19306626052223</v>
      </c>
      <c r="E209" s="2" t="n">
        <v>0.289822676780746</v>
      </c>
    </row>
    <row r="210" customFormat="false" ht="13.8" hidden="false" customHeight="false" outlineLevel="0" collapsed="false">
      <c r="B210" s="2" t="n">
        <v>208</v>
      </c>
      <c r="C210" s="2" t="n">
        <v>0.577286172748793</v>
      </c>
      <c r="D210" s="2" t="n">
        <v>1.08194321874852</v>
      </c>
      <c r="E210" s="2" t="n">
        <v>0.289726926702127</v>
      </c>
    </row>
    <row r="211" customFormat="false" ht="13.8" hidden="false" customHeight="false" outlineLevel="0" collapsed="false">
      <c r="B211" s="2" t="n">
        <v>209</v>
      </c>
      <c r="C211" s="2" t="n">
        <v>0.556687381368547</v>
      </c>
      <c r="D211" s="2" t="n">
        <v>0.970821288205218</v>
      </c>
      <c r="E211" s="2" t="n">
        <v>0.288335140543972</v>
      </c>
    </row>
    <row r="212" customFormat="false" ht="13.8" hidden="false" customHeight="false" outlineLevel="0" collapsed="false">
      <c r="B212" s="2" t="n">
        <v>210</v>
      </c>
      <c r="C212" s="2" t="n">
        <v>0.507588944124362</v>
      </c>
      <c r="D212" s="2" t="n">
        <v>0.859700468881225</v>
      </c>
      <c r="E212" s="2" t="n">
        <v>0.250832257192567</v>
      </c>
    </row>
    <row r="213" customFormat="false" ht="13.8" hidden="false" customHeight="false" outlineLevel="0" collapsed="false">
      <c r="B213" s="2" t="n">
        <v>211</v>
      </c>
      <c r="C213" s="2" t="n">
        <v>0.46202825712381</v>
      </c>
      <c r="D213" s="2" t="n">
        <v>0.748580760765425</v>
      </c>
      <c r="E213" s="2" t="n">
        <v>0.249626008129254</v>
      </c>
    </row>
    <row r="214" customFormat="false" ht="13.8" hidden="false" customHeight="false" outlineLevel="0" collapsed="false">
      <c r="B214" s="2" t="n">
        <v>212</v>
      </c>
      <c r="C214" s="2" t="n">
        <v>0.387393988693091</v>
      </c>
      <c r="D214" s="2" t="n">
        <v>0.637462163846706</v>
      </c>
      <c r="E214" s="2" t="n">
        <v>0.249623234091395</v>
      </c>
    </row>
    <row r="215" customFormat="false" ht="13.8" hidden="false" customHeight="false" outlineLevel="0" collapsed="false">
      <c r="B215" s="2" t="n">
        <v>213</v>
      </c>
      <c r="C215" s="2" t="n">
        <v>0.294612336975426</v>
      </c>
      <c r="D215" s="2" t="n">
        <v>0.526344678113956</v>
      </c>
      <c r="E215" s="2" t="n">
        <v>0.249157589710907</v>
      </c>
    </row>
    <row r="216" customFormat="false" ht="13.8" hidden="false" customHeight="false" outlineLevel="0" collapsed="false">
      <c r="B216" s="2" t="n">
        <v>214</v>
      </c>
      <c r="C216" s="2" t="n">
        <v>0.234961181356193</v>
      </c>
      <c r="D216" s="2" t="n">
        <v>0.418790838341721</v>
      </c>
      <c r="E216" s="2" t="n">
        <v>0.213718696389505</v>
      </c>
    </row>
    <row r="217" customFormat="false" ht="13.8" hidden="false" customHeight="false" outlineLevel="0" collapsed="false">
      <c r="B217" s="2" t="n">
        <v>215</v>
      </c>
      <c r="C217" s="2" t="n">
        <v>0.157866042382282</v>
      </c>
      <c r="D217" s="2" t="n">
        <v>0.31480060889354</v>
      </c>
      <c r="E217" s="2" t="n">
        <v>0.180343755711531</v>
      </c>
    </row>
    <row r="218" customFormat="false" ht="13.8" hidden="false" customHeight="false" outlineLevel="0" collapsed="false">
      <c r="B218" s="2" t="n">
        <v>216</v>
      </c>
      <c r="C218" s="2" t="n">
        <v>0.110438538937971</v>
      </c>
      <c r="D218" s="2" t="n">
        <v>0.21437395413331</v>
      </c>
      <c r="E218" s="2" t="n">
        <v>0.149032747037456</v>
      </c>
    </row>
    <row r="219" customFormat="false" ht="13.8" hidden="false" customHeight="false" outlineLevel="0" collapsed="false">
      <c r="B219" s="2" t="n">
        <v>217</v>
      </c>
      <c r="C219" s="2" t="n">
        <v>0.0433075224950527</v>
      </c>
      <c r="D219" s="2" t="n">
        <v>0.117510838425285</v>
      </c>
      <c r="E219" s="2" t="n">
        <v>0.119785649727962</v>
      </c>
    </row>
    <row r="220" customFormat="false" ht="13.8" hidden="false" customHeight="false" outlineLevel="0" collapsed="false">
      <c r="B220" s="2" t="n">
        <v>218</v>
      </c>
      <c r="C220" s="2" t="n">
        <v>0.0253651611322338</v>
      </c>
      <c r="D220" s="2" t="n">
        <v>0.0386455062993864</v>
      </c>
      <c r="E220" s="2" t="n">
        <v>0.100963499848259</v>
      </c>
    </row>
    <row r="221" customFormat="false" ht="13.8" hidden="false" customHeight="false" outlineLevel="0" collapsed="false">
      <c r="B221" s="2" t="n">
        <v>219</v>
      </c>
      <c r="C221" s="2" t="n">
        <v>0</v>
      </c>
      <c r="D221" s="2" t="n">
        <v>0</v>
      </c>
      <c r="E221" s="2" t="n">
        <v>0.092566193148874</v>
      </c>
    </row>
    <row r="222" customFormat="false" ht="13.8" hidden="false" customHeight="false" outlineLevel="0" collapsed="false">
      <c r="B222" s="2" t="n">
        <v>220</v>
      </c>
      <c r="C222" s="2" t="n">
        <v>0</v>
      </c>
      <c r="D222" s="2" t="n">
        <v>0</v>
      </c>
      <c r="E222" s="2" t="n">
        <v>0.0942082373807218</v>
      </c>
    </row>
    <row r="223" customFormat="false" ht="13.8" hidden="false" customHeight="false" outlineLevel="0" collapsed="false">
      <c r="B223" s="2" t="n">
        <v>221</v>
      </c>
      <c r="C223" s="2" t="n">
        <v>0</v>
      </c>
      <c r="D223" s="2" t="n">
        <v>0</v>
      </c>
      <c r="E223" s="2" t="n">
        <v>0.0942072952990405</v>
      </c>
    </row>
    <row r="224" customFormat="false" ht="13.8" hidden="false" customHeight="false" outlineLevel="0" collapsed="false">
      <c r="B224" s="2" t="n">
        <v>222</v>
      </c>
      <c r="C224" s="2" t="n">
        <v>0</v>
      </c>
      <c r="D224" s="2" t="n">
        <v>0</v>
      </c>
      <c r="E224" s="2" t="n">
        <v>0.0942063532260856</v>
      </c>
    </row>
    <row r="225" customFormat="false" ht="13.8" hidden="false" customHeight="false" outlineLevel="0" collapsed="false">
      <c r="B225" s="2" t="n">
        <v>223</v>
      </c>
      <c r="C225" s="2" t="n">
        <v>0</v>
      </c>
      <c r="D225" s="2" t="n">
        <v>0</v>
      </c>
      <c r="E225" s="2" t="n">
        <v>0.0942054111625513</v>
      </c>
    </row>
    <row r="226" customFormat="false" ht="13.8" hidden="false" customHeight="false" outlineLevel="0" collapsed="false">
      <c r="B226" s="2" t="n">
        <v>224</v>
      </c>
      <c r="C226" s="2" t="n">
        <v>0</v>
      </c>
      <c r="D226" s="2" t="n">
        <v>0</v>
      </c>
      <c r="E226" s="2" t="n">
        <v>0.0942044691084377</v>
      </c>
    </row>
    <row r="227" customFormat="false" ht="13.8" hidden="false" customHeight="false" outlineLevel="0" collapsed="false">
      <c r="B227" s="2" t="n">
        <v>225</v>
      </c>
      <c r="C227" s="2" t="n">
        <v>0</v>
      </c>
      <c r="D227" s="2" t="n">
        <v>0</v>
      </c>
      <c r="E227" s="2" t="n">
        <v>0.0942035270637446</v>
      </c>
    </row>
    <row r="228" customFormat="false" ht="13.8" hidden="false" customHeight="false" outlineLevel="0" collapsed="false">
      <c r="B228" s="2" t="n">
        <v>226</v>
      </c>
      <c r="C228" s="2" t="n">
        <v>0</v>
      </c>
      <c r="D228" s="2" t="n">
        <v>0</v>
      </c>
      <c r="E228" s="2" t="n">
        <v>0.0942025850284719</v>
      </c>
    </row>
    <row r="229" customFormat="false" ht="13.8" hidden="false" customHeight="false" outlineLevel="0" collapsed="false">
      <c r="B229" s="2" t="n">
        <v>227</v>
      </c>
      <c r="C229" s="2" t="n">
        <v>0</v>
      </c>
      <c r="D229" s="2" t="n">
        <v>0</v>
      </c>
      <c r="E229" s="2" t="n">
        <v>0.0942016430026195</v>
      </c>
    </row>
    <row r="230" customFormat="false" ht="13.8" hidden="false" customHeight="false" outlineLevel="0" collapsed="false">
      <c r="B230" s="2" t="n">
        <v>228</v>
      </c>
      <c r="C230" s="2" t="n">
        <v>0</v>
      </c>
      <c r="D230" s="2" t="n">
        <v>0</v>
      </c>
      <c r="E230" s="2" t="n">
        <v>0.0942007009861874</v>
      </c>
    </row>
    <row r="231" customFormat="false" ht="13.8" hidden="false" customHeight="false" outlineLevel="0" collapsed="false">
      <c r="B231" s="2" t="n">
        <v>229</v>
      </c>
      <c r="C231" s="2" t="n">
        <v>0</v>
      </c>
      <c r="D231" s="2" t="n">
        <v>0</v>
      </c>
      <c r="E231" s="2" t="n">
        <v>0.0941997589791754</v>
      </c>
    </row>
    <row r="232" customFormat="false" ht="13.8" hidden="false" customHeight="false" outlineLevel="0" collapsed="false">
      <c r="B232" s="2" t="n">
        <v>230</v>
      </c>
      <c r="C232" s="2" t="n">
        <v>0</v>
      </c>
      <c r="D232" s="2" t="n">
        <v>0</v>
      </c>
      <c r="E232" s="2" t="n">
        <v>0.0941988169815835</v>
      </c>
    </row>
    <row r="233" customFormat="false" ht="13.8" hidden="false" customHeight="false" outlineLevel="0" collapsed="false">
      <c r="B233" s="2" t="n">
        <v>231</v>
      </c>
      <c r="C233" s="2" t="n">
        <v>0</v>
      </c>
      <c r="D233" s="2" t="n">
        <v>0</v>
      </c>
      <c r="E233" s="2" t="n">
        <v>0.0941978749934115</v>
      </c>
    </row>
    <row r="234" customFormat="false" ht="13.8" hidden="false" customHeight="false" outlineLevel="0" collapsed="false">
      <c r="B234" s="2" t="n">
        <v>232</v>
      </c>
      <c r="C234" s="2" t="n">
        <v>0</v>
      </c>
      <c r="D234" s="2" t="n">
        <v>0</v>
      </c>
      <c r="E234" s="2" t="n">
        <v>0.0941969330146594</v>
      </c>
    </row>
    <row r="235" customFormat="false" ht="13.8" hidden="false" customHeight="false" outlineLevel="0" collapsed="false">
      <c r="B235" s="2" t="n">
        <v>233</v>
      </c>
      <c r="C235" s="2" t="n">
        <v>0</v>
      </c>
      <c r="D235" s="2" t="n">
        <v>0</v>
      </c>
      <c r="E235" s="2" t="n">
        <v>0.094195991045327</v>
      </c>
    </row>
    <row r="236" customFormat="false" ht="13.8" hidden="false" customHeight="false" outlineLevel="0" collapsed="false">
      <c r="B236" s="2" t="n">
        <v>234</v>
      </c>
      <c r="C236" s="2" t="n">
        <v>0</v>
      </c>
      <c r="D236" s="2" t="n">
        <v>0</v>
      </c>
      <c r="E236" s="2" t="n">
        <v>0.0941950490854143</v>
      </c>
    </row>
    <row r="237" customFormat="false" ht="13.8" hidden="false" customHeight="false" outlineLevel="0" collapsed="false">
      <c r="B237" s="2" t="n">
        <v>235</v>
      </c>
      <c r="C237" s="2" t="n">
        <v>3.48101613034302E-011</v>
      </c>
      <c r="D237" s="2" t="n">
        <v>0</v>
      </c>
      <c r="E237" s="2" t="n">
        <v>0.0941941071349212</v>
      </c>
    </row>
    <row r="238" customFormat="false" ht="13.8" hidden="false" customHeight="false" outlineLevel="0" collapsed="false">
      <c r="B238" s="2" t="n">
        <v>236</v>
      </c>
      <c r="C238" s="2" t="n">
        <v>0</v>
      </c>
      <c r="D238" s="2" t="n">
        <v>1.03534532690318E-012</v>
      </c>
      <c r="E238" s="2" t="n">
        <v>0.0941931651938476</v>
      </c>
    </row>
    <row r="239" customFormat="false" ht="13.8" hidden="false" customHeight="false" outlineLevel="0" collapsed="false">
      <c r="B239" s="2" t="n">
        <v>237</v>
      </c>
      <c r="C239" s="2" t="n">
        <v>0</v>
      </c>
      <c r="D239" s="2" t="n">
        <v>3.54655572185432E-011</v>
      </c>
      <c r="E239" s="2" t="n">
        <v>0.0941922232621933</v>
      </c>
    </row>
    <row r="240" customFormat="false" ht="13.8" hidden="false" customHeight="false" outlineLevel="0" collapsed="false">
      <c r="B240" s="2" t="n">
        <v>238</v>
      </c>
      <c r="C240" s="2" t="n">
        <v>0</v>
      </c>
      <c r="D240" s="2" t="n">
        <v>5.18362612562383E-012</v>
      </c>
      <c r="E240" s="2" t="n">
        <v>0.0941912813399584</v>
      </c>
    </row>
    <row r="241" customFormat="false" ht="13.8" hidden="false" customHeight="false" outlineLevel="0" collapsed="false">
      <c r="B241" s="2" t="n">
        <v>239</v>
      </c>
      <c r="C241" s="2" t="n">
        <v>0</v>
      </c>
      <c r="D241" s="2" t="n">
        <v>0.180229819806757</v>
      </c>
      <c r="E241" s="2" t="n">
        <v>0.0941903394271426</v>
      </c>
    </row>
    <row r="242" customFormat="false" ht="13.8" hidden="false" customHeight="false" outlineLevel="0" collapsed="false">
      <c r="B242" s="2" t="n">
        <v>240</v>
      </c>
      <c r="C242" s="2" t="n">
        <v>0</v>
      </c>
      <c r="D242" s="2" t="n">
        <v>0.527413352611455</v>
      </c>
      <c r="E242" s="2" t="n">
        <v>0.094189397523746</v>
      </c>
    </row>
    <row r="243" customFormat="false" ht="13.8" hidden="false" customHeight="false" outlineLevel="0" collapsed="false">
      <c r="B243" s="2" t="n">
        <v>241</v>
      </c>
      <c r="C243" s="2" t="n">
        <v>0.026408958589231</v>
      </c>
      <c r="D243" s="2" t="n">
        <v>0.876092173004659</v>
      </c>
      <c r="E243" s="2" t="n">
        <v>0.0941884556297683</v>
      </c>
    </row>
    <row r="244" customFormat="false" ht="13.8" hidden="false" customHeight="false" outlineLevel="0" collapsed="false">
      <c r="B244" s="2" t="n">
        <v>242</v>
      </c>
      <c r="C244" s="2" t="n">
        <v>0.373389698985956</v>
      </c>
      <c r="D244" s="2" t="n">
        <v>1.22040715114306</v>
      </c>
      <c r="E244" s="2" t="n">
        <v>0.0941875137462361</v>
      </c>
    </row>
    <row r="245" customFormat="false" ht="13.8" hidden="false" customHeight="false" outlineLevel="0" collapsed="false">
      <c r="B245" s="2" t="n">
        <v>243</v>
      </c>
      <c r="C245" s="2" t="n">
        <v>0.668019700176123</v>
      </c>
      <c r="D245" s="2" t="n">
        <v>1.56035833066507</v>
      </c>
      <c r="E245" s="2" t="n">
        <v>0.260734909898705</v>
      </c>
    </row>
    <row r="246" customFormat="false" ht="13.8" hidden="false" customHeight="false" outlineLevel="0" collapsed="false">
      <c r="B246" s="2" t="n">
        <v>244</v>
      </c>
      <c r="C246" s="2" t="n">
        <v>1.01640091957742</v>
      </c>
      <c r="D246" s="2" t="n">
        <v>1.89594575520868</v>
      </c>
      <c r="E246" s="2" t="n">
        <v>0.42475490469879</v>
      </c>
    </row>
    <row r="247" customFormat="false" ht="13.8" hidden="false" customHeight="false" outlineLevel="0" collapsed="false">
      <c r="B247" s="2" t="n">
        <v>245</v>
      </c>
      <c r="C247" s="2" t="n">
        <v>1.29991317967767</v>
      </c>
      <c r="D247" s="2" t="n">
        <v>2.22716946841144</v>
      </c>
      <c r="E247" s="2" t="n">
        <v>0.586247523419496</v>
      </c>
    </row>
    <row r="248" customFormat="false" ht="13.8" hidden="false" customHeight="false" outlineLevel="0" collapsed="false">
      <c r="B248" s="2" t="n">
        <v>246</v>
      </c>
      <c r="C248" s="2" t="n">
        <v>1.62562103463729</v>
      </c>
      <c r="D248" s="2" t="n">
        <v>2.548546893161</v>
      </c>
      <c r="E248" s="2" t="n">
        <v>0.742036983296391</v>
      </c>
    </row>
    <row r="249" customFormat="false" ht="13.8" hidden="false" customHeight="false" outlineLevel="0" collapsed="false">
      <c r="B249" s="2" t="n">
        <v>247</v>
      </c>
      <c r="C249" s="2" t="n">
        <v>1.89434455750034</v>
      </c>
      <c r="D249" s="2" t="n">
        <v>2.86007812792025</v>
      </c>
      <c r="E249" s="2" t="n">
        <v>0.892123341361062</v>
      </c>
    </row>
    <row r="250" customFormat="false" ht="13.8" hidden="false" customHeight="false" outlineLevel="0" collapsed="false">
      <c r="B250" s="2" t="n">
        <v>248</v>
      </c>
      <c r="C250" s="2" t="n">
        <v>2.18403913811014</v>
      </c>
      <c r="D250" s="2" t="n">
        <v>3.1617632711511</v>
      </c>
      <c r="E250" s="2" t="n">
        <v>1.03650665464453</v>
      </c>
    </row>
    <row r="251" customFormat="false" ht="13.8" hidden="false" customHeight="false" outlineLevel="0" collapsed="false">
      <c r="B251" s="2" t="n">
        <v>249</v>
      </c>
      <c r="C251" s="2" t="n">
        <v>2.44347964175612</v>
      </c>
      <c r="D251" s="2" t="n">
        <v>3.45360242131444</v>
      </c>
      <c r="E251" s="2" t="n">
        <v>1.17446710017724</v>
      </c>
    </row>
    <row r="252" customFormat="false" ht="13.8" hidden="false" customHeight="false" outlineLevel="0" collapsed="false">
      <c r="B252" s="2" t="n">
        <v>250</v>
      </c>
      <c r="C252" s="2" t="n">
        <v>2.6875951133207</v>
      </c>
      <c r="D252" s="2" t="n">
        <v>3.728038128347</v>
      </c>
      <c r="E252" s="2" t="n">
        <v>1.29370561687531</v>
      </c>
    </row>
    <row r="253" customFormat="false" ht="13.8" hidden="false" customHeight="false" outlineLevel="0" collapsed="false">
      <c r="B253" s="2" t="n">
        <v>251</v>
      </c>
      <c r="C253" s="2" t="n">
        <v>2.92138094605419</v>
      </c>
      <c r="D253" s="2" t="n">
        <v>3.98507056628321</v>
      </c>
      <c r="E253" s="2" t="n">
        <v>1.29369267981993</v>
      </c>
    </row>
    <row r="254" customFormat="false" ht="13.8" hidden="false" customHeight="false" outlineLevel="0" collapsed="false">
      <c r="B254" s="2" t="n">
        <v>252</v>
      </c>
      <c r="C254" s="2" t="n">
        <v>3.126777213253</v>
      </c>
      <c r="D254" s="2" t="n">
        <v>4.22469990915576</v>
      </c>
      <c r="E254" s="2" t="n">
        <v>1.29367974289313</v>
      </c>
    </row>
    <row r="255" customFormat="false" ht="13.8" hidden="false" customHeight="false" outlineLevel="0" collapsed="false">
      <c r="B255" s="2" t="n">
        <v>253</v>
      </c>
      <c r="C255" s="2" t="n">
        <v>3.32455907881276</v>
      </c>
      <c r="D255" s="2" t="n">
        <v>4.44692633099559</v>
      </c>
      <c r="E255" s="2" t="n">
        <v>1.2936668060957</v>
      </c>
    </row>
    <row r="256" customFormat="false" ht="13.8" hidden="false" customHeight="false" outlineLevel="0" collapsed="false">
      <c r="B256" s="2" t="n">
        <v>254</v>
      </c>
      <c r="C256" s="2" t="n">
        <v>3.47432042111763</v>
      </c>
      <c r="D256" s="2" t="n">
        <v>4.62077283774048</v>
      </c>
      <c r="E256" s="2" t="n">
        <v>1.29365386942763</v>
      </c>
    </row>
    <row r="257" customFormat="false" ht="13.8" hidden="false" customHeight="false" outlineLevel="0" collapsed="false">
      <c r="B257" s="2" t="n">
        <v>255</v>
      </c>
      <c r="C257" s="2" t="n">
        <v>3.56616194537284</v>
      </c>
      <c r="D257" s="2" t="n">
        <v>4.74623991318957</v>
      </c>
      <c r="E257" s="2" t="n">
        <v>1.29364093288894</v>
      </c>
    </row>
    <row r="258" customFormat="false" ht="13.8" hidden="false" customHeight="false" outlineLevel="0" collapsed="false">
      <c r="B258" s="2" t="n">
        <v>256</v>
      </c>
      <c r="C258" s="2" t="n">
        <v>3.58028409577656</v>
      </c>
      <c r="D258" s="2" t="n">
        <v>4.82332804113719</v>
      </c>
      <c r="E258" s="2" t="n">
        <v>1.29362799648022</v>
      </c>
    </row>
    <row r="259" customFormat="false" ht="13.8" hidden="false" customHeight="false" outlineLevel="0" collapsed="false">
      <c r="B259" s="2" t="n">
        <v>257</v>
      </c>
      <c r="C259" s="2" t="n">
        <v>3.5802482929356</v>
      </c>
      <c r="D259" s="2" t="n">
        <v>4.82327980785677</v>
      </c>
      <c r="E259" s="2" t="n">
        <v>1.29149109856614</v>
      </c>
    </row>
    <row r="260" customFormat="false" ht="13.8" hidden="false" customHeight="false" outlineLevel="0" collapsed="false">
      <c r="B260" s="2" t="n">
        <v>258</v>
      </c>
      <c r="C260" s="2" t="n">
        <v>3.55509515003792</v>
      </c>
      <c r="D260" s="2" t="n">
        <v>4.82323157505868</v>
      </c>
      <c r="E260" s="2" t="n">
        <v>1.2715304082548</v>
      </c>
    </row>
    <row r="261" customFormat="false" ht="13.8" hidden="false" customHeight="false" outlineLevel="0" collapsed="false">
      <c r="B261" s="2" t="n">
        <v>259</v>
      </c>
      <c r="C261" s="2" t="n">
        <v>3.54779151195697</v>
      </c>
      <c r="D261" s="2" t="n">
        <v>4.82318334274292</v>
      </c>
      <c r="E261" s="2" t="n">
        <v>1.25605747304639</v>
      </c>
    </row>
    <row r="262" customFormat="false" ht="13.8" hidden="false" customHeight="false" outlineLevel="0" collapsed="false">
      <c r="B262" s="2" t="n">
        <v>260</v>
      </c>
      <c r="C262" s="2" t="n">
        <v>3.50815195945696</v>
      </c>
      <c r="D262" s="2" t="n">
        <v>4.82313511090948</v>
      </c>
      <c r="E262" s="2" t="n">
        <v>1.23368372954485</v>
      </c>
    </row>
    <row r="263" customFormat="false" ht="13.8" hidden="false" customHeight="false" outlineLevel="0" collapsed="false">
      <c r="B263" s="2" t="n">
        <v>261</v>
      </c>
      <c r="C263" s="2" t="n">
        <v>3.48599177885999</v>
      </c>
      <c r="D263" s="2" t="n">
        <v>4.82308687955836</v>
      </c>
      <c r="E263" s="2" t="n">
        <v>1.19927956157308</v>
      </c>
    </row>
    <row r="264" customFormat="false" ht="13.8" hidden="false" customHeight="false" outlineLevel="0" collapsed="false">
      <c r="B264" s="2" t="n">
        <v>262</v>
      </c>
      <c r="C264" s="2" t="n">
        <v>3.4126961918564</v>
      </c>
      <c r="D264" s="2" t="n">
        <v>4.82303864868955</v>
      </c>
      <c r="E264" s="2" t="n">
        <v>1.15632087598216</v>
      </c>
    </row>
    <row r="265" customFormat="false" ht="13.8" hidden="false" customHeight="false" outlineLevel="0" collapsed="false">
      <c r="B265" s="2" t="n">
        <v>263</v>
      </c>
      <c r="C265" s="2" t="n">
        <v>3.36382145054099</v>
      </c>
      <c r="D265" s="2" t="n">
        <v>4.82299041830306</v>
      </c>
      <c r="E265" s="2" t="n">
        <v>1.11658527683579</v>
      </c>
    </row>
    <row r="266" customFormat="false" ht="13.8" hidden="false" customHeight="false" outlineLevel="0" collapsed="false">
      <c r="B266" s="2" t="n">
        <v>264</v>
      </c>
      <c r="C266" s="2" t="n">
        <v>3.26776574862616</v>
      </c>
      <c r="D266" s="2" t="n">
        <v>4.75254350973729</v>
      </c>
      <c r="E266" s="2" t="n">
        <v>1.1000358244957</v>
      </c>
    </row>
    <row r="267" customFormat="false" ht="13.8" hidden="false" customHeight="false" outlineLevel="0" collapsed="false">
      <c r="B267" s="2" t="n">
        <v>265</v>
      </c>
      <c r="C267" s="2" t="n">
        <v>3.21208327467238</v>
      </c>
      <c r="D267" s="2" t="n">
        <v>4.64138487319108</v>
      </c>
      <c r="E267" s="2" t="n">
        <v>1.05413547228561</v>
      </c>
    </row>
    <row r="268" customFormat="false" ht="13.8" hidden="false" customHeight="false" outlineLevel="0" collapsed="false">
      <c r="B268" s="2" t="n">
        <v>266</v>
      </c>
      <c r="C268" s="2" t="n">
        <v>3.10884515383963</v>
      </c>
      <c r="D268" s="2" t="n">
        <v>4.53022734823124</v>
      </c>
      <c r="E268" s="2" t="n">
        <v>1.01301343093089</v>
      </c>
    </row>
    <row r="269" customFormat="false" ht="13.8" hidden="false" customHeight="false" outlineLevel="0" collapsed="false">
      <c r="B269" s="2" t="n">
        <v>267</v>
      </c>
      <c r="C269" s="2" t="n">
        <v>3.04725523205476</v>
      </c>
      <c r="D269" s="2" t="n">
        <v>4.41907093484665</v>
      </c>
      <c r="E269" s="2" t="n">
        <v>0.997632560055838</v>
      </c>
    </row>
    <row r="270" customFormat="false" ht="13.8" hidden="false" customHeight="false" outlineLevel="0" collapsed="false">
      <c r="B270" s="2" t="n">
        <v>268</v>
      </c>
      <c r="C270" s="2" t="n">
        <v>2.92918412987281</v>
      </c>
      <c r="D270" s="2" t="n">
        <v>4.30791563302619</v>
      </c>
      <c r="E270" s="2" t="n">
        <v>0.985585231878386</v>
      </c>
    </row>
    <row r="271" customFormat="false" ht="13.8" hidden="false" customHeight="false" outlineLevel="0" collapsed="false">
      <c r="B271" s="2" t="n">
        <v>269</v>
      </c>
      <c r="C271" s="2" t="n">
        <v>2.83776291210558</v>
      </c>
      <c r="D271" s="2" t="n">
        <v>4.19676144275875</v>
      </c>
      <c r="E271" s="2" t="n">
        <v>0.930019542692735</v>
      </c>
    </row>
    <row r="272" customFormat="false" ht="13.8" hidden="false" customHeight="false" outlineLevel="0" collapsed="false">
      <c r="B272" s="2" t="n">
        <v>270</v>
      </c>
      <c r="C272" s="2" t="n">
        <v>2.68708416410609</v>
      </c>
      <c r="D272" s="2" t="n">
        <v>4.08560836403322</v>
      </c>
      <c r="E272" s="2" t="n">
        <v>0.910565798052865</v>
      </c>
    </row>
    <row r="273" customFormat="false" ht="13.8" hidden="false" customHeight="false" outlineLevel="0" collapsed="false">
      <c r="B273" s="2" t="n">
        <v>271</v>
      </c>
      <c r="C273" s="2" t="n">
        <v>2.60377620067186</v>
      </c>
      <c r="D273" s="2" t="n">
        <v>3.97445639683847</v>
      </c>
      <c r="E273" s="2" t="n">
        <v>0.85500113683933</v>
      </c>
    </row>
    <row r="274" customFormat="false" ht="13.8" hidden="false" customHeight="false" outlineLevel="0" collapsed="false">
      <c r="B274" s="2" t="n">
        <v>272</v>
      </c>
      <c r="C274" s="2" t="n">
        <v>2.46011655179874</v>
      </c>
      <c r="D274" s="2" t="n">
        <v>3.86330554116339</v>
      </c>
      <c r="E274" s="2" t="n">
        <v>0.835548142383519</v>
      </c>
    </row>
    <row r="275" customFormat="false" ht="13.8" hidden="false" customHeight="false" outlineLevel="0" collapsed="false">
      <c r="B275" s="2" t="n">
        <v>273</v>
      </c>
      <c r="C275" s="2" t="n">
        <v>2.35114308026285</v>
      </c>
      <c r="D275" s="2" t="n">
        <v>3.75215579699687</v>
      </c>
      <c r="E275" s="2" t="n">
        <v>0.779984231346541</v>
      </c>
    </row>
    <row r="276" customFormat="false" ht="13.8" hidden="false" customHeight="false" outlineLevel="0" collapsed="false">
      <c r="B276" s="2" t="n">
        <v>274</v>
      </c>
      <c r="C276" s="2" t="n">
        <v>2.20491184660983</v>
      </c>
      <c r="D276" s="2" t="n">
        <v>3.64100716432779</v>
      </c>
      <c r="E276" s="2" t="n">
        <v>0.760531987059784</v>
      </c>
    </row>
    <row r="277" customFormat="false" ht="13.8" hidden="false" customHeight="false" outlineLevel="0" collapsed="false">
      <c r="B277" s="2" t="n">
        <v>275</v>
      </c>
      <c r="C277" s="2" t="n">
        <v>2.11195966786173</v>
      </c>
      <c r="D277" s="2" t="n">
        <v>3.52985964314504</v>
      </c>
      <c r="E277" s="2" t="n">
        <v>0.704968826184359</v>
      </c>
    </row>
    <row r="278" customFormat="false" ht="13.8" hidden="false" customHeight="false" outlineLevel="0" collapsed="false">
      <c r="B278" s="2" t="n">
        <v>276</v>
      </c>
      <c r="C278" s="2" t="n">
        <v>1.98991608530209</v>
      </c>
      <c r="D278" s="2" t="n">
        <v>3.4187132334375</v>
      </c>
      <c r="E278" s="2" t="n">
        <v>0.685517332051654</v>
      </c>
    </row>
    <row r="279" customFormat="false" ht="13.8" hidden="false" customHeight="false" outlineLevel="0" collapsed="false">
      <c r="B279" s="2" t="n">
        <v>277</v>
      </c>
      <c r="C279" s="2" t="n">
        <v>1.86553983428939</v>
      </c>
      <c r="D279" s="2" t="n">
        <v>3.30756793519406</v>
      </c>
      <c r="E279" s="2" t="n">
        <v>0.670047439841298</v>
      </c>
    </row>
    <row r="280" customFormat="false" ht="13.8" hidden="false" customHeight="false" outlineLevel="0" collapsed="false">
      <c r="B280" s="2" t="n">
        <v>278</v>
      </c>
      <c r="C280" s="2" t="n">
        <v>1.72853590111327</v>
      </c>
      <c r="D280" s="2" t="n">
        <v>3.1964237484036</v>
      </c>
      <c r="E280" s="2" t="n">
        <v>0.66142962825579</v>
      </c>
    </row>
    <row r="281" customFormat="false" ht="13.8" hidden="false" customHeight="false" outlineLevel="0" collapsed="false">
      <c r="B281" s="2" t="n">
        <v>279</v>
      </c>
      <c r="C281" s="2" t="n">
        <v>1.58895968982833</v>
      </c>
      <c r="D281" s="2" t="n">
        <v>3.085280673055</v>
      </c>
      <c r="E281" s="2" t="n">
        <v>0.631700680626176</v>
      </c>
    </row>
    <row r="282" customFormat="false" ht="13.8" hidden="false" customHeight="false" outlineLevel="0" collapsed="false">
      <c r="B282" s="2" t="n">
        <v>280</v>
      </c>
      <c r="C282" s="2" t="n">
        <v>1.44727376319439</v>
      </c>
      <c r="D282" s="2" t="n">
        <v>2.97413870913716</v>
      </c>
      <c r="E282" s="2" t="n">
        <v>0.631694085841593</v>
      </c>
    </row>
    <row r="283" customFormat="false" ht="13.8" hidden="false" customHeight="false" outlineLevel="0" collapsed="false">
      <c r="B283" s="2" t="n">
        <v>281</v>
      </c>
      <c r="C283" s="2" t="n">
        <v>1.33588480897528</v>
      </c>
      <c r="D283" s="2" t="n">
        <v>2.86299785663896</v>
      </c>
      <c r="E283" s="2" t="n">
        <v>0.630484028159995</v>
      </c>
    </row>
    <row r="284" customFormat="false" ht="13.8" hidden="false" customHeight="false" outlineLevel="0" collapsed="false">
      <c r="B284" s="2" t="n">
        <v>282</v>
      </c>
      <c r="C284" s="2" t="n">
        <v>1.24423719086793</v>
      </c>
      <c r="D284" s="2" t="n">
        <v>2.75185811554929</v>
      </c>
      <c r="E284" s="2" t="n">
        <v>0.600199945541938</v>
      </c>
    </row>
    <row r="285" customFormat="false" ht="13.8" hidden="false" customHeight="false" outlineLevel="0" collapsed="false">
      <c r="B285" s="2" t="n">
        <v>283</v>
      </c>
      <c r="C285" s="2" t="n">
        <v>1.21171978553306</v>
      </c>
      <c r="D285" s="2" t="n">
        <v>2.64071948585703</v>
      </c>
      <c r="E285" s="2" t="n">
        <v>0.591675406505447</v>
      </c>
    </row>
    <row r="286" customFormat="false" ht="13.8" hidden="false" customHeight="false" outlineLevel="0" collapsed="false">
      <c r="B286" s="2" t="n">
        <v>284</v>
      </c>
      <c r="C286" s="2" t="n">
        <v>1.1658514646315</v>
      </c>
      <c r="D286" s="2" t="n">
        <v>2.52958196755106</v>
      </c>
      <c r="E286" s="2" t="n">
        <v>0.565002823084717</v>
      </c>
    </row>
    <row r="287" customFormat="false" ht="13.8" hidden="false" customHeight="false" outlineLevel="0" collapsed="false">
      <c r="B287" s="2" t="n">
        <v>285</v>
      </c>
      <c r="C287" s="2" t="n">
        <v>1.10324308389463</v>
      </c>
      <c r="D287" s="2" t="n">
        <v>2.41844556062027</v>
      </c>
      <c r="E287" s="2" t="n">
        <v>0.552774950834265</v>
      </c>
    </row>
    <row r="288" customFormat="false" ht="13.8" hidden="false" customHeight="false" outlineLevel="0" collapsed="false">
      <c r="B288" s="2" t="n">
        <v>286</v>
      </c>
      <c r="C288" s="2" t="n">
        <v>1.04606186627861</v>
      </c>
      <c r="D288" s="2" t="n">
        <v>2.30731026505356</v>
      </c>
      <c r="E288" s="2" t="n">
        <v>0.526102756418092</v>
      </c>
    </row>
    <row r="289" customFormat="false" ht="13.8" hidden="false" customHeight="false" outlineLevel="0" collapsed="false">
      <c r="B289" s="2" t="n">
        <v>287</v>
      </c>
      <c r="C289" s="2" t="n">
        <v>0.993289664919205</v>
      </c>
      <c r="D289" s="2" t="n">
        <v>2.1961760808398</v>
      </c>
      <c r="E289" s="2" t="n">
        <v>0.513875273168307</v>
      </c>
    </row>
    <row r="290" customFormat="false" ht="13.8" hidden="false" customHeight="false" outlineLevel="0" collapsed="false">
      <c r="B290" s="2" t="n">
        <v>288</v>
      </c>
      <c r="C290" s="2" t="n">
        <v>0.899646750541074</v>
      </c>
      <c r="D290" s="2" t="n">
        <v>2.08504300867581</v>
      </c>
      <c r="E290" s="2" t="n">
        <v>0.513129264045207</v>
      </c>
    </row>
    <row r="291" customFormat="false" ht="13.8" hidden="false" customHeight="false" outlineLevel="0" collapsed="false">
      <c r="B291" s="2" t="n">
        <v>289</v>
      </c>
      <c r="C291" s="2" t="n">
        <v>0.883653087406902</v>
      </c>
      <c r="D291" s="2" t="n">
        <v>2.08502215682986</v>
      </c>
      <c r="E291" s="2" t="n">
        <v>0.512198114234054</v>
      </c>
    </row>
    <row r="292" customFormat="false" ht="13.8" hidden="false" customHeight="false" outlineLevel="0" collapsed="false">
      <c r="B292" s="2" t="n">
        <v>290</v>
      </c>
      <c r="C292" s="2" t="n">
        <v>0.854049250876029</v>
      </c>
      <c r="D292" s="2" t="n">
        <v>2.04796427027918</v>
      </c>
      <c r="E292" s="2" t="n">
        <v>0.492748547808469</v>
      </c>
    </row>
    <row r="293" customFormat="false" ht="13.8" hidden="false" customHeight="false" outlineLevel="0" collapsed="false">
      <c r="B293" s="2" t="n">
        <v>291</v>
      </c>
      <c r="C293" s="2" t="n">
        <v>0.798909543716853</v>
      </c>
      <c r="D293" s="2" t="n">
        <v>1.93683267952537</v>
      </c>
      <c r="E293" s="2" t="n">
        <v>0.473669472174845</v>
      </c>
    </row>
    <row r="294" customFormat="false" ht="13.8" hidden="false" customHeight="false" outlineLevel="0" collapsed="false">
      <c r="B294" s="2" t="n">
        <v>292</v>
      </c>
      <c r="C294" s="2" t="n">
        <v>0.754215832399194</v>
      </c>
      <c r="D294" s="2" t="n">
        <v>1.82570220008747</v>
      </c>
      <c r="E294" s="2" t="n">
        <v>0.468664735480125</v>
      </c>
    </row>
    <row r="295" customFormat="false" ht="13.8" hidden="false" customHeight="false" outlineLevel="0" collapsed="false">
      <c r="B295" s="2" t="n">
        <v>293</v>
      </c>
      <c r="C295" s="2" t="n">
        <v>0.707708105055685</v>
      </c>
      <c r="D295" s="2" t="n">
        <v>1.71457283195436</v>
      </c>
      <c r="E295" s="2" t="n">
        <v>0.434771159943883</v>
      </c>
    </row>
    <row r="296" customFormat="false" ht="13.8" hidden="false" customHeight="false" outlineLevel="0" collapsed="false">
      <c r="B296" s="2" t="n">
        <v>294</v>
      </c>
      <c r="C296" s="2" t="n">
        <v>0.658645194641301</v>
      </c>
      <c r="D296" s="2" t="n">
        <v>1.60344457511493</v>
      </c>
      <c r="E296" s="2" t="n">
        <v>0.429766812232286</v>
      </c>
    </row>
    <row r="297" customFormat="false" ht="13.8" hidden="false" customHeight="false" outlineLevel="0" collapsed="false">
      <c r="B297" s="2" t="n">
        <v>295</v>
      </c>
      <c r="C297" s="2" t="n">
        <v>0.631304811893058</v>
      </c>
      <c r="D297" s="2" t="n">
        <v>1.49231742955807</v>
      </c>
      <c r="E297" s="2" t="n">
        <v>0.395873625675277</v>
      </c>
    </row>
    <row r="298" customFormat="false" ht="13.8" hidden="false" customHeight="false" outlineLevel="0" collapsed="false">
      <c r="B298" s="2" t="n">
        <v>296</v>
      </c>
      <c r="C298" s="2" t="n">
        <v>0.59029810995605</v>
      </c>
      <c r="D298" s="2" t="n">
        <v>1.38119139527267</v>
      </c>
      <c r="E298" s="2" t="n">
        <v>0.390869666939022</v>
      </c>
    </row>
    <row r="299" customFormat="false" ht="13.8" hidden="false" customHeight="false" outlineLevel="0" collapsed="false">
      <c r="B299" s="2" t="n">
        <v>297</v>
      </c>
      <c r="C299" s="2" t="n">
        <v>0.562810651419395</v>
      </c>
      <c r="D299" s="2" t="n">
        <v>1.27006647224761</v>
      </c>
      <c r="E299" s="2" t="n">
        <v>0.356976869353466</v>
      </c>
    </row>
    <row r="300" customFormat="false" ht="13.8" hidden="false" customHeight="false" outlineLevel="0" collapsed="false">
      <c r="B300" s="2" t="n">
        <v>298</v>
      </c>
      <c r="C300" s="2" t="n">
        <v>0.509138171461029</v>
      </c>
      <c r="D300" s="2" t="n">
        <v>1.15894266047177</v>
      </c>
      <c r="E300" s="2" t="n">
        <v>0.351973299584774</v>
      </c>
    </row>
    <row r="301" customFormat="false" ht="13.8" hidden="false" customHeight="false" outlineLevel="0" collapsed="false">
      <c r="B301" s="2" t="n">
        <v>299</v>
      </c>
      <c r="C301" s="2" t="n">
        <v>0.49398463563487</v>
      </c>
      <c r="D301" s="2" t="n">
        <v>1.04781995993406</v>
      </c>
      <c r="E301" s="2" t="n">
        <v>0.318080890962892</v>
      </c>
    </row>
    <row r="302" customFormat="false" ht="13.8" hidden="false" customHeight="false" outlineLevel="0" collapsed="false">
      <c r="B302" s="2" t="n">
        <v>300</v>
      </c>
      <c r="C302" s="2" t="n">
        <v>0.447664418010736</v>
      </c>
      <c r="D302" s="2" t="n">
        <v>0.936698370623354</v>
      </c>
      <c r="E302" s="2" t="n">
        <v>0.313077710153984</v>
      </c>
    </row>
    <row r="303" customFormat="false" ht="13.8" hidden="false" customHeight="false" outlineLevel="0" collapsed="false">
      <c r="B303" s="2" t="n">
        <v>301</v>
      </c>
      <c r="C303" s="2" t="n">
        <v>0.43415964507026</v>
      </c>
      <c r="D303" s="2" t="n">
        <v>0.825577892528539</v>
      </c>
      <c r="E303" s="2" t="n">
        <v>0.279185690487996</v>
      </c>
    </row>
    <row r="304" customFormat="false" ht="13.8" hidden="false" customHeight="false" outlineLevel="0" collapsed="false">
      <c r="B304" s="2" t="n">
        <v>302</v>
      </c>
      <c r="C304" s="2" t="n">
        <v>0.403136692362698</v>
      </c>
      <c r="D304" s="2" t="n">
        <v>0.714458525638505</v>
      </c>
      <c r="E304" s="2" t="n">
        <v>0.274182898631093</v>
      </c>
    </row>
    <row r="305" customFormat="false" ht="13.8" hidden="false" customHeight="false" outlineLevel="0" collapsed="false">
      <c r="B305" s="2" t="n">
        <v>303</v>
      </c>
      <c r="C305" s="2" t="n">
        <v>0.35022521655133</v>
      </c>
      <c r="D305" s="2" t="n">
        <v>0.60334026994214</v>
      </c>
      <c r="E305" s="2" t="n">
        <v>0.24029126791322</v>
      </c>
    </row>
    <row r="306" customFormat="false" ht="13.8" hidden="false" customHeight="false" outlineLevel="0" collapsed="false">
      <c r="B306" s="2" t="n">
        <v>304</v>
      </c>
      <c r="C306" s="2" t="n">
        <v>0.307739936521387</v>
      </c>
      <c r="D306" s="2" t="n">
        <v>0.492223125428331</v>
      </c>
      <c r="E306" s="2" t="n">
        <v>0.235288865000543</v>
      </c>
    </row>
    <row r="307" customFormat="false" ht="13.8" hidden="false" customHeight="false" outlineLevel="0" collapsed="false">
      <c r="B307" s="2" t="n">
        <v>305</v>
      </c>
      <c r="C307" s="2" t="n">
        <v>0.252884914677577</v>
      </c>
      <c r="D307" s="2" t="n">
        <v>0.381107092085968</v>
      </c>
      <c r="E307" s="2" t="n">
        <v>0.201397623223007</v>
      </c>
    </row>
    <row r="308" customFormat="false" ht="13.8" hidden="false" customHeight="false" outlineLevel="0" collapsed="false">
      <c r="B308" s="2" t="n">
        <v>306</v>
      </c>
      <c r="C308" s="2" t="n">
        <v>0.210011774717319</v>
      </c>
      <c r="D308" s="2" t="n">
        <v>0.269992169903938</v>
      </c>
      <c r="E308" s="2" t="n">
        <v>0.196395609246777</v>
      </c>
    </row>
    <row r="309" customFormat="false" ht="13.8" hidden="false" customHeight="false" outlineLevel="0" collapsed="false">
      <c r="B309" s="2" t="n">
        <v>307</v>
      </c>
      <c r="C309" s="2" t="n">
        <v>0.160694637562535</v>
      </c>
      <c r="D309" s="2" t="n">
        <v>0.158878358871131</v>
      </c>
      <c r="E309" s="2" t="n">
        <v>0.162504756401798</v>
      </c>
    </row>
    <row r="310" customFormat="false" ht="13.8" hidden="false" customHeight="false" outlineLevel="0" collapsed="false">
      <c r="B310" s="2" t="n">
        <v>308</v>
      </c>
      <c r="C310" s="2" t="n">
        <v>0.118470808393937</v>
      </c>
      <c r="D310" s="2" t="n">
        <v>0.0477656589764395</v>
      </c>
      <c r="E310" s="2" t="n">
        <v>0.157503131354236</v>
      </c>
    </row>
    <row r="311" customFormat="false" ht="13.8" hidden="false" customHeight="false" outlineLevel="0" collapsed="false">
      <c r="B311" s="2" t="n">
        <v>309</v>
      </c>
      <c r="C311" s="2" t="n">
        <v>0.0673398829451124</v>
      </c>
      <c r="D311" s="2" t="n">
        <v>9.02974032598318E-016</v>
      </c>
      <c r="E311" s="2" t="n">
        <v>0.0973037746798161</v>
      </c>
    </row>
    <row r="312" customFormat="false" ht="13.8" hidden="false" customHeight="false" outlineLevel="0" collapsed="false">
      <c r="B312" s="2" t="n">
        <v>310</v>
      </c>
      <c r="C312" s="2" t="n">
        <v>0.0639956346952614</v>
      </c>
      <c r="D312" s="2" t="n">
        <v>2.00385064033322E-017</v>
      </c>
      <c r="E312" s="2" t="n">
        <v>0.0949934791494026</v>
      </c>
    </row>
    <row r="313" customFormat="false" ht="13.8" hidden="false" customHeight="false" outlineLevel="0" collapsed="false">
      <c r="B313" s="2" t="n">
        <v>311</v>
      </c>
      <c r="C313" s="2" t="n">
        <v>0.0403641228146489</v>
      </c>
      <c r="D313" s="2" t="n">
        <v>0</v>
      </c>
      <c r="E313" s="2" t="n">
        <v>0.0664849953403735</v>
      </c>
    </row>
    <row r="314" customFormat="false" ht="13.8" hidden="false" customHeight="false" outlineLevel="0" collapsed="false">
      <c r="B314" s="2" t="n">
        <v>312</v>
      </c>
      <c r="C314" s="2" t="n">
        <v>0.0289619345497165</v>
      </c>
      <c r="D314" s="2" t="n">
        <v>3.01989888E-021</v>
      </c>
      <c r="E314" s="2" t="n">
        <v>0.0664843304904093</v>
      </c>
    </row>
    <row r="315" customFormat="false" ht="13.8" hidden="false" customHeight="false" outlineLevel="0" collapsed="false">
      <c r="B315" s="2" t="n">
        <v>313</v>
      </c>
      <c r="C315" s="2" t="n">
        <v>2.6801309106907E-017</v>
      </c>
      <c r="D315" s="2" t="n">
        <v>2.64779103370046E-017</v>
      </c>
      <c r="E315" s="2" t="n">
        <v>0.0664836656470935</v>
      </c>
    </row>
    <row r="316" customFormat="false" ht="13.8" hidden="false" customHeight="false" outlineLevel="0" collapsed="false">
      <c r="B316" s="2" t="n">
        <v>314</v>
      </c>
      <c r="C316" s="2" t="n">
        <v>0</v>
      </c>
      <c r="D316" s="2" t="n">
        <v>0</v>
      </c>
      <c r="E316" s="2" t="n">
        <v>0.0579558561646945</v>
      </c>
    </row>
    <row r="317" customFormat="false" ht="13.8" hidden="false" customHeight="false" outlineLevel="0" collapsed="false">
      <c r="B317" s="2" t="n">
        <v>315</v>
      </c>
      <c r="C317" s="2" t="n">
        <v>0</v>
      </c>
      <c r="D317" s="2" t="n">
        <v>0</v>
      </c>
      <c r="E317" s="2" t="n">
        <v>0.0579552766061217</v>
      </c>
    </row>
    <row r="318" customFormat="false" ht="13.8" hidden="false" customHeight="false" outlineLevel="0" collapsed="false">
      <c r="B318" s="2" t="n">
        <v>316</v>
      </c>
      <c r="C318" s="2" t="n">
        <v>0</v>
      </c>
      <c r="D318" s="2" t="n">
        <v>0</v>
      </c>
      <c r="E318" s="2" t="n">
        <v>0.0579546970533443</v>
      </c>
    </row>
    <row r="319" customFormat="false" ht="13.8" hidden="false" customHeight="false" outlineLevel="0" collapsed="false">
      <c r="B319" s="2" t="n">
        <v>317</v>
      </c>
      <c r="C319" s="2" t="n">
        <v>0</v>
      </c>
      <c r="D319" s="2" t="n">
        <v>0</v>
      </c>
      <c r="E319" s="2" t="n">
        <v>0.0579541175063622</v>
      </c>
    </row>
    <row r="320" customFormat="false" ht="13.8" hidden="false" customHeight="false" outlineLevel="0" collapsed="false">
      <c r="B320" s="2" t="n">
        <v>318</v>
      </c>
      <c r="C320" s="2" t="n">
        <v>0</v>
      </c>
      <c r="D320" s="2" t="n">
        <v>0</v>
      </c>
      <c r="E320" s="2" t="n">
        <v>0.0579535379651755</v>
      </c>
    </row>
    <row r="321" customFormat="false" ht="13.8" hidden="false" customHeight="false" outlineLevel="0" collapsed="false">
      <c r="B321" s="2" t="n">
        <v>319</v>
      </c>
      <c r="C321" s="2" t="n">
        <v>0</v>
      </c>
      <c r="D321" s="2" t="n">
        <v>0</v>
      </c>
      <c r="E321" s="2" t="n">
        <v>0.0579529584297839</v>
      </c>
    </row>
    <row r="322" customFormat="false" ht="13.8" hidden="false" customHeight="false" outlineLevel="0" collapsed="false">
      <c r="B322" s="2" t="n">
        <v>320</v>
      </c>
      <c r="C322" s="2" t="n">
        <v>0</v>
      </c>
      <c r="D322" s="2" t="n">
        <v>0</v>
      </c>
      <c r="E322" s="2" t="n">
        <v>0.0579523789001876</v>
      </c>
    </row>
    <row r="323" customFormat="false" ht="13.8" hidden="false" customHeight="false" outlineLevel="0" collapsed="false">
      <c r="B323" s="2" t="n">
        <v>321</v>
      </c>
      <c r="C323" s="2" t="n">
        <v>0</v>
      </c>
      <c r="D323" s="2" t="n">
        <v>0</v>
      </c>
      <c r="E323" s="2" t="n">
        <v>0.0579517993763865</v>
      </c>
    </row>
    <row r="324" customFormat="false" ht="13.8" hidden="false" customHeight="false" outlineLevel="0" collapsed="false">
      <c r="B324" s="2" t="n">
        <v>322</v>
      </c>
      <c r="C324" s="2" t="n">
        <v>0</v>
      </c>
      <c r="D324" s="2" t="n">
        <v>0</v>
      </c>
      <c r="E324" s="2" t="n">
        <v>0.0579512198583806</v>
      </c>
    </row>
    <row r="325" customFormat="false" ht="13.8" hidden="false" customHeight="false" outlineLevel="0" collapsed="false">
      <c r="B325" s="2" t="n">
        <v>323</v>
      </c>
      <c r="C325" s="2" t="n">
        <v>0</v>
      </c>
      <c r="D325" s="2" t="n">
        <v>0</v>
      </c>
      <c r="E325" s="2" t="n">
        <v>0.0579506403461698</v>
      </c>
    </row>
    <row r="326" customFormat="false" ht="13.8" hidden="false" customHeight="false" outlineLevel="0" collapsed="false">
      <c r="B326" s="2" t="n">
        <v>324</v>
      </c>
      <c r="C326" s="2" t="n">
        <v>0</v>
      </c>
      <c r="D326" s="2" t="n">
        <v>0</v>
      </c>
      <c r="E326" s="2" t="n">
        <v>0.0579500608397539</v>
      </c>
    </row>
    <row r="327" customFormat="false" ht="13.8" hidden="false" customHeight="false" outlineLevel="0" collapsed="false">
      <c r="B327" s="2" t="n">
        <v>325</v>
      </c>
      <c r="C327" s="2" t="n">
        <v>0</v>
      </c>
      <c r="D327" s="2" t="n">
        <v>0</v>
      </c>
      <c r="E327" s="2" t="n">
        <v>0.0579494813391328</v>
      </c>
    </row>
    <row r="328" customFormat="false" ht="13.8" hidden="false" customHeight="false" outlineLevel="0" collapsed="false">
      <c r="B328" s="2" t="n">
        <v>326</v>
      </c>
      <c r="C328" s="2" t="n">
        <v>0</v>
      </c>
      <c r="D328" s="2" t="n">
        <v>0</v>
      </c>
      <c r="E328" s="2" t="n">
        <v>0.0579489018443065</v>
      </c>
    </row>
    <row r="329" customFormat="false" ht="13.8" hidden="false" customHeight="false" outlineLevel="0" collapsed="false">
      <c r="B329" s="2" t="n">
        <v>327</v>
      </c>
      <c r="C329" s="2" t="n">
        <v>0</v>
      </c>
      <c r="D329" s="2" t="n">
        <v>0</v>
      </c>
      <c r="E329" s="2" t="n">
        <v>0.0579483223552748</v>
      </c>
    </row>
    <row r="330" customFormat="false" ht="13.8" hidden="false" customHeight="false" outlineLevel="0" collapsed="false">
      <c r="B330" s="2" t="n">
        <v>328</v>
      </c>
      <c r="C330" s="2" t="n">
        <v>0</v>
      </c>
      <c r="D330" s="2" t="n">
        <v>0</v>
      </c>
      <c r="E330" s="2" t="n">
        <v>0.0579477428720381</v>
      </c>
    </row>
    <row r="331" customFormat="false" ht="13.8" hidden="false" customHeight="false" outlineLevel="0" collapsed="false">
      <c r="B331" s="2" t="n">
        <v>329</v>
      </c>
      <c r="C331" s="2" t="n">
        <v>0</v>
      </c>
      <c r="D331" s="2" t="n">
        <v>0</v>
      </c>
      <c r="E331" s="2" t="n">
        <v>0.0579471633945962</v>
      </c>
    </row>
    <row r="332" customFormat="false" ht="13.8" hidden="false" customHeight="false" outlineLevel="0" collapsed="false">
      <c r="B332" s="2" t="n">
        <v>330</v>
      </c>
      <c r="C332" s="2" t="n">
        <v>0</v>
      </c>
      <c r="D332" s="2" t="n">
        <v>0</v>
      </c>
      <c r="E332" s="2" t="n">
        <v>0.0579465839229488</v>
      </c>
    </row>
    <row r="333" customFormat="false" ht="13.8" hidden="false" customHeight="false" outlineLevel="0" collapsed="false">
      <c r="B333" s="2" t="n">
        <v>331</v>
      </c>
      <c r="C333" s="2" t="n">
        <v>0</v>
      </c>
      <c r="D333" s="2" t="n">
        <v>0</v>
      </c>
      <c r="E333" s="2" t="n">
        <v>0.0579460044570964</v>
      </c>
    </row>
    <row r="334" customFormat="false" ht="13.8" hidden="false" customHeight="false" outlineLevel="0" collapsed="false">
      <c r="B334" s="2" t="n">
        <v>332</v>
      </c>
      <c r="C334" s="2" t="n">
        <v>0</v>
      </c>
      <c r="D334" s="2" t="n">
        <v>5.28252714417999E-011</v>
      </c>
      <c r="E334" s="2" t="n">
        <v>0.0579454249970382</v>
      </c>
    </row>
    <row r="335" customFormat="false" ht="13.8" hidden="false" customHeight="false" outlineLevel="0" collapsed="false">
      <c r="B335" s="2" t="n">
        <v>333</v>
      </c>
      <c r="C335" s="2" t="n">
        <v>0.173389270492197</v>
      </c>
      <c r="D335" s="2" t="n">
        <v>3.61899947602451E-010</v>
      </c>
      <c r="E335" s="2" t="n">
        <v>0.0579448455427743</v>
      </c>
    </row>
    <row r="336" customFormat="false" ht="13.8" hidden="false" customHeight="false" outlineLevel="0" collapsed="false">
      <c r="B336" s="2" t="n">
        <v>334</v>
      </c>
      <c r="C336" s="2" t="n">
        <v>0.454143708865519</v>
      </c>
      <c r="D336" s="2" t="n">
        <v>0.09920027762581</v>
      </c>
      <c r="E336" s="2" t="n">
        <v>0.0579442660943049</v>
      </c>
    </row>
    <row r="337" customFormat="false" ht="13.8" hidden="false" customHeight="false" outlineLevel="0" collapsed="false">
      <c r="B337" s="2" t="n">
        <v>335</v>
      </c>
      <c r="C337" s="2" t="n">
        <v>0.756816636679342</v>
      </c>
      <c r="D337" s="2" t="n">
        <v>0.417937060222896</v>
      </c>
      <c r="E337" s="2" t="n">
        <v>0.05794368665163</v>
      </c>
    </row>
    <row r="338" customFormat="false" ht="13.8" hidden="false" customHeight="false" outlineLevel="0" collapsed="false">
      <c r="B338" s="2" t="n">
        <v>336</v>
      </c>
      <c r="C338" s="2" t="n">
        <v>1.03280870474877</v>
      </c>
      <c r="D338" s="2" t="n">
        <v>0.738159792033111</v>
      </c>
      <c r="E338" s="2" t="n">
        <v>0.198434543709676</v>
      </c>
    </row>
    <row r="339" customFormat="false" ht="13.8" hidden="false" customHeight="false" outlineLevel="0" collapsed="false">
      <c r="B339" s="2" t="n">
        <v>337</v>
      </c>
      <c r="C339" s="2" t="n">
        <v>1.3494698798824</v>
      </c>
      <c r="D339" s="2" t="n">
        <v>1.0598684581864</v>
      </c>
      <c r="E339" s="2" t="n">
        <v>0.369036578209149</v>
      </c>
    </row>
    <row r="340" customFormat="false" ht="13.8" hidden="false" customHeight="false" outlineLevel="0" collapsed="false">
      <c r="B340" s="2" t="n">
        <v>338</v>
      </c>
      <c r="C340" s="2" t="n">
        <v>1.63849715954953</v>
      </c>
      <c r="D340" s="2" t="n">
        <v>1.37633666926638</v>
      </c>
      <c r="E340" s="2" t="n">
        <v>0.507353236614056</v>
      </c>
    </row>
    <row r="341" customFormat="false" ht="13.8" hidden="false" customHeight="false" outlineLevel="0" collapsed="false">
      <c r="B341" s="2" t="n">
        <v>339</v>
      </c>
      <c r="C341" s="2" t="n">
        <v>1.97219056508911</v>
      </c>
      <c r="D341" s="2" t="n">
        <v>1.6875644776776</v>
      </c>
      <c r="E341" s="2" t="n">
        <v>0.671884841778161</v>
      </c>
    </row>
    <row r="342" customFormat="false" ht="13.8" hidden="false" customHeight="false" outlineLevel="0" collapsed="false">
      <c r="B342" s="2" t="n">
        <v>340</v>
      </c>
      <c r="C342" s="2" t="n">
        <v>2.25329050483987</v>
      </c>
      <c r="D342" s="2" t="n">
        <v>1.99355193582409</v>
      </c>
      <c r="E342" s="2" t="n">
        <v>0.804131131551994</v>
      </c>
    </row>
    <row r="343" customFormat="false" ht="13.8" hidden="false" customHeight="false" outlineLevel="0" collapsed="false">
      <c r="B343" s="2" t="n">
        <v>341</v>
      </c>
      <c r="C343" s="2" t="n">
        <v>2.52456263973648</v>
      </c>
      <c r="D343" s="2" t="n">
        <v>2.29429909610934</v>
      </c>
      <c r="E343" s="2" t="n">
        <v>0.962592428788711</v>
      </c>
    </row>
    <row r="344" customFormat="false" ht="13.8" hidden="false" customHeight="false" outlineLevel="0" collapsed="false">
      <c r="B344" s="2" t="n">
        <v>342</v>
      </c>
      <c r="C344" s="2" t="n">
        <v>2.7628613226778</v>
      </c>
      <c r="D344" s="2" t="n">
        <v>2.56525089466179</v>
      </c>
      <c r="E344" s="2" t="n">
        <v>0.962582802864408</v>
      </c>
    </row>
    <row r="345" customFormat="false" ht="13.8" hidden="false" customHeight="false" outlineLevel="0" collapsed="false">
      <c r="B345" s="2" t="n">
        <v>343</v>
      </c>
      <c r="C345" s="2" t="n">
        <v>2.96866701839835</v>
      </c>
      <c r="D345" s="2" t="n">
        <v>2.80640762943505</v>
      </c>
      <c r="E345" s="2" t="n">
        <v>1.08652807350896</v>
      </c>
    </row>
    <row r="346" customFormat="false" ht="13.8" hidden="false" customHeight="false" outlineLevel="0" collapsed="false">
      <c r="B346" s="2" t="n">
        <v>344</v>
      </c>
      <c r="C346" s="2" t="n">
        <v>3.145234826828</v>
      </c>
      <c r="D346" s="2" t="n">
        <v>3.01776959837975</v>
      </c>
      <c r="E346" s="2" t="n">
        <v>1.16396488366307</v>
      </c>
    </row>
    <row r="347" customFormat="false" ht="13.8" hidden="false" customHeight="false" outlineLevel="0" collapsed="false">
      <c r="B347" s="2" t="n">
        <v>345</v>
      </c>
      <c r="C347" s="2" t="n">
        <v>3.28835010034563</v>
      </c>
      <c r="D347" s="2" t="n">
        <v>3.19933709944356</v>
      </c>
      <c r="E347" s="2" t="n">
        <v>1.16395324401422</v>
      </c>
    </row>
    <row r="348" customFormat="false" ht="13.8" hidden="false" customHeight="false" outlineLevel="0" collapsed="false">
      <c r="B348" s="2" t="n">
        <v>346</v>
      </c>
      <c r="C348" s="2" t="n">
        <v>3.41528661163866</v>
      </c>
      <c r="D348" s="2" t="n">
        <v>3.36681492739102</v>
      </c>
      <c r="E348" s="2" t="n">
        <v>1.16394160448177</v>
      </c>
    </row>
    <row r="349" customFormat="false" ht="13.8" hidden="false" customHeight="false" outlineLevel="0" collapsed="false">
      <c r="B349" s="2" t="n">
        <v>347</v>
      </c>
      <c r="C349" s="2" t="n">
        <v>3.52652441749472</v>
      </c>
      <c r="D349" s="2" t="n">
        <v>3.52020322311885</v>
      </c>
      <c r="E349" s="2" t="n">
        <v>1.16392996506571</v>
      </c>
    </row>
    <row r="350" customFormat="false" ht="13.8" hidden="false" customHeight="false" outlineLevel="0" collapsed="false">
      <c r="B350" s="2" t="n">
        <v>348</v>
      </c>
      <c r="C350" s="2" t="n">
        <v>3.62218343490085</v>
      </c>
      <c r="D350" s="2" t="n">
        <v>3.65950212752238</v>
      </c>
      <c r="E350" s="2" t="n">
        <v>1.16391832576604</v>
      </c>
    </row>
    <row r="351" customFormat="false" ht="13.8" hidden="false" customHeight="false" outlineLevel="0" collapsed="false">
      <c r="B351" s="2" t="n">
        <v>349</v>
      </c>
      <c r="C351" s="2" t="n">
        <v>3.70202365464494</v>
      </c>
      <c r="D351" s="2" t="n">
        <v>3.78471178149552</v>
      </c>
      <c r="E351" s="2" t="n">
        <v>1.16390668658276</v>
      </c>
    </row>
    <row r="352" customFormat="false" ht="13.8" hidden="false" customHeight="false" outlineLevel="0" collapsed="false">
      <c r="B352" s="2" t="n">
        <v>350</v>
      </c>
      <c r="C352" s="2" t="n">
        <v>3.7638449375235</v>
      </c>
      <c r="D352" s="2" t="n">
        <v>3.88585703547986</v>
      </c>
      <c r="E352" s="2" t="n">
        <v>1.1641471249027</v>
      </c>
    </row>
    <row r="353" customFormat="false" ht="13.8" hidden="false" customHeight="false" outlineLevel="0" collapsed="false">
      <c r="B353" s="2" t="n">
        <v>351</v>
      </c>
      <c r="C353" s="2" t="n">
        <v>3.78964755372588</v>
      </c>
      <c r="D353" s="2" t="n">
        <v>3.96293813011941</v>
      </c>
      <c r="E353" s="2" t="n">
        <v>1.19305721589318</v>
      </c>
    </row>
    <row r="354" customFormat="false" ht="13.8" hidden="false" customHeight="false" outlineLevel="0" collapsed="false">
      <c r="B354" s="2" t="n">
        <v>352</v>
      </c>
      <c r="C354" s="2" t="n">
        <v>3.78960965725035</v>
      </c>
      <c r="D354" s="2" t="n">
        <v>4.00051062142511</v>
      </c>
      <c r="E354" s="2" t="n">
        <v>1.19304528532101</v>
      </c>
    </row>
    <row r="355" customFormat="false" ht="13.8" hidden="false" customHeight="false" outlineLevel="0" collapsed="false">
      <c r="B355" s="2" t="n">
        <v>353</v>
      </c>
      <c r="C355" s="2" t="n">
        <v>3.78957176115377</v>
      </c>
      <c r="D355" s="2" t="n">
        <v>4.00126831146937</v>
      </c>
      <c r="E355" s="2" t="n">
        <v>1.19407793076825</v>
      </c>
    </row>
    <row r="356" customFormat="false" ht="13.8" hidden="false" customHeight="false" outlineLevel="0" collapsed="false">
      <c r="B356" s="2" t="n">
        <v>354</v>
      </c>
      <c r="C356" s="2" t="n">
        <v>3.77716802119172</v>
      </c>
      <c r="D356" s="2" t="n">
        <v>4.00122829878626</v>
      </c>
      <c r="E356" s="2" t="n">
        <v>1.15608155637778</v>
      </c>
    </row>
    <row r="357" customFormat="false" ht="13.8" hidden="false" customHeight="false" outlineLevel="0" collapsed="false">
      <c r="B357" s="2" t="n">
        <v>355</v>
      </c>
      <c r="C357" s="2" t="n">
        <v>3.76937669663931</v>
      </c>
      <c r="D357" s="2" t="n">
        <v>4.00118828650327</v>
      </c>
      <c r="E357" s="2" t="n">
        <v>1.15103375068543</v>
      </c>
    </row>
    <row r="358" customFormat="false" ht="13.8" hidden="false" customHeight="false" outlineLevel="0" collapsed="false">
      <c r="B358" s="2" t="n">
        <v>356</v>
      </c>
      <c r="C358" s="2" t="n">
        <v>3.72129042655758</v>
      </c>
      <c r="D358" s="2" t="n">
        <v>4.0011482746204</v>
      </c>
      <c r="E358" s="2" t="n">
        <v>1.10671196198331</v>
      </c>
    </row>
    <row r="359" customFormat="false" ht="13.8" hidden="false" customHeight="false" outlineLevel="0" collapsed="false">
      <c r="B359" s="2" t="n">
        <v>357</v>
      </c>
      <c r="C359" s="2" t="n">
        <v>3.69731705834043</v>
      </c>
      <c r="D359" s="2" t="n">
        <v>4.00110826313766</v>
      </c>
      <c r="E359" s="2" t="n">
        <v>1.09533880523345</v>
      </c>
    </row>
    <row r="360" customFormat="false" ht="13.8" hidden="false" customHeight="false" outlineLevel="0" collapsed="false">
      <c r="B360" s="2" t="n">
        <v>358</v>
      </c>
      <c r="C360" s="2" t="n">
        <v>3.62208709368519</v>
      </c>
      <c r="D360" s="2" t="n">
        <v>4.00106825205503</v>
      </c>
      <c r="E360" s="2" t="n">
        <v>1.03909332165976</v>
      </c>
    </row>
    <row r="361" customFormat="false" ht="13.8" hidden="false" customHeight="false" outlineLevel="0" collapsed="false">
      <c r="B361" s="2" t="n">
        <v>359</v>
      </c>
      <c r="C361" s="2" t="n">
        <v>3.5763049340467</v>
      </c>
      <c r="D361" s="2" t="n">
        <v>4.00102824137251</v>
      </c>
      <c r="E361" s="2" t="n">
        <v>1.00923521924477</v>
      </c>
    </row>
    <row r="362" customFormat="false" ht="13.8" hidden="false" customHeight="false" outlineLevel="0" collapsed="false">
      <c r="B362" s="2" t="n">
        <v>360</v>
      </c>
      <c r="C362" s="2" t="n">
        <v>3.47997011828025</v>
      </c>
      <c r="D362" s="2" t="n">
        <v>4.00098823109009</v>
      </c>
      <c r="E362" s="2" t="n">
        <v>0.948949308188737</v>
      </c>
    </row>
    <row r="363" customFormat="false" ht="13.8" hidden="false" customHeight="false" outlineLevel="0" collapsed="false">
      <c r="B363" s="2" t="n">
        <v>361</v>
      </c>
      <c r="C363" s="2" t="n">
        <v>3.42326787413462</v>
      </c>
      <c r="D363" s="2" t="n">
        <v>4.00094822120778</v>
      </c>
      <c r="E363" s="2" t="n">
        <v>0.929495374251214</v>
      </c>
    </row>
    <row r="364" customFormat="false" ht="13.8" hidden="false" customHeight="false" outlineLevel="0" collapsed="false">
      <c r="B364" s="2" t="n">
        <v>362</v>
      </c>
      <c r="C364" s="2" t="n">
        <v>3.32323230812255</v>
      </c>
      <c r="D364" s="2" t="n">
        <v>4.00090821172557</v>
      </c>
      <c r="E364" s="2" t="n">
        <v>0.87393052374192</v>
      </c>
    </row>
    <row r="365" customFormat="false" ht="13.8" hidden="false" customHeight="false" outlineLevel="0" collapsed="false">
      <c r="B365" s="2" t="n">
        <v>363</v>
      </c>
      <c r="C365" s="2" t="n">
        <v>3.2531789091328</v>
      </c>
      <c r="D365" s="2" t="n">
        <v>4.00086820264345</v>
      </c>
      <c r="E365" s="2" t="n">
        <v>0.854477339992242</v>
      </c>
    </row>
    <row r="366" customFormat="false" ht="13.8" hidden="false" customHeight="false" outlineLevel="0" collapsed="false">
      <c r="B366" s="2" t="n">
        <v>364</v>
      </c>
      <c r="C366" s="2" t="n">
        <v>3.12297741438075</v>
      </c>
      <c r="D366" s="2" t="n">
        <v>4.00082819396143</v>
      </c>
      <c r="E366" s="2" t="n">
        <v>0.79891323966329</v>
      </c>
    </row>
    <row r="367" customFormat="false" ht="13.8" hidden="false" customHeight="false" outlineLevel="0" collapsed="false">
      <c r="B367" s="2" t="n">
        <v>365</v>
      </c>
      <c r="C367" s="2" t="n">
        <v>3.02157246238438</v>
      </c>
      <c r="D367" s="2" t="n">
        <v>3.88967707456838</v>
      </c>
      <c r="E367" s="2" t="n">
        <v>0.772979176456824</v>
      </c>
    </row>
    <row r="368" customFormat="false" ht="13.8" hidden="false" customHeight="false" outlineLevel="0" collapsed="false">
      <c r="B368" s="2" t="n">
        <v>366</v>
      </c>
      <c r="C368" s="2" t="n">
        <v>2.88403763554865</v>
      </c>
      <c r="D368" s="2" t="n">
        <v>3.77852706668652</v>
      </c>
      <c r="E368" s="2" t="n">
        <v>0.717415891109507</v>
      </c>
    </row>
    <row r="369" customFormat="false" ht="13.8" hidden="false" customHeight="false" outlineLevel="0" collapsed="false">
      <c r="B369" s="2" t="n">
        <v>367</v>
      </c>
      <c r="C369" s="2" t="n">
        <v>2.78287466554266</v>
      </c>
      <c r="D369" s="2" t="n">
        <v>3.66737817030474</v>
      </c>
      <c r="E369" s="2" t="n">
        <v>0.716482698432082</v>
      </c>
    </row>
    <row r="370" customFormat="false" ht="13.8" hidden="false" customHeight="false" outlineLevel="0" collapsed="false">
      <c r="B370" s="2" t="n">
        <v>368</v>
      </c>
      <c r="C370" s="2" t="n">
        <v>2.63560141087008</v>
      </c>
      <c r="D370" s="2" t="n">
        <v>3.55623038541193</v>
      </c>
      <c r="E370" s="2" t="n">
        <v>0.715364366938435</v>
      </c>
    </row>
    <row r="371" customFormat="false" ht="13.8" hidden="false" customHeight="false" outlineLevel="0" collapsed="false">
      <c r="B371" s="2" t="n">
        <v>369</v>
      </c>
      <c r="C371" s="2" t="n">
        <v>2.51668186967079</v>
      </c>
      <c r="D371" s="2" t="n">
        <v>3.44508371199696</v>
      </c>
      <c r="E371" s="2" t="n">
        <v>0.688690546628102</v>
      </c>
    </row>
    <row r="372" customFormat="false" ht="13.8" hidden="false" customHeight="false" outlineLevel="0" collapsed="false">
      <c r="B372" s="2" t="n">
        <v>370</v>
      </c>
      <c r="C372" s="2" t="n">
        <v>2.34976416581505</v>
      </c>
      <c r="D372" s="2" t="n">
        <v>3.33393815004873</v>
      </c>
      <c r="E372" s="2" t="n">
        <v>0.676461437500418</v>
      </c>
    </row>
    <row r="373" customFormat="false" ht="13.8" hidden="false" customHeight="false" outlineLevel="0" collapsed="false">
      <c r="B373" s="2" t="n">
        <v>371</v>
      </c>
      <c r="C373" s="2" t="n">
        <v>2.22669996446969</v>
      </c>
      <c r="D373" s="2" t="n">
        <v>3.22279369955612</v>
      </c>
      <c r="E373" s="2" t="n">
        <v>0.675065783997158</v>
      </c>
    </row>
    <row r="374" customFormat="false" ht="13.8" hidden="false" customHeight="false" outlineLevel="0" collapsed="false">
      <c r="B374" s="2" t="n">
        <v>372</v>
      </c>
      <c r="C374" s="2" t="n">
        <v>2.06474738265523</v>
      </c>
      <c r="D374" s="2" t="n">
        <v>3.11165036050802</v>
      </c>
      <c r="E374" s="2" t="n">
        <v>0.644781255561544</v>
      </c>
    </row>
    <row r="375" customFormat="false" ht="13.8" hidden="false" customHeight="false" outlineLevel="0" collapsed="false">
      <c r="B375" s="2" t="n">
        <v>373</v>
      </c>
      <c r="C375" s="2" t="n">
        <v>1.96533293888511</v>
      </c>
      <c r="D375" s="2" t="n">
        <v>3.0005081328933</v>
      </c>
      <c r="E375" s="2" t="n">
        <v>0.636163696637881</v>
      </c>
    </row>
    <row r="376" customFormat="false" ht="13.8" hidden="false" customHeight="false" outlineLevel="0" collapsed="false">
      <c r="B376" s="2" t="n">
        <v>374</v>
      </c>
      <c r="C376" s="2" t="n">
        <v>1.8772707670372</v>
      </c>
      <c r="D376" s="2" t="n">
        <v>2.88936701670086</v>
      </c>
      <c r="E376" s="2" t="n">
        <v>0.605879557223141</v>
      </c>
    </row>
    <row r="377" customFormat="false" ht="13.8" hidden="false" customHeight="false" outlineLevel="0" collapsed="false">
      <c r="B377" s="2" t="n">
        <v>375</v>
      </c>
      <c r="C377" s="2" t="n">
        <v>1.78474734618139</v>
      </c>
      <c r="D377" s="2" t="n">
        <v>2.77822701191958</v>
      </c>
      <c r="E377" s="2" t="n">
        <v>0.597262387316461</v>
      </c>
    </row>
    <row r="378" customFormat="false" ht="13.8" hidden="false" customHeight="false" outlineLevel="0" collapsed="false">
      <c r="B378" s="2" t="n">
        <v>376</v>
      </c>
      <c r="C378" s="2" t="n">
        <v>1.70965085055978</v>
      </c>
      <c r="D378" s="2" t="n">
        <v>2.66708811853835</v>
      </c>
      <c r="E378" s="2" t="n">
        <v>0.58549706284074</v>
      </c>
    </row>
    <row r="379" customFormat="false" ht="13.8" hidden="false" customHeight="false" outlineLevel="0" collapsed="false">
      <c r="B379" s="2" t="n">
        <v>377</v>
      </c>
      <c r="C379" s="2" t="n">
        <v>1.65788801331053</v>
      </c>
      <c r="D379" s="2" t="n">
        <v>2.55595033654605</v>
      </c>
      <c r="E379" s="2" t="n">
        <v>0.585028059721967</v>
      </c>
    </row>
    <row r="380" customFormat="false" ht="13.8" hidden="false" customHeight="false" outlineLevel="0" collapsed="false">
      <c r="B380" s="2" t="n">
        <v>378</v>
      </c>
      <c r="C380" s="2" t="n">
        <v>1.60914467517114</v>
      </c>
      <c r="D380" s="2" t="n">
        <v>2.44481366593158</v>
      </c>
      <c r="E380" s="2" t="n">
        <v>0.583633320552485</v>
      </c>
    </row>
    <row r="381" customFormat="false" ht="13.8" hidden="false" customHeight="false" outlineLevel="0" collapsed="false">
      <c r="B381" s="2" t="n">
        <v>379</v>
      </c>
      <c r="C381" s="2" t="n">
        <v>1.52069854668735</v>
      </c>
      <c r="D381" s="2" t="n">
        <v>2.33367810668381</v>
      </c>
      <c r="E381" s="2" t="n">
        <v>0.546127484219284</v>
      </c>
    </row>
    <row r="382" customFormat="false" ht="13.8" hidden="false" customHeight="false" outlineLevel="0" collapsed="false">
      <c r="B382" s="2" t="n">
        <v>380</v>
      </c>
      <c r="C382" s="2" t="n">
        <v>1.44103189525744</v>
      </c>
      <c r="D382" s="2" t="n">
        <v>2.22254365879163</v>
      </c>
      <c r="E382" s="2" t="n">
        <v>0.544733134055557</v>
      </c>
    </row>
    <row r="383" customFormat="false" ht="13.8" hidden="false" customHeight="false" outlineLevel="0" collapsed="false">
      <c r="B383" s="2" t="n">
        <v>381</v>
      </c>
      <c r="C383" s="2" t="n">
        <v>1.35462502197552</v>
      </c>
      <c r="D383" s="2" t="n">
        <v>2.11141032224393</v>
      </c>
      <c r="E383" s="2" t="n">
        <v>0.514449908946442</v>
      </c>
    </row>
    <row r="384" customFormat="false" ht="13.8" hidden="false" customHeight="false" outlineLevel="0" collapsed="false">
      <c r="B384" s="2" t="n">
        <v>382</v>
      </c>
      <c r="C384" s="2" t="n">
        <v>1.28840342016975</v>
      </c>
      <c r="D384" s="2" t="n">
        <v>2.0965743933259</v>
      </c>
      <c r="E384" s="2" t="n">
        <v>0.505926227410319</v>
      </c>
    </row>
    <row r="385" customFormat="false" ht="13.8" hidden="false" customHeight="false" outlineLevel="0" collapsed="false">
      <c r="B385" s="2" t="n">
        <v>383</v>
      </c>
      <c r="C385" s="2" t="n">
        <v>1.25653579539481</v>
      </c>
      <c r="D385" s="2" t="n">
        <v>2.09655342758196</v>
      </c>
      <c r="E385" s="2" t="n">
        <v>0.482865612592493</v>
      </c>
    </row>
    <row r="386" customFormat="false" ht="13.8" hidden="false" customHeight="false" outlineLevel="0" collapsed="false">
      <c r="B386" s="2" t="n">
        <v>384</v>
      </c>
      <c r="C386" s="2" t="n">
        <v>1.17164965596278</v>
      </c>
      <c r="D386" s="2" t="n">
        <v>2.09653246204769</v>
      </c>
      <c r="E386" s="2" t="n">
        <v>0.467120024677112</v>
      </c>
    </row>
    <row r="387" customFormat="false" ht="13.8" hidden="false" customHeight="false" outlineLevel="0" collapsed="false">
      <c r="B387" s="2" t="n">
        <v>385</v>
      </c>
      <c r="C387" s="2" t="n">
        <v>1.08809753205881</v>
      </c>
      <c r="D387" s="2" t="n">
        <v>2.09651149672307</v>
      </c>
      <c r="E387" s="2" t="n">
        <v>0.467115075699091</v>
      </c>
    </row>
    <row r="388" customFormat="false" ht="13.8" hidden="false" customHeight="false" outlineLevel="0" collapsed="false">
      <c r="B388" s="2" t="n">
        <v>386</v>
      </c>
      <c r="C388" s="2" t="n">
        <v>1.07315785478719</v>
      </c>
      <c r="D388" s="2" t="n">
        <v>2.02241645753402</v>
      </c>
      <c r="E388" s="2" t="n">
        <v>0.429888126770561</v>
      </c>
    </row>
    <row r="389" customFormat="false" ht="13.8" hidden="false" customHeight="false" outlineLevel="0" collapsed="false">
      <c r="B389" s="2" t="n">
        <v>387</v>
      </c>
      <c r="C389" s="2" t="n">
        <v>0.97251595654198</v>
      </c>
      <c r="D389" s="2" t="n">
        <v>1.91128512225834</v>
      </c>
      <c r="E389" s="2" t="n">
        <v>0.428494939000408</v>
      </c>
    </row>
    <row r="390" customFormat="false" ht="13.8" hidden="false" customHeight="false" outlineLevel="0" collapsed="false">
      <c r="B390" s="2" t="n">
        <v>388</v>
      </c>
      <c r="C390" s="2" t="n">
        <v>0.945671842493526</v>
      </c>
      <c r="D390" s="2" t="n">
        <v>1.800154898296</v>
      </c>
      <c r="E390" s="2" t="n">
        <v>0.390990654051022</v>
      </c>
    </row>
    <row r="391" customFormat="false" ht="13.8" hidden="false" customHeight="false" outlineLevel="0" collapsed="false">
      <c r="B391" s="2" t="n">
        <v>389</v>
      </c>
      <c r="C391" s="2" t="n">
        <v>0.867087959849176</v>
      </c>
      <c r="D391" s="2" t="n">
        <v>1.68902578563591</v>
      </c>
      <c r="E391" s="2" t="n">
        <v>0.353671892292633</v>
      </c>
    </row>
    <row r="392" customFormat="false" ht="13.8" hidden="false" customHeight="false" outlineLevel="0" collapsed="false">
      <c r="B392" s="2" t="n">
        <v>390</v>
      </c>
      <c r="C392" s="2" t="n">
        <v>0.841523585265874</v>
      </c>
      <c r="D392" s="2" t="n">
        <v>1.57789778426694</v>
      </c>
      <c r="E392" s="2" t="n">
        <v>0.352279466684825</v>
      </c>
    </row>
    <row r="393" customFormat="false" ht="13.8" hidden="false" customHeight="false" outlineLevel="0" collapsed="false">
      <c r="B393" s="2" t="n">
        <v>391</v>
      </c>
      <c r="C393" s="2" t="n">
        <v>0.793181614474466</v>
      </c>
      <c r="D393" s="2" t="n">
        <v>1.46677089417799</v>
      </c>
      <c r="E393" s="2" t="n">
        <v>0.325886999445718</v>
      </c>
    </row>
    <row r="394" customFormat="false" ht="13.8" hidden="false" customHeight="false" outlineLevel="0" collapsed="false">
      <c r="B394" s="2" t="n">
        <v>392</v>
      </c>
      <c r="C394" s="2" t="n">
        <v>0.732599275250914</v>
      </c>
      <c r="D394" s="2" t="n">
        <v>1.35564511535794</v>
      </c>
      <c r="E394" s="2" t="n">
        <v>0.307365036872024</v>
      </c>
    </row>
    <row r="395" customFormat="false" ht="13.8" hidden="false" customHeight="false" outlineLevel="0" collapsed="false">
      <c r="B395" s="2" t="n">
        <v>393</v>
      </c>
      <c r="C395" s="2" t="n">
        <v>0.694999227035939</v>
      </c>
      <c r="D395" s="2" t="n">
        <v>1.24452044779567</v>
      </c>
      <c r="E395" s="2" t="n">
        <v>0.287917518777214</v>
      </c>
    </row>
    <row r="396" customFormat="false" ht="13.8" hidden="false" customHeight="false" outlineLevel="0" collapsed="false">
      <c r="B396" s="2" t="n">
        <v>394</v>
      </c>
      <c r="C396" s="2" t="n">
        <v>0.637325332599225</v>
      </c>
      <c r="D396" s="2" t="n">
        <v>1.13339689148008</v>
      </c>
      <c r="E396" s="2" t="n">
        <v>0.268470195157586</v>
      </c>
    </row>
    <row r="397" customFormat="false" ht="13.8" hidden="false" customHeight="false" outlineLevel="0" collapsed="false">
      <c r="B397" s="2" t="n">
        <v>395</v>
      </c>
      <c r="C397" s="2" t="n">
        <v>0.600170607494047</v>
      </c>
      <c r="D397" s="2" t="n">
        <v>1.02227444640006</v>
      </c>
      <c r="E397" s="2" t="n">
        <v>0.249023066011194</v>
      </c>
    </row>
    <row r="398" customFormat="false" ht="13.8" hidden="false" customHeight="false" outlineLevel="0" collapsed="false">
      <c r="B398" s="2" t="n">
        <v>396</v>
      </c>
      <c r="C398" s="2" t="n">
        <v>0.575052494676861</v>
      </c>
      <c r="D398" s="2" t="n">
        <v>0.911153112544483</v>
      </c>
      <c r="E398" s="2" t="n">
        <v>0.229576131336093</v>
      </c>
    </row>
    <row r="399" customFormat="false" ht="13.8" hidden="false" customHeight="false" outlineLevel="0" collapsed="false">
      <c r="B399" s="2" t="n">
        <v>397</v>
      </c>
      <c r="C399" s="2" t="n">
        <v>0.499083355263026</v>
      </c>
      <c r="D399" s="2" t="n">
        <v>0.800032889902247</v>
      </c>
      <c r="E399" s="2" t="n">
        <v>0.210129391130339</v>
      </c>
    </row>
    <row r="400" customFormat="false" ht="13.8" hidden="false" customHeight="false" outlineLevel="0" collapsed="false">
      <c r="B400" s="2" t="n">
        <v>398</v>
      </c>
      <c r="C400" s="2" t="n">
        <v>0.480115253318362</v>
      </c>
      <c r="D400" s="2" t="n">
        <v>0.688913778462237</v>
      </c>
      <c r="E400" s="2" t="n">
        <v>0.190682845391987</v>
      </c>
    </row>
    <row r="401" customFormat="false" ht="13.8" hidden="false" customHeight="false" outlineLevel="0" collapsed="false">
      <c r="B401" s="2" t="n">
        <v>399</v>
      </c>
      <c r="C401" s="2" t="n">
        <v>0.40664719290657</v>
      </c>
      <c r="D401" s="2" t="n">
        <v>0.577795778213342</v>
      </c>
      <c r="E401" s="2" t="n">
        <v>0.171236494119093</v>
      </c>
    </row>
    <row r="402" customFormat="false" ht="13.8" hidden="false" customHeight="false" outlineLevel="0" collapsed="false">
      <c r="B402" s="2" t="n">
        <v>400</v>
      </c>
      <c r="C402" s="2" t="n">
        <v>0.400901737545753</v>
      </c>
      <c r="D402" s="2" t="n">
        <v>0.466678889144449</v>
      </c>
      <c r="E402" s="2" t="n">
        <v>0.151790337309711</v>
      </c>
    </row>
    <row r="403" customFormat="false" ht="13.8" hidden="false" customHeight="false" outlineLevel="0" collapsed="false">
      <c r="B403" s="2" t="n">
        <v>401</v>
      </c>
      <c r="C403" s="2" t="n">
        <v>0.332045580380229</v>
      </c>
      <c r="D403" s="2" t="n">
        <v>0.355563111244446</v>
      </c>
      <c r="E403" s="2" t="n">
        <v>0.132344374961897</v>
      </c>
    </row>
    <row r="404" customFormat="false" ht="13.8" hidden="false" customHeight="false" outlineLevel="0" collapsed="false">
      <c r="B404" s="2" t="n">
        <v>402</v>
      </c>
      <c r="C404" s="2" t="n">
        <v>0.307616241405907</v>
      </c>
      <c r="D404" s="2" t="n">
        <v>0.244448444502223</v>
      </c>
      <c r="E404" s="2" t="n">
        <v>0.112898607073707</v>
      </c>
    </row>
    <row r="405" customFormat="false" ht="13.8" hidden="false" customHeight="false" outlineLevel="0" collapsed="false">
      <c r="B405" s="2" t="n">
        <v>403</v>
      </c>
      <c r="C405" s="2" t="n">
        <v>0.241946054132382</v>
      </c>
      <c r="D405" s="2" t="n">
        <v>0.133334888906667</v>
      </c>
      <c r="E405" s="2" t="n">
        <v>0.0934530336431958</v>
      </c>
    </row>
    <row r="406" customFormat="false" ht="13.8" hidden="false" customHeight="false" outlineLevel="0" collapsed="false">
      <c r="B406" s="2" t="n">
        <v>404</v>
      </c>
      <c r="C406" s="2" t="n">
        <v>0.218480375412582</v>
      </c>
      <c r="D406" s="2" t="n">
        <v>0.0222224444466666</v>
      </c>
      <c r="E406" s="2" t="n">
        <v>0.0740076546684188</v>
      </c>
    </row>
    <row r="407" customFormat="false" ht="13.8" hidden="false" customHeight="false" outlineLevel="0" collapsed="false">
      <c r="B407" s="2" t="n">
        <v>405</v>
      </c>
      <c r="C407" s="2" t="n">
        <v>0.164681727645865</v>
      </c>
      <c r="D407" s="2" t="n">
        <v>4.96083727904854E-017</v>
      </c>
      <c r="E407" s="2" t="n">
        <v>0.0545624701474315</v>
      </c>
    </row>
    <row r="408" customFormat="false" ht="13.8" hidden="false" customHeight="false" outlineLevel="0" collapsed="false">
      <c r="B408" s="2" t="n">
        <v>406</v>
      </c>
      <c r="C408" s="2" t="n">
        <v>0.122224803789442</v>
      </c>
      <c r="D408" s="2" t="n">
        <v>1.05935510402936E-018</v>
      </c>
      <c r="E408" s="2" t="n">
        <v>0.0374391356384922</v>
      </c>
    </row>
    <row r="409" customFormat="false" ht="13.8" hidden="false" customHeight="false" outlineLevel="0" collapsed="false">
      <c r="B409" s="2" t="n">
        <v>407</v>
      </c>
      <c r="C409" s="2" t="n">
        <v>0.061388175611256</v>
      </c>
      <c r="D409" s="2" t="n">
        <v>0</v>
      </c>
      <c r="E409" s="2" t="n">
        <v>0.0226376279230804</v>
      </c>
    </row>
    <row r="410" customFormat="false" ht="13.8" hidden="false" customHeight="false" outlineLevel="0" collapsed="false">
      <c r="B410" s="2" t="n">
        <v>408</v>
      </c>
      <c r="C410" s="2" t="n">
        <v>0.0307640639453857</v>
      </c>
      <c r="D410" s="2" t="n">
        <v>7.43420810583666E-021</v>
      </c>
      <c r="E410" s="2" t="n">
        <v>0.0101579237829283</v>
      </c>
    </row>
    <row r="411" customFormat="false" ht="13.8" hidden="false" customHeight="false" outlineLevel="0" collapsed="false">
      <c r="B411" s="2" t="n">
        <v>409</v>
      </c>
      <c r="C411" s="2" t="n">
        <v>8.04962923079117E-017</v>
      </c>
      <c r="D411" s="2" t="n">
        <v>0</v>
      </c>
      <c r="E411" s="2" t="n">
        <v>1.41697974518646E-015</v>
      </c>
    </row>
    <row r="412" customFormat="false" ht="13.8" hidden="false" customHeight="false" outlineLevel="0" collapsed="false">
      <c r="B412" s="2" t="n">
        <v>410</v>
      </c>
      <c r="C412" s="2" t="n">
        <v>1.80521038931559E-018</v>
      </c>
      <c r="D412" s="2" t="n">
        <v>0</v>
      </c>
      <c r="E412" s="2" t="n">
        <v>3.17683475027068E-017</v>
      </c>
    </row>
    <row r="413" customFormat="false" ht="13.8" hidden="false" customHeight="false" outlineLevel="0" collapsed="false">
      <c r="B413" s="2" t="n">
        <v>411</v>
      </c>
      <c r="C413" s="2" t="n">
        <v>0</v>
      </c>
      <c r="D413" s="2" t="n">
        <v>0</v>
      </c>
      <c r="E413" s="2" t="n">
        <v>6.71075218294311E-019</v>
      </c>
    </row>
    <row r="414" customFormat="false" ht="13.8" hidden="false" customHeight="false" outlineLevel="0" collapsed="false">
      <c r="B414" s="2" t="n">
        <v>412</v>
      </c>
      <c r="C414" s="2" t="n">
        <v>0</v>
      </c>
      <c r="D414" s="2" t="n">
        <v>0</v>
      </c>
      <c r="E414" s="2" t="n">
        <v>3.06536709814801E-017</v>
      </c>
    </row>
    <row r="415" customFormat="false" ht="13.8" hidden="false" customHeight="false" outlineLevel="0" collapsed="false">
      <c r="B415" s="2" t="n">
        <v>413</v>
      </c>
      <c r="C415" s="2" t="n">
        <v>0</v>
      </c>
      <c r="D415" s="2" t="n">
        <v>0</v>
      </c>
      <c r="E415" s="2" t="n">
        <v>0.00975266276915113</v>
      </c>
    </row>
    <row r="416" customFormat="false" ht="13.8" hidden="false" customHeight="false" outlineLevel="0" collapsed="false">
      <c r="B416" s="2" t="n">
        <v>414</v>
      </c>
      <c r="C416" s="2" t="n">
        <v>0</v>
      </c>
      <c r="D416" s="2" t="n">
        <v>0</v>
      </c>
      <c r="E416" s="2" t="n">
        <v>0.041777735912989</v>
      </c>
    </row>
    <row r="417" customFormat="false" ht="13.8" hidden="false" customHeight="false" outlineLevel="0" collapsed="false">
      <c r="B417" s="2" t="n">
        <v>415</v>
      </c>
      <c r="C417" s="2" t="n">
        <v>0</v>
      </c>
      <c r="D417" s="2" t="n">
        <v>0</v>
      </c>
      <c r="E417" s="2" t="n">
        <v>0.0913832046373198</v>
      </c>
    </row>
    <row r="418" customFormat="false" ht="13.8" hidden="false" customHeight="false" outlineLevel="0" collapsed="false">
      <c r="B418" s="2" t="n">
        <v>416</v>
      </c>
      <c r="C418" s="2" t="n">
        <v>0</v>
      </c>
      <c r="D418" s="2" t="n">
        <v>0</v>
      </c>
      <c r="E418" s="2" t="n">
        <v>0.0913822908052735</v>
      </c>
    </row>
    <row r="419" customFormat="false" ht="13.8" hidden="false" customHeight="false" outlineLevel="0" collapsed="false">
      <c r="B419" s="2" t="n">
        <v>417</v>
      </c>
      <c r="C419" s="2" t="n">
        <v>0</v>
      </c>
      <c r="D419" s="2" t="n">
        <v>0</v>
      </c>
      <c r="E419" s="2" t="n">
        <v>0.0913813769823655</v>
      </c>
    </row>
    <row r="420" customFormat="false" ht="13.8" hidden="false" customHeight="false" outlineLevel="0" collapsed="false">
      <c r="B420" s="2" t="n">
        <v>418</v>
      </c>
      <c r="C420" s="2" t="n">
        <v>0</v>
      </c>
      <c r="D420" s="2" t="n">
        <v>0</v>
      </c>
      <c r="E420" s="2" t="n">
        <v>0.0913804631685957</v>
      </c>
    </row>
    <row r="421" customFormat="false" ht="13.8" hidden="false" customHeight="false" outlineLevel="0" collapsed="false">
      <c r="B421" s="2" t="n">
        <v>419</v>
      </c>
      <c r="C421" s="2" t="n">
        <v>0</v>
      </c>
      <c r="D421" s="2" t="n">
        <v>0</v>
      </c>
      <c r="E421" s="2" t="n">
        <v>0.0913795493639641</v>
      </c>
    </row>
    <row r="422" customFormat="false" ht="13.8" hidden="false" customHeight="false" outlineLevel="0" collapsed="false">
      <c r="B422" s="2" t="n">
        <v>420</v>
      </c>
      <c r="C422" s="2" t="n">
        <v>0</v>
      </c>
      <c r="D422" s="2" t="n">
        <v>0</v>
      </c>
      <c r="E422" s="2" t="n">
        <v>0.0913786355684705</v>
      </c>
    </row>
    <row r="423" customFormat="false" ht="13.8" hidden="false" customHeight="false" outlineLevel="0" collapsed="false">
      <c r="B423" s="2" t="n">
        <v>421</v>
      </c>
      <c r="C423" s="2" t="n">
        <v>0</v>
      </c>
      <c r="D423" s="2" t="n">
        <v>1.32928807229401E-012</v>
      </c>
      <c r="E423" s="2" t="n">
        <v>0.0913777217821149</v>
      </c>
    </row>
    <row r="424" customFormat="false" ht="13.8" hidden="false" customHeight="false" outlineLevel="0" collapsed="false">
      <c r="B424" s="2" t="n">
        <v>422</v>
      </c>
      <c r="C424" s="2" t="n">
        <v>0</v>
      </c>
      <c r="D424" s="2" t="n">
        <v>9.77939819165761E-012</v>
      </c>
      <c r="E424" s="2" t="n">
        <v>0.0913768080048971</v>
      </c>
    </row>
    <row r="425" customFormat="false" ht="13.8" hidden="false" customHeight="false" outlineLevel="0" collapsed="false">
      <c r="B425" s="2" t="n">
        <v>423</v>
      </c>
      <c r="C425" s="2" t="n">
        <v>0</v>
      </c>
      <c r="D425" s="2" t="n">
        <v>1.42746463479401E-012</v>
      </c>
      <c r="E425" s="2" t="n">
        <v>0.0913758942368171</v>
      </c>
    </row>
    <row r="426" customFormat="false" ht="13.8" hidden="false" customHeight="false" outlineLevel="0" collapsed="false">
      <c r="B426" s="2" t="n">
        <v>424</v>
      </c>
      <c r="C426" s="2" t="n">
        <v>0</v>
      </c>
      <c r="D426" s="2" t="n">
        <v>0</v>
      </c>
      <c r="E426" s="2" t="n">
        <v>0.0913749804778748</v>
      </c>
    </row>
    <row r="427" customFormat="false" ht="13.8" hidden="false" customHeight="false" outlineLevel="0" collapsed="false">
      <c r="B427" s="2" t="n">
        <v>425</v>
      </c>
      <c r="C427" s="2" t="n">
        <v>0</v>
      </c>
      <c r="D427" s="2" t="n">
        <v>1.71723148752825E-011</v>
      </c>
      <c r="E427" s="2" t="n">
        <v>0.09137406672807</v>
      </c>
    </row>
    <row r="428" customFormat="false" ht="13.8" hidden="false" customHeight="false" outlineLevel="0" collapsed="false">
      <c r="B428" s="2" t="n">
        <v>426</v>
      </c>
      <c r="C428" s="2" t="n">
        <v>1.72544732603719E-011</v>
      </c>
      <c r="D428" s="2" t="n">
        <v>1.17645519999824E-010</v>
      </c>
      <c r="E428" s="2" t="n">
        <v>0.0913731529874028</v>
      </c>
    </row>
    <row r="429" customFormat="false" ht="13.8" hidden="false" customHeight="false" outlineLevel="0" collapsed="false">
      <c r="B429" s="2" t="n">
        <v>427</v>
      </c>
      <c r="C429" s="2" t="n">
        <v>1.4453363672948E-010</v>
      </c>
      <c r="D429" s="2" t="n">
        <v>3.43446389959184E-012</v>
      </c>
      <c r="E429" s="2" t="n">
        <v>0.0913722392558729</v>
      </c>
    </row>
    <row r="430" customFormat="false" ht="13.8" hidden="false" customHeight="false" outlineLevel="0" collapsed="false">
      <c r="B430" s="2" t="n">
        <v>428</v>
      </c>
      <c r="C430" s="2" t="n">
        <v>2.14303977197954E-010</v>
      </c>
      <c r="D430" s="2" t="n">
        <v>3.45742965875891E-017</v>
      </c>
      <c r="E430" s="2" t="n">
        <v>0.0913713255334804</v>
      </c>
    </row>
    <row r="431" customFormat="false" ht="13.8" hidden="false" customHeight="false" outlineLevel="0" collapsed="false">
      <c r="B431" s="2" t="n">
        <v>429</v>
      </c>
      <c r="C431" s="2" t="n">
        <v>0.0300658433602527</v>
      </c>
      <c r="D431" s="2" t="n">
        <v>0.276615161777885</v>
      </c>
      <c r="E431" s="2" t="n">
        <v>0.0913704118202251</v>
      </c>
    </row>
    <row r="432" customFormat="false" ht="13.8" hidden="false" customHeight="false" outlineLevel="0" collapsed="false">
      <c r="B432" s="2" t="n">
        <v>430</v>
      </c>
      <c r="C432" s="2" t="n">
        <v>0.34926499575512</v>
      </c>
      <c r="D432" s="2" t="n">
        <v>0.600873688113287</v>
      </c>
      <c r="E432" s="2" t="n">
        <v>0.0970896470751116</v>
      </c>
    </row>
    <row r="433" customFormat="false" ht="13.8" hidden="false" customHeight="false" outlineLevel="0" collapsed="false">
      <c r="B433" s="2" t="n">
        <v>431</v>
      </c>
      <c r="C433" s="2" t="n">
        <v>0.643841400940967</v>
      </c>
      <c r="D433" s="2" t="n">
        <v>0.932966785993193</v>
      </c>
      <c r="E433" s="2" t="n">
        <v>0.289249032087981</v>
      </c>
    </row>
    <row r="434" customFormat="false" ht="13.8" hidden="false" customHeight="false" outlineLevel="0" collapsed="false">
      <c r="B434" s="2" t="n">
        <v>432</v>
      </c>
      <c r="C434" s="2" t="n">
        <v>0.982090110139423</v>
      </c>
      <c r="D434" s="2" t="n">
        <v>1.27289437707189</v>
      </c>
      <c r="E434" s="2" t="n">
        <v>0.485929419022321</v>
      </c>
    </row>
    <row r="435" customFormat="false" ht="13.8" hidden="false" customHeight="false" outlineLevel="0" collapsed="false">
      <c r="B435" s="2" t="n">
        <v>433</v>
      </c>
      <c r="C435" s="2" t="n">
        <v>1.31620532662745</v>
      </c>
      <c r="D435" s="2" t="n">
        <v>1.62065638300443</v>
      </c>
      <c r="E435" s="2" t="n">
        <v>0.662848072943239</v>
      </c>
    </row>
    <row r="436" customFormat="false" ht="13.8" hidden="false" customHeight="false" outlineLevel="0" collapsed="false">
      <c r="B436" s="2" t="n">
        <v>434</v>
      </c>
      <c r="C436" s="2" t="n">
        <v>1.64045415042171</v>
      </c>
      <c r="D436" s="2" t="n">
        <v>1.96574938091306</v>
      </c>
      <c r="E436" s="2" t="n">
        <v>0.82652094920622</v>
      </c>
    </row>
    <row r="437" customFormat="false" ht="13.8" hidden="false" customHeight="false" outlineLevel="0" collapsed="false">
      <c r="B437" s="2" t="n">
        <v>435</v>
      </c>
      <c r="C437" s="2" t="n">
        <v>1.95725150018613</v>
      </c>
      <c r="D437" s="2" t="n">
        <v>2.30817339748785</v>
      </c>
      <c r="E437" s="2" t="n">
        <v>1.00034818026904</v>
      </c>
    </row>
    <row r="438" customFormat="false" ht="13.8" hidden="false" customHeight="false" outlineLevel="0" collapsed="false">
      <c r="B438" s="2" t="n">
        <v>436</v>
      </c>
      <c r="C438" s="2" t="n">
        <v>2.28383267543545</v>
      </c>
      <c r="D438" s="2" t="n">
        <v>2.6479284594186</v>
      </c>
      <c r="E438" s="2" t="n">
        <v>1.16092966458815</v>
      </c>
    </row>
    <row r="439" customFormat="false" ht="13.8" hidden="false" customHeight="false" outlineLevel="0" collapsed="false">
      <c r="B439" s="2" t="n">
        <v>437</v>
      </c>
      <c r="C439" s="2" t="n">
        <v>2.59571772833141</v>
      </c>
      <c r="D439" s="2" t="n">
        <v>2.98501459339487</v>
      </c>
      <c r="E439" s="2" t="n">
        <v>1.33166553462102</v>
      </c>
    </row>
    <row r="440" customFormat="false" ht="13.8" hidden="false" customHeight="false" outlineLevel="0" collapsed="false">
      <c r="B440" s="2" t="n">
        <v>438</v>
      </c>
      <c r="C440" s="2" t="n">
        <v>2.85101475003074</v>
      </c>
      <c r="D440" s="2" t="n">
        <v>3.26181499111274</v>
      </c>
      <c r="E440" s="2" t="n">
        <v>1.42664475204683</v>
      </c>
    </row>
    <row r="441" customFormat="false" ht="13.8" hidden="false" customHeight="false" outlineLevel="0" collapsed="false">
      <c r="B441" s="2" t="n">
        <v>439</v>
      </c>
      <c r="C441" s="2" t="n">
        <v>3.02608511641376</v>
      </c>
      <c r="D441" s="2" t="n">
        <v>3.47833025542956</v>
      </c>
      <c r="E441" s="2" t="n">
        <v>1.48657284769563</v>
      </c>
    </row>
    <row r="442" customFormat="false" ht="13.8" hidden="false" customHeight="false" outlineLevel="0" collapsed="false">
      <c r="B442" s="2" t="n">
        <v>440</v>
      </c>
      <c r="C442" s="2" t="n">
        <v>3.14660863974702</v>
      </c>
      <c r="D442" s="2" t="n">
        <v>3.63456098919668</v>
      </c>
      <c r="E442" s="2" t="n">
        <v>1.51256848750513</v>
      </c>
    </row>
    <row r="443" customFormat="false" ht="13.8" hidden="false" customHeight="false" outlineLevel="0" collapsed="false">
      <c r="B443" s="2" t="n">
        <v>441</v>
      </c>
      <c r="C443" s="2" t="n">
        <v>3.18617122549894</v>
      </c>
      <c r="D443" s="2" t="n">
        <v>3.73050779525939</v>
      </c>
      <c r="E443" s="2" t="n">
        <v>1.52568835030055</v>
      </c>
    </row>
    <row r="444" customFormat="false" ht="13.8" hidden="false" customHeight="false" outlineLevel="0" collapsed="false">
      <c r="B444" s="2" t="n">
        <v>442</v>
      </c>
      <c r="C444" s="2" t="n">
        <v>3.24837693151786</v>
      </c>
      <c r="D444" s="2" t="n">
        <v>3.83621362095916</v>
      </c>
      <c r="E444" s="2" t="n">
        <v>1.53656004619704</v>
      </c>
    </row>
    <row r="445" customFormat="false" ht="13.8" hidden="false" customHeight="false" outlineLevel="0" collapsed="false">
      <c r="B445" s="2" t="n">
        <v>443</v>
      </c>
      <c r="C445" s="2" t="n">
        <v>3.31744557637258</v>
      </c>
      <c r="D445" s="2" t="n">
        <v>3.95167836870578</v>
      </c>
      <c r="E445" s="2" t="n">
        <v>1.55399016698161</v>
      </c>
    </row>
    <row r="446" customFormat="false" ht="13.8" hidden="false" customHeight="false" outlineLevel="0" collapsed="false">
      <c r="B446" s="2" t="n">
        <v>444</v>
      </c>
      <c r="C446" s="2" t="n">
        <v>3.4215321814337</v>
      </c>
      <c r="D446" s="2" t="n">
        <v>4.07690194091003</v>
      </c>
      <c r="E446" s="2" t="n">
        <v>1.59216207082389</v>
      </c>
    </row>
    <row r="447" customFormat="false" ht="13.8" hidden="false" customHeight="false" outlineLevel="0" collapsed="false">
      <c r="B447" s="2" t="n">
        <v>445</v>
      </c>
      <c r="C447" s="2" t="n">
        <v>3.49150166652162</v>
      </c>
      <c r="D447" s="2" t="n">
        <v>4.21188423998368</v>
      </c>
      <c r="E447" s="2" t="n">
        <v>1.62535826063434</v>
      </c>
    </row>
    <row r="448" customFormat="false" ht="13.8" hidden="false" customHeight="false" outlineLevel="0" collapsed="false">
      <c r="B448" s="2" t="n">
        <v>446</v>
      </c>
      <c r="C448" s="2" t="n">
        <v>3.58931671794123</v>
      </c>
      <c r="D448" s="2" t="n">
        <v>4.33486067956351</v>
      </c>
      <c r="E448" s="2" t="n">
        <v>1.6808505063238</v>
      </c>
    </row>
    <row r="449" customFormat="false" ht="13.8" hidden="false" customHeight="false" outlineLevel="0" collapsed="false">
      <c r="B449" s="2" t="n">
        <v>447</v>
      </c>
      <c r="C449" s="2" t="n">
        <v>3.63195228223686</v>
      </c>
      <c r="D449" s="2" t="n">
        <v>4.44583137970813</v>
      </c>
      <c r="E449" s="2" t="n">
        <v>1.70013858493171</v>
      </c>
    </row>
    <row r="450" customFormat="false" ht="13.8" hidden="false" customHeight="false" outlineLevel="0" collapsed="false">
      <c r="B450" s="2" t="n">
        <v>448</v>
      </c>
      <c r="C450" s="2" t="n">
        <v>3.71420867120338</v>
      </c>
      <c r="D450" s="2" t="n">
        <v>4.54479646047494</v>
      </c>
      <c r="E450" s="2" t="n">
        <v>1.74172285849973</v>
      </c>
    </row>
    <row r="451" customFormat="false" ht="13.8" hidden="false" customHeight="false" outlineLevel="0" collapsed="false">
      <c r="B451" s="2" t="n">
        <v>449</v>
      </c>
      <c r="C451" s="2" t="n">
        <v>3.72973569863255</v>
      </c>
      <c r="D451" s="2" t="n">
        <v>4.63175604192011</v>
      </c>
      <c r="E451" s="2" t="n">
        <v>1.74710310406593</v>
      </c>
    </row>
    <row r="452" customFormat="false" ht="13.8" hidden="false" customHeight="false" outlineLevel="0" collapsed="false">
      <c r="B452" s="2" t="n">
        <v>450</v>
      </c>
      <c r="C452" s="2" t="n">
        <v>3.76834903704707</v>
      </c>
      <c r="D452" s="2" t="n">
        <v>4.70801534359693</v>
      </c>
      <c r="E452" s="2" t="n">
        <v>1.77553566254758</v>
      </c>
    </row>
    <row r="453" customFormat="false" ht="13.8" hidden="false" customHeight="false" outlineLevel="0" collapsed="false">
      <c r="B453" s="2" t="n">
        <v>451</v>
      </c>
      <c r="C453" s="2" t="n">
        <v>3.7683113535567</v>
      </c>
      <c r="D453" s="2" t="n">
        <v>4.75001422576593</v>
      </c>
      <c r="E453" s="2" t="n">
        <v>1.77551790719095</v>
      </c>
    </row>
    <row r="454" customFormat="false" ht="13.8" hidden="false" customHeight="false" outlineLevel="0" collapsed="false">
      <c r="B454" s="2" t="n">
        <v>452</v>
      </c>
      <c r="C454" s="2" t="n">
        <v>3.78964755372589</v>
      </c>
      <c r="D454" s="2" t="n">
        <v>4.80487352451584</v>
      </c>
      <c r="E454" s="2" t="n">
        <v>1.79155491496041</v>
      </c>
    </row>
    <row r="455" customFormat="false" ht="13.8" hidden="false" customHeight="false" outlineLevel="0" collapsed="false">
      <c r="B455" s="2" t="n">
        <v>453</v>
      </c>
      <c r="C455" s="2" t="n">
        <v>3.78960965725035</v>
      </c>
      <c r="D455" s="2" t="n">
        <v>4.79646133741568</v>
      </c>
      <c r="E455" s="2" t="n">
        <v>1.79153699941126</v>
      </c>
    </row>
    <row r="456" customFormat="false" ht="13.8" hidden="false" customHeight="false" outlineLevel="0" collapsed="false">
      <c r="B456" s="2" t="n">
        <v>454</v>
      </c>
      <c r="C456" s="2" t="n">
        <v>3.7896475537259</v>
      </c>
      <c r="D456" s="2" t="n">
        <v>4.82332804113717</v>
      </c>
      <c r="E456" s="2" t="n">
        <v>1.7915549149604</v>
      </c>
    </row>
    <row r="457" customFormat="false" ht="13.8" hidden="false" customHeight="false" outlineLevel="0" collapsed="false">
      <c r="B457" s="2" t="n">
        <v>455</v>
      </c>
      <c r="C457" s="2" t="n">
        <v>3.74958416673896</v>
      </c>
      <c r="D457" s="2" t="n">
        <v>4.82327980785676</v>
      </c>
      <c r="E457" s="2" t="n">
        <v>1.73747284267299</v>
      </c>
    </row>
    <row r="458" customFormat="false" ht="13.8" hidden="false" customHeight="false" outlineLevel="0" collapsed="false">
      <c r="B458" s="2" t="n">
        <v>456</v>
      </c>
      <c r="C458" s="2" t="n">
        <v>3.72538577262527</v>
      </c>
      <c r="D458" s="2" t="n">
        <v>4.82323157505869</v>
      </c>
      <c r="E458" s="2" t="n">
        <v>1.72610787193198</v>
      </c>
    </row>
    <row r="459" customFormat="false" ht="13.8" hidden="false" customHeight="false" outlineLevel="0" collapsed="false">
      <c r="B459" s="2" t="n">
        <v>457</v>
      </c>
      <c r="C459" s="2" t="n">
        <v>3.66056926581621</v>
      </c>
      <c r="D459" s="2" t="n">
        <v>4.73473995632828</v>
      </c>
      <c r="E459" s="2" t="n">
        <v>1.67079311260338</v>
      </c>
    </row>
    <row r="460" customFormat="false" ht="13.8" hidden="false" customHeight="false" outlineLevel="0" collapsed="false">
      <c r="B460" s="2" t="n">
        <v>458</v>
      </c>
      <c r="C460" s="2" t="n">
        <v>3.60592392874339</v>
      </c>
      <c r="D460" s="2" t="n">
        <v>4.62391562467327</v>
      </c>
      <c r="E460" s="2" t="n">
        <v>1.65152550320706</v>
      </c>
    </row>
    <row r="461" customFormat="false" ht="13.8" hidden="false" customHeight="false" outlineLevel="0" collapsed="false">
      <c r="B461" s="2" t="n">
        <v>459</v>
      </c>
      <c r="C461" s="2" t="n">
        <v>3.51833943747288</v>
      </c>
      <c r="D461" s="2" t="n">
        <v>4.51298102564302</v>
      </c>
      <c r="E461" s="2" t="n">
        <v>1.5960824610493</v>
      </c>
    </row>
    <row r="462" customFormat="false" ht="13.8" hidden="false" customHeight="false" outlineLevel="0" collapsed="false">
      <c r="B462" s="2" t="n">
        <v>460</v>
      </c>
      <c r="C462" s="2" t="n">
        <v>3.43953747324808</v>
      </c>
      <c r="D462" s="2" t="n">
        <v>4.40193616034019</v>
      </c>
      <c r="E462" s="2" t="n">
        <v>1.57668657010666</v>
      </c>
    </row>
    <row r="463" customFormat="false" ht="13.8" hidden="false" customHeight="false" outlineLevel="0" collapsed="false">
      <c r="B463" s="2" t="n">
        <v>461</v>
      </c>
      <c r="C463" s="2" t="n">
        <v>3.34388915194742</v>
      </c>
      <c r="D463" s="2" t="n">
        <v>4.29078102986748</v>
      </c>
      <c r="E463" s="2" t="n">
        <v>1.5211152476854</v>
      </c>
    </row>
    <row r="464" customFormat="false" ht="13.8" hidden="false" customHeight="false" outlineLevel="0" collapsed="false">
      <c r="B464" s="2" t="n">
        <v>462</v>
      </c>
      <c r="C464" s="2" t="n">
        <v>3.26483362046331</v>
      </c>
      <c r="D464" s="2" t="n">
        <v>4.17962701094606</v>
      </c>
      <c r="E464" s="2" t="n">
        <v>1.50165559208847</v>
      </c>
    </row>
    <row r="465" customFormat="false" ht="13.8" hidden="false" customHeight="false" outlineLevel="0" collapsed="false">
      <c r="B465" s="2" t="n">
        <v>463</v>
      </c>
      <c r="C465" s="2" t="n">
        <v>3.14866802768266</v>
      </c>
      <c r="D465" s="2" t="n">
        <v>4.06847410356484</v>
      </c>
      <c r="E465" s="2" t="n">
        <v>1.44608501997699</v>
      </c>
    </row>
    <row r="466" customFormat="false" ht="13.8" hidden="false" customHeight="false" outlineLevel="0" collapsed="false">
      <c r="B466" s="2" t="n">
        <v>464</v>
      </c>
      <c r="C466" s="2" t="n">
        <v>3.03457778174313</v>
      </c>
      <c r="D466" s="2" t="n">
        <v>3.95732230771269</v>
      </c>
      <c r="E466" s="2" t="n">
        <v>1.42662611468235</v>
      </c>
    </row>
    <row r="467" customFormat="false" ht="13.8" hidden="false" customHeight="false" outlineLevel="0" collapsed="false">
      <c r="B467" s="2" t="n">
        <v>465</v>
      </c>
      <c r="C467" s="2" t="n">
        <v>2.90408065818753</v>
      </c>
      <c r="D467" s="2" t="n">
        <v>3.8461716233785</v>
      </c>
      <c r="E467" s="2" t="n">
        <v>1.37105629286564</v>
      </c>
    </row>
    <row r="468" customFormat="false" ht="13.8" hidden="false" customHeight="false" outlineLevel="0" collapsed="false">
      <c r="B468" s="2" t="n">
        <v>466</v>
      </c>
      <c r="C468" s="2" t="n">
        <v>2.8180469692328</v>
      </c>
      <c r="D468" s="2" t="n">
        <v>3.73502205055115</v>
      </c>
      <c r="E468" s="2" t="n">
        <v>1.36335721193234</v>
      </c>
    </row>
    <row r="469" customFormat="false" ht="13.8" hidden="false" customHeight="false" outlineLevel="0" collapsed="false">
      <c r="B469" s="2" t="n">
        <v>467</v>
      </c>
      <c r="C469" s="2" t="n">
        <v>2.70582884431866</v>
      </c>
      <c r="D469" s="2" t="n">
        <v>3.62387358921954</v>
      </c>
      <c r="E469" s="2" t="n">
        <v>1.35593593021207</v>
      </c>
    </row>
    <row r="470" customFormat="false" ht="13.8" hidden="false" customHeight="false" outlineLevel="0" collapsed="false">
      <c r="B470" s="2" t="n">
        <v>468</v>
      </c>
      <c r="C470" s="2" t="n">
        <v>2.61939023047467</v>
      </c>
      <c r="D470" s="2" t="n">
        <v>3.51272623937253</v>
      </c>
      <c r="E470" s="2" t="n">
        <v>1.32564459307499</v>
      </c>
    </row>
    <row r="471" customFormat="false" ht="13.8" hidden="false" customHeight="false" outlineLevel="0" collapsed="false">
      <c r="B471" s="2" t="n">
        <v>469</v>
      </c>
      <c r="C471" s="2" t="n">
        <v>2.52004436990569</v>
      </c>
      <c r="D471" s="2" t="n">
        <v>3.40158000099902</v>
      </c>
      <c r="E471" s="2" t="n">
        <v>1.31702022551795</v>
      </c>
    </row>
    <row r="472" customFormat="false" ht="13.8" hidden="false" customHeight="false" outlineLevel="0" collapsed="false">
      <c r="B472" s="2" t="n">
        <v>470</v>
      </c>
      <c r="C472" s="2" t="n">
        <v>2.40923728057311</v>
      </c>
      <c r="D472" s="2" t="n">
        <v>3.2904348740879</v>
      </c>
      <c r="E472" s="2" t="n">
        <v>1.28672927753791</v>
      </c>
    </row>
    <row r="473" customFormat="false" ht="13.8" hidden="false" customHeight="false" outlineLevel="0" collapsed="false">
      <c r="B473" s="2" t="n">
        <v>471</v>
      </c>
      <c r="C473" s="2" t="n">
        <v>2.33948637338549</v>
      </c>
      <c r="D473" s="2" t="n">
        <v>3.17929085862805</v>
      </c>
      <c r="E473" s="2" t="n">
        <v>1.27810529913402</v>
      </c>
    </row>
    <row r="474" customFormat="false" ht="13.8" hidden="false" customHeight="false" outlineLevel="0" collapsed="false">
      <c r="B474" s="2" t="n">
        <v>472</v>
      </c>
      <c r="C474" s="2" t="n">
        <v>2.23779181185509</v>
      </c>
      <c r="D474" s="2" t="n">
        <v>3.06814795460835</v>
      </c>
      <c r="E474" s="2" t="n">
        <v>1.24781474030325</v>
      </c>
    </row>
    <row r="475" customFormat="false" ht="13.8" hidden="false" customHeight="false" outlineLevel="0" collapsed="false">
      <c r="B475" s="2" t="n">
        <v>473</v>
      </c>
      <c r="C475" s="2" t="n">
        <v>2.16432074875178</v>
      </c>
      <c r="D475" s="2" t="n">
        <v>2.95700616201769</v>
      </c>
      <c r="E475" s="2" t="n">
        <v>1.23919115104473</v>
      </c>
    </row>
    <row r="476" customFormat="false" ht="13.8" hidden="false" customHeight="false" outlineLevel="0" collapsed="false">
      <c r="B476" s="2" t="n">
        <v>474</v>
      </c>
      <c r="C476" s="2" t="n">
        <v>2.06188742035911</v>
      </c>
      <c r="D476" s="2" t="n">
        <v>2.84586548084495</v>
      </c>
      <c r="E476" s="2" t="n">
        <v>1.20890098135544</v>
      </c>
    </row>
    <row r="477" customFormat="false" ht="13.8" hidden="false" customHeight="false" outlineLevel="0" collapsed="false">
      <c r="B477" s="2" t="n">
        <v>475</v>
      </c>
      <c r="C477" s="2" t="n">
        <v>2.00139972741083</v>
      </c>
      <c r="D477" s="2" t="n">
        <v>2.73472591107903</v>
      </c>
      <c r="E477" s="2" t="n">
        <v>1.2039814664197</v>
      </c>
    </row>
    <row r="478" customFormat="false" ht="13.8" hidden="false" customHeight="false" outlineLevel="0" collapsed="false">
      <c r="B478" s="2" t="n">
        <v>476</v>
      </c>
      <c r="C478" s="2" t="n">
        <v>1.93948617637652</v>
      </c>
      <c r="D478" s="2" t="n">
        <v>2.62358745270881</v>
      </c>
      <c r="E478" s="2" t="n">
        <v>1.20396914882726</v>
      </c>
    </row>
    <row r="479" customFormat="false" ht="13.8" hidden="false" customHeight="false" outlineLevel="0" collapsed="false">
      <c r="B479" s="2" t="n">
        <v>477</v>
      </c>
      <c r="C479" s="2" t="n">
        <v>1.90575994818142</v>
      </c>
      <c r="D479" s="2" t="n">
        <v>2.51245010572317</v>
      </c>
      <c r="E479" s="2" t="n">
        <v>1.16682740543206</v>
      </c>
    </row>
    <row r="480" customFormat="false" ht="13.8" hidden="false" customHeight="false" outlineLevel="0" collapsed="false">
      <c r="B480" s="2" t="n">
        <v>478</v>
      </c>
      <c r="C480" s="2" t="n">
        <v>1.84660853873009</v>
      </c>
      <c r="D480" s="2" t="n">
        <v>2.401313870111</v>
      </c>
      <c r="E480" s="2" t="n">
        <v>1.16542684826912</v>
      </c>
    </row>
    <row r="481" customFormat="false" ht="13.8" hidden="false" customHeight="false" outlineLevel="0" collapsed="false">
      <c r="B481" s="2" t="n">
        <v>479</v>
      </c>
      <c r="C481" s="2" t="n">
        <v>1.79623560968174</v>
      </c>
      <c r="D481" s="2" t="n">
        <v>2.29017874586118</v>
      </c>
      <c r="E481" s="2" t="n">
        <v>1.12791519400063</v>
      </c>
    </row>
    <row r="482" customFormat="false" ht="13.8" hidden="false" customHeight="false" outlineLevel="0" collapsed="false">
      <c r="B482" s="2" t="n">
        <v>480</v>
      </c>
      <c r="C482" s="2" t="n">
        <v>1.77941764732564</v>
      </c>
      <c r="D482" s="2" t="n">
        <v>2.17904473296261</v>
      </c>
      <c r="E482" s="2" t="n">
        <v>1.12679274818202</v>
      </c>
    </row>
    <row r="483" customFormat="false" ht="13.8" hidden="false" customHeight="false" outlineLevel="0" collapsed="false">
      <c r="B483" s="2" t="n">
        <v>481</v>
      </c>
      <c r="C483" s="2" t="n">
        <v>1.76993379759361</v>
      </c>
      <c r="D483" s="2" t="n">
        <v>2.1049488684412</v>
      </c>
      <c r="E483" s="2" t="n">
        <v>1.12678120247676</v>
      </c>
    </row>
    <row r="484" customFormat="false" ht="13.8" hidden="false" customHeight="false" outlineLevel="0" collapsed="false">
      <c r="B484" s="2" t="n">
        <v>482</v>
      </c>
      <c r="C484" s="2" t="n">
        <v>1.72739463529267</v>
      </c>
      <c r="D484" s="2" t="n">
        <v>1.99381670784141</v>
      </c>
      <c r="E484" s="2" t="n">
        <v>1.12584391614622</v>
      </c>
    </row>
    <row r="485" customFormat="false" ht="13.8" hidden="false" customHeight="false" outlineLevel="0" collapsed="false">
      <c r="B485" s="2" t="n">
        <v>483</v>
      </c>
      <c r="C485" s="2" t="n">
        <v>1.64952386134632</v>
      </c>
      <c r="D485" s="2" t="n">
        <v>1.88268565856321</v>
      </c>
      <c r="E485" s="2" t="n">
        <v>1.10638821326261</v>
      </c>
    </row>
    <row r="486" customFormat="false" ht="13.8" hidden="false" customHeight="false" outlineLevel="0" collapsed="false">
      <c r="B486" s="2" t="n">
        <v>484</v>
      </c>
      <c r="C486" s="2" t="n">
        <v>1.60398758832993</v>
      </c>
      <c r="D486" s="2" t="n">
        <v>1.77155572059552</v>
      </c>
      <c r="E486" s="2" t="n">
        <v>1.0870252790101</v>
      </c>
    </row>
    <row r="487" customFormat="false" ht="13.8" hidden="false" customHeight="false" outlineLevel="0" collapsed="false">
      <c r="B487" s="2" t="n">
        <v>485</v>
      </c>
      <c r="C487" s="2" t="n">
        <v>1.54621188178738</v>
      </c>
      <c r="D487" s="2" t="n">
        <v>1.6604268939272</v>
      </c>
      <c r="E487" s="2" t="n">
        <v>1.07118107542398</v>
      </c>
    </row>
    <row r="488" customFormat="false" ht="13.8" hidden="false" customHeight="false" outlineLevel="0" collapsed="false">
      <c r="B488" s="2" t="n">
        <v>486</v>
      </c>
      <c r="C488" s="2" t="n">
        <v>1.52858497522412</v>
      </c>
      <c r="D488" s="2" t="n">
        <v>1.54929917854714</v>
      </c>
      <c r="E488" s="2" t="n">
        <v>1.04811480805767</v>
      </c>
    </row>
    <row r="489" customFormat="false" ht="13.8" hidden="false" customHeight="false" outlineLevel="0" collapsed="false">
      <c r="B489" s="2" t="n">
        <v>487</v>
      </c>
      <c r="C489" s="2" t="n">
        <v>1.50523578196696</v>
      </c>
      <c r="D489" s="2" t="n">
        <v>1.43817257444424</v>
      </c>
      <c r="E489" s="2" t="n">
        <v>1.03227099357625</v>
      </c>
    </row>
    <row r="490" customFormat="false" ht="13.8" hidden="false" customHeight="false" outlineLevel="0" collapsed="false">
      <c r="B490" s="2" t="n">
        <v>488</v>
      </c>
      <c r="C490" s="2" t="n">
        <v>1.49149845183136</v>
      </c>
      <c r="D490" s="2" t="n">
        <v>1.32704708160739</v>
      </c>
      <c r="E490" s="2" t="n">
        <v>1.00920511531076</v>
      </c>
    </row>
    <row r="491" customFormat="false" ht="13.8" hidden="false" customHeight="false" outlineLevel="0" collapsed="false">
      <c r="B491" s="2" t="n">
        <v>489</v>
      </c>
      <c r="C491" s="2" t="n">
        <v>1.38700203684684</v>
      </c>
      <c r="D491" s="2" t="n">
        <v>1.21592270002546</v>
      </c>
      <c r="E491" s="2" t="n">
        <v>0.993361689926267</v>
      </c>
    </row>
    <row r="492" customFormat="false" ht="13.8" hidden="false" customHeight="false" outlineLevel="0" collapsed="false">
      <c r="B492" s="2" t="n">
        <v>490</v>
      </c>
      <c r="C492" s="2" t="n">
        <v>1.37367331497462</v>
      </c>
      <c r="D492" s="2" t="n">
        <v>1.10479942968734</v>
      </c>
      <c r="E492" s="2" t="n">
        <v>0.97029620075381</v>
      </c>
    </row>
    <row r="493" customFormat="false" ht="13.8" hidden="false" customHeight="false" outlineLevel="0" collapsed="false">
      <c r="B493" s="2" t="n">
        <v>491</v>
      </c>
      <c r="C493" s="2" t="n">
        <v>1.27380768935258</v>
      </c>
      <c r="D493" s="2" t="n">
        <v>0.993677270581933</v>
      </c>
      <c r="E493" s="2" t="n">
        <v>0.954453164458466</v>
      </c>
    </row>
    <row r="494" customFormat="false" ht="13.8" hidden="false" customHeight="false" outlineLevel="0" collapsed="false">
      <c r="B494" s="2" t="n">
        <v>492</v>
      </c>
      <c r="C494" s="2" t="n">
        <v>1.25812809942384</v>
      </c>
      <c r="D494" s="2" t="n">
        <v>0.882556222698114</v>
      </c>
      <c r="E494" s="2" t="n">
        <v>0.931388064371264</v>
      </c>
    </row>
    <row r="495" customFormat="false" ht="13.8" hidden="false" customHeight="false" outlineLevel="0" collapsed="false">
      <c r="B495" s="2" t="n">
        <v>493</v>
      </c>
      <c r="C495" s="2" t="n">
        <v>1.14604125888358</v>
      </c>
      <c r="D495" s="2" t="n">
        <v>0.774130463894734</v>
      </c>
      <c r="E495" s="2" t="n">
        <v>0.912851239287318</v>
      </c>
    </row>
    <row r="496" customFormat="false" ht="13.8" hidden="false" customHeight="false" outlineLevel="0" collapsed="false">
      <c r="B496" s="2" t="n">
        <v>494</v>
      </c>
      <c r="C496" s="2" t="n">
        <v>1.09804815032285</v>
      </c>
      <c r="D496" s="2" t="n">
        <v>0.688254739461018</v>
      </c>
      <c r="E496" s="2" t="n">
        <v>0.864543427237325</v>
      </c>
    </row>
    <row r="497" customFormat="false" ht="13.8" hidden="false" customHeight="false" outlineLevel="0" collapsed="false">
      <c r="B497" s="2" t="n">
        <v>495</v>
      </c>
      <c r="C497" s="2" t="n">
        <v>0.983037077248751</v>
      </c>
      <c r="D497" s="2" t="n">
        <v>0.612354277795007</v>
      </c>
      <c r="E497" s="2" t="n">
        <v>0.813483916477214</v>
      </c>
    </row>
    <row r="498" customFormat="false" ht="13.8" hidden="false" customHeight="false" outlineLevel="0" collapsed="false">
      <c r="B498" s="2" t="n">
        <v>496</v>
      </c>
      <c r="C498" s="2" t="n">
        <v>0.940804765396497</v>
      </c>
      <c r="D498" s="2" t="n">
        <v>0.539959566806188</v>
      </c>
      <c r="E498" s="2" t="n">
        <v>0.751697702417412</v>
      </c>
    </row>
    <row r="499" customFormat="false" ht="13.8" hidden="false" customHeight="false" outlineLevel="0" collapsed="false">
      <c r="B499" s="2" t="n">
        <v>497</v>
      </c>
      <c r="C499" s="2" t="n">
        <v>0.830998931422917</v>
      </c>
      <c r="D499" s="2" t="n">
        <v>0.466581761931822</v>
      </c>
      <c r="E499" s="2" t="n">
        <v>0.69811814627463</v>
      </c>
    </row>
    <row r="500" customFormat="false" ht="13.8" hidden="false" customHeight="false" outlineLevel="0" collapsed="false">
      <c r="B500" s="2" t="n">
        <v>498</v>
      </c>
      <c r="C500" s="2" t="n">
        <v>0.795620047359529</v>
      </c>
      <c r="D500" s="2" t="n">
        <v>0.38736970121906</v>
      </c>
      <c r="E500" s="2" t="n">
        <v>0.643151893321633</v>
      </c>
    </row>
    <row r="501" customFormat="false" ht="13.8" hidden="false" customHeight="false" outlineLevel="0" collapsed="false">
      <c r="B501" s="2" t="n">
        <v>499</v>
      </c>
      <c r="C501" s="2" t="n">
        <v>0.693260202270166</v>
      </c>
      <c r="D501" s="2" t="n">
        <v>0.293606205559225</v>
      </c>
      <c r="E501" s="2" t="n">
        <v>0.609960639321067</v>
      </c>
    </row>
    <row r="502" customFormat="false" ht="13.8" hidden="false" customHeight="false" outlineLevel="0" collapsed="false">
      <c r="B502" s="2" t="n">
        <v>500</v>
      </c>
      <c r="C502" s="2" t="n">
        <v>0.659364380779254</v>
      </c>
      <c r="D502" s="2" t="n">
        <v>0.196837752679048</v>
      </c>
      <c r="E502" s="2" t="n">
        <v>0.572553389866117</v>
      </c>
    </row>
    <row r="503" customFormat="false" ht="13.8" hidden="false" customHeight="false" outlineLevel="0" collapsed="false">
      <c r="B503" s="2" t="n">
        <v>501</v>
      </c>
      <c r="C503" s="2" t="n">
        <v>0.557079861209521</v>
      </c>
      <c r="D503" s="2" t="n">
        <v>0.117082874417749</v>
      </c>
      <c r="E503" s="2" t="n">
        <v>0.525356129771536</v>
      </c>
    </row>
    <row r="504" customFormat="false" ht="13.8" hidden="false" customHeight="false" outlineLevel="0" collapsed="false">
      <c r="B504" s="2" t="n">
        <v>502</v>
      </c>
      <c r="C504" s="2" t="n">
        <v>0.522488204248702</v>
      </c>
      <c r="D504" s="2" t="n">
        <v>0.0167182956232482</v>
      </c>
      <c r="E504" s="2" t="n">
        <v>0.491817315424921</v>
      </c>
    </row>
    <row r="505" customFormat="false" ht="13.8" hidden="false" customHeight="false" outlineLevel="0" collapsed="false">
      <c r="B505" s="2" t="n">
        <v>503</v>
      </c>
      <c r="C505" s="2" t="n">
        <v>0.420514418153356</v>
      </c>
      <c r="D505" s="2" t="n">
        <v>1.06161550520369E-010</v>
      </c>
      <c r="E505" s="2" t="n">
        <v>0.412032754856643</v>
      </c>
    </row>
    <row r="506" customFormat="false" ht="13.8" hidden="false" customHeight="false" outlineLevel="0" collapsed="false">
      <c r="B506" s="2" t="n">
        <v>504</v>
      </c>
      <c r="C506" s="2" t="n">
        <v>0.388153319404961</v>
      </c>
      <c r="D506" s="2" t="n">
        <v>7.27303279449293E-010</v>
      </c>
      <c r="E506" s="2" t="n">
        <v>0.411954826356547</v>
      </c>
    </row>
    <row r="507" customFormat="false" ht="13.8" hidden="false" customHeight="false" outlineLevel="0" collapsed="false">
      <c r="B507" s="2" t="n">
        <v>505</v>
      </c>
      <c r="C507" s="2" t="n">
        <v>0.288210641461211</v>
      </c>
      <c r="D507" s="2" t="n">
        <v>1.0600361657912E-010</v>
      </c>
      <c r="E507" s="2" t="n">
        <v>0.410957505788103</v>
      </c>
    </row>
    <row r="508" customFormat="false" ht="13.8" hidden="false" customHeight="false" outlineLevel="0" collapsed="false">
      <c r="B508" s="2" t="n">
        <v>506</v>
      </c>
      <c r="C508" s="2" t="n">
        <v>0.261215933456648</v>
      </c>
      <c r="D508" s="2" t="n">
        <v>0</v>
      </c>
      <c r="E508" s="2" t="n">
        <v>0.374890775405718</v>
      </c>
    </row>
    <row r="509" customFormat="false" ht="13.8" hidden="false" customHeight="false" outlineLevel="0" collapsed="false">
      <c r="B509" s="2" t="n">
        <v>507</v>
      </c>
      <c r="C509" s="2" t="n">
        <v>0.169184443835637</v>
      </c>
      <c r="D509" s="2" t="n">
        <v>1.52014159872007E-021</v>
      </c>
      <c r="E509" s="2" t="n">
        <v>0.374887026497974</v>
      </c>
    </row>
    <row r="510" customFormat="false" ht="13.8" hidden="false" customHeight="false" outlineLevel="0" collapsed="false">
      <c r="B510" s="2" t="n">
        <v>508</v>
      </c>
      <c r="C510" s="2" t="n">
        <v>0.148195867117875</v>
      </c>
      <c r="D510" s="2" t="n">
        <v>1.01921587197795E-023</v>
      </c>
      <c r="E510" s="2" t="n">
        <v>0.340996613542386</v>
      </c>
    </row>
    <row r="511" customFormat="false" ht="13.8" hidden="false" customHeight="false" outlineLevel="0" collapsed="false">
      <c r="B511" s="2" t="n">
        <v>509</v>
      </c>
      <c r="C511" s="2" t="n">
        <v>0.0550803782056974</v>
      </c>
      <c r="D511" s="2" t="n">
        <v>0</v>
      </c>
      <c r="E511" s="2" t="n">
        <v>0.333333434518596</v>
      </c>
    </row>
    <row r="512" customFormat="false" ht="13.8" hidden="false" customHeight="false" outlineLevel="0" collapsed="false">
      <c r="B512" s="2" t="n">
        <v>510</v>
      </c>
      <c r="C512" s="2" t="n">
        <v>0.0550798274019159</v>
      </c>
      <c r="D512" s="2" t="n">
        <v>3.05671894754522E-017</v>
      </c>
      <c r="E512" s="2" t="n">
        <v>0.330931731770054</v>
      </c>
    </row>
    <row r="513" customFormat="false" ht="13.8" hidden="false" customHeight="false" outlineLevel="0" collapsed="false">
      <c r="B513" s="2" t="n">
        <v>511</v>
      </c>
      <c r="C513" s="2" t="n">
        <v>0.0550792766036424</v>
      </c>
      <c r="D513" s="2" t="n">
        <v>0.0266518801181418</v>
      </c>
      <c r="E513" s="2" t="n">
        <v>0.330928422452746</v>
      </c>
    </row>
    <row r="514" customFormat="false" ht="13.8" hidden="false" customHeight="false" outlineLevel="0" collapsed="false">
      <c r="B514" s="2" t="n">
        <v>512</v>
      </c>
      <c r="C514" s="2" t="n">
        <v>0.0996288172996139</v>
      </c>
      <c r="D514" s="2" t="n">
        <v>0.0938900991794067</v>
      </c>
      <c r="E514" s="2" t="n">
        <v>0.333647585561438</v>
      </c>
    </row>
    <row r="515" customFormat="false" ht="13.8" hidden="false" customHeight="false" outlineLevel="0" collapsed="false">
      <c r="B515" s="2" t="n">
        <v>513</v>
      </c>
      <c r="C515" s="2" t="n">
        <v>0.112699880484893</v>
      </c>
      <c r="D515" s="2" t="n">
        <v>0.181413823774147</v>
      </c>
      <c r="E515" s="2" t="n">
        <v>0.374172594921702</v>
      </c>
    </row>
    <row r="516" customFormat="false" ht="13.8" hidden="false" customHeight="false" outlineLevel="0" collapsed="false">
      <c r="B516" s="2" t="n">
        <v>514</v>
      </c>
      <c r="C516" s="2" t="n">
        <v>0.201523392646847</v>
      </c>
      <c r="D516" s="2" t="n">
        <v>0.286373283571339</v>
      </c>
      <c r="E516" s="2" t="n">
        <v>0.398292445530698</v>
      </c>
    </row>
    <row r="517" customFormat="false" ht="13.8" hidden="false" customHeight="false" outlineLevel="0" collapsed="false">
      <c r="B517" s="2" t="n">
        <v>515</v>
      </c>
      <c r="C517" s="2" t="n">
        <v>0.255923251260985</v>
      </c>
      <c r="D517" s="2" t="n">
        <v>0.40876830421363</v>
      </c>
      <c r="E517" s="2" t="n">
        <v>0.458837211440012</v>
      </c>
    </row>
    <row r="518" customFormat="false" ht="13.8" hidden="false" customHeight="false" outlineLevel="0" collapsed="false">
      <c r="B518" s="2" t="n">
        <v>516</v>
      </c>
      <c r="C518" s="2" t="n">
        <v>0.387274905563844</v>
      </c>
      <c r="D518" s="2" t="n">
        <v>0.548598711345411</v>
      </c>
      <c r="E518" s="2" t="n">
        <v>0.503156528400492</v>
      </c>
    </row>
    <row r="519" customFormat="false" ht="13.8" hidden="false" customHeight="false" outlineLevel="0" collapsed="false">
      <c r="B519" s="2" t="n">
        <v>517</v>
      </c>
      <c r="C519" s="2" t="n">
        <v>0.523518291037467</v>
      </c>
      <c r="D519" s="2" t="n">
        <v>0.705864330612819</v>
      </c>
      <c r="E519" s="2" t="n">
        <v>0.583900558666627</v>
      </c>
    </row>
    <row r="520" customFormat="false" ht="13.8" hidden="false" customHeight="false" outlineLevel="0" collapsed="false">
      <c r="B520" s="2" t="n">
        <v>518</v>
      </c>
      <c r="C520" s="2" t="n">
        <v>0.63622732105503</v>
      </c>
      <c r="D520" s="2" t="n">
        <v>0.870090511690437</v>
      </c>
      <c r="E520" s="2" t="n">
        <v>0.642351597842846</v>
      </c>
    </row>
    <row r="521" customFormat="false" ht="13.8" hidden="false" customHeight="false" outlineLevel="0" collapsed="false">
      <c r="B521" s="2" t="n">
        <v>519</v>
      </c>
      <c r="C521" s="2" t="n">
        <v>0.77553214096009</v>
      </c>
      <c r="D521" s="2" t="n">
        <v>1.04127718497265</v>
      </c>
      <c r="E521" s="2" t="n">
        <v>0.731159868859058</v>
      </c>
    </row>
    <row r="522" customFormat="false" ht="13.8" hidden="false" customHeight="false" outlineLevel="0" collapsed="false">
      <c r="B522" s="2" t="n">
        <v>520</v>
      </c>
      <c r="C522" s="2" t="n">
        <v>0.911882544794746</v>
      </c>
      <c r="D522" s="2" t="n">
        <v>1.21942428085452</v>
      </c>
      <c r="E522" s="2" t="n">
        <v>0.797675068142947</v>
      </c>
    </row>
    <row r="523" customFormat="false" ht="13.8" hidden="false" customHeight="false" outlineLevel="0" collapsed="false">
      <c r="B523" s="2" t="n">
        <v>521</v>
      </c>
      <c r="C523" s="2" t="n">
        <v>1.06189886210316</v>
      </c>
      <c r="D523" s="2" t="n">
        <v>1.40453172973185</v>
      </c>
      <c r="E523" s="2" t="n">
        <v>0.89022738862523</v>
      </c>
    </row>
    <row r="524" customFormat="false" ht="13.8" hidden="false" customHeight="false" outlineLevel="0" collapsed="false">
      <c r="B524" s="2" t="n">
        <v>522</v>
      </c>
      <c r="C524" s="2" t="n">
        <v>1.23272255188139</v>
      </c>
      <c r="D524" s="2" t="n">
        <v>1.61338051554994</v>
      </c>
      <c r="E524" s="2" t="n">
        <v>0.898702055108197</v>
      </c>
    </row>
    <row r="525" customFormat="false" ht="13.8" hidden="false" customHeight="false" outlineLevel="0" collapsed="false">
      <c r="B525" s="2" t="n">
        <v>523</v>
      </c>
      <c r="C525" s="2" t="n">
        <v>1.4360535560557</v>
      </c>
      <c r="D525" s="2" t="n">
        <v>1.84597040089543</v>
      </c>
      <c r="E525" s="2" t="n">
        <v>1.01617965336839</v>
      </c>
    </row>
    <row r="526" customFormat="false" ht="13.8" hidden="false" customHeight="false" outlineLevel="0" collapsed="false">
      <c r="B526" s="2" t="n">
        <v>524</v>
      </c>
      <c r="C526" s="2" t="n">
        <v>1.65816659455295</v>
      </c>
      <c r="D526" s="2" t="n">
        <v>2.10230114835733</v>
      </c>
      <c r="E526" s="2" t="n">
        <v>1.12265930337649</v>
      </c>
    </row>
    <row r="527" customFormat="false" ht="13.8" hidden="false" customHeight="false" outlineLevel="0" collapsed="false">
      <c r="B527" s="2" t="n">
        <v>525</v>
      </c>
      <c r="C527" s="2" t="n">
        <v>1.91143665955281</v>
      </c>
      <c r="D527" s="2" t="n">
        <v>2.38237252052701</v>
      </c>
      <c r="E527" s="2" t="n">
        <v>1.19196631011197</v>
      </c>
    </row>
    <row r="528" customFormat="false" ht="13.8" hidden="false" customHeight="false" outlineLevel="0" collapsed="false">
      <c r="B528" s="2" t="n">
        <v>526</v>
      </c>
      <c r="C528" s="2" t="n">
        <v>2.14506639420689</v>
      </c>
      <c r="D528" s="2" t="n">
        <v>2.64976057685774</v>
      </c>
      <c r="E528" s="2" t="n">
        <v>1.22377745046265</v>
      </c>
    </row>
    <row r="529" customFormat="false" ht="13.8" hidden="false" customHeight="false" outlineLevel="0" collapsed="false">
      <c r="B529" s="2" t="n">
        <v>527</v>
      </c>
      <c r="C529" s="2" t="n">
        <v>2.36985590491852</v>
      </c>
      <c r="D529" s="2" t="n">
        <v>2.90446544418268</v>
      </c>
      <c r="E529" s="2" t="n">
        <v>1.35286785938716</v>
      </c>
    </row>
    <row r="530" customFormat="false" ht="13.8" hidden="false" customHeight="false" outlineLevel="0" collapsed="false">
      <c r="B530" s="2" t="n">
        <v>528</v>
      </c>
      <c r="C530" s="2" t="n">
        <v>2.57005510008993</v>
      </c>
      <c r="D530" s="2" t="n">
        <v>3.14648724933372</v>
      </c>
      <c r="E530" s="2" t="n">
        <v>1.49282172909284</v>
      </c>
    </row>
    <row r="531" customFormat="false" ht="13.8" hidden="false" customHeight="false" outlineLevel="0" collapsed="false">
      <c r="B531" s="2" t="n">
        <v>529</v>
      </c>
      <c r="C531" s="2" t="n">
        <v>2.76651422562427</v>
      </c>
      <c r="D531" s="2" t="n">
        <v>3.37582611914149</v>
      </c>
      <c r="E531" s="2" t="n">
        <v>1.60139919094507</v>
      </c>
    </row>
    <row r="532" customFormat="false" ht="13.8" hidden="false" customHeight="false" outlineLevel="0" collapsed="false">
      <c r="B532" s="2" t="n">
        <v>530</v>
      </c>
      <c r="C532" s="2" t="n">
        <v>2.98599538631521</v>
      </c>
      <c r="D532" s="2" t="n">
        <v>3.59960429484022</v>
      </c>
      <c r="E532" s="2" t="n">
        <v>1.6753012084368</v>
      </c>
    </row>
    <row r="533" customFormat="false" ht="13.8" hidden="false" customHeight="false" outlineLevel="0" collapsed="false">
      <c r="B533" s="2" t="n">
        <v>531</v>
      </c>
      <c r="C533" s="2" t="n">
        <v>3.14583366694241</v>
      </c>
      <c r="D533" s="2" t="n">
        <v>3.81782183203688</v>
      </c>
      <c r="E533" s="2" t="n">
        <v>1.73068270832246</v>
      </c>
    </row>
    <row r="534" customFormat="false" ht="13.8" hidden="false" customHeight="false" outlineLevel="0" collapsed="false">
      <c r="B534" s="2" t="n">
        <v>532</v>
      </c>
      <c r="C534" s="2" t="n">
        <v>3.34456424393465</v>
      </c>
      <c r="D534" s="2" t="n">
        <v>4.03047878633784</v>
      </c>
      <c r="E534" s="2" t="n">
        <v>1.76386883080722</v>
      </c>
    </row>
    <row r="535" customFormat="false" ht="13.8" hidden="false" customHeight="false" outlineLevel="0" collapsed="false">
      <c r="B535" s="2" t="n">
        <v>533</v>
      </c>
      <c r="C535" s="2" t="n">
        <v>3.51063566409495</v>
      </c>
      <c r="D535" s="2" t="n">
        <v>4.23757521334893</v>
      </c>
      <c r="E535" s="2" t="n">
        <v>1.76385119211893</v>
      </c>
    </row>
    <row r="536" customFormat="false" ht="13.8" hidden="false" customHeight="false" outlineLevel="0" collapsed="false">
      <c r="B536" s="2" t="n">
        <v>534</v>
      </c>
      <c r="C536" s="2" t="n">
        <v>3.61780178443326</v>
      </c>
      <c r="D536" s="2" t="n">
        <v>4.41063473962263</v>
      </c>
      <c r="E536" s="2" t="n">
        <v>1.76383355360702</v>
      </c>
    </row>
    <row r="537" customFormat="false" ht="13.8" hidden="false" customHeight="false" outlineLevel="0" collapsed="false">
      <c r="B537" s="2" t="n">
        <v>535</v>
      </c>
      <c r="C537" s="2" t="n">
        <v>3.71361289400256</v>
      </c>
      <c r="D537" s="2" t="n">
        <v>4.54965770552793</v>
      </c>
      <c r="E537" s="2" t="n">
        <v>1.76381591527149</v>
      </c>
    </row>
    <row r="538" customFormat="false" ht="13.8" hidden="false" customHeight="false" outlineLevel="0" collapsed="false">
      <c r="B538" s="2" t="n">
        <v>536</v>
      </c>
      <c r="C538" s="2" t="n">
        <v>3.76782973548924</v>
      </c>
      <c r="D538" s="2" t="n">
        <v>4.65464445143045</v>
      </c>
      <c r="E538" s="2" t="n">
        <v>1.77918811297608</v>
      </c>
    </row>
    <row r="539" customFormat="false" ht="13.8" hidden="false" customHeight="false" outlineLevel="0" collapsed="false">
      <c r="B539" s="2" t="n">
        <v>537</v>
      </c>
      <c r="C539" s="2" t="n">
        <v>3.78956181565377</v>
      </c>
      <c r="D539" s="2" t="n">
        <v>4.72559531769239</v>
      </c>
      <c r="E539" s="2" t="n">
        <v>1.78699546700462</v>
      </c>
    </row>
    <row r="540" customFormat="false" ht="13.8" hidden="false" customHeight="false" outlineLevel="0" collapsed="false">
      <c r="B540" s="2" t="n">
        <v>538</v>
      </c>
      <c r="C540" s="2" t="n">
        <v>3.78964755372589</v>
      </c>
      <c r="D540" s="2" t="n">
        <v>4.78311798532188</v>
      </c>
      <c r="E540" s="2" t="n">
        <v>1.79155491496041</v>
      </c>
    </row>
    <row r="541" customFormat="false" ht="13.8" hidden="false" customHeight="false" outlineLevel="0" collapsed="false">
      <c r="B541" s="2" t="n">
        <v>539</v>
      </c>
      <c r="C541" s="2" t="n">
        <v>3.78960965725035</v>
      </c>
      <c r="D541" s="2" t="n">
        <v>4.80941966243084</v>
      </c>
      <c r="E541" s="2" t="n">
        <v>1.79153699941127</v>
      </c>
    </row>
    <row r="542" customFormat="false" ht="13.8" hidden="false" customHeight="false" outlineLevel="0" collapsed="false">
      <c r="B542" s="2" t="n">
        <v>540</v>
      </c>
      <c r="C542" s="2" t="n">
        <v>3.78964755372589</v>
      </c>
      <c r="D542" s="2" t="n">
        <v>4.82332804113718</v>
      </c>
      <c r="E542" s="2" t="n">
        <v>1.79155491496041</v>
      </c>
    </row>
    <row r="543" customFormat="false" ht="13.8" hidden="false" customHeight="false" outlineLevel="0" collapsed="false">
      <c r="B543" s="2" t="n">
        <v>541</v>
      </c>
      <c r="C543" s="2" t="n">
        <v>3.78960965729396</v>
      </c>
      <c r="D543" s="2" t="n">
        <v>4.82327980785677</v>
      </c>
      <c r="E543" s="2" t="n">
        <v>1.77229761607745</v>
      </c>
    </row>
    <row r="544" customFormat="false" ht="13.8" hidden="false" customHeight="false" outlineLevel="0" collapsed="false">
      <c r="B544" s="2" t="n">
        <v>542</v>
      </c>
      <c r="C544" s="2" t="n">
        <v>3.78957176114519</v>
      </c>
      <c r="D544" s="2" t="n">
        <v>4.79258386895001</v>
      </c>
      <c r="E544" s="2" t="n">
        <v>1.73524826108963</v>
      </c>
    </row>
    <row r="545" customFormat="false" ht="13.8" hidden="false" customHeight="false" outlineLevel="0" collapsed="false">
      <c r="B545" s="2" t="n">
        <v>543</v>
      </c>
      <c r="C545" s="2" t="n">
        <v>3.78953386542758</v>
      </c>
      <c r="D545" s="2" t="n">
        <v>4.7502863573301</v>
      </c>
      <c r="E545" s="2" t="n">
        <v>1.71699103481472</v>
      </c>
    </row>
    <row r="546" customFormat="false" ht="13.8" hidden="false" customHeight="false" outlineLevel="0" collapsed="false">
      <c r="B546" s="2" t="n">
        <v>544</v>
      </c>
      <c r="C546" s="2" t="n">
        <v>3.78949597007111</v>
      </c>
      <c r="D546" s="2" t="n">
        <v>4.7402763334572</v>
      </c>
      <c r="E546" s="2" t="n">
        <v>1.65134017525735</v>
      </c>
    </row>
    <row r="547" customFormat="false" ht="13.8" hidden="false" customHeight="false" outlineLevel="0" collapsed="false">
      <c r="B547" s="2" t="n">
        <v>545</v>
      </c>
      <c r="C547" s="2" t="n">
        <v>3.74437569297448</v>
      </c>
      <c r="D547" s="2" t="n">
        <v>4.74022893069387</v>
      </c>
      <c r="E547" s="2" t="n">
        <v>1.57648160079831</v>
      </c>
    </row>
    <row r="548" customFormat="false" ht="13.8" hidden="false" customHeight="false" outlineLevel="0" collapsed="false">
      <c r="B548" s="2" t="n">
        <v>546</v>
      </c>
      <c r="C548" s="2" t="n">
        <v>3.69918749123152</v>
      </c>
      <c r="D548" s="2" t="n">
        <v>4.73000592514696</v>
      </c>
      <c r="E548" s="2" t="n">
        <v>1.47930938442106</v>
      </c>
    </row>
    <row r="549" customFormat="false" ht="13.8" hidden="false" customHeight="false" outlineLevel="0" collapsed="false">
      <c r="B549" s="2" t="n">
        <v>547</v>
      </c>
      <c r="C549" s="2" t="n">
        <v>3.64996865903271</v>
      </c>
      <c r="D549" s="2" t="n">
        <v>4.72995862508771</v>
      </c>
      <c r="E549" s="2" t="n">
        <v>1.41593458259536</v>
      </c>
    </row>
    <row r="550" customFormat="false" ht="13.8" hidden="false" customHeight="false" outlineLevel="0" collapsed="false">
      <c r="B550" s="2" t="n">
        <v>548</v>
      </c>
      <c r="C550" s="2" t="n">
        <v>3.58995089549749</v>
      </c>
      <c r="D550" s="2" t="n">
        <v>4.72991132550146</v>
      </c>
      <c r="E550" s="2" t="n">
        <v>1.24080180179152</v>
      </c>
    </row>
    <row r="551" customFormat="false" ht="13.8" hidden="false" customHeight="false" outlineLevel="0" collapsed="false">
      <c r="B551" s="2" t="n">
        <v>549</v>
      </c>
      <c r="C551" s="2" t="n">
        <v>3.53468958639297</v>
      </c>
      <c r="D551" s="2" t="n">
        <v>4.72986402638821</v>
      </c>
      <c r="E551" s="2" t="n">
        <v>1.08659715958931</v>
      </c>
    </row>
    <row r="552" customFormat="false" ht="13.8" hidden="false" customHeight="false" outlineLevel="0" collapsed="false">
      <c r="B552" s="2" t="n">
        <v>550</v>
      </c>
      <c r="C552" s="2" t="n">
        <v>3.47208525596724</v>
      </c>
      <c r="D552" s="2" t="n">
        <v>4.72243886241447</v>
      </c>
      <c r="E552" s="2" t="n">
        <v>1.00045546983142</v>
      </c>
    </row>
    <row r="553" customFormat="false" ht="13.8" hidden="false" customHeight="false" outlineLevel="0" collapsed="false">
      <c r="B553" s="2" t="n">
        <v>551</v>
      </c>
      <c r="C553" s="2" t="n">
        <v>3.42682275077224</v>
      </c>
      <c r="D553" s="2" t="n">
        <v>4.70156200460753</v>
      </c>
      <c r="E553" s="2" t="n">
        <v>0.930228496332778</v>
      </c>
    </row>
    <row r="554" customFormat="false" ht="13.8" hidden="false" customHeight="false" outlineLevel="0" collapsed="false">
      <c r="B554" s="2" t="n">
        <v>552</v>
      </c>
      <c r="C554" s="2" t="n">
        <v>3.34540543848019</v>
      </c>
      <c r="D554" s="2" t="n">
        <v>4.68876730565313</v>
      </c>
      <c r="E554" s="2" t="n">
        <v>0.88436059846473</v>
      </c>
    </row>
    <row r="555" customFormat="false" ht="13.8" hidden="false" customHeight="false" outlineLevel="0" collapsed="false">
      <c r="B555" s="2" t="n">
        <v>553</v>
      </c>
      <c r="C555" s="2" t="n">
        <v>3.2693154844258</v>
      </c>
      <c r="D555" s="2" t="n">
        <v>4.57760930686897</v>
      </c>
      <c r="E555" s="2" t="n">
        <v>0.832406995599486</v>
      </c>
    </row>
    <row r="556" customFormat="false" ht="13.8" hidden="false" customHeight="false" outlineLevel="0" collapsed="false">
      <c r="B556" s="2" t="n">
        <v>554</v>
      </c>
      <c r="C556" s="2" t="n">
        <v>3.16105977275244</v>
      </c>
      <c r="D556" s="2" t="n">
        <v>4.46645241966479</v>
      </c>
      <c r="E556" s="2" t="n">
        <v>0.809342838196197</v>
      </c>
    </row>
    <row r="557" customFormat="false" ht="13.8" hidden="false" customHeight="false" outlineLevel="0" collapsed="false">
      <c r="B557" s="2" t="n">
        <v>555</v>
      </c>
      <c r="C557" s="2" t="n">
        <v>3.05497114363619</v>
      </c>
      <c r="D557" s="2" t="n">
        <v>4.35529664402948</v>
      </c>
      <c r="E557" s="2" t="n">
        <v>0.757390022545593</v>
      </c>
    </row>
    <row r="558" customFormat="false" ht="13.8" hidden="false" customHeight="false" outlineLevel="0" collapsed="false">
      <c r="B558" s="2" t="n">
        <v>556</v>
      </c>
      <c r="C558" s="2" t="n">
        <v>2.93258627910994</v>
      </c>
      <c r="D558" s="2" t="n">
        <v>4.24414197995193</v>
      </c>
      <c r="E558" s="2" t="n">
        <v>0.734326615312034</v>
      </c>
    </row>
    <row r="559" customFormat="false" ht="13.8" hidden="false" customHeight="false" outlineLevel="0" collapsed="false">
      <c r="B559" s="2" t="n">
        <v>557</v>
      </c>
      <c r="C559" s="2" t="n">
        <v>2.80498008287678</v>
      </c>
      <c r="D559" s="2" t="n">
        <v>4.13298842742102</v>
      </c>
      <c r="E559" s="2" t="n">
        <v>0.682374549823659</v>
      </c>
    </row>
    <row r="560" customFormat="false" ht="13.8" hidden="false" customHeight="false" outlineLevel="0" collapsed="false">
      <c r="B560" s="2" t="n">
        <v>558</v>
      </c>
      <c r="C560" s="2" t="n">
        <v>2.68396707011299</v>
      </c>
      <c r="D560" s="2" t="n">
        <v>4.02183598642563</v>
      </c>
      <c r="E560" s="2" t="n">
        <v>0.659312096448531</v>
      </c>
    </row>
    <row r="561" customFormat="false" ht="13.8" hidden="false" customHeight="false" outlineLevel="0" collapsed="false">
      <c r="B561" s="2" t="n">
        <v>559</v>
      </c>
      <c r="C561" s="2" t="n">
        <v>2.62147286007192</v>
      </c>
      <c r="D561" s="2" t="n">
        <v>3.91068465695466</v>
      </c>
      <c r="E561" s="2" t="n">
        <v>0.625879484809048</v>
      </c>
    </row>
    <row r="562" customFormat="false" ht="13.8" hidden="false" customHeight="false" outlineLevel="0" collapsed="false">
      <c r="B562" s="2" t="n">
        <v>560</v>
      </c>
      <c r="C562" s="2" t="n">
        <v>2.53262753423221</v>
      </c>
      <c r="D562" s="2" t="n">
        <v>3.79953443899698</v>
      </c>
      <c r="E562" s="2" t="n">
        <v>0.570317670458644</v>
      </c>
    </row>
    <row r="563" customFormat="false" ht="13.8" hidden="false" customHeight="false" outlineLevel="0" collapsed="false">
      <c r="B563" s="2" t="n">
        <v>561</v>
      </c>
      <c r="C563" s="2" t="n">
        <v>2.42052368943835</v>
      </c>
      <c r="D563" s="2" t="n">
        <v>3.68838533254148</v>
      </c>
      <c r="E563" s="2" t="n">
        <v>0.554571208022681</v>
      </c>
    </row>
    <row r="564" customFormat="false" ht="13.8" hidden="false" customHeight="false" outlineLevel="0" collapsed="false">
      <c r="B564" s="2" t="n">
        <v>562</v>
      </c>
      <c r="C564" s="2" t="n">
        <v>2.34284591012738</v>
      </c>
      <c r="D564" s="2" t="n">
        <v>3.57723733757704</v>
      </c>
      <c r="E564" s="2" t="n">
        <v>0.55336192156986</v>
      </c>
    </row>
    <row r="565" customFormat="false" ht="13.8" hidden="false" customHeight="false" outlineLevel="0" collapsed="false">
      <c r="B565" s="2" t="n">
        <v>563</v>
      </c>
      <c r="C565" s="2" t="n">
        <v>2.25981788907568</v>
      </c>
      <c r="D565" s="2" t="n">
        <v>3.46609045409255</v>
      </c>
      <c r="E565" s="2" t="n">
        <v>0.523078610172866</v>
      </c>
    </row>
    <row r="566" customFormat="false" ht="13.8" hidden="false" customHeight="false" outlineLevel="0" collapsed="false">
      <c r="B566" s="2" t="n">
        <v>564</v>
      </c>
      <c r="C566" s="2" t="n">
        <v>2.13764330941531</v>
      </c>
      <c r="D566" s="2" t="n">
        <v>3.3549446820769</v>
      </c>
      <c r="E566" s="2" t="n">
        <v>0.514462268275653</v>
      </c>
    </row>
    <row r="567" customFormat="false" ht="13.8" hidden="false" customHeight="false" outlineLevel="0" collapsed="false">
      <c r="B567" s="2" t="n">
        <v>565</v>
      </c>
      <c r="C567" s="2" t="n">
        <v>2.00452534038963</v>
      </c>
      <c r="D567" s="2" t="n">
        <v>3.24380002151897</v>
      </c>
      <c r="E567" s="2" t="n">
        <v>0.487883031060378</v>
      </c>
    </row>
    <row r="568" customFormat="false" ht="13.8" hidden="false" customHeight="false" outlineLevel="0" collapsed="false">
      <c r="B568" s="2" t="n">
        <v>566</v>
      </c>
      <c r="C568" s="2" t="n">
        <v>1.90109366550659</v>
      </c>
      <c r="D568" s="2" t="n">
        <v>3.13265647240764</v>
      </c>
      <c r="E568" s="2" t="n">
        <v>0.487044707785623</v>
      </c>
    </row>
    <row r="569" customFormat="false" ht="13.8" hidden="false" customHeight="false" outlineLevel="0" collapsed="false">
      <c r="B569" s="2" t="n">
        <v>567</v>
      </c>
      <c r="C569" s="2" t="n">
        <v>1.80916337679216</v>
      </c>
      <c r="D569" s="2" t="n">
        <v>3.02151403473181</v>
      </c>
      <c r="E569" s="2" t="n">
        <v>0.471206504005212</v>
      </c>
    </row>
    <row r="570" customFormat="false" ht="13.8" hidden="false" customHeight="false" outlineLevel="0" collapsed="false">
      <c r="B570" s="2" t="n">
        <v>568</v>
      </c>
      <c r="C570" s="2" t="n">
        <v>1.70793665552876</v>
      </c>
      <c r="D570" s="2" t="n">
        <v>2.91037270848035</v>
      </c>
      <c r="E570" s="2" t="n">
        <v>0.448146236384616</v>
      </c>
    </row>
    <row r="571" customFormat="false" ht="13.8" hidden="false" customHeight="false" outlineLevel="0" collapsed="false">
      <c r="B571" s="2" t="n">
        <v>569</v>
      </c>
      <c r="C571" s="2" t="n">
        <v>1.63815526134739</v>
      </c>
      <c r="D571" s="2" t="n">
        <v>2.79923249364215</v>
      </c>
      <c r="E571" s="2" t="n">
        <v>0.432308421588919</v>
      </c>
    </row>
    <row r="572" customFormat="false" ht="13.8" hidden="false" customHeight="false" outlineLevel="0" collapsed="false">
      <c r="B572" s="2" t="n">
        <v>570</v>
      </c>
      <c r="C572" s="2" t="n">
        <v>1.54254125016515</v>
      </c>
      <c r="D572" s="2" t="n">
        <v>2.68809339020611</v>
      </c>
      <c r="E572" s="2" t="n">
        <v>0.409248542949148</v>
      </c>
    </row>
    <row r="573" customFormat="false" ht="13.8" hidden="false" customHeight="false" outlineLevel="0" collapsed="false">
      <c r="B573" s="2" t="n">
        <v>571</v>
      </c>
      <c r="C573" s="2" t="n">
        <v>1.43639139882672</v>
      </c>
      <c r="D573" s="2" t="n">
        <v>2.57695539816109</v>
      </c>
      <c r="E573" s="2" t="n">
        <v>0.408503580093348</v>
      </c>
    </row>
    <row r="574" customFormat="false" ht="13.8" hidden="false" customHeight="false" outlineLevel="0" collapsed="false">
      <c r="B574" s="2" t="n">
        <v>572</v>
      </c>
      <c r="C574" s="2" t="n">
        <v>1.35511360898681</v>
      </c>
      <c r="D574" s="2" t="n">
        <v>2.465818517496</v>
      </c>
      <c r="E574" s="2" t="n">
        <v>0.407480902464954</v>
      </c>
    </row>
    <row r="575" customFormat="false" ht="13.8" hidden="false" customHeight="false" outlineLevel="0" collapsed="false">
      <c r="B575" s="2" t="n">
        <v>573</v>
      </c>
      <c r="C575" s="2" t="n">
        <v>1.28915098377664</v>
      </c>
      <c r="D575" s="2" t="n">
        <v>2.35468274819971</v>
      </c>
      <c r="E575" s="2" t="n">
        <v>0.384421272100374</v>
      </c>
    </row>
    <row r="576" customFormat="false" ht="13.8" hidden="false" customHeight="false" outlineLevel="0" collapsed="false">
      <c r="B576" s="2" t="n">
        <v>574</v>
      </c>
      <c r="C576" s="2" t="n">
        <v>1.23344898115569</v>
      </c>
      <c r="D576" s="2" t="n">
        <v>2.24354809026112</v>
      </c>
      <c r="E576" s="2" t="n">
        <v>0.36858409455432</v>
      </c>
    </row>
    <row r="577" customFormat="false" ht="13.8" hidden="false" customHeight="false" outlineLevel="0" collapsed="false">
      <c r="B577" s="2" t="n">
        <v>575</v>
      </c>
      <c r="C577" s="2" t="n">
        <v>1.18298892444366</v>
      </c>
      <c r="D577" s="2" t="n">
        <v>2.13241454366911</v>
      </c>
      <c r="E577" s="2" t="n">
        <v>0.352932223528189</v>
      </c>
    </row>
    <row r="578" customFormat="false" ht="13.8" hidden="false" customHeight="false" outlineLevel="0" collapsed="false">
      <c r="B578" s="2" t="n">
        <v>576</v>
      </c>
      <c r="C578" s="2" t="n">
        <v>1.12519550196182</v>
      </c>
      <c r="D578" s="2" t="n">
        <v>2.02128210852983</v>
      </c>
      <c r="E578" s="2" t="n">
        <v>0.352928416428176</v>
      </c>
    </row>
    <row r="579" customFormat="false" ht="13.8" hidden="false" customHeight="false" outlineLevel="0" collapsed="false">
      <c r="B579" s="2" t="n">
        <v>577</v>
      </c>
      <c r="C579" s="2" t="n">
        <v>1.07464463889569</v>
      </c>
      <c r="D579" s="2" t="n">
        <v>2.02126189559147</v>
      </c>
      <c r="E579" s="2" t="n">
        <v>0.352924609366234</v>
      </c>
    </row>
    <row r="580" customFormat="false" ht="13.8" hidden="false" customHeight="false" outlineLevel="0" collapsed="false">
      <c r="B580" s="2" t="n">
        <v>578</v>
      </c>
      <c r="C580" s="2" t="n">
        <v>1.0431683924493</v>
      </c>
      <c r="D580" s="2" t="n">
        <v>2.02124168297252</v>
      </c>
      <c r="E580" s="2" t="n">
        <v>0.352457931971992</v>
      </c>
    </row>
    <row r="581" customFormat="false" ht="13.8" hidden="false" customHeight="false" outlineLevel="0" collapsed="false">
      <c r="B581" s="2" t="n">
        <v>579</v>
      </c>
      <c r="C581" s="2" t="n">
        <v>0.949360108913526</v>
      </c>
      <c r="D581" s="2" t="n">
        <v>2.02122147043843</v>
      </c>
      <c r="E581" s="2" t="n">
        <v>0.351065518503784</v>
      </c>
    </row>
    <row r="582" customFormat="false" ht="13.8" hidden="false" customHeight="false" outlineLevel="0" collapsed="false">
      <c r="B582" s="2" t="n">
        <v>580</v>
      </c>
      <c r="C582" s="2" t="n">
        <v>0.933701356053178</v>
      </c>
      <c r="D582" s="2" t="n">
        <v>2.00638644352617</v>
      </c>
      <c r="E582" s="2" t="n">
        <v>0.313562007848599</v>
      </c>
    </row>
    <row r="583" customFormat="false" ht="13.8" hidden="false" customHeight="false" outlineLevel="0" collapsed="false">
      <c r="B583" s="2" t="n">
        <v>581</v>
      </c>
      <c r="C583" s="2" t="n">
        <v>0.848173056076654</v>
      </c>
      <c r="D583" s="2" t="n">
        <v>1.89525526855062</v>
      </c>
      <c r="E583" s="2" t="n">
        <v>0.312262557413705</v>
      </c>
    </row>
    <row r="584" customFormat="false" ht="13.8" hidden="false" customHeight="false" outlineLevel="0" collapsed="false">
      <c r="B584" s="2" t="n">
        <v>582</v>
      </c>
      <c r="C584" s="2" t="n">
        <v>0.818257000272019</v>
      </c>
      <c r="D584" s="2" t="n">
        <v>1.78412520488683</v>
      </c>
      <c r="E584" s="2" t="n">
        <v>0.296426101454798</v>
      </c>
    </row>
    <row r="585" customFormat="false" ht="13.8" hidden="false" customHeight="false" outlineLevel="0" collapsed="false">
      <c r="B585" s="2" t="n">
        <v>583</v>
      </c>
      <c r="C585" s="2" t="n">
        <v>0.771915336220535</v>
      </c>
      <c r="D585" s="2" t="n">
        <v>1.67299625252367</v>
      </c>
      <c r="E585" s="2" t="n">
        <v>0.273367581638228</v>
      </c>
    </row>
    <row r="586" customFormat="false" ht="13.8" hidden="false" customHeight="false" outlineLevel="0" collapsed="false">
      <c r="B586" s="2" t="n">
        <v>584</v>
      </c>
      <c r="C586" s="2" t="n">
        <v>0.697851728178284</v>
      </c>
      <c r="D586" s="2" t="n">
        <v>1.56186841145003</v>
      </c>
      <c r="E586" s="2" t="n">
        <v>0.257531514629078</v>
      </c>
    </row>
    <row r="587" customFormat="false" ht="13.8" hidden="false" customHeight="false" outlineLevel="0" collapsed="false">
      <c r="B587" s="2" t="n">
        <v>585</v>
      </c>
      <c r="C587" s="2" t="n">
        <v>0.666992638549891</v>
      </c>
      <c r="D587" s="2" t="n">
        <v>1.4507416816548</v>
      </c>
      <c r="E587" s="2" t="n">
        <v>0.252806661536154</v>
      </c>
    </row>
    <row r="588" customFormat="false" ht="13.8" hidden="false" customHeight="false" outlineLevel="0" collapsed="false">
      <c r="B588" s="2" t="n">
        <v>586</v>
      </c>
      <c r="C588" s="2" t="n">
        <v>0.632004301956839</v>
      </c>
      <c r="D588" s="2" t="n">
        <v>1.33961606312688</v>
      </c>
      <c r="E588" s="2" t="n">
        <v>0.229748577913983</v>
      </c>
    </row>
    <row r="589" customFormat="false" ht="13.8" hidden="false" customHeight="false" outlineLevel="0" collapsed="false">
      <c r="B589" s="2" t="n">
        <v>587</v>
      </c>
      <c r="C589" s="2" t="n">
        <v>0.552886796728634</v>
      </c>
      <c r="D589" s="2" t="n">
        <v>1.22849155585513</v>
      </c>
      <c r="E589" s="2" t="n">
        <v>0.214098095243019</v>
      </c>
    </row>
    <row r="590" customFormat="false" ht="13.8" hidden="false" customHeight="false" outlineLevel="0" collapsed="false">
      <c r="B590" s="2" t="n">
        <v>588</v>
      </c>
      <c r="C590" s="2" t="n">
        <v>0.53138123082363</v>
      </c>
      <c r="D590" s="2" t="n">
        <v>1.11736815982846</v>
      </c>
      <c r="E590" s="2" t="n">
        <v>0.201873732039844</v>
      </c>
    </row>
    <row r="591" customFormat="false" ht="13.8" hidden="false" customHeight="false" outlineLevel="0" collapsed="false">
      <c r="B591" s="2" t="n">
        <v>589</v>
      </c>
      <c r="C591" s="2" t="n">
        <v>0.474338731826136</v>
      </c>
      <c r="D591" s="2" t="n">
        <v>1.00624587503576</v>
      </c>
      <c r="E591" s="2" t="n">
        <v>0.175667917006227</v>
      </c>
    </row>
    <row r="592" customFormat="false" ht="13.8" hidden="false" customHeight="false" outlineLevel="0" collapsed="false">
      <c r="B592" s="2" t="n">
        <v>590</v>
      </c>
      <c r="C592" s="2" t="n">
        <v>0.427389543994373</v>
      </c>
      <c r="D592" s="2" t="n">
        <v>0.895124701465894</v>
      </c>
      <c r="E592" s="2" t="n">
        <v>0.174832715882613</v>
      </c>
    </row>
    <row r="593" customFormat="false" ht="13.8" hidden="false" customHeight="false" outlineLevel="0" collapsed="false">
      <c r="B593" s="2" t="n">
        <v>591</v>
      </c>
      <c r="C593" s="2" t="n">
        <v>0.373514825654489</v>
      </c>
      <c r="D593" s="2" t="n">
        <v>0.784004639107768</v>
      </c>
      <c r="E593" s="2" t="n">
        <v>0.158997634222121</v>
      </c>
    </row>
    <row r="594" customFormat="false" ht="13.8" hidden="false" customHeight="false" outlineLevel="0" collapsed="false">
      <c r="B594" s="2" t="n">
        <v>592</v>
      </c>
      <c r="C594" s="2" t="n">
        <v>0.327048090506232</v>
      </c>
      <c r="D594" s="2" t="n">
        <v>0.672885687950265</v>
      </c>
      <c r="E594" s="2" t="n">
        <v>0.136218210912445</v>
      </c>
    </row>
    <row r="595" customFormat="false" ht="13.8" hidden="false" customHeight="false" outlineLevel="0" collapsed="false">
      <c r="B595" s="2" t="n">
        <v>593</v>
      </c>
      <c r="C595" s="2" t="n">
        <v>0.299433449654957</v>
      </c>
      <c r="D595" s="2" t="n">
        <v>0.561767847982275</v>
      </c>
      <c r="E595" s="2" t="n">
        <v>0.135475978359966</v>
      </c>
    </row>
    <row r="596" customFormat="false" ht="13.8" hidden="false" customHeight="false" outlineLevel="0" collapsed="false">
      <c r="B596" s="2" t="n">
        <v>594</v>
      </c>
      <c r="C596" s="2" t="n">
        <v>0.247559973838979</v>
      </c>
      <c r="D596" s="2" t="n">
        <v>0.450651119192684</v>
      </c>
      <c r="E596" s="2" t="n">
        <v>0.12325240137796</v>
      </c>
    </row>
    <row r="597" customFormat="false" ht="13.8" hidden="false" customHeight="false" outlineLevel="0" collapsed="false">
      <c r="B597" s="2" t="n">
        <v>595</v>
      </c>
      <c r="C597" s="2" t="n">
        <v>0.204538794535536</v>
      </c>
      <c r="D597" s="2" t="n">
        <v>0.339535501570381</v>
      </c>
      <c r="E597" s="2" t="n">
        <v>0.0965845021872795</v>
      </c>
    </row>
    <row r="598" customFormat="false" ht="13.8" hidden="false" customHeight="false" outlineLevel="0" collapsed="false">
      <c r="B598" s="2" t="n">
        <v>596</v>
      </c>
      <c r="C598" s="2" t="n">
        <v>0.17712900840685</v>
      </c>
      <c r="D598" s="2" t="n">
        <v>0.228420995104254</v>
      </c>
      <c r="E598" s="2" t="n">
        <v>0.0843613141200355</v>
      </c>
    </row>
    <row r="599" customFormat="false" ht="13.8" hidden="false" customHeight="false" outlineLevel="0" collapsed="false">
      <c r="B599" s="2" t="n">
        <v>597</v>
      </c>
      <c r="C599" s="2" t="n">
        <v>0.120441866746396</v>
      </c>
      <c r="D599" s="2" t="n">
        <v>0.117307600224986</v>
      </c>
      <c r="E599" s="2" t="n">
        <v>0.0576938038402276</v>
      </c>
    </row>
    <row r="600" customFormat="false" ht="13.8" hidden="false" customHeight="false" outlineLevel="0" collapsed="false">
      <c r="B600" s="2" t="n">
        <v>598</v>
      </c>
      <c r="C600" s="2" t="n">
        <v>0.120440662327729</v>
      </c>
      <c r="D600" s="2" t="n">
        <v>1.51334231253355E-008</v>
      </c>
      <c r="E600" s="2" t="n">
        <v>0.0474795507092467</v>
      </c>
    </row>
    <row r="601" customFormat="false" ht="13.8" hidden="false" customHeight="false" outlineLevel="0" collapsed="false">
      <c r="B601" s="2" t="n">
        <v>599</v>
      </c>
      <c r="C601" s="2" t="n">
        <v>0.0662721600622737</v>
      </c>
      <c r="D601" s="2" t="n">
        <v>2.24379215746271E-009</v>
      </c>
      <c r="E601" s="2" t="n">
        <v>0.0248295013056325</v>
      </c>
    </row>
    <row r="602" customFormat="false" ht="13.8" hidden="false" customHeight="false" outlineLevel="0" collapsed="false">
      <c r="B602" s="2" t="n">
        <v>600</v>
      </c>
      <c r="C602" s="2" t="n">
        <v>0.0158538468487226</v>
      </c>
      <c r="D602" s="2" t="n">
        <v>2.38534159599319E-010</v>
      </c>
      <c r="E602" s="2" t="n">
        <v>0.0186326688762364</v>
      </c>
    </row>
    <row r="603" customFormat="false" ht="13.8" hidden="false" customHeight="false" outlineLevel="0" collapsed="false">
      <c r="B603" s="2" t="n">
        <v>601</v>
      </c>
      <c r="C603" s="2" t="n">
        <v>0</v>
      </c>
      <c r="D603" s="2" t="n">
        <v>6.9636046236216E-012</v>
      </c>
      <c r="E603" s="2" t="n">
        <v>0</v>
      </c>
    </row>
    <row r="604" customFormat="false" ht="13.8" hidden="false" customHeight="false" outlineLevel="0" collapsed="false">
      <c r="B604" s="2" t="n">
        <v>602</v>
      </c>
      <c r="C604" s="2" t="n">
        <v>2.98258635161632E-020</v>
      </c>
      <c r="D604" s="2" t="n">
        <v>0</v>
      </c>
      <c r="E604" s="2" t="n">
        <v>0</v>
      </c>
    </row>
    <row r="605" customFormat="false" ht="13.8" hidden="false" customHeight="false" outlineLevel="0" collapsed="false">
      <c r="B605" s="2" t="n">
        <v>603</v>
      </c>
      <c r="C605" s="2" t="n">
        <v>0</v>
      </c>
      <c r="D605" s="2" t="n">
        <v>0</v>
      </c>
      <c r="E605" s="2" t="n">
        <v>0</v>
      </c>
    </row>
    <row r="606" customFormat="false" ht="13.8" hidden="false" customHeight="false" outlineLevel="0" collapsed="false">
      <c r="B606" s="2" t="n">
        <v>604</v>
      </c>
      <c r="C606" s="2" t="n">
        <v>0</v>
      </c>
      <c r="D606" s="2" t="n">
        <v>0</v>
      </c>
      <c r="E606" s="2" t="n">
        <v>0</v>
      </c>
    </row>
    <row r="607" customFormat="false" ht="13.8" hidden="false" customHeight="false" outlineLevel="0" collapsed="false">
      <c r="B607" s="2" t="n">
        <v>605</v>
      </c>
      <c r="C607" s="2" t="n">
        <v>0</v>
      </c>
      <c r="D607" s="2" t="n">
        <v>0</v>
      </c>
      <c r="E607" s="2" t="n">
        <v>0</v>
      </c>
    </row>
    <row r="608" customFormat="false" ht="13.8" hidden="false" customHeight="false" outlineLevel="0" collapsed="false">
      <c r="B608" s="2" t="n">
        <v>606</v>
      </c>
      <c r="C608" s="2" t="n">
        <v>0</v>
      </c>
      <c r="D608" s="2" t="n">
        <v>0</v>
      </c>
      <c r="E608" s="2" t="n">
        <v>0</v>
      </c>
    </row>
    <row r="609" customFormat="false" ht="13.8" hidden="false" customHeight="false" outlineLevel="0" collapsed="false">
      <c r="B609" s="2" t="n">
        <v>607</v>
      </c>
      <c r="C609" s="2" t="n">
        <v>0</v>
      </c>
      <c r="D609" s="2" t="n">
        <v>0</v>
      </c>
      <c r="E609" s="2" t="n">
        <v>0</v>
      </c>
    </row>
    <row r="610" customFormat="false" ht="13.8" hidden="false" customHeight="false" outlineLevel="0" collapsed="false">
      <c r="B610" s="2" t="n">
        <v>608</v>
      </c>
      <c r="C610" s="2" t="n">
        <v>0</v>
      </c>
      <c r="D610" s="2" t="n">
        <v>0</v>
      </c>
      <c r="E610" s="2" t="n">
        <v>0</v>
      </c>
    </row>
    <row r="611" customFormat="false" ht="13.8" hidden="false" customHeight="false" outlineLevel="0" collapsed="false">
      <c r="B611" s="2" t="n">
        <v>609</v>
      </c>
      <c r="C611" s="2" t="n">
        <v>0</v>
      </c>
      <c r="D611" s="2" t="n">
        <v>0</v>
      </c>
      <c r="E611" s="2" t="n">
        <v>0</v>
      </c>
    </row>
    <row r="612" customFormat="false" ht="13.8" hidden="false" customHeight="false" outlineLevel="0" collapsed="false">
      <c r="B612" s="2" t="n">
        <v>610</v>
      </c>
      <c r="C612" s="2" t="n">
        <v>0</v>
      </c>
      <c r="D612" s="2" t="n">
        <v>0</v>
      </c>
      <c r="E612" s="2" t="n">
        <v>0</v>
      </c>
    </row>
    <row r="613" customFormat="false" ht="13.8" hidden="false" customHeight="false" outlineLevel="0" collapsed="false">
      <c r="B613" s="2" t="n">
        <v>611</v>
      </c>
      <c r="C613" s="2" t="n">
        <v>0</v>
      </c>
      <c r="D613" s="2" t="n">
        <v>0</v>
      </c>
      <c r="E613" s="2" t="n">
        <v>0</v>
      </c>
    </row>
    <row r="614" customFormat="false" ht="13.8" hidden="false" customHeight="false" outlineLevel="0" collapsed="false">
      <c r="B614" s="2" t="n">
        <v>612</v>
      </c>
      <c r="C614" s="2" t="n">
        <v>0</v>
      </c>
      <c r="D614" s="2" t="n">
        <v>0</v>
      </c>
      <c r="E614" s="2" t="n">
        <v>0</v>
      </c>
    </row>
    <row r="615" customFormat="false" ht="13.8" hidden="false" customHeight="false" outlineLevel="0" collapsed="false">
      <c r="B615" s="2" t="n">
        <v>613</v>
      </c>
      <c r="C615" s="2" t="n">
        <v>0</v>
      </c>
      <c r="D615" s="2" t="n">
        <v>0</v>
      </c>
      <c r="E615" s="2" t="n">
        <v>0</v>
      </c>
    </row>
    <row r="616" customFormat="false" ht="13.8" hidden="false" customHeight="false" outlineLevel="0" collapsed="false">
      <c r="B616" s="2" t="n">
        <v>614</v>
      </c>
      <c r="C616" s="2" t="n">
        <v>0</v>
      </c>
      <c r="D616" s="2" t="n">
        <v>0</v>
      </c>
      <c r="E616" s="2" t="n">
        <v>0</v>
      </c>
    </row>
    <row r="617" customFormat="false" ht="13.8" hidden="false" customHeight="false" outlineLevel="0" collapsed="false">
      <c r="B617" s="2" t="n">
        <v>615</v>
      </c>
      <c r="C617" s="2" t="n">
        <v>0</v>
      </c>
      <c r="D617" s="2" t="n">
        <v>0</v>
      </c>
      <c r="E617" s="2" t="n">
        <v>0</v>
      </c>
    </row>
    <row r="618" customFormat="false" ht="13.8" hidden="false" customHeight="false" outlineLevel="0" collapsed="false">
      <c r="B618" s="2" t="n">
        <v>616</v>
      </c>
      <c r="C618" s="2" t="n">
        <v>0</v>
      </c>
      <c r="D618" s="2" t="n">
        <v>0</v>
      </c>
      <c r="E618" s="2" t="n">
        <v>0</v>
      </c>
    </row>
    <row r="619" customFormat="false" ht="13.8" hidden="false" customHeight="false" outlineLevel="0" collapsed="false">
      <c r="B619" s="2" t="n">
        <v>617</v>
      </c>
      <c r="C619" s="2" t="n">
        <v>0</v>
      </c>
      <c r="D619" s="2" t="n">
        <v>0</v>
      </c>
      <c r="E619" s="2" t="n">
        <v>0</v>
      </c>
    </row>
    <row r="620" customFormat="false" ht="13.8" hidden="false" customHeight="false" outlineLevel="0" collapsed="false">
      <c r="B620" s="2" t="n">
        <v>618</v>
      </c>
      <c r="C620" s="2" t="n">
        <v>0</v>
      </c>
      <c r="D620" s="2" t="n">
        <v>0</v>
      </c>
      <c r="E620" s="2" t="n">
        <v>5.04630861844044E-012</v>
      </c>
    </row>
    <row r="621" customFormat="false" ht="13.8" hidden="false" customHeight="false" outlineLevel="0" collapsed="false">
      <c r="B621" s="2" t="n">
        <v>619</v>
      </c>
      <c r="C621" s="2" t="n">
        <v>0</v>
      </c>
      <c r="D621" s="2" t="n">
        <v>0</v>
      </c>
      <c r="E621" s="2" t="n">
        <v>0.0259214681037527</v>
      </c>
    </row>
    <row r="622" customFormat="false" ht="13.8" hidden="false" customHeight="false" outlineLevel="0" collapsed="false">
      <c r="B622" s="2" t="n">
        <v>620</v>
      </c>
      <c r="C622" s="2" t="n">
        <v>0</v>
      </c>
      <c r="D622" s="2" t="n">
        <v>0</v>
      </c>
      <c r="E622" s="2" t="n">
        <v>0.174309641787621</v>
      </c>
    </row>
    <row r="623" customFormat="false" ht="13.8" hidden="false" customHeight="false" outlineLevel="0" collapsed="false">
      <c r="B623" s="2" t="n">
        <v>621</v>
      </c>
      <c r="C623" s="2" t="n">
        <v>0</v>
      </c>
      <c r="D623" s="2" t="n">
        <v>0</v>
      </c>
      <c r="E623" s="2" t="n">
        <v>0.342688585968205</v>
      </c>
    </row>
    <row r="624" customFormat="false" ht="13.8" hidden="false" customHeight="false" outlineLevel="0" collapsed="false">
      <c r="B624" s="2" t="n">
        <v>622</v>
      </c>
      <c r="C624" s="2" t="n">
        <v>0.211958310431112</v>
      </c>
      <c r="D624" s="2" t="n">
        <v>3.59780950700955E-011</v>
      </c>
      <c r="E624" s="2" t="n">
        <v>0.495622150485941</v>
      </c>
    </row>
    <row r="625" customFormat="false" ht="13.8" hidden="false" customHeight="false" outlineLevel="0" collapsed="false">
      <c r="B625" s="2" t="n">
        <v>623</v>
      </c>
      <c r="C625" s="2" t="n">
        <v>0.54726251624077</v>
      </c>
      <c r="D625" s="2" t="n">
        <v>2.46481857284787E-010</v>
      </c>
      <c r="E625" s="2" t="n">
        <v>0.567620474794625</v>
      </c>
    </row>
    <row r="626" customFormat="false" ht="13.8" hidden="false" customHeight="false" outlineLevel="0" collapsed="false">
      <c r="B626" s="2" t="n">
        <v>624</v>
      </c>
      <c r="C626" s="2" t="n">
        <v>0.808517354260363</v>
      </c>
      <c r="D626" s="2" t="n">
        <v>0.0236529984132592</v>
      </c>
      <c r="E626" s="2" t="n">
        <v>0.630714128246656</v>
      </c>
    </row>
    <row r="627" customFormat="false" ht="13.8" hidden="false" customHeight="false" outlineLevel="0" collapsed="false">
      <c r="B627" s="2" t="n">
        <v>625</v>
      </c>
      <c r="C627" s="2" t="n">
        <v>1.13051320498357</v>
      </c>
      <c r="D627" s="2" t="n">
        <v>0.216336352647614</v>
      </c>
      <c r="E627" s="2" t="n">
        <v>0.696063289888739</v>
      </c>
    </row>
    <row r="628" customFormat="false" ht="13.8" hidden="false" customHeight="false" outlineLevel="0" collapsed="false">
      <c r="B628" s="2" t="n">
        <v>626</v>
      </c>
      <c r="C628" s="2" t="n">
        <v>1.35533792884425</v>
      </c>
      <c r="D628" s="2" t="n">
        <v>0.482150646981706</v>
      </c>
      <c r="E628" s="2" t="n">
        <v>0.801151493228794</v>
      </c>
    </row>
    <row r="629" customFormat="false" ht="13.8" hidden="false" customHeight="false" outlineLevel="0" collapsed="false">
      <c r="B629" s="2" t="n">
        <v>627</v>
      </c>
      <c r="C629" s="2" t="n">
        <v>1.59691712255369</v>
      </c>
      <c r="D629" s="2" t="n">
        <v>0.727576702552764</v>
      </c>
      <c r="E629" s="2" t="n">
        <v>0.915303700876403</v>
      </c>
    </row>
    <row r="630" customFormat="false" ht="13.8" hidden="false" customHeight="false" outlineLevel="0" collapsed="false">
      <c r="B630" s="2" t="n">
        <v>628</v>
      </c>
      <c r="C630" s="2" t="n">
        <v>1.74137102356716</v>
      </c>
      <c r="D630" s="2" t="n">
        <v>0.937920191634838</v>
      </c>
      <c r="E630" s="2" t="n">
        <v>1.02813925219153</v>
      </c>
    </row>
    <row r="631" customFormat="false" ht="13.8" hidden="false" customHeight="false" outlineLevel="0" collapsed="false">
      <c r="B631" s="2" t="n">
        <v>629</v>
      </c>
      <c r="C631" s="2" t="n">
        <v>1.90664554313761</v>
      </c>
      <c r="D631" s="2" t="n">
        <v>1.11318146505359</v>
      </c>
      <c r="E631" s="2" t="n">
        <v>1.07115389534072</v>
      </c>
    </row>
    <row r="632" customFormat="false" ht="13.8" hidden="false" customHeight="false" outlineLevel="0" collapsed="false">
      <c r="B632" s="2" t="n">
        <v>630</v>
      </c>
      <c r="C632" s="2" t="n">
        <v>2.00825522442953</v>
      </c>
      <c r="D632" s="2" t="n">
        <v>1.28448358738096</v>
      </c>
      <c r="E632" s="2" t="n">
        <v>1.14112593529705</v>
      </c>
    </row>
    <row r="633" customFormat="false" ht="13.8" hidden="false" customHeight="false" outlineLevel="0" collapsed="false">
      <c r="B633" s="2" t="n">
        <v>631</v>
      </c>
      <c r="C633" s="2" t="n">
        <v>2.1734005840913</v>
      </c>
      <c r="D633" s="2" t="n">
        <v>1.45182659820844</v>
      </c>
      <c r="E633" s="2" t="n">
        <v>1.17955495248655</v>
      </c>
    </row>
    <row r="634" customFormat="false" ht="13.8" hidden="false" customHeight="false" outlineLevel="0" collapsed="false">
      <c r="B634" s="2" t="n">
        <v>632</v>
      </c>
      <c r="C634" s="2" t="n">
        <v>2.31088157176613</v>
      </c>
      <c r="D634" s="2" t="n">
        <v>1.61521053712716</v>
      </c>
      <c r="E634" s="2" t="n">
        <v>1.2437412320957</v>
      </c>
    </row>
    <row r="635" customFormat="false" ht="13.8" hidden="false" customHeight="false" outlineLevel="0" collapsed="false">
      <c r="B635" s="2" t="n">
        <v>633</v>
      </c>
      <c r="C635" s="2" t="n">
        <v>2.46137796909775</v>
      </c>
      <c r="D635" s="2" t="n">
        <v>1.77463544372783</v>
      </c>
      <c r="E635" s="2" t="n">
        <v>1.2437287949097</v>
      </c>
    </row>
    <row r="636" customFormat="false" ht="13.8" hidden="false" customHeight="false" outlineLevel="0" collapsed="false">
      <c r="B636" s="2" t="n">
        <v>634</v>
      </c>
      <c r="C636" s="2" t="n">
        <v>2.5364759017122</v>
      </c>
      <c r="D636" s="2" t="n">
        <v>1.92168136083767</v>
      </c>
      <c r="E636" s="2" t="n">
        <v>1.24371635762175</v>
      </c>
    </row>
    <row r="637" customFormat="false" ht="13.8" hidden="false" customHeight="false" outlineLevel="0" collapsed="false">
      <c r="B637" s="2" t="n">
        <v>635</v>
      </c>
      <c r="C637" s="2" t="n">
        <v>2.65617586859413</v>
      </c>
      <c r="D637" s="2" t="n">
        <v>2.05634841224659</v>
      </c>
      <c r="E637" s="2" t="n">
        <v>1.24370392045817</v>
      </c>
    </row>
    <row r="638" customFormat="false" ht="13.8" hidden="false" customHeight="false" outlineLevel="0" collapsed="false">
      <c r="B638" s="2" t="n">
        <v>636</v>
      </c>
      <c r="C638" s="2" t="n">
        <v>2.70347764872318</v>
      </c>
      <c r="D638" s="2" t="n">
        <v>2.17863672174325</v>
      </c>
      <c r="E638" s="2" t="n">
        <v>1.24369148373235</v>
      </c>
    </row>
    <row r="639" customFormat="false" ht="13.8" hidden="false" customHeight="false" outlineLevel="0" collapsed="false">
      <c r="B639" s="2" t="n">
        <v>637</v>
      </c>
      <c r="C639" s="2" t="n">
        <v>2.79538163608124</v>
      </c>
      <c r="D639" s="2" t="n">
        <v>2.23972324597519</v>
      </c>
      <c r="E639" s="2" t="n">
        <v>1.24367904619075</v>
      </c>
    </row>
    <row r="640" customFormat="false" ht="13.8" hidden="false" customHeight="false" outlineLevel="0" collapsed="false">
      <c r="B640" s="2" t="n">
        <v>638</v>
      </c>
      <c r="C640" s="2" t="n">
        <v>2.82121871667338</v>
      </c>
      <c r="D640" s="2" t="n">
        <v>2.32646169824639</v>
      </c>
      <c r="E640" s="2" t="n">
        <v>1.24366661006187</v>
      </c>
    </row>
    <row r="641" customFormat="false" ht="13.8" hidden="false" customHeight="false" outlineLevel="0" collapsed="false">
      <c r="B641" s="2" t="n">
        <v>639</v>
      </c>
      <c r="C641" s="2" t="n">
        <v>2.82119050456583</v>
      </c>
      <c r="D641" s="2" t="n">
        <v>2.3264384336294</v>
      </c>
      <c r="E641" s="2" t="n">
        <v>1.18948517091889</v>
      </c>
    </row>
    <row r="642" customFormat="false" ht="13.8" hidden="false" customHeight="false" outlineLevel="0" collapsed="false">
      <c r="B642" s="2" t="n">
        <v>640</v>
      </c>
      <c r="C642" s="2" t="n">
        <v>2.82116229250155</v>
      </c>
      <c r="D642" s="2" t="n">
        <v>2.32641516924507</v>
      </c>
      <c r="E642" s="2" t="n">
        <v>1.06819532671612</v>
      </c>
    </row>
    <row r="643" customFormat="false" ht="13.8" hidden="false" customHeight="false" outlineLevel="0" collapsed="false">
      <c r="B643" s="2" t="n">
        <v>641</v>
      </c>
      <c r="C643" s="2" t="n">
        <v>2.80022802675139</v>
      </c>
      <c r="D643" s="2" t="n">
        <v>2.32639190509338</v>
      </c>
      <c r="E643" s="2" t="n">
        <v>0.885555969159973</v>
      </c>
    </row>
    <row r="644" customFormat="false" ht="13.8" hidden="false" customHeight="false" outlineLevel="0" collapsed="false">
      <c r="B644" s="2" t="n">
        <v>642</v>
      </c>
      <c r="C644" s="2" t="n">
        <v>2.80020002431188</v>
      </c>
      <c r="D644" s="2" t="n">
        <v>2.32636864117433</v>
      </c>
      <c r="E644" s="2" t="n">
        <v>0.750699940806301</v>
      </c>
    </row>
    <row r="645" customFormat="false" ht="13.8" hidden="false" customHeight="false" outlineLevel="0" collapsed="false">
      <c r="B645" s="2" t="n">
        <v>643</v>
      </c>
      <c r="C645" s="2" t="n">
        <v>2.74211785683929</v>
      </c>
      <c r="D645" s="2" t="n">
        <v>2.32634537748791</v>
      </c>
      <c r="E645" s="2" t="n">
        <v>0.73092055773433</v>
      </c>
    </row>
    <row r="646" customFormat="false" ht="13.8" hidden="false" customHeight="false" outlineLevel="0" collapsed="false">
      <c r="B646" s="2" t="n">
        <v>644</v>
      </c>
      <c r="C646" s="2" t="n">
        <v>2.70879538114267</v>
      </c>
      <c r="D646" s="2" t="n">
        <v>2.32632211403414</v>
      </c>
      <c r="E646" s="2" t="n">
        <v>0.6897553740732</v>
      </c>
    </row>
    <row r="647" customFormat="false" ht="13.8" hidden="false" customHeight="false" outlineLevel="0" collapsed="false">
      <c r="B647" s="2" t="n">
        <v>645</v>
      </c>
      <c r="C647" s="2" t="n">
        <v>2.63726970155657</v>
      </c>
      <c r="D647" s="2" t="n">
        <v>2.326298850813</v>
      </c>
      <c r="E647" s="2" t="n">
        <v>0.63990804812536</v>
      </c>
    </row>
    <row r="648" customFormat="false" ht="13.8" hidden="false" customHeight="false" outlineLevel="0" collapsed="false">
      <c r="B648" s="2" t="n">
        <v>646</v>
      </c>
      <c r="C648" s="2" t="n">
        <v>2.58709162124646</v>
      </c>
      <c r="D648" s="2" t="n">
        <v>2.32627558782449</v>
      </c>
      <c r="E648" s="2" t="n">
        <v>0.618992989786342</v>
      </c>
    </row>
    <row r="649" customFormat="false" ht="13.8" hidden="false" customHeight="false" outlineLevel="0" collapsed="false">
      <c r="B649" s="2" t="n">
        <v>647</v>
      </c>
      <c r="C649" s="2" t="n">
        <v>2.50381588969929</v>
      </c>
      <c r="D649" s="2" t="n">
        <v>2.32625232506861</v>
      </c>
      <c r="E649" s="2" t="n">
        <v>0.567084594918654</v>
      </c>
    </row>
    <row r="650" customFormat="false" ht="13.8" hidden="false" customHeight="false" outlineLevel="0" collapsed="false">
      <c r="B650" s="2" t="n">
        <v>648</v>
      </c>
      <c r="C650" s="2" t="n">
        <v>2.43309163418788</v>
      </c>
      <c r="D650" s="2" t="n">
        <v>2.32622906254536</v>
      </c>
      <c r="E650" s="2" t="n">
        <v>0.518479266048254</v>
      </c>
    </row>
    <row r="651" customFormat="false" ht="13.8" hidden="false" customHeight="false" outlineLevel="0" collapsed="false">
      <c r="B651" s="2" t="n">
        <v>649</v>
      </c>
      <c r="C651" s="2" t="n">
        <v>2.32754769216042</v>
      </c>
      <c r="D651" s="2" t="n">
        <v>2.32620580025474</v>
      </c>
      <c r="E651" s="2" t="n">
        <v>0.491806303477816</v>
      </c>
    </row>
    <row r="652" customFormat="false" ht="13.8" hidden="false" customHeight="false" outlineLevel="0" collapsed="false">
      <c r="B652" s="2" t="n">
        <v>650</v>
      </c>
      <c r="C652" s="2" t="n">
        <v>2.24478223149832</v>
      </c>
      <c r="D652" s="2" t="n">
        <v>2.32618253819674</v>
      </c>
      <c r="E652" s="2" t="n">
        <v>0.434578348377744</v>
      </c>
    </row>
    <row r="653" customFormat="false" ht="13.8" hidden="false" customHeight="false" outlineLevel="0" collapsed="false">
      <c r="B653" s="2" t="n">
        <v>651</v>
      </c>
      <c r="C653" s="2" t="n">
        <v>2.12514720960193</v>
      </c>
      <c r="D653" s="2" t="n">
        <v>2.22245557266765</v>
      </c>
      <c r="E653" s="2" t="n">
        <v>0.391240150742409</v>
      </c>
    </row>
    <row r="654" customFormat="false" ht="13.8" hidden="false" customHeight="false" outlineLevel="0" collapsed="false">
      <c r="B654" s="2" t="n">
        <v>652</v>
      </c>
      <c r="C654" s="2" t="n">
        <v>2.03854921738909</v>
      </c>
      <c r="D654" s="2" t="n">
        <v>2.11132223700081</v>
      </c>
      <c r="E654" s="2" t="n">
        <v>0.326235960563123</v>
      </c>
    </row>
    <row r="655" customFormat="false" ht="13.8" hidden="false" customHeight="false" outlineLevel="0" collapsed="false">
      <c r="B655" s="2" t="n">
        <v>653</v>
      </c>
      <c r="C655" s="2" t="n">
        <v>1.94669196152655</v>
      </c>
      <c r="D655" s="2" t="n">
        <v>2.00019001266733</v>
      </c>
      <c r="E655" s="2" t="n">
        <v>0.309936068573888</v>
      </c>
    </row>
    <row r="656" customFormat="false" ht="13.8" hidden="false" customHeight="false" outlineLevel="0" collapsed="false">
      <c r="B656" s="2" t="n">
        <v>654</v>
      </c>
      <c r="C656" s="2" t="n">
        <v>1.8222988649773</v>
      </c>
      <c r="D656" s="2" t="n">
        <v>1.88905889965609</v>
      </c>
      <c r="E656" s="2" t="n">
        <v>0.306229006250239</v>
      </c>
    </row>
    <row r="657" customFormat="false" ht="13.8" hidden="false" customHeight="false" outlineLevel="0" collapsed="false">
      <c r="B657" s="2" t="n">
        <v>655</v>
      </c>
      <c r="C657" s="2" t="n">
        <v>1.69161117902569</v>
      </c>
      <c r="D657" s="2" t="n">
        <v>1.77792889795599</v>
      </c>
      <c r="E657" s="2" t="n">
        <v>0.250670388404621</v>
      </c>
    </row>
    <row r="658" customFormat="false" ht="13.8" hidden="false" customHeight="false" outlineLevel="0" collapsed="false">
      <c r="B658" s="2" t="n">
        <v>656</v>
      </c>
      <c r="C658" s="2" t="n">
        <v>1.55464620735834</v>
      </c>
      <c r="D658" s="2" t="n">
        <v>1.66680000755589</v>
      </c>
      <c r="E658" s="2" t="n">
        <v>0.234834548367404</v>
      </c>
    </row>
    <row r="659" customFormat="false" ht="13.8" hidden="false" customHeight="false" outlineLevel="0" collapsed="false">
      <c r="B659" s="2" t="n">
        <v>657</v>
      </c>
      <c r="C659" s="2" t="n">
        <v>1.44984884608146</v>
      </c>
      <c r="D659" s="2" t="n">
        <v>1.55567222844471</v>
      </c>
      <c r="E659" s="2" t="n">
        <v>0.233443311133032</v>
      </c>
    </row>
    <row r="660" customFormat="false" ht="13.8" hidden="false" customHeight="false" outlineLevel="0" collapsed="false">
      <c r="B660" s="2" t="n">
        <v>658</v>
      </c>
      <c r="C660" s="2" t="n">
        <v>1.31938603277818</v>
      </c>
      <c r="D660" s="2" t="n">
        <v>1.44454556061131</v>
      </c>
      <c r="E660" s="2" t="n">
        <v>0.19594097669992</v>
      </c>
    </row>
    <row r="661" customFormat="false" ht="13.8" hidden="false" customHeight="false" outlineLevel="0" collapsed="false">
      <c r="B661" s="2" t="n">
        <v>659</v>
      </c>
      <c r="C661" s="2" t="n">
        <v>1.22012813521415</v>
      </c>
      <c r="D661" s="2" t="n">
        <v>1.3334200040446</v>
      </c>
      <c r="E661" s="2" t="n">
        <v>0.194550128401264</v>
      </c>
    </row>
    <row r="662" customFormat="false" ht="13.8" hidden="false" customHeight="false" outlineLevel="0" collapsed="false">
      <c r="B662" s="2" t="n">
        <v>660</v>
      </c>
      <c r="C662" s="2" t="n">
        <v>1.09648237837724</v>
      </c>
      <c r="D662" s="2" t="n">
        <v>1.22229555873344</v>
      </c>
      <c r="E662" s="2" t="n">
        <v>0.15704818289998</v>
      </c>
    </row>
    <row r="663" customFormat="false" ht="13.8" hidden="false" customHeight="false" outlineLevel="0" collapsed="false">
      <c r="B663" s="2" t="n">
        <v>661</v>
      </c>
      <c r="C663" s="2" t="n">
        <v>0.976559969109013</v>
      </c>
      <c r="D663" s="2" t="n">
        <v>1.11117222466675</v>
      </c>
      <c r="E663" s="2" t="n">
        <v>0.157046334640374</v>
      </c>
    </row>
    <row r="664" customFormat="false" ht="13.8" hidden="false" customHeight="false" outlineLevel="0" collapsed="false">
      <c r="B664" s="2" t="n">
        <v>662</v>
      </c>
      <c r="C664" s="2" t="n">
        <v>0.835842277583397</v>
      </c>
      <c r="D664" s="2" t="n">
        <v>1.00005000183339</v>
      </c>
      <c r="E664" s="2" t="n">
        <v>0.155841023436287</v>
      </c>
    </row>
    <row r="665" customFormat="false" ht="13.8" hidden="false" customHeight="false" outlineLevel="0" collapsed="false">
      <c r="B665" s="2" t="n">
        <v>663</v>
      </c>
      <c r="C665" s="2" t="n">
        <v>0.750865882123584</v>
      </c>
      <c r="D665" s="2" t="n">
        <v>0.888928890222259</v>
      </c>
      <c r="E665" s="2" t="n">
        <v>0.125561687248274</v>
      </c>
    </row>
    <row r="666" customFormat="false" ht="13.8" hidden="false" customHeight="false" outlineLevel="0" collapsed="false">
      <c r="B666" s="2" t="n">
        <v>664</v>
      </c>
      <c r="C666" s="2" t="n">
        <v>0.636742391983281</v>
      </c>
      <c r="D666" s="2" t="n">
        <v>0.777808889822246</v>
      </c>
      <c r="E666" s="2" t="n">
        <v>0.116949320520291</v>
      </c>
    </row>
    <row r="667" customFormat="false" ht="13.8" hidden="false" customHeight="false" outlineLevel="0" collapsed="false">
      <c r="B667" s="2" t="n">
        <v>665</v>
      </c>
      <c r="C667" s="2" t="n">
        <v>0.562045746781584</v>
      </c>
      <c r="D667" s="2" t="n">
        <v>0.666690000622236</v>
      </c>
      <c r="E667" s="2" t="n">
        <v>0.0866703732493079</v>
      </c>
    </row>
    <row r="668" customFormat="false" ht="13.8" hidden="false" customHeight="false" outlineLevel="0" collapsed="false">
      <c r="B668" s="2" t="n">
        <v>666</v>
      </c>
      <c r="C668" s="2" t="n">
        <v>0.456090552250042</v>
      </c>
      <c r="D668" s="2" t="n">
        <v>0.555572222611119</v>
      </c>
      <c r="E668" s="2" t="n">
        <v>0.0787064139529828</v>
      </c>
    </row>
    <row r="669" customFormat="false" ht="13.8" hidden="false" customHeight="false" outlineLevel="0" collapsed="false">
      <c r="B669" s="2" t="n">
        <v>667</v>
      </c>
      <c r="C669" s="2" t="n">
        <v>0.369063065418593</v>
      </c>
      <c r="D669" s="2" t="n">
        <v>0.444455555777782</v>
      </c>
      <c r="E669" s="2" t="n">
        <v>0.0775944602221766</v>
      </c>
    </row>
    <row r="670" customFormat="false" ht="13.8" hidden="false" customHeight="false" outlineLevel="0" collapsed="false">
      <c r="B670" s="2" t="n">
        <v>668</v>
      </c>
      <c r="C670" s="2" t="n">
        <v>0.251758967380532</v>
      </c>
      <c r="D670" s="2" t="n">
        <v>0.333340000111113</v>
      </c>
      <c r="E670" s="2" t="n">
        <v>0.0509270176109077</v>
      </c>
    </row>
    <row r="671" customFormat="false" ht="13.8" hidden="false" customHeight="false" outlineLevel="0" collapsed="false">
      <c r="B671" s="2" t="n">
        <v>669</v>
      </c>
      <c r="C671" s="2" t="n">
        <v>0.179529634976043</v>
      </c>
      <c r="D671" s="2" t="n">
        <v>0.222225555600001</v>
      </c>
      <c r="E671" s="2" t="n">
        <v>0.0387968601925834</v>
      </c>
    </row>
    <row r="672" customFormat="false" ht="13.8" hidden="false" customHeight="false" outlineLevel="0" collapsed="false">
      <c r="B672" s="2" t="n">
        <v>670</v>
      </c>
      <c r="C672" s="2" t="n">
        <v>0.0839679693093227</v>
      </c>
      <c r="D672" s="2" t="n">
        <v>0.111112222233333</v>
      </c>
      <c r="E672" s="2" t="n">
        <v>0.0157409166684259</v>
      </c>
    </row>
    <row r="673" customFormat="false" ht="13.8" hidden="false" customHeight="false" outlineLevel="0" collapsed="false">
      <c r="B673" s="2" t="n">
        <v>671</v>
      </c>
      <c r="C673" s="2" t="n">
        <v>0</v>
      </c>
      <c r="D673" s="2" t="n">
        <v>1.29061222520625E-018</v>
      </c>
      <c r="E673" s="2" t="n">
        <v>0</v>
      </c>
    </row>
    <row r="674" customFormat="false" ht="13.8" hidden="false" customHeight="false" outlineLevel="0" collapsed="false">
      <c r="B674" s="2" t="n">
        <v>672</v>
      </c>
      <c r="C674" s="2" t="n">
        <v>2.65275328760812</v>
      </c>
      <c r="D674" s="2" t="n">
        <v>3.37632962879602</v>
      </c>
      <c r="E674" s="2" t="n">
        <v>1.25408844047228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58" colorId="64" zoomScale="100" zoomScaleNormal="100" zoomScalePageLayoutView="100" workbookViewId="0">
      <selection pane="topLeft" activeCell="C2" activeCellId="1" sqref="I2:I4 C2"/>
    </sheetView>
  </sheetViews>
  <sheetFormatPr defaultColWidth="8.54296875" defaultRowHeight="13.8" zeroHeight="false" outlineLevelRow="0" outlineLevelCol="0"/>
  <cols>
    <col collapsed="false" customWidth="true" hidden="false" outlineLevel="0" max="3" min="3" style="8" width="8.85"/>
  </cols>
  <sheetData>
    <row r="2" customFormat="false" ht="13.8" hidden="false" customHeight="false" outlineLevel="0" collapsed="false">
      <c r="B2" s="2" t="n">
        <v>1</v>
      </c>
      <c r="C2" s="8" t="n">
        <v>0.000508539567029644</v>
      </c>
    </row>
    <row r="3" customFormat="false" ht="13.8" hidden="false" customHeight="false" outlineLevel="0" collapsed="false">
      <c r="B3" s="2" t="n">
        <v>2</v>
      </c>
      <c r="C3" s="8" t="n">
        <v>0.000508542643077218</v>
      </c>
    </row>
    <row r="4" customFormat="false" ht="13.8" hidden="false" customHeight="false" outlineLevel="0" collapsed="false">
      <c r="B4" s="2" t="n">
        <v>3</v>
      </c>
      <c r="C4" s="8" t="n">
        <v>0.000508545719181827</v>
      </c>
    </row>
    <row r="5" customFormat="false" ht="13.8" hidden="false" customHeight="false" outlineLevel="0" collapsed="false">
      <c r="B5" s="2" t="n">
        <v>4</v>
      </c>
      <c r="C5" s="8" t="n">
        <v>0.000608493734429472</v>
      </c>
    </row>
    <row r="6" customFormat="false" ht="13.8" hidden="false" customHeight="false" outlineLevel="0" collapsed="false">
      <c r="B6" s="2" t="n">
        <v>5</v>
      </c>
      <c r="C6" s="8" t="n">
        <v>0.00060849682529092</v>
      </c>
    </row>
    <row r="7" customFormat="false" ht="13.8" hidden="false" customHeight="false" outlineLevel="0" collapsed="false">
      <c r="B7" s="2" t="n">
        <v>6</v>
      </c>
      <c r="C7" s="8" t="n">
        <v>0.000608499916168128</v>
      </c>
    </row>
    <row r="8" customFormat="false" ht="13.8" hidden="false" customHeight="false" outlineLevel="0" collapsed="false">
      <c r="B8" s="2" t="n">
        <v>7</v>
      </c>
      <c r="C8" s="8" t="n">
        <v>0.000608503007061678</v>
      </c>
    </row>
    <row r="9" customFormat="false" ht="13.8" hidden="false" customHeight="false" outlineLevel="0" collapsed="false">
      <c r="B9" s="2" t="n">
        <v>8</v>
      </c>
      <c r="C9" s="8" t="n">
        <v>0.000608506097972152</v>
      </c>
    </row>
    <row r="10" customFormat="false" ht="13.8" hidden="false" customHeight="false" outlineLevel="0" collapsed="false">
      <c r="B10" s="2" t="n">
        <v>9</v>
      </c>
      <c r="C10" s="8" t="n">
        <v>0.000608509188900129</v>
      </c>
    </row>
    <row r="11" customFormat="false" ht="13.8" hidden="false" customHeight="false" outlineLevel="0" collapsed="false">
      <c r="B11" s="2" t="n">
        <v>10</v>
      </c>
      <c r="C11" s="8" t="n">
        <v>0.000508567273115641</v>
      </c>
    </row>
    <row r="12" customFormat="false" ht="13.8" hidden="false" customHeight="false" outlineLevel="0" collapsed="false">
      <c r="B12" s="2" t="n">
        <v>11</v>
      </c>
      <c r="C12" s="8" t="n">
        <v>0.000508570349255697</v>
      </c>
    </row>
    <row r="13" customFormat="false" ht="13.8" hidden="false" customHeight="false" outlineLevel="0" collapsed="false">
      <c r="B13" s="2" t="n">
        <v>12</v>
      </c>
      <c r="C13" s="8" t="n">
        <v>0.000608518461693796</v>
      </c>
    </row>
    <row r="14" customFormat="false" ht="13.8" hidden="false" customHeight="false" outlineLevel="0" collapsed="false">
      <c r="B14" s="2" t="n">
        <v>13</v>
      </c>
      <c r="C14" s="8" t="n">
        <v>0.000608521552630717</v>
      </c>
    </row>
    <row r="15" customFormat="false" ht="13.8" hidden="false" customHeight="false" outlineLevel="0" collapsed="false">
      <c r="B15" s="2" t="n">
        <v>14</v>
      </c>
      <c r="C15" s="8" t="n">
        <v>0.000608524643588006</v>
      </c>
    </row>
    <row r="16" customFormat="false" ht="13.8" hidden="false" customHeight="false" outlineLevel="0" collapsed="false">
      <c r="B16" s="2" t="n">
        <v>15</v>
      </c>
      <c r="C16" s="8" t="n">
        <v>0.00060852773456623</v>
      </c>
    </row>
    <row r="17" customFormat="false" ht="13.8" hidden="false" customHeight="false" outlineLevel="0" collapsed="false">
      <c r="B17" s="2" t="n">
        <v>16</v>
      </c>
      <c r="C17" s="8" t="n">
        <v>0.000508585731039597</v>
      </c>
    </row>
    <row r="18" customFormat="false" ht="13.8" hidden="false" customHeight="false" outlineLevel="0" collapsed="false">
      <c r="B18" s="2" t="n">
        <v>17</v>
      </c>
      <c r="C18" s="8" t="n">
        <v>0.000608461258746395</v>
      </c>
    </row>
    <row r="19" customFormat="false" ht="13.8" hidden="false" customHeight="false" outlineLevel="0" collapsed="false">
      <c r="B19" s="2" t="n">
        <v>18</v>
      </c>
      <c r="C19" s="8" t="n">
        <v>0.000508591884260442</v>
      </c>
    </row>
    <row r="20" customFormat="false" ht="13.8" hidden="false" customHeight="false" outlineLevel="0" collapsed="false">
      <c r="B20" s="2" t="n">
        <v>19</v>
      </c>
      <c r="C20" s="8" t="n">
        <v>0.000508594960960318</v>
      </c>
    </row>
    <row r="21" customFormat="false" ht="13.8" hidden="false" customHeight="false" outlineLevel="0" collapsed="false">
      <c r="B21" s="2" t="n">
        <v>20</v>
      </c>
      <c r="C21" s="8" t="n">
        <v>0.000508598037699872</v>
      </c>
    </row>
    <row r="22" customFormat="false" ht="13.8" hidden="false" customHeight="false" outlineLevel="0" collapsed="false">
      <c r="B22" s="2" t="n">
        <v>21</v>
      </c>
      <c r="C22" s="8" t="n">
        <v>0.000508598183844809</v>
      </c>
    </row>
    <row r="23" customFormat="false" ht="13.8" hidden="false" customHeight="false" outlineLevel="0" collapsed="false">
      <c r="B23" s="2" t="n">
        <v>22</v>
      </c>
      <c r="C23" s="8" t="n">
        <v>0.000508596545400403</v>
      </c>
    </row>
    <row r="24" customFormat="false" ht="13.8" hidden="false" customHeight="false" outlineLevel="0" collapsed="false">
      <c r="B24" s="2" t="n">
        <v>23</v>
      </c>
      <c r="C24" s="8" t="n">
        <v>0.000508599631396717</v>
      </c>
    </row>
    <row r="25" customFormat="false" ht="13.8" hidden="false" customHeight="false" outlineLevel="0" collapsed="false">
      <c r="B25" s="2" t="n">
        <v>24</v>
      </c>
      <c r="C25" s="8" t="n">
        <v>0.000508602717423891</v>
      </c>
    </row>
    <row r="26" customFormat="false" ht="13.8" hidden="false" customHeight="false" outlineLevel="0" collapsed="false">
      <c r="B26" s="2" t="n">
        <v>25</v>
      </c>
      <c r="C26" s="8" t="n">
        <v>0.000508605803481926</v>
      </c>
    </row>
    <row r="27" customFormat="false" ht="13.8" hidden="false" customHeight="false" outlineLevel="0" collapsed="false">
      <c r="B27" s="2" t="n">
        <v>26</v>
      </c>
      <c r="C27" s="8" t="n">
        <v>0.000508561712135664</v>
      </c>
    </row>
    <row r="28" customFormat="false" ht="13.8" hidden="false" customHeight="false" outlineLevel="0" collapsed="false">
      <c r="B28" s="2" t="n">
        <v>27</v>
      </c>
      <c r="C28" s="8" t="n">
        <v>0.000508611975690578</v>
      </c>
    </row>
    <row r="29" customFormat="false" ht="13.8" hidden="false" customHeight="false" outlineLevel="0" collapsed="false">
      <c r="B29" s="2" t="n">
        <v>28</v>
      </c>
      <c r="C29" s="8" t="n">
        <v>0.000508567883462476</v>
      </c>
    </row>
    <row r="30" customFormat="false" ht="13.8" hidden="false" customHeight="false" outlineLevel="0" collapsed="false">
      <c r="B30" s="2" t="n">
        <v>29</v>
      </c>
      <c r="C30" s="8" t="n">
        <v>0.000508570969172167</v>
      </c>
    </row>
    <row r="31" customFormat="false" ht="13.8" hidden="false" customHeight="false" outlineLevel="0" collapsed="false">
      <c r="B31" s="2" t="n">
        <v>30</v>
      </c>
      <c r="C31" s="8" t="n">
        <v>5E-005</v>
      </c>
    </row>
    <row r="32" customFormat="false" ht="13.8" hidden="false" customHeight="false" outlineLevel="0" collapsed="false">
      <c r="B32" s="2" t="n">
        <v>31</v>
      </c>
      <c r="C32" s="8" t="n">
        <v>5E-005</v>
      </c>
    </row>
    <row r="33" customFormat="false" ht="13.8" hidden="false" customHeight="false" outlineLevel="0" collapsed="false">
      <c r="B33" s="2" t="n">
        <v>32</v>
      </c>
      <c r="C33" s="8" t="n">
        <v>5E-005</v>
      </c>
    </row>
    <row r="34" customFormat="false" ht="13.8" hidden="false" customHeight="false" outlineLevel="0" collapsed="false">
      <c r="B34" s="2" t="n">
        <v>33</v>
      </c>
      <c r="C34" s="8" t="n">
        <v>5E-005</v>
      </c>
    </row>
    <row r="35" customFormat="false" ht="13.8" hidden="false" customHeight="false" outlineLevel="0" collapsed="false">
      <c r="B35" s="2" t="n">
        <v>34</v>
      </c>
      <c r="C35" s="8" t="n">
        <v>5E-005</v>
      </c>
    </row>
    <row r="36" customFormat="false" ht="13.8" hidden="false" customHeight="false" outlineLevel="0" collapsed="false">
      <c r="B36" s="2" t="n">
        <v>35</v>
      </c>
      <c r="C36" s="8" t="n">
        <v>5E-005</v>
      </c>
    </row>
    <row r="37" customFormat="false" ht="13.8" hidden="false" customHeight="false" outlineLevel="0" collapsed="false">
      <c r="B37" s="2" t="n">
        <v>36</v>
      </c>
      <c r="C37" s="8" t="n">
        <v>5E-005</v>
      </c>
    </row>
    <row r="38" customFormat="false" ht="13.8" hidden="false" customHeight="false" outlineLevel="0" collapsed="false">
      <c r="B38" s="2" t="n">
        <v>37</v>
      </c>
      <c r="C38" s="8" t="n">
        <v>5E-005</v>
      </c>
    </row>
    <row r="39" customFormat="false" ht="13.8" hidden="false" customHeight="false" outlineLevel="0" collapsed="false">
      <c r="B39" s="2" t="n">
        <v>38</v>
      </c>
      <c r="C39" s="8" t="n">
        <v>5E-005</v>
      </c>
    </row>
    <row r="40" customFormat="false" ht="13.8" hidden="false" customHeight="false" outlineLevel="0" collapsed="false">
      <c r="B40" s="2" t="n">
        <v>39</v>
      </c>
      <c r="C40" s="8" t="n">
        <v>5E-005</v>
      </c>
    </row>
    <row r="41" customFormat="false" ht="13.8" hidden="false" customHeight="false" outlineLevel="0" collapsed="false">
      <c r="B41" s="2" t="n">
        <v>40</v>
      </c>
      <c r="C41" s="8" t="n">
        <v>5E-005</v>
      </c>
    </row>
    <row r="42" customFormat="false" ht="13.8" hidden="false" customHeight="false" outlineLevel="0" collapsed="false">
      <c r="B42" s="2" t="n">
        <v>41</v>
      </c>
      <c r="C42" s="8" t="n">
        <v>5E-005</v>
      </c>
    </row>
    <row r="43" customFormat="false" ht="13.8" hidden="false" customHeight="false" outlineLevel="0" collapsed="false">
      <c r="B43" s="2" t="n">
        <v>42</v>
      </c>
      <c r="C43" s="8" t="n">
        <v>5E-005</v>
      </c>
    </row>
    <row r="44" customFormat="false" ht="13.8" hidden="false" customHeight="false" outlineLevel="0" collapsed="false">
      <c r="B44" s="2" t="n">
        <v>43</v>
      </c>
      <c r="C44" s="8" t="n">
        <v>5E-005</v>
      </c>
    </row>
    <row r="45" customFormat="false" ht="13.8" hidden="false" customHeight="false" outlineLevel="0" collapsed="false">
      <c r="B45" s="2" t="n">
        <v>44</v>
      </c>
      <c r="C45" s="8" t="n">
        <v>5E-005</v>
      </c>
    </row>
    <row r="46" customFormat="false" ht="13.8" hidden="false" customHeight="false" outlineLevel="0" collapsed="false">
      <c r="B46" s="2" t="n">
        <v>45</v>
      </c>
      <c r="C46" s="8" t="n">
        <v>5E-005</v>
      </c>
    </row>
    <row r="47" customFormat="false" ht="13.8" hidden="false" customHeight="false" outlineLevel="0" collapsed="false">
      <c r="B47" s="2" t="n">
        <v>46</v>
      </c>
      <c r="C47" s="8" t="n">
        <v>5E-005</v>
      </c>
    </row>
    <row r="48" customFormat="false" ht="13.8" hidden="false" customHeight="false" outlineLevel="0" collapsed="false">
      <c r="B48" s="2" t="n">
        <v>47</v>
      </c>
      <c r="C48" s="8" t="n">
        <v>5E-005</v>
      </c>
    </row>
    <row r="49" customFormat="false" ht="13.8" hidden="false" customHeight="false" outlineLevel="0" collapsed="false">
      <c r="B49" s="2" t="n">
        <v>48</v>
      </c>
      <c r="C49" s="8" t="n">
        <v>5E-005</v>
      </c>
    </row>
    <row r="50" customFormat="false" ht="13.8" hidden="false" customHeight="false" outlineLevel="0" collapsed="false">
      <c r="B50" s="2" t="n">
        <v>49</v>
      </c>
      <c r="C50" s="8" t="n">
        <v>5E-005</v>
      </c>
    </row>
    <row r="51" customFormat="false" ht="13.8" hidden="false" customHeight="false" outlineLevel="0" collapsed="false">
      <c r="B51" s="2" t="n">
        <v>50</v>
      </c>
      <c r="C51" s="8" t="n">
        <v>5E-005</v>
      </c>
    </row>
    <row r="52" customFormat="false" ht="13.8" hidden="false" customHeight="false" outlineLevel="0" collapsed="false">
      <c r="B52" s="2" t="n">
        <v>51</v>
      </c>
      <c r="C52" s="8" t="n">
        <v>5E-005</v>
      </c>
    </row>
    <row r="53" customFormat="false" ht="13.8" hidden="false" customHeight="false" outlineLevel="0" collapsed="false">
      <c r="B53" s="2" t="n">
        <v>52</v>
      </c>
      <c r="C53" s="8" t="n">
        <v>5E-005</v>
      </c>
    </row>
    <row r="54" customFormat="false" ht="13.8" hidden="false" customHeight="false" outlineLevel="0" collapsed="false">
      <c r="B54" s="2" t="n">
        <v>53</v>
      </c>
      <c r="C54" s="8" t="n">
        <v>4.99997761298189E-005</v>
      </c>
    </row>
    <row r="55" customFormat="false" ht="13.8" hidden="false" customHeight="false" outlineLevel="0" collapsed="false">
      <c r="B55" s="2" t="n">
        <v>54</v>
      </c>
      <c r="C55" s="8" t="n">
        <v>5.0000001390885E-005</v>
      </c>
    </row>
    <row r="56" customFormat="false" ht="13.8" hidden="false" customHeight="false" outlineLevel="0" collapsed="false">
      <c r="B56" s="2" t="n">
        <v>55</v>
      </c>
      <c r="C56" s="8" t="n">
        <v>4.99991433355465E-005</v>
      </c>
    </row>
    <row r="57" customFormat="false" ht="13.8" hidden="false" customHeight="false" outlineLevel="0" collapsed="false">
      <c r="B57" s="2" t="n">
        <v>56</v>
      </c>
      <c r="C57" s="8" t="n">
        <v>5E-005</v>
      </c>
    </row>
    <row r="58" customFormat="false" ht="13.8" hidden="false" customHeight="false" outlineLevel="0" collapsed="false">
      <c r="B58" s="2" t="n">
        <v>57</v>
      </c>
      <c r="C58" s="8" t="n">
        <v>5E-005</v>
      </c>
    </row>
    <row r="59" customFormat="false" ht="13.8" hidden="false" customHeight="false" outlineLevel="0" collapsed="false">
      <c r="B59" s="2" t="n">
        <v>58</v>
      </c>
      <c r="C59" s="8" t="n">
        <v>5E-005</v>
      </c>
    </row>
    <row r="60" customFormat="false" ht="13.8" hidden="false" customHeight="false" outlineLevel="0" collapsed="false">
      <c r="B60" s="2" t="n">
        <v>59</v>
      </c>
      <c r="C60" s="8" t="n">
        <v>5E-005</v>
      </c>
    </row>
    <row r="61" customFormat="false" ht="13.8" hidden="false" customHeight="false" outlineLevel="0" collapsed="false">
      <c r="B61" s="2" t="n">
        <v>60</v>
      </c>
      <c r="C61" s="8" t="n">
        <v>4.99976523508511E-005</v>
      </c>
    </row>
    <row r="62" customFormat="false" ht="13.8" hidden="false" customHeight="false" outlineLevel="0" collapsed="false">
      <c r="B62" s="2" t="n">
        <v>61</v>
      </c>
      <c r="C62" s="8" t="n">
        <v>5.00000703925792E-005</v>
      </c>
    </row>
    <row r="63" customFormat="false" ht="13.8" hidden="false" customHeight="false" outlineLevel="0" collapsed="false">
      <c r="B63" s="2" t="n">
        <v>62</v>
      </c>
      <c r="C63" s="8" t="n">
        <v>5.00001476157449E-005</v>
      </c>
    </row>
    <row r="64" customFormat="false" ht="13.8" hidden="false" customHeight="false" outlineLevel="0" collapsed="false">
      <c r="B64" s="2" t="n">
        <v>63</v>
      </c>
      <c r="C64" s="8" t="n">
        <v>5.00272905627948E-005</v>
      </c>
    </row>
    <row r="65" customFormat="false" ht="13.8" hidden="false" customHeight="false" outlineLevel="0" collapsed="false">
      <c r="B65" s="2" t="n">
        <v>64</v>
      </c>
      <c r="C65" s="8" t="n">
        <v>5.00297736094258E-005</v>
      </c>
    </row>
    <row r="66" customFormat="false" ht="13.8" hidden="false" customHeight="false" outlineLevel="0" collapsed="false">
      <c r="B66" s="2" t="n">
        <v>65</v>
      </c>
      <c r="C66" s="8" t="n">
        <v>5.00322566810602E-005</v>
      </c>
    </row>
    <row r="67" customFormat="false" ht="13.8" hidden="false" customHeight="false" outlineLevel="0" collapsed="false">
      <c r="B67" s="2" t="n">
        <v>66</v>
      </c>
      <c r="C67" s="8" t="n">
        <v>5.00143868865925E-005</v>
      </c>
    </row>
    <row r="68" customFormat="false" ht="13.8" hidden="false" customHeight="false" outlineLevel="0" collapsed="false">
      <c r="B68" s="2" t="n">
        <v>67</v>
      </c>
      <c r="C68" s="8" t="n">
        <v>5.00168470785604E-005</v>
      </c>
    </row>
    <row r="69" customFormat="false" ht="13.8" hidden="false" customHeight="false" outlineLevel="0" collapsed="false">
      <c r="B69" s="2" t="n">
        <v>68</v>
      </c>
      <c r="C69" s="8" t="n">
        <v>5.00403007544179E-005</v>
      </c>
    </row>
    <row r="70" customFormat="false" ht="13.8" hidden="false" customHeight="false" outlineLevel="0" collapsed="false">
      <c r="B70" s="2" t="n">
        <v>69</v>
      </c>
      <c r="C70" s="8" t="n">
        <v>0.000608692970467229</v>
      </c>
    </row>
    <row r="71" customFormat="false" ht="13.8" hidden="false" customHeight="false" outlineLevel="0" collapsed="false">
      <c r="B71" s="2" t="n">
        <v>70</v>
      </c>
      <c r="C71" s="8" t="n">
        <v>0.000608697091937599</v>
      </c>
    </row>
    <row r="72" customFormat="false" ht="13.8" hidden="false" customHeight="false" outlineLevel="0" collapsed="false">
      <c r="B72" s="2" t="n">
        <v>71</v>
      </c>
      <c r="C72" s="8" t="n">
        <v>0.000608700343720173</v>
      </c>
    </row>
    <row r="73" customFormat="false" ht="13.8" hidden="false" customHeight="false" outlineLevel="0" collapsed="false">
      <c r="B73" s="2" t="n">
        <v>72</v>
      </c>
      <c r="C73" s="8" t="n">
        <v>0.00060870355166303</v>
      </c>
    </row>
    <row r="74" customFormat="false" ht="13.8" hidden="false" customHeight="false" outlineLevel="0" collapsed="false">
      <c r="B74" s="2" t="n">
        <v>73</v>
      </c>
      <c r="C74" s="8" t="n">
        <v>0.000608707092582576</v>
      </c>
    </row>
    <row r="75" customFormat="false" ht="13.8" hidden="false" customHeight="false" outlineLevel="0" collapsed="false">
      <c r="B75" s="2" t="n">
        <v>74</v>
      </c>
      <c r="C75" s="8" t="n">
        <v>0.000608710287907469</v>
      </c>
    </row>
    <row r="76" customFormat="false" ht="13.8" hidden="false" customHeight="false" outlineLevel="0" collapsed="false">
      <c r="B76" s="2" t="n">
        <v>75</v>
      </c>
      <c r="C76" s="8" t="n">
        <v>0.000608713483264935</v>
      </c>
    </row>
    <row r="77" customFormat="false" ht="13.8" hidden="false" customHeight="false" outlineLevel="0" collapsed="false">
      <c r="B77" s="2" t="n">
        <v>76</v>
      </c>
      <c r="C77" s="8" t="n">
        <v>0.000608716678655302</v>
      </c>
    </row>
    <row r="78" customFormat="false" ht="13.8" hidden="false" customHeight="false" outlineLevel="0" collapsed="false">
      <c r="B78" s="2" t="n">
        <v>77</v>
      </c>
      <c r="C78" s="8" t="n">
        <v>0.000608719874078668</v>
      </c>
    </row>
    <row r="79" customFormat="false" ht="13.8" hidden="false" customHeight="false" outlineLevel="0" collapsed="false">
      <c r="B79" s="2" t="n">
        <v>78</v>
      </c>
      <c r="C79" s="8" t="n">
        <v>0.000608723060296235</v>
      </c>
    </row>
    <row r="80" customFormat="false" ht="13.8" hidden="false" customHeight="false" outlineLevel="0" collapsed="false">
      <c r="B80" s="2" t="n">
        <v>79</v>
      </c>
      <c r="C80" s="8" t="n">
        <v>0.000608726255920758</v>
      </c>
    </row>
    <row r="81" customFormat="false" ht="13.8" hidden="false" customHeight="false" outlineLevel="0" collapsed="false">
      <c r="B81" s="2" t="n">
        <v>80</v>
      </c>
      <c r="C81" s="8" t="n">
        <v>0.000608729451577523</v>
      </c>
    </row>
    <row r="82" customFormat="false" ht="13.8" hidden="false" customHeight="false" outlineLevel="0" collapsed="false">
      <c r="B82" s="2" t="n">
        <v>81</v>
      </c>
      <c r="C82" s="8" t="n">
        <v>0.000608732647266538</v>
      </c>
    </row>
    <row r="83" customFormat="false" ht="13.8" hidden="false" customHeight="false" outlineLevel="0" collapsed="false">
      <c r="B83" s="2" t="n">
        <v>82</v>
      </c>
      <c r="C83" s="8" t="n">
        <v>0.000608735842987804</v>
      </c>
    </row>
    <row r="84" customFormat="false" ht="13.8" hidden="false" customHeight="false" outlineLevel="0" collapsed="false">
      <c r="B84" s="2" t="n">
        <v>83</v>
      </c>
      <c r="C84" s="8" t="n">
        <v>0.000608739038741322</v>
      </c>
    </row>
    <row r="85" customFormat="false" ht="13.8" hidden="false" customHeight="false" outlineLevel="0" collapsed="false">
      <c r="B85" s="2" t="n">
        <v>84</v>
      </c>
      <c r="C85" s="8" t="n">
        <v>0.000608742234527089</v>
      </c>
    </row>
    <row r="86" customFormat="false" ht="13.8" hidden="false" customHeight="false" outlineLevel="0" collapsed="false">
      <c r="B86" s="2" t="n">
        <v>85</v>
      </c>
      <c r="C86" s="8" t="n">
        <v>0.000608745430345102</v>
      </c>
    </row>
    <row r="87" customFormat="false" ht="13.8" hidden="false" customHeight="false" outlineLevel="0" collapsed="false">
      <c r="B87" s="2" t="n">
        <v>86</v>
      </c>
      <c r="C87" s="8" t="n">
        <v>0.000608748626195358</v>
      </c>
    </row>
    <row r="88" customFormat="false" ht="13.8" hidden="false" customHeight="false" outlineLevel="0" collapsed="false">
      <c r="B88" s="2" t="n">
        <v>87</v>
      </c>
      <c r="C88" s="8" t="n">
        <v>0.000608747145491049</v>
      </c>
    </row>
    <row r="89" customFormat="false" ht="13.8" hidden="false" customHeight="false" outlineLevel="0" collapsed="false">
      <c r="B89" s="2" t="n">
        <v>88</v>
      </c>
      <c r="C89" s="8" t="n">
        <v>0.000608750024446752</v>
      </c>
    </row>
    <row r="90" customFormat="false" ht="13.8" hidden="false" customHeight="false" outlineLevel="0" collapsed="false">
      <c r="B90" s="2" t="n">
        <v>89</v>
      </c>
      <c r="C90" s="8" t="n">
        <v>0.000608752903431335</v>
      </c>
    </row>
    <row r="91" customFormat="false" ht="13.8" hidden="false" customHeight="false" outlineLevel="0" collapsed="false">
      <c r="B91" s="2" t="n">
        <v>90</v>
      </c>
      <c r="C91" s="8" t="n">
        <v>0.000608755782444785</v>
      </c>
    </row>
    <row r="92" customFormat="false" ht="13.8" hidden="false" customHeight="false" outlineLevel="0" collapsed="false">
      <c r="B92" s="2" t="n">
        <v>91</v>
      </c>
      <c r="C92" s="8" t="n">
        <v>0.000608758661487088</v>
      </c>
    </row>
    <row r="93" customFormat="false" ht="13.8" hidden="false" customHeight="false" outlineLevel="0" collapsed="false">
      <c r="B93" s="2" t="n">
        <v>92</v>
      </c>
      <c r="C93" s="8" t="n">
        <v>0.000608761540558237</v>
      </c>
    </row>
    <row r="94" customFormat="false" ht="13.8" hidden="false" customHeight="false" outlineLevel="0" collapsed="false">
      <c r="B94" s="2" t="n">
        <v>93</v>
      </c>
      <c r="C94" s="8" t="n">
        <v>0.000608764419658223</v>
      </c>
    </row>
    <row r="95" customFormat="false" ht="13.8" hidden="false" customHeight="false" outlineLevel="0" collapsed="false">
      <c r="B95" s="2" t="n">
        <v>94</v>
      </c>
      <c r="C95" s="8" t="n">
        <v>0.000608767298787041</v>
      </c>
    </row>
    <row r="96" customFormat="false" ht="13.8" hidden="false" customHeight="false" outlineLevel="0" collapsed="false">
      <c r="B96" s="2" t="n">
        <v>95</v>
      </c>
      <c r="C96" s="8" t="n">
        <v>0.000608777390290833</v>
      </c>
    </row>
    <row r="97" customFormat="false" ht="13.8" hidden="false" customHeight="false" outlineLevel="0" collapsed="false">
      <c r="B97" s="2" t="n">
        <v>96</v>
      </c>
      <c r="C97" s="8" t="n">
        <v>0.00060878058646174</v>
      </c>
    </row>
    <row r="98" customFormat="false" ht="13.8" hidden="false" customHeight="false" outlineLevel="0" collapsed="false">
      <c r="B98" s="2" t="n">
        <v>97</v>
      </c>
      <c r="C98" s="8" t="n">
        <v>0.000608783782664832</v>
      </c>
    </row>
    <row r="99" customFormat="false" ht="13.8" hidden="false" customHeight="false" outlineLevel="0" collapsed="false">
      <c r="B99" s="2" t="n">
        <v>98</v>
      </c>
      <c r="C99" s="8" t="n">
        <v>0.000608786978900104</v>
      </c>
    </row>
    <row r="100" customFormat="false" ht="13.8" hidden="false" customHeight="false" outlineLevel="0" collapsed="false">
      <c r="B100" s="2" t="n">
        <v>99</v>
      </c>
      <c r="C100" s="8" t="n">
        <v>0.000608790175167551</v>
      </c>
    </row>
    <row r="101" customFormat="false" ht="13.8" hidden="false" customHeight="false" outlineLevel="0" collapsed="false">
      <c r="B101" s="2" t="n">
        <v>100</v>
      </c>
      <c r="C101" s="8" t="n">
        <v>0.000608793371467167</v>
      </c>
    </row>
    <row r="102" customFormat="false" ht="13.8" hidden="false" customHeight="false" outlineLevel="0" collapsed="false">
      <c r="B102" s="2" t="n">
        <v>101</v>
      </c>
      <c r="C102" s="8" t="n">
        <v>0.000608796567798948</v>
      </c>
    </row>
    <row r="103" customFormat="false" ht="13.8" hidden="false" customHeight="false" outlineLevel="0" collapsed="false">
      <c r="B103" s="2" t="n">
        <v>102</v>
      </c>
      <c r="C103" s="8" t="n">
        <v>0.000608799764162887</v>
      </c>
    </row>
    <row r="104" customFormat="false" ht="13.8" hidden="false" customHeight="false" outlineLevel="0" collapsed="false">
      <c r="B104" s="2" t="n">
        <v>103</v>
      </c>
      <c r="C104" s="8" t="n">
        <v>0.000608802960558981</v>
      </c>
    </row>
    <row r="105" customFormat="false" ht="13.8" hidden="false" customHeight="false" outlineLevel="0" collapsed="false">
      <c r="B105" s="2" t="n">
        <v>104</v>
      </c>
      <c r="C105" s="8" t="n">
        <v>0.000608806156987223</v>
      </c>
    </row>
    <row r="106" customFormat="false" ht="13.8" hidden="false" customHeight="false" outlineLevel="0" collapsed="false">
      <c r="B106" s="2" t="n">
        <v>105</v>
      </c>
      <c r="C106" s="8" t="n">
        <v>0.000608809353447609</v>
      </c>
    </row>
    <row r="107" customFormat="false" ht="13.8" hidden="false" customHeight="false" outlineLevel="0" collapsed="false">
      <c r="B107" s="2" t="n">
        <v>106</v>
      </c>
      <c r="C107" s="8" t="n">
        <v>0.000608812549940134</v>
      </c>
    </row>
    <row r="108" customFormat="false" ht="13.8" hidden="false" customHeight="false" outlineLevel="0" collapsed="false">
      <c r="B108" s="2" t="n">
        <v>107</v>
      </c>
      <c r="C108" s="8" t="n">
        <v>0.000608815746464793</v>
      </c>
    </row>
    <row r="109" customFormat="false" ht="13.8" hidden="false" customHeight="false" outlineLevel="0" collapsed="false">
      <c r="B109" s="2" t="n">
        <v>108</v>
      </c>
      <c r="C109" s="8" t="n">
        <v>0.00060881894302158</v>
      </c>
    </row>
    <row r="110" customFormat="false" ht="13.8" hidden="false" customHeight="false" outlineLevel="0" collapsed="false">
      <c r="B110" s="2" t="n">
        <v>109</v>
      </c>
      <c r="C110" s="8" t="n">
        <v>0.000608822139610493</v>
      </c>
    </row>
    <row r="111" customFormat="false" ht="13.8" hidden="false" customHeight="false" outlineLevel="0" collapsed="false">
      <c r="B111" s="2" t="n">
        <v>110</v>
      </c>
      <c r="C111" s="8" t="n">
        <v>0.000608825336231524</v>
      </c>
    </row>
    <row r="112" customFormat="false" ht="13.8" hidden="false" customHeight="false" outlineLevel="0" collapsed="false">
      <c r="B112" s="2" t="n">
        <v>111</v>
      </c>
      <c r="C112" s="8" t="n">
        <v>0.000608828532884671</v>
      </c>
    </row>
    <row r="113" customFormat="false" ht="13.8" hidden="false" customHeight="false" outlineLevel="0" collapsed="false">
      <c r="B113" s="2" t="n">
        <v>112</v>
      </c>
      <c r="C113" s="8" t="n">
        <v>0.000608831729569928</v>
      </c>
    </row>
    <row r="114" customFormat="false" ht="13.8" hidden="false" customHeight="false" outlineLevel="0" collapsed="false">
      <c r="B114" s="2" t="n">
        <v>113</v>
      </c>
      <c r="C114" s="8" t="n">
        <v>0.00060883492628729</v>
      </c>
    </row>
    <row r="115" customFormat="false" ht="13.8" hidden="false" customHeight="false" outlineLevel="0" collapsed="false">
      <c r="B115" s="2" t="n">
        <v>114</v>
      </c>
      <c r="C115" s="8" t="n">
        <v>0.000608838123036754</v>
      </c>
    </row>
    <row r="116" customFormat="false" ht="13.8" hidden="false" customHeight="false" outlineLevel="0" collapsed="false">
      <c r="B116" s="2" t="n">
        <v>115</v>
      </c>
      <c r="C116" s="8" t="n">
        <v>0.000608841319818314</v>
      </c>
    </row>
    <row r="117" customFormat="false" ht="13.8" hidden="false" customHeight="false" outlineLevel="0" collapsed="false">
      <c r="B117" s="2" t="n">
        <v>116</v>
      </c>
      <c r="C117" s="8" t="n">
        <v>0.000608844516631967</v>
      </c>
    </row>
    <row r="118" customFormat="false" ht="13.8" hidden="false" customHeight="false" outlineLevel="0" collapsed="false">
      <c r="B118" s="2" t="n">
        <v>117</v>
      </c>
      <c r="C118" s="8" t="n">
        <v>0.000608847713477707</v>
      </c>
    </row>
    <row r="119" customFormat="false" ht="13.8" hidden="false" customHeight="false" outlineLevel="0" collapsed="false">
      <c r="B119" s="2" t="n">
        <v>118</v>
      </c>
      <c r="C119" s="8" t="n">
        <v>0.000608850938259108</v>
      </c>
    </row>
    <row r="120" customFormat="false" ht="13.8" hidden="false" customHeight="false" outlineLevel="0" collapsed="false">
      <c r="B120" s="2" t="n">
        <v>119</v>
      </c>
      <c r="C120" s="8" t="n">
        <v>0.0006088541351604</v>
      </c>
    </row>
    <row r="121" customFormat="false" ht="13.8" hidden="false" customHeight="false" outlineLevel="0" collapsed="false">
      <c r="B121" s="2" t="n">
        <v>120</v>
      </c>
      <c r="C121" s="8" t="n">
        <v>0.000608857332093246</v>
      </c>
    </row>
    <row r="122" customFormat="false" ht="13.8" hidden="false" customHeight="false" outlineLevel="0" collapsed="false">
      <c r="B122" s="2" t="n">
        <v>121</v>
      </c>
      <c r="C122" s="8" t="n">
        <v>5.01722283590003E-005</v>
      </c>
    </row>
    <row r="123" customFormat="false" ht="13.8" hidden="false" customHeight="false" outlineLevel="0" collapsed="false">
      <c r="B123" s="2" t="n">
        <v>122</v>
      </c>
      <c r="C123" s="8" t="n">
        <v>0.000508857691489261</v>
      </c>
    </row>
    <row r="124" customFormat="false" ht="13.8" hidden="false" customHeight="false" outlineLevel="0" collapsed="false">
      <c r="B124" s="2" t="n">
        <v>123</v>
      </c>
      <c r="C124" s="8" t="n">
        <v>5E-005</v>
      </c>
    </row>
    <row r="125" customFormat="false" ht="13.8" hidden="false" customHeight="false" outlineLevel="0" collapsed="false">
      <c r="B125" s="2" t="n">
        <v>124</v>
      </c>
      <c r="C125" s="8" t="n">
        <v>5E-005</v>
      </c>
    </row>
    <row r="126" customFormat="false" ht="13.8" hidden="false" customHeight="false" outlineLevel="0" collapsed="false">
      <c r="B126" s="2" t="n">
        <v>125</v>
      </c>
      <c r="C126" s="8" t="n">
        <v>5E-005</v>
      </c>
    </row>
    <row r="127" customFormat="false" ht="13.8" hidden="false" customHeight="false" outlineLevel="0" collapsed="false">
      <c r="B127" s="2" t="n">
        <v>126</v>
      </c>
      <c r="C127" s="8" t="n">
        <v>5E-005</v>
      </c>
    </row>
    <row r="128" customFormat="false" ht="13.8" hidden="false" customHeight="false" outlineLevel="0" collapsed="false">
      <c r="B128" s="2" t="n">
        <v>127</v>
      </c>
      <c r="C128" s="8" t="n">
        <v>5E-005</v>
      </c>
    </row>
    <row r="129" customFormat="false" ht="13.8" hidden="false" customHeight="false" outlineLevel="0" collapsed="false">
      <c r="B129" s="2" t="n">
        <v>128</v>
      </c>
      <c r="C129" s="8" t="n">
        <v>5E-005</v>
      </c>
    </row>
    <row r="130" customFormat="false" ht="13.8" hidden="false" customHeight="false" outlineLevel="0" collapsed="false">
      <c r="B130" s="2" t="n">
        <v>129</v>
      </c>
      <c r="C130" s="8" t="n">
        <v>5E-005</v>
      </c>
    </row>
    <row r="131" customFormat="false" ht="13.8" hidden="false" customHeight="false" outlineLevel="0" collapsed="false">
      <c r="B131" s="2" t="n">
        <v>130</v>
      </c>
      <c r="C131" s="8" t="n">
        <v>5E-005</v>
      </c>
    </row>
    <row r="132" customFormat="false" ht="13.8" hidden="false" customHeight="false" outlineLevel="0" collapsed="false">
      <c r="B132" s="2" t="n">
        <v>131</v>
      </c>
      <c r="C132" s="8" t="n">
        <v>5E-005</v>
      </c>
    </row>
    <row r="133" customFormat="false" ht="13.8" hidden="false" customHeight="false" outlineLevel="0" collapsed="false">
      <c r="B133" s="2" t="n">
        <v>132</v>
      </c>
      <c r="C133" s="8" t="n">
        <v>5E-005</v>
      </c>
    </row>
    <row r="134" customFormat="false" ht="13.8" hidden="false" customHeight="false" outlineLevel="0" collapsed="false">
      <c r="B134" s="2" t="n">
        <v>133</v>
      </c>
      <c r="C134" s="8" t="n">
        <v>5E-005</v>
      </c>
    </row>
    <row r="135" customFormat="false" ht="13.8" hidden="false" customHeight="false" outlineLevel="0" collapsed="false">
      <c r="B135" s="2" t="n">
        <v>134</v>
      </c>
      <c r="C135" s="8" t="n">
        <v>5E-005</v>
      </c>
    </row>
    <row r="136" customFormat="false" ht="13.8" hidden="false" customHeight="false" outlineLevel="0" collapsed="false">
      <c r="B136" s="2" t="n">
        <v>135</v>
      </c>
      <c r="C136" s="8" t="n">
        <v>5E-005</v>
      </c>
    </row>
    <row r="137" customFormat="false" ht="13.8" hidden="false" customHeight="false" outlineLevel="0" collapsed="false">
      <c r="B137" s="2" t="n">
        <v>136</v>
      </c>
      <c r="C137" s="8" t="n">
        <v>5E-005</v>
      </c>
    </row>
    <row r="138" customFormat="false" ht="13.8" hidden="false" customHeight="false" outlineLevel="0" collapsed="false">
      <c r="B138" s="2" t="n">
        <v>137</v>
      </c>
      <c r="C138" s="8" t="n">
        <v>5E-005</v>
      </c>
    </row>
    <row r="139" customFormat="false" ht="13.8" hidden="false" customHeight="false" outlineLevel="0" collapsed="false">
      <c r="B139" s="2" t="n">
        <v>138</v>
      </c>
      <c r="C139" s="8" t="n">
        <v>5E-005</v>
      </c>
    </row>
    <row r="140" customFormat="false" ht="13.8" hidden="false" customHeight="false" outlineLevel="0" collapsed="false">
      <c r="B140" s="2" t="n">
        <v>139</v>
      </c>
      <c r="C140" s="8" t="n">
        <v>5E-005</v>
      </c>
    </row>
    <row r="141" customFormat="false" ht="13.8" hidden="false" customHeight="false" outlineLevel="0" collapsed="false">
      <c r="B141" s="2" t="n">
        <v>140</v>
      </c>
      <c r="C141" s="8" t="n">
        <v>5E-005</v>
      </c>
    </row>
    <row r="142" customFormat="false" ht="13.8" hidden="false" customHeight="false" outlineLevel="0" collapsed="false">
      <c r="B142" s="2" t="n">
        <v>141</v>
      </c>
      <c r="C142" s="8" t="n">
        <v>5E-005</v>
      </c>
    </row>
    <row r="143" customFormat="false" ht="13.8" hidden="false" customHeight="false" outlineLevel="0" collapsed="false">
      <c r="B143" s="2" t="n">
        <v>142</v>
      </c>
      <c r="C143" s="8" t="n">
        <v>5E-005</v>
      </c>
    </row>
    <row r="144" customFormat="false" ht="13.8" hidden="false" customHeight="false" outlineLevel="0" collapsed="false">
      <c r="B144" s="2" t="n">
        <v>143</v>
      </c>
      <c r="C144" s="8" t="n">
        <v>5E-005</v>
      </c>
    </row>
    <row r="145" customFormat="false" ht="13.8" hidden="false" customHeight="false" outlineLevel="0" collapsed="false">
      <c r="B145" s="2" t="n">
        <v>144</v>
      </c>
      <c r="C145" s="8" t="n">
        <v>4.99992741622466E-005</v>
      </c>
    </row>
    <row r="146" customFormat="false" ht="13.8" hidden="false" customHeight="false" outlineLevel="0" collapsed="false">
      <c r="B146" s="2" t="n">
        <v>145</v>
      </c>
      <c r="C146" s="8" t="n">
        <v>5E-005</v>
      </c>
    </row>
    <row r="147" customFormat="false" ht="13.8" hidden="false" customHeight="false" outlineLevel="0" collapsed="false">
      <c r="B147" s="2" t="n">
        <v>146</v>
      </c>
      <c r="C147" s="8" t="n">
        <v>4.99995608013952E-005</v>
      </c>
    </row>
    <row r="148" customFormat="false" ht="13.8" hidden="false" customHeight="false" outlineLevel="0" collapsed="false">
      <c r="B148" s="2" t="n">
        <v>147</v>
      </c>
      <c r="C148" s="8" t="n">
        <v>4.99999999999985E-005</v>
      </c>
    </row>
    <row r="149" customFormat="false" ht="13.8" hidden="false" customHeight="false" outlineLevel="0" collapsed="false">
      <c r="B149" s="2" t="n">
        <v>148</v>
      </c>
      <c r="C149" s="8" t="n">
        <v>4.99999726630237E-005</v>
      </c>
    </row>
    <row r="150" customFormat="false" ht="13.8" hidden="false" customHeight="false" outlineLevel="0" collapsed="false">
      <c r="B150" s="2" t="n">
        <v>149</v>
      </c>
      <c r="C150" s="8" t="n">
        <v>4.99993540506352E-005</v>
      </c>
    </row>
    <row r="151" customFormat="false" ht="13.8" hidden="false" customHeight="false" outlineLevel="0" collapsed="false">
      <c r="B151" s="2" t="n">
        <v>150</v>
      </c>
      <c r="C151" s="8" t="n">
        <v>4.99997495728639E-005</v>
      </c>
    </row>
    <row r="152" customFormat="false" ht="13.8" hidden="false" customHeight="false" outlineLevel="0" collapsed="false">
      <c r="B152" s="2" t="n">
        <v>151</v>
      </c>
      <c r="C152" s="8" t="n">
        <v>4.99998391781332E-005</v>
      </c>
    </row>
    <row r="153" customFormat="false" ht="13.8" hidden="false" customHeight="false" outlineLevel="0" collapsed="false">
      <c r="B153" s="2" t="n">
        <v>152</v>
      </c>
      <c r="C153" s="8" t="n">
        <v>4.99998347062747E-005</v>
      </c>
    </row>
    <row r="154" customFormat="false" ht="13.8" hidden="false" customHeight="false" outlineLevel="0" collapsed="false">
      <c r="B154" s="2" t="n">
        <v>153</v>
      </c>
      <c r="C154" s="8" t="n">
        <v>4.99998302586152E-005</v>
      </c>
    </row>
    <row r="155" customFormat="false" ht="13.8" hidden="false" customHeight="false" outlineLevel="0" collapsed="false">
      <c r="B155" s="2" t="n">
        <v>154</v>
      </c>
      <c r="C155" s="8" t="n">
        <v>4.99998258351543E-005</v>
      </c>
    </row>
    <row r="156" customFormat="false" ht="13.8" hidden="false" customHeight="false" outlineLevel="0" collapsed="false">
      <c r="B156" s="2" t="n">
        <v>155</v>
      </c>
      <c r="C156" s="8" t="n">
        <v>4.99998214351772E-005</v>
      </c>
    </row>
    <row r="157" customFormat="false" ht="13.8" hidden="false" customHeight="false" outlineLevel="0" collapsed="false">
      <c r="B157" s="2" t="n">
        <v>156</v>
      </c>
      <c r="C157" s="8" t="n">
        <v>4.99998175786532E-005</v>
      </c>
    </row>
    <row r="158" customFormat="false" ht="13.8" hidden="false" customHeight="false" outlineLevel="0" collapsed="false">
      <c r="B158" s="2" t="n">
        <v>157</v>
      </c>
      <c r="C158" s="8" t="n">
        <v>4.99972699688681E-005</v>
      </c>
    </row>
    <row r="159" customFormat="false" ht="13.8" hidden="false" customHeight="false" outlineLevel="0" collapsed="false">
      <c r="B159" s="2" t="n">
        <v>158</v>
      </c>
      <c r="C159" s="8" t="n">
        <v>4.99970094589614E-005</v>
      </c>
    </row>
    <row r="160" customFormat="false" ht="13.8" hidden="false" customHeight="false" outlineLevel="0" collapsed="false">
      <c r="B160" s="2" t="n">
        <v>159</v>
      </c>
      <c r="C160" s="8" t="n">
        <v>5E-005</v>
      </c>
    </row>
    <row r="161" customFormat="false" ht="13.8" hidden="false" customHeight="false" outlineLevel="0" collapsed="false">
      <c r="B161" s="2" t="n">
        <v>160</v>
      </c>
      <c r="C161" s="8" t="n">
        <v>4.99963996787602E-005</v>
      </c>
    </row>
    <row r="162" customFormat="false" ht="13.8" hidden="false" customHeight="false" outlineLevel="0" collapsed="false">
      <c r="B162" s="2" t="n">
        <v>161</v>
      </c>
      <c r="C162" s="8" t="n">
        <v>5E-005</v>
      </c>
    </row>
    <row r="163" customFormat="false" ht="13.8" hidden="false" customHeight="false" outlineLevel="0" collapsed="false">
      <c r="B163" s="2" t="n">
        <v>162</v>
      </c>
      <c r="C163" s="8" t="n">
        <v>5.00418631605112E-005</v>
      </c>
    </row>
    <row r="164" customFormat="false" ht="13.8" hidden="false" customHeight="false" outlineLevel="0" collapsed="false">
      <c r="B164" s="2" t="n">
        <v>163</v>
      </c>
      <c r="C164" s="8" t="n">
        <v>5.00443636041473E-005</v>
      </c>
    </row>
    <row r="165" customFormat="false" ht="13.8" hidden="false" customHeight="false" outlineLevel="0" collapsed="false">
      <c r="B165" s="2" t="n">
        <v>164</v>
      </c>
      <c r="C165" s="8" t="n">
        <v>0.000508641984192473</v>
      </c>
    </row>
    <row r="166" customFormat="false" ht="13.8" hidden="false" customHeight="false" outlineLevel="0" collapsed="false">
      <c r="B166" s="2" t="n">
        <v>165</v>
      </c>
      <c r="C166" s="8" t="n">
        <v>5.00494667814332E-005</v>
      </c>
    </row>
    <row r="167" customFormat="false" ht="13.8" hidden="false" customHeight="false" outlineLevel="0" collapsed="false">
      <c r="B167" s="2" t="n">
        <v>166</v>
      </c>
      <c r="C167" s="8" t="n">
        <v>0.000508641986605985</v>
      </c>
    </row>
    <row r="168" customFormat="false" ht="13.8" hidden="false" customHeight="false" outlineLevel="0" collapsed="false">
      <c r="B168" s="2" t="n">
        <v>167</v>
      </c>
      <c r="C168" s="8" t="n">
        <v>0.000508641987859036</v>
      </c>
    </row>
    <row r="169" customFormat="false" ht="13.8" hidden="false" customHeight="false" outlineLevel="0" collapsed="false">
      <c r="B169" s="2" t="n">
        <v>168</v>
      </c>
      <c r="C169" s="8" t="n">
        <v>0.000508712054295478</v>
      </c>
    </row>
    <row r="170" customFormat="false" ht="13.8" hidden="false" customHeight="false" outlineLevel="0" collapsed="false">
      <c r="B170" s="2" t="n">
        <v>169</v>
      </c>
      <c r="C170" s="8" t="n">
        <v>0.000508715141446892</v>
      </c>
    </row>
    <row r="171" customFormat="false" ht="13.8" hidden="false" customHeight="false" outlineLevel="0" collapsed="false">
      <c r="B171" s="2" t="n">
        <v>170</v>
      </c>
      <c r="C171" s="8" t="n">
        <v>0.000508718228629179</v>
      </c>
    </row>
    <row r="172" customFormat="false" ht="13.8" hidden="false" customHeight="false" outlineLevel="0" collapsed="false">
      <c r="B172" s="2" t="n">
        <v>171</v>
      </c>
      <c r="C172" s="8" t="n">
        <v>0.000508721315842337</v>
      </c>
    </row>
    <row r="173" customFormat="false" ht="13.8" hidden="false" customHeight="false" outlineLevel="0" collapsed="false">
      <c r="B173" s="2" t="n">
        <v>172</v>
      </c>
      <c r="C173" s="8" t="n">
        <v>0.000508724403086368</v>
      </c>
    </row>
    <row r="174" customFormat="false" ht="13.8" hidden="false" customHeight="false" outlineLevel="0" collapsed="false">
      <c r="B174" s="2" t="n">
        <v>173</v>
      </c>
      <c r="C174" s="8" t="n">
        <v>0.000508730989518097</v>
      </c>
    </row>
    <row r="175" customFormat="false" ht="13.8" hidden="false" customHeight="false" outlineLevel="0" collapsed="false">
      <c r="B175" s="2" t="n">
        <v>174</v>
      </c>
      <c r="C175" s="8" t="n">
        <v>0.000508737424708374</v>
      </c>
    </row>
    <row r="176" customFormat="false" ht="13.8" hidden="false" customHeight="false" outlineLevel="0" collapsed="false">
      <c r="B176" s="2" t="n">
        <v>175</v>
      </c>
      <c r="C176" s="8" t="n">
        <v>0.000508740512015645</v>
      </c>
    </row>
    <row r="177" customFormat="false" ht="13.8" hidden="false" customHeight="false" outlineLevel="0" collapsed="false">
      <c r="B177" s="2" t="n">
        <v>176</v>
      </c>
      <c r="C177" s="8" t="n">
        <v>0.000608632741504464</v>
      </c>
    </row>
    <row r="178" customFormat="false" ht="13.8" hidden="false" customHeight="false" outlineLevel="0" collapsed="false">
      <c r="B178" s="2" t="n">
        <v>177</v>
      </c>
      <c r="C178" s="8" t="n">
        <v>0.000508746686724164</v>
      </c>
    </row>
    <row r="179" customFormat="false" ht="13.8" hidden="false" customHeight="false" outlineLevel="0" collapsed="false">
      <c r="B179" s="2" t="n">
        <v>178</v>
      </c>
      <c r="C179" s="8" t="n">
        <v>0.000508749774125378</v>
      </c>
    </row>
    <row r="180" customFormat="false" ht="13.8" hidden="false" customHeight="false" outlineLevel="0" collapsed="false">
      <c r="B180" s="2" t="n">
        <v>179</v>
      </c>
      <c r="C180" s="8" t="n">
        <v>0.000508752861558052</v>
      </c>
    </row>
    <row r="181" customFormat="false" ht="13.8" hidden="false" customHeight="false" outlineLevel="0" collapsed="false">
      <c r="B181" s="2" t="n">
        <v>180</v>
      </c>
      <c r="C181" s="8" t="n">
        <v>0.000508755949022163</v>
      </c>
    </row>
    <row r="182" customFormat="false" ht="13.8" hidden="false" customHeight="false" outlineLevel="0" collapsed="false">
      <c r="B182" s="2" t="n">
        <v>181</v>
      </c>
      <c r="C182" s="8" t="n">
        <v>0.000508759036517705</v>
      </c>
    </row>
    <row r="183" customFormat="false" ht="13.8" hidden="false" customHeight="false" outlineLevel="0" collapsed="false">
      <c r="B183" s="2" t="n">
        <v>182</v>
      </c>
      <c r="C183" s="8" t="n">
        <v>0.000508762124044658</v>
      </c>
    </row>
    <row r="184" customFormat="false" ht="13.8" hidden="false" customHeight="false" outlineLevel="0" collapsed="false">
      <c r="B184" s="2" t="n">
        <v>183</v>
      </c>
      <c r="C184" s="8" t="n">
        <v>0.000508765211602999</v>
      </c>
    </row>
    <row r="185" customFormat="false" ht="13.8" hidden="false" customHeight="false" outlineLevel="0" collapsed="false">
      <c r="B185" s="2" t="n">
        <v>184</v>
      </c>
      <c r="C185" s="8" t="n">
        <v>0.000608630317456403</v>
      </c>
    </row>
    <row r="186" customFormat="false" ht="13.8" hidden="false" customHeight="false" outlineLevel="0" collapsed="false">
      <c r="B186" s="2" t="n">
        <v>185</v>
      </c>
      <c r="C186" s="8" t="n">
        <v>0.000608630014588272</v>
      </c>
    </row>
    <row r="187" customFormat="false" ht="13.8" hidden="false" customHeight="false" outlineLevel="0" collapsed="false">
      <c r="B187" s="2" t="n">
        <v>186</v>
      </c>
      <c r="C187" s="8" t="n">
        <v>0.000608629711750483</v>
      </c>
    </row>
    <row r="188" customFormat="false" ht="13.8" hidden="false" customHeight="false" outlineLevel="0" collapsed="false">
      <c r="B188" s="2" t="n">
        <v>187</v>
      </c>
      <c r="C188" s="8" t="n">
        <v>0.000608629408943037</v>
      </c>
    </row>
    <row r="189" customFormat="false" ht="13.8" hidden="false" customHeight="false" outlineLevel="0" collapsed="false">
      <c r="B189" s="2" t="n">
        <v>188</v>
      </c>
      <c r="C189" s="8" t="n">
        <v>0.000608629106165929</v>
      </c>
    </row>
    <row r="190" customFormat="false" ht="13.8" hidden="false" customHeight="false" outlineLevel="0" collapsed="false">
      <c r="B190" s="2" t="n">
        <v>189</v>
      </c>
      <c r="C190" s="8" t="n">
        <v>0.000508783737604609</v>
      </c>
    </row>
    <row r="191" customFormat="false" ht="13.8" hidden="false" customHeight="false" outlineLevel="0" collapsed="false">
      <c r="B191" s="2" t="n">
        <v>190</v>
      </c>
      <c r="C191" s="8" t="n">
        <v>0.000508786825380006</v>
      </c>
    </row>
    <row r="192" customFormat="false" ht="13.8" hidden="false" customHeight="false" outlineLevel="0" collapsed="false">
      <c r="B192" s="2" t="n">
        <v>191</v>
      </c>
      <c r="C192" s="8" t="n">
        <v>0.000508789913186651</v>
      </c>
    </row>
    <row r="193" customFormat="false" ht="13.8" hidden="false" customHeight="false" outlineLevel="0" collapsed="false">
      <c r="B193" s="2" t="n">
        <v>192</v>
      </c>
      <c r="C193" s="8" t="n">
        <v>0.0005087918369745</v>
      </c>
    </row>
    <row r="194" customFormat="false" ht="13.8" hidden="false" customHeight="false" outlineLevel="0" collapsed="false">
      <c r="B194" s="2" t="n">
        <v>193</v>
      </c>
      <c r="C194" s="8" t="n">
        <v>0.000508795039780981</v>
      </c>
    </row>
    <row r="195" customFormat="false" ht="13.8" hidden="false" customHeight="false" outlineLevel="0" collapsed="false">
      <c r="B195" s="2" t="n">
        <v>194</v>
      </c>
      <c r="C195" s="8" t="n">
        <v>0.000508798242618341</v>
      </c>
    </row>
    <row r="196" customFormat="false" ht="13.8" hidden="false" customHeight="false" outlineLevel="0" collapsed="false">
      <c r="B196" s="2" t="n">
        <v>195</v>
      </c>
      <c r="C196" s="8" t="n">
        <v>0.000508802264724638</v>
      </c>
    </row>
    <row r="197" customFormat="false" ht="13.8" hidden="false" customHeight="false" outlineLevel="0" collapsed="false">
      <c r="B197" s="2" t="n">
        <v>196</v>
      </c>
      <c r="C197" s="8" t="n">
        <v>0.000608626685051824</v>
      </c>
    </row>
    <row r="198" customFormat="false" ht="13.8" hidden="false" customHeight="false" outlineLevel="0" collapsed="false">
      <c r="B198" s="2" t="n">
        <v>197</v>
      </c>
      <c r="C198" s="8" t="n">
        <v>0.000608626382550376</v>
      </c>
    </row>
    <row r="199" customFormat="false" ht="13.8" hidden="false" customHeight="false" outlineLevel="0" collapsed="false">
      <c r="B199" s="2" t="n">
        <v>198</v>
      </c>
      <c r="C199" s="8" t="n">
        <v>0.000608626080079237</v>
      </c>
    </row>
    <row r="200" customFormat="false" ht="13.8" hidden="false" customHeight="false" outlineLevel="0" collapsed="false">
      <c r="B200" s="2" t="n">
        <v>199</v>
      </c>
      <c r="C200" s="8" t="n">
        <v>0.000608625777638406</v>
      </c>
    </row>
    <row r="201" customFormat="false" ht="13.8" hidden="false" customHeight="false" outlineLevel="0" collapsed="false">
      <c r="B201" s="2" t="n">
        <v>200</v>
      </c>
      <c r="C201" s="8" t="n">
        <v>0.000608625475227877</v>
      </c>
    </row>
    <row r="202" customFormat="false" ht="13.8" hidden="false" customHeight="false" outlineLevel="0" collapsed="false">
      <c r="B202" s="2" t="n">
        <v>201</v>
      </c>
      <c r="C202" s="8" t="n">
        <v>0.000608625172847646</v>
      </c>
    </row>
    <row r="203" customFormat="false" ht="13.8" hidden="false" customHeight="false" outlineLevel="0" collapsed="false">
      <c r="B203" s="2" t="n">
        <v>202</v>
      </c>
      <c r="C203" s="8" t="n">
        <v>0.000608624870497711</v>
      </c>
    </row>
    <row r="204" customFormat="false" ht="13.8" hidden="false" customHeight="false" outlineLevel="0" collapsed="false">
      <c r="B204" s="2" t="n">
        <v>203</v>
      </c>
      <c r="C204" s="8" t="n">
        <v>0.000608624568178065</v>
      </c>
    </row>
    <row r="205" customFormat="false" ht="13.8" hidden="false" customHeight="false" outlineLevel="0" collapsed="false">
      <c r="B205" s="2" t="n">
        <v>204</v>
      </c>
      <c r="C205" s="8" t="n">
        <v>0.000608624265888705</v>
      </c>
    </row>
    <row r="206" customFormat="false" ht="13.8" hidden="false" customHeight="false" outlineLevel="0" collapsed="false">
      <c r="B206" s="2" t="n">
        <v>205</v>
      </c>
      <c r="C206" s="8" t="n">
        <v>0.000608623963629626</v>
      </c>
    </row>
    <row r="207" customFormat="false" ht="13.8" hidden="false" customHeight="false" outlineLevel="0" collapsed="false">
      <c r="B207" s="2" t="n">
        <v>206</v>
      </c>
      <c r="C207" s="8" t="n">
        <v>0.000608623661400822</v>
      </c>
    </row>
    <row r="208" customFormat="false" ht="13.8" hidden="false" customHeight="false" outlineLevel="0" collapsed="false">
      <c r="B208" s="2" t="n">
        <v>207</v>
      </c>
      <c r="C208" s="8" t="n">
        <v>0.000608641963102315</v>
      </c>
    </row>
    <row r="209" customFormat="false" ht="13.8" hidden="false" customHeight="false" outlineLevel="0" collapsed="false">
      <c r="B209" s="2" t="n">
        <v>208</v>
      </c>
      <c r="C209" s="8" t="n">
        <v>0.000608641963726888</v>
      </c>
    </row>
    <row r="210" customFormat="false" ht="13.8" hidden="false" customHeight="false" outlineLevel="0" collapsed="false">
      <c r="B210" s="2" t="n">
        <v>209</v>
      </c>
      <c r="C210" s="8" t="n">
        <v>0.000608641964382718</v>
      </c>
    </row>
    <row r="211" customFormat="false" ht="13.8" hidden="false" customHeight="false" outlineLevel="0" collapsed="false">
      <c r="B211" s="2" t="n">
        <v>210</v>
      </c>
      <c r="C211" s="8" t="n">
        <v>0.000608641965069908</v>
      </c>
    </row>
    <row r="212" customFormat="false" ht="13.8" hidden="false" customHeight="false" outlineLevel="0" collapsed="false">
      <c r="B212" s="2" t="n">
        <v>211</v>
      </c>
      <c r="C212" s="8" t="n">
        <v>0.000608641965788468</v>
      </c>
    </row>
    <row r="213" customFormat="false" ht="13.8" hidden="false" customHeight="false" outlineLevel="0" collapsed="false">
      <c r="B213" s="2" t="n">
        <v>212</v>
      </c>
      <c r="C213" s="8" t="n">
        <v>0.000608641966538406</v>
      </c>
    </row>
    <row r="214" customFormat="false" ht="13.8" hidden="false" customHeight="false" outlineLevel="0" collapsed="false">
      <c r="B214" s="2" t="n">
        <v>213</v>
      </c>
      <c r="C214" s="8" t="n">
        <v>0.00060864196731973</v>
      </c>
    </row>
    <row r="215" customFormat="false" ht="13.8" hidden="false" customHeight="false" outlineLevel="0" collapsed="false">
      <c r="B215" s="2" t="n">
        <v>214</v>
      </c>
      <c r="C215" s="8" t="n">
        <v>0.0006086419681317</v>
      </c>
    </row>
    <row r="216" customFormat="false" ht="13.8" hidden="false" customHeight="false" outlineLevel="0" collapsed="false">
      <c r="B216" s="2" t="n">
        <v>215</v>
      </c>
      <c r="C216" s="8" t="n">
        <v>0.000508864029813071</v>
      </c>
    </row>
    <row r="217" customFormat="false" ht="13.8" hidden="false" customHeight="false" outlineLevel="0" collapsed="false">
      <c r="B217" s="2" t="n">
        <v>216</v>
      </c>
      <c r="C217" s="8" t="n">
        <v>0.000508867118398884</v>
      </c>
    </row>
    <row r="218" customFormat="false" ht="13.8" hidden="false" customHeight="false" outlineLevel="0" collapsed="false">
      <c r="B218" s="2" t="n">
        <v>217</v>
      </c>
      <c r="C218" s="8" t="n">
        <v>0.000508870207029446</v>
      </c>
    </row>
    <row r="219" customFormat="false" ht="13.8" hidden="false" customHeight="false" outlineLevel="0" collapsed="false">
      <c r="B219" s="2" t="n">
        <v>218</v>
      </c>
      <c r="C219" s="8" t="n">
        <v>0.000508873295692582</v>
      </c>
    </row>
    <row r="220" customFormat="false" ht="13.8" hidden="false" customHeight="false" outlineLevel="0" collapsed="false">
      <c r="B220" s="2" t="n">
        <v>219</v>
      </c>
      <c r="C220" s="8" t="n">
        <v>0.000608641972678259</v>
      </c>
    </row>
    <row r="221" customFormat="false" ht="13.8" hidden="false" customHeight="false" outlineLevel="0" collapsed="false">
      <c r="B221" s="2" t="n">
        <v>220</v>
      </c>
      <c r="C221" s="8" t="n">
        <v>4.99992970885088E-005</v>
      </c>
    </row>
    <row r="222" customFormat="false" ht="13.8" hidden="false" customHeight="false" outlineLevel="0" collapsed="false">
      <c r="B222" s="2" t="n">
        <v>221</v>
      </c>
      <c r="C222" s="8" t="n">
        <v>5E-005</v>
      </c>
    </row>
    <row r="223" customFormat="false" ht="13.8" hidden="false" customHeight="false" outlineLevel="0" collapsed="false">
      <c r="B223" s="2" t="n">
        <v>222</v>
      </c>
      <c r="C223" s="8" t="n">
        <v>5E-005</v>
      </c>
    </row>
    <row r="224" customFormat="false" ht="13.8" hidden="false" customHeight="false" outlineLevel="0" collapsed="false">
      <c r="B224" s="2" t="n">
        <v>223</v>
      </c>
      <c r="C224" s="8" t="n">
        <v>5E-005</v>
      </c>
    </row>
    <row r="225" customFormat="false" ht="13.8" hidden="false" customHeight="false" outlineLevel="0" collapsed="false">
      <c r="B225" s="2" t="n">
        <v>224</v>
      </c>
      <c r="C225" s="8" t="n">
        <v>5E-005</v>
      </c>
    </row>
    <row r="226" customFormat="false" ht="13.8" hidden="false" customHeight="false" outlineLevel="0" collapsed="false">
      <c r="B226" s="2" t="n">
        <v>225</v>
      </c>
      <c r="C226" s="8" t="n">
        <v>5E-005</v>
      </c>
    </row>
    <row r="227" customFormat="false" ht="13.8" hidden="false" customHeight="false" outlineLevel="0" collapsed="false">
      <c r="B227" s="2" t="n">
        <v>226</v>
      </c>
      <c r="C227" s="8" t="n">
        <v>5E-005</v>
      </c>
    </row>
    <row r="228" customFormat="false" ht="13.8" hidden="false" customHeight="false" outlineLevel="0" collapsed="false">
      <c r="B228" s="2" t="n">
        <v>227</v>
      </c>
      <c r="C228" s="8" t="n">
        <v>5E-005</v>
      </c>
    </row>
    <row r="229" customFormat="false" ht="13.8" hidden="false" customHeight="false" outlineLevel="0" collapsed="false">
      <c r="B229" s="2" t="n">
        <v>228</v>
      </c>
      <c r="C229" s="8" t="n">
        <v>5E-005</v>
      </c>
    </row>
    <row r="230" customFormat="false" ht="13.8" hidden="false" customHeight="false" outlineLevel="0" collapsed="false">
      <c r="B230" s="2" t="n">
        <v>229</v>
      </c>
      <c r="C230" s="8" t="n">
        <v>5E-005</v>
      </c>
    </row>
    <row r="231" customFormat="false" ht="13.8" hidden="false" customHeight="false" outlineLevel="0" collapsed="false">
      <c r="B231" s="2" t="n">
        <v>230</v>
      </c>
      <c r="C231" s="8" t="n">
        <v>5E-005</v>
      </c>
    </row>
    <row r="232" customFormat="false" ht="13.8" hidden="false" customHeight="false" outlineLevel="0" collapsed="false">
      <c r="B232" s="2" t="n">
        <v>231</v>
      </c>
      <c r="C232" s="8" t="n">
        <v>5E-005</v>
      </c>
    </row>
    <row r="233" customFormat="false" ht="13.8" hidden="false" customHeight="false" outlineLevel="0" collapsed="false">
      <c r="B233" s="2" t="n">
        <v>232</v>
      </c>
      <c r="C233" s="8" t="n">
        <v>5E-005</v>
      </c>
    </row>
    <row r="234" customFormat="false" ht="13.8" hidden="false" customHeight="false" outlineLevel="0" collapsed="false">
      <c r="B234" s="2" t="n">
        <v>233</v>
      </c>
      <c r="C234" s="8" t="n">
        <v>5E-005</v>
      </c>
    </row>
    <row r="235" customFormat="false" ht="13.8" hidden="false" customHeight="false" outlineLevel="0" collapsed="false">
      <c r="B235" s="2" t="n">
        <v>234</v>
      </c>
      <c r="C235" s="8" t="n">
        <v>5E-005</v>
      </c>
    </row>
    <row r="236" customFormat="false" ht="13.8" hidden="false" customHeight="false" outlineLevel="0" collapsed="false">
      <c r="B236" s="2" t="n">
        <v>235</v>
      </c>
      <c r="C236" s="8" t="n">
        <v>5E-005</v>
      </c>
    </row>
    <row r="237" customFormat="false" ht="13.8" hidden="false" customHeight="false" outlineLevel="0" collapsed="false">
      <c r="B237" s="2" t="n">
        <v>236</v>
      </c>
      <c r="C237" s="8" t="n">
        <v>5E-005</v>
      </c>
    </row>
    <row r="238" customFormat="false" ht="13.8" hidden="false" customHeight="false" outlineLevel="0" collapsed="false">
      <c r="B238" s="2" t="n">
        <v>237</v>
      </c>
      <c r="C238" s="8" t="n">
        <v>5E-005</v>
      </c>
    </row>
    <row r="239" customFormat="false" ht="13.8" hidden="false" customHeight="false" outlineLevel="0" collapsed="false">
      <c r="B239" s="2" t="n">
        <v>238</v>
      </c>
      <c r="C239" s="8" t="n">
        <v>5E-005</v>
      </c>
    </row>
    <row r="240" customFormat="false" ht="13.8" hidden="false" customHeight="false" outlineLevel="0" collapsed="false">
      <c r="B240" s="2" t="n">
        <v>239</v>
      </c>
      <c r="C240" s="8" t="n">
        <v>5E-005</v>
      </c>
    </row>
    <row r="241" customFormat="false" ht="13.8" hidden="false" customHeight="false" outlineLevel="0" collapsed="false">
      <c r="B241" s="2" t="n">
        <v>240</v>
      </c>
      <c r="C241" s="8" t="n">
        <v>5E-005</v>
      </c>
    </row>
    <row r="242" customFormat="false" ht="13.8" hidden="false" customHeight="false" outlineLevel="0" collapsed="false">
      <c r="B242" s="2" t="n">
        <v>241</v>
      </c>
      <c r="C242" s="8" t="n">
        <v>5E-005</v>
      </c>
    </row>
    <row r="243" customFormat="false" ht="13.8" hidden="false" customHeight="false" outlineLevel="0" collapsed="false">
      <c r="B243" s="2" t="n">
        <v>242</v>
      </c>
      <c r="C243" s="8" t="n">
        <v>4.99999310294963E-005</v>
      </c>
    </row>
    <row r="244" customFormat="false" ht="13.8" hidden="false" customHeight="false" outlineLevel="0" collapsed="false">
      <c r="B244" s="2" t="n">
        <v>243</v>
      </c>
      <c r="C244" s="8" t="n">
        <v>4.99999999996152E-005</v>
      </c>
    </row>
    <row r="245" customFormat="false" ht="13.8" hidden="false" customHeight="false" outlineLevel="0" collapsed="false">
      <c r="B245" s="2" t="n">
        <v>244</v>
      </c>
      <c r="C245" s="8" t="n">
        <v>4.99999999996111E-005</v>
      </c>
    </row>
    <row r="246" customFormat="false" ht="13.8" hidden="false" customHeight="false" outlineLevel="0" collapsed="false">
      <c r="B246" s="2" t="n">
        <v>245</v>
      </c>
      <c r="C246" s="8" t="n">
        <v>4.9999999999607E-005</v>
      </c>
    </row>
    <row r="247" customFormat="false" ht="13.8" hidden="false" customHeight="false" outlineLevel="0" collapsed="false">
      <c r="B247" s="2" t="n">
        <v>246</v>
      </c>
      <c r="C247" s="8" t="n">
        <v>4.99999999996029E-005</v>
      </c>
    </row>
    <row r="248" customFormat="false" ht="13.8" hidden="false" customHeight="false" outlineLevel="0" collapsed="false">
      <c r="B248" s="2" t="n">
        <v>247</v>
      </c>
      <c r="C248" s="8" t="n">
        <v>4.99999999995988E-005</v>
      </c>
    </row>
    <row r="249" customFormat="false" ht="13.8" hidden="false" customHeight="false" outlineLevel="0" collapsed="false">
      <c r="B249" s="2" t="n">
        <v>248</v>
      </c>
      <c r="C249" s="8" t="n">
        <v>5.00000000437465E-005</v>
      </c>
    </row>
    <row r="250" customFormat="false" ht="13.8" hidden="false" customHeight="false" outlineLevel="0" collapsed="false">
      <c r="B250" s="2" t="n">
        <v>249</v>
      </c>
      <c r="C250" s="8" t="n">
        <v>4.99999997010895E-005</v>
      </c>
    </row>
    <row r="251" customFormat="false" ht="13.8" hidden="false" customHeight="false" outlineLevel="0" collapsed="false">
      <c r="B251" s="2" t="n">
        <v>250</v>
      </c>
      <c r="C251" s="8" t="n">
        <v>4.99999994067202E-005</v>
      </c>
    </row>
    <row r="252" customFormat="false" ht="13.8" hidden="false" customHeight="false" outlineLevel="0" collapsed="false">
      <c r="B252" s="2" t="n">
        <v>251</v>
      </c>
      <c r="C252" s="8" t="n">
        <v>4.99903214071906E-005</v>
      </c>
    </row>
    <row r="253" customFormat="false" ht="13.8" hidden="false" customHeight="false" outlineLevel="0" collapsed="false">
      <c r="B253" s="2" t="n">
        <v>252</v>
      </c>
      <c r="C253" s="8" t="n">
        <v>5E-005</v>
      </c>
    </row>
    <row r="254" customFormat="false" ht="13.8" hidden="false" customHeight="false" outlineLevel="0" collapsed="false">
      <c r="B254" s="2" t="n">
        <v>253</v>
      </c>
      <c r="C254" s="8" t="n">
        <v>4.9989826664843E-005</v>
      </c>
    </row>
    <row r="255" customFormat="false" ht="13.8" hidden="false" customHeight="false" outlineLevel="0" collapsed="false">
      <c r="B255" s="2" t="n">
        <v>254</v>
      </c>
      <c r="C255" s="8" t="n">
        <v>4.9989579381012E-005</v>
      </c>
    </row>
    <row r="256" customFormat="false" ht="13.8" hidden="false" customHeight="false" outlineLevel="0" collapsed="false">
      <c r="B256" s="2" t="n">
        <v>255</v>
      </c>
      <c r="C256" s="8" t="n">
        <v>4.99893321423104E-005</v>
      </c>
    </row>
    <row r="257" customFormat="false" ht="13.8" hidden="false" customHeight="false" outlineLevel="0" collapsed="false">
      <c r="B257" s="2" t="n">
        <v>256</v>
      </c>
      <c r="C257" s="8" t="n">
        <v>4.99890849408032E-005</v>
      </c>
    </row>
    <row r="258" customFormat="false" ht="13.8" hidden="false" customHeight="false" outlineLevel="0" collapsed="false">
      <c r="B258" s="2" t="n">
        <v>257</v>
      </c>
      <c r="C258" s="8" t="n">
        <v>0.000508642084026031</v>
      </c>
    </row>
    <row r="259" customFormat="false" ht="13.8" hidden="false" customHeight="false" outlineLevel="0" collapsed="false">
      <c r="B259" s="2" t="n">
        <v>258</v>
      </c>
      <c r="C259" s="8" t="n">
        <v>0.000508692982650381</v>
      </c>
    </row>
    <row r="260" customFormat="false" ht="13.8" hidden="false" customHeight="false" outlineLevel="0" collapsed="false">
      <c r="B260" s="2" t="n">
        <v>259</v>
      </c>
      <c r="C260" s="8" t="n">
        <v>0.000508696069611077</v>
      </c>
    </row>
    <row r="261" customFormat="false" ht="13.8" hidden="false" customHeight="false" outlineLevel="0" collapsed="false">
      <c r="B261" s="2" t="n">
        <v>260</v>
      </c>
      <c r="C261" s="8" t="n">
        <v>0.000508699156602643</v>
      </c>
    </row>
    <row r="262" customFormat="false" ht="13.8" hidden="false" customHeight="false" outlineLevel="0" collapsed="false">
      <c r="B262" s="2" t="n">
        <v>261</v>
      </c>
      <c r="C262" s="8" t="n">
        <v>0.000508702243625079</v>
      </c>
    </row>
    <row r="263" customFormat="false" ht="13.8" hidden="false" customHeight="false" outlineLevel="0" collapsed="false">
      <c r="B263" s="2" t="n">
        <v>262</v>
      </c>
      <c r="C263" s="8" t="n">
        <v>0.000508705330678386</v>
      </c>
    </row>
    <row r="264" customFormat="false" ht="13.8" hidden="false" customHeight="false" outlineLevel="0" collapsed="false">
      <c r="B264" s="2" t="n">
        <v>263</v>
      </c>
      <c r="C264" s="8" t="n">
        <v>0.000508708417762564</v>
      </c>
    </row>
    <row r="265" customFormat="false" ht="13.8" hidden="false" customHeight="false" outlineLevel="0" collapsed="false">
      <c r="B265" s="2" t="n">
        <v>264</v>
      </c>
      <c r="C265" s="8" t="n">
        <v>0.000608458056650994</v>
      </c>
    </row>
    <row r="266" customFormat="false" ht="13.8" hidden="false" customHeight="false" outlineLevel="0" collapsed="false">
      <c r="B266" s="2" t="n">
        <v>265</v>
      </c>
      <c r="C266" s="8" t="n">
        <v>0.000608642037052186</v>
      </c>
    </row>
    <row r="267" customFormat="false" ht="13.8" hidden="false" customHeight="false" outlineLevel="0" collapsed="false">
      <c r="B267" s="2" t="n">
        <v>266</v>
      </c>
      <c r="C267" s="8" t="n">
        <v>0.000608642031315979</v>
      </c>
    </row>
    <row r="268" customFormat="false" ht="13.8" hidden="false" customHeight="false" outlineLevel="0" collapsed="false">
      <c r="B268" s="2" t="n">
        <v>267</v>
      </c>
      <c r="C268" s="8" t="n">
        <v>0.000608642025610573</v>
      </c>
    </row>
    <row r="269" customFormat="false" ht="13.8" hidden="false" customHeight="false" outlineLevel="0" collapsed="false">
      <c r="B269" s="2" t="n">
        <v>268</v>
      </c>
      <c r="C269" s="8" t="n">
        <v>0.000608642019935934</v>
      </c>
    </row>
    <row r="270" customFormat="false" ht="13.8" hidden="false" customHeight="false" outlineLevel="0" collapsed="false">
      <c r="B270" s="2" t="n">
        <v>269</v>
      </c>
      <c r="C270" s="8" t="n">
        <v>0.00060864201429206</v>
      </c>
    </row>
    <row r="271" customFormat="false" ht="13.8" hidden="false" customHeight="false" outlineLevel="0" collapsed="false">
      <c r="B271" s="2" t="n">
        <v>270</v>
      </c>
      <c r="C271" s="8" t="n">
        <v>0.000608642008678988</v>
      </c>
    </row>
    <row r="272" customFormat="false" ht="13.8" hidden="false" customHeight="false" outlineLevel="0" collapsed="false">
      <c r="B272" s="2" t="n">
        <v>271</v>
      </c>
      <c r="C272" s="8" t="n">
        <v>0.000608642003096649</v>
      </c>
    </row>
    <row r="273" customFormat="false" ht="13.8" hidden="false" customHeight="false" outlineLevel="0" collapsed="false">
      <c r="B273" s="2" t="n">
        <v>272</v>
      </c>
      <c r="C273" s="8" t="n">
        <v>0.000608641997545192</v>
      </c>
    </row>
    <row r="274" customFormat="false" ht="13.8" hidden="false" customHeight="false" outlineLevel="0" collapsed="false">
      <c r="B274" s="2" t="n">
        <v>273</v>
      </c>
      <c r="C274" s="8" t="n">
        <v>0.000608641992024558</v>
      </c>
    </row>
    <row r="275" customFormat="false" ht="13.8" hidden="false" customHeight="false" outlineLevel="0" collapsed="false">
      <c r="B275" s="2" t="n">
        <v>274</v>
      </c>
      <c r="C275" s="8" t="n">
        <v>0.000608641986534745</v>
      </c>
    </row>
    <row r="276" customFormat="false" ht="13.8" hidden="false" customHeight="false" outlineLevel="0" collapsed="false">
      <c r="B276" s="2" t="n">
        <v>275</v>
      </c>
      <c r="C276" s="8" t="n">
        <v>0.000608641981075753</v>
      </c>
    </row>
    <row r="277" customFormat="false" ht="13.8" hidden="false" customHeight="false" outlineLevel="0" collapsed="false">
      <c r="B277" s="2" t="n">
        <v>276</v>
      </c>
      <c r="C277" s="8" t="n">
        <v>0.000608641975647579</v>
      </c>
    </row>
    <row r="278" customFormat="false" ht="13.8" hidden="false" customHeight="false" outlineLevel="0" collapsed="false">
      <c r="B278" s="2" t="n">
        <v>277</v>
      </c>
      <c r="C278" s="8" t="n">
        <v>0.000608641970250224</v>
      </c>
    </row>
    <row r="279" customFormat="false" ht="13.8" hidden="false" customHeight="false" outlineLevel="0" collapsed="false">
      <c r="B279" s="2" t="n">
        <v>278</v>
      </c>
      <c r="C279" s="8" t="n">
        <v>0.000608641964883744</v>
      </c>
    </row>
    <row r="280" customFormat="false" ht="13.8" hidden="false" customHeight="false" outlineLevel="0" collapsed="false">
      <c r="B280" s="2" t="n">
        <v>279</v>
      </c>
      <c r="C280" s="8" t="n">
        <v>0.000608641959547927</v>
      </c>
    </row>
    <row r="281" customFormat="false" ht="13.8" hidden="false" customHeight="false" outlineLevel="0" collapsed="false">
      <c r="B281" s="2" t="n">
        <v>280</v>
      </c>
      <c r="C281" s="8" t="n">
        <v>0.000608641954243036</v>
      </c>
    </row>
    <row r="282" customFormat="false" ht="13.8" hidden="false" customHeight="false" outlineLevel="0" collapsed="false">
      <c r="B282" s="2" t="n">
        <v>281</v>
      </c>
      <c r="C282" s="8" t="n">
        <v>0.000608641948968817</v>
      </c>
    </row>
    <row r="283" customFormat="false" ht="13.8" hidden="false" customHeight="false" outlineLevel="0" collapsed="false">
      <c r="B283" s="2" t="n">
        <v>282</v>
      </c>
      <c r="C283" s="8" t="n">
        <v>0.000608641943725465</v>
      </c>
    </row>
    <row r="284" customFormat="false" ht="13.8" hidden="false" customHeight="false" outlineLevel="0" collapsed="false">
      <c r="B284" s="2" t="n">
        <v>283</v>
      </c>
      <c r="C284" s="8" t="n">
        <v>0.000608641938512972</v>
      </c>
    </row>
    <row r="285" customFormat="false" ht="13.8" hidden="false" customHeight="false" outlineLevel="0" collapsed="false">
      <c r="B285" s="2" t="n">
        <v>284</v>
      </c>
      <c r="C285" s="8" t="n">
        <v>0.000608641933331208</v>
      </c>
    </row>
    <row r="286" customFormat="false" ht="13.8" hidden="false" customHeight="false" outlineLevel="0" collapsed="false">
      <c r="B286" s="2" t="n">
        <v>285</v>
      </c>
      <c r="C286" s="8" t="n">
        <v>0.000608641928180224</v>
      </c>
    </row>
    <row r="287" customFormat="false" ht="13.8" hidden="false" customHeight="false" outlineLevel="0" collapsed="false">
      <c r="B287" s="2" t="n">
        <v>286</v>
      </c>
      <c r="C287" s="8" t="n">
        <v>0.000608641923060019</v>
      </c>
    </row>
    <row r="288" customFormat="false" ht="13.8" hidden="false" customHeight="false" outlineLevel="0" collapsed="false">
      <c r="B288" s="2" t="n">
        <v>287</v>
      </c>
      <c r="C288" s="8" t="n">
        <v>0.000608641917970594</v>
      </c>
    </row>
    <row r="289" customFormat="false" ht="13.8" hidden="false" customHeight="false" outlineLevel="0" collapsed="false">
      <c r="B289" s="2" t="n">
        <v>288</v>
      </c>
      <c r="C289" s="8" t="n">
        <v>0.000608641912911949</v>
      </c>
    </row>
    <row r="290" customFormat="false" ht="13.8" hidden="false" customHeight="false" outlineLevel="0" collapsed="false">
      <c r="B290" s="2" t="n">
        <v>289</v>
      </c>
      <c r="C290" s="8" t="n">
        <v>0.000608642307592099</v>
      </c>
    </row>
    <row r="291" customFormat="false" ht="13.8" hidden="false" customHeight="false" outlineLevel="0" collapsed="false">
      <c r="B291" s="2" t="n">
        <v>290</v>
      </c>
      <c r="C291" s="8" t="n">
        <v>0.000608641902886891</v>
      </c>
    </row>
    <row r="292" customFormat="false" ht="13.8" hidden="false" customHeight="false" outlineLevel="0" collapsed="false">
      <c r="B292" s="2" t="n">
        <v>291</v>
      </c>
      <c r="C292" s="8" t="n">
        <v>0.000608641897920479</v>
      </c>
    </row>
    <row r="293" customFormat="false" ht="13.8" hidden="false" customHeight="false" outlineLevel="0" collapsed="false">
      <c r="B293" s="2" t="n">
        <v>292</v>
      </c>
      <c r="C293" s="8" t="n">
        <v>0.000608641892984847</v>
      </c>
    </row>
    <row r="294" customFormat="false" ht="13.8" hidden="false" customHeight="false" outlineLevel="0" collapsed="false">
      <c r="B294" s="2" t="n">
        <v>293</v>
      </c>
      <c r="C294" s="8" t="n">
        <v>0.000608641888079994</v>
      </c>
    </row>
    <row r="295" customFormat="false" ht="13.8" hidden="false" customHeight="false" outlineLevel="0" collapsed="false">
      <c r="B295" s="2" t="n">
        <v>294</v>
      </c>
      <c r="C295" s="8" t="n">
        <v>0.00060864188320592</v>
      </c>
    </row>
    <row r="296" customFormat="false" ht="13.8" hidden="false" customHeight="false" outlineLevel="0" collapsed="false">
      <c r="B296" s="2" t="n">
        <v>295</v>
      </c>
      <c r="C296" s="8" t="n">
        <v>0.000608641878362627</v>
      </c>
    </row>
    <row r="297" customFormat="false" ht="13.8" hidden="false" customHeight="false" outlineLevel="0" collapsed="false">
      <c r="B297" s="2" t="n">
        <v>296</v>
      </c>
      <c r="C297" s="8" t="n">
        <v>0.000608641873550113</v>
      </c>
    </row>
    <row r="298" customFormat="false" ht="13.8" hidden="false" customHeight="false" outlineLevel="0" collapsed="false">
      <c r="B298" s="2" t="n">
        <v>297</v>
      </c>
      <c r="C298" s="8" t="n">
        <v>0.00060864186876835</v>
      </c>
    </row>
    <row r="299" customFormat="false" ht="13.8" hidden="false" customHeight="false" outlineLevel="0" collapsed="false">
      <c r="B299" s="2" t="n">
        <v>298</v>
      </c>
      <c r="C299" s="8" t="n">
        <v>0.000608641864017442</v>
      </c>
    </row>
    <row r="300" customFormat="false" ht="13.8" hidden="false" customHeight="false" outlineLevel="0" collapsed="false">
      <c r="B300" s="2" t="n">
        <v>299</v>
      </c>
      <c r="C300" s="8" t="n">
        <v>0.000608641859297209</v>
      </c>
    </row>
    <row r="301" customFormat="false" ht="13.8" hidden="false" customHeight="false" outlineLevel="0" collapsed="false">
      <c r="B301" s="2" t="n">
        <v>300</v>
      </c>
      <c r="C301" s="8" t="n">
        <v>0.000608641854607989</v>
      </c>
    </row>
    <row r="302" customFormat="false" ht="13.8" hidden="false" customHeight="false" outlineLevel="0" collapsed="false">
      <c r="B302" s="2" t="n">
        <v>301</v>
      </c>
      <c r="C302" s="8" t="n">
        <v>0.000608641849949473</v>
      </c>
    </row>
    <row r="303" customFormat="false" ht="13.8" hidden="false" customHeight="false" outlineLevel="0" collapsed="false">
      <c r="B303" s="2" t="n">
        <v>302</v>
      </c>
      <c r="C303" s="8" t="n">
        <v>0.000608641845321737</v>
      </c>
    </row>
    <row r="304" customFormat="false" ht="13.8" hidden="false" customHeight="false" outlineLevel="0" collapsed="false">
      <c r="B304" s="2" t="n">
        <v>303</v>
      </c>
      <c r="C304" s="8" t="n">
        <v>0.00060864184072478</v>
      </c>
    </row>
    <row r="305" customFormat="false" ht="13.8" hidden="false" customHeight="false" outlineLevel="0" collapsed="false">
      <c r="B305" s="2" t="n">
        <v>304</v>
      </c>
      <c r="C305" s="8" t="n">
        <v>0.000608641836158603</v>
      </c>
    </row>
    <row r="306" customFormat="false" ht="13.8" hidden="false" customHeight="false" outlineLevel="0" collapsed="false">
      <c r="B306" s="2" t="n">
        <v>305</v>
      </c>
      <c r="C306" s="8" t="n">
        <v>0.000608641831623206</v>
      </c>
    </row>
    <row r="307" customFormat="false" ht="13.8" hidden="false" customHeight="false" outlineLevel="0" collapsed="false">
      <c r="B307" s="2" t="n">
        <v>306</v>
      </c>
      <c r="C307" s="8" t="n">
        <v>0.000608641827118589</v>
      </c>
    </row>
    <row r="308" customFormat="false" ht="13.8" hidden="false" customHeight="false" outlineLevel="0" collapsed="false">
      <c r="B308" s="2" t="n">
        <v>307</v>
      </c>
      <c r="C308" s="8" t="n">
        <v>0.000608641822644751</v>
      </c>
    </row>
    <row r="309" customFormat="false" ht="13.8" hidden="false" customHeight="false" outlineLevel="0" collapsed="false">
      <c r="B309" s="2" t="n">
        <v>308</v>
      </c>
      <c r="C309" s="8" t="n">
        <v>0.000608637818639497</v>
      </c>
    </row>
    <row r="310" customFormat="false" ht="13.8" hidden="false" customHeight="false" outlineLevel="0" collapsed="false">
      <c r="B310" s="2" t="n">
        <v>309</v>
      </c>
      <c r="C310" s="8" t="n">
        <v>0.00060864190505855</v>
      </c>
    </row>
    <row r="311" customFormat="false" ht="13.8" hidden="false" customHeight="false" outlineLevel="0" collapsed="false">
      <c r="B311" s="2" t="n">
        <v>310</v>
      </c>
      <c r="C311" s="8" t="n">
        <v>0.000508853545546908</v>
      </c>
    </row>
    <row r="312" customFormat="false" ht="13.8" hidden="false" customHeight="false" outlineLevel="0" collapsed="false">
      <c r="B312" s="2" t="n">
        <v>311</v>
      </c>
      <c r="C312" s="8" t="n">
        <v>0.000508856634113249</v>
      </c>
    </row>
    <row r="313" customFormat="false" ht="13.8" hidden="false" customHeight="false" outlineLevel="0" collapsed="false">
      <c r="B313" s="2" t="n">
        <v>312</v>
      </c>
      <c r="C313" s="8" t="n">
        <v>0.000508859722710476</v>
      </c>
    </row>
    <row r="314" customFormat="false" ht="13.8" hidden="false" customHeight="false" outlineLevel="0" collapsed="false">
      <c r="B314" s="2" t="n">
        <v>313</v>
      </c>
      <c r="C314" s="8" t="n">
        <v>0.00050886281133859</v>
      </c>
    </row>
    <row r="315" customFormat="false" ht="13.8" hidden="false" customHeight="false" outlineLevel="0" collapsed="false">
      <c r="B315" s="2" t="n">
        <v>314</v>
      </c>
      <c r="C315" s="8" t="n">
        <v>0.000508641892248337</v>
      </c>
    </row>
    <row r="316" customFormat="false" ht="13.8" hidden="false" customHeight="false" outlineLevel="0" collapsed="false">
      <c r="B316" s="2" t="n">
        <v>315</v>
      </c>
      <c r="C316" s="8" t="n">
        <v>5E-005</v>
      </c>
    </row>
    <row r="317" customFormat="false" ht="13.8" hidden="false" customHeight="false" outlineLevel="0" collapsed="false">
      <c r="B317" s="2" t="n">
        <v>316</v>
      </c>
      <c r="C317" s="8" t="n">
        <v>5E-005</v>
      </c>
    </row>
    <row r="318" customFormat="false" ht="13.8" hidden="false" customHeight="false" outlineLevel="0" collapsed="false">
      <c r="B318" s="2" t="n">
        <v>317</v>
      </c>
      <c r="C318" s="8" t="n">
        <v>5E-005</v>
      </c>
    </row>
    <row r="319" customFormat="false" ht="13.8" hidden="false" customHeight="false" outlineLevel="0" collapsed="false">
      <c r="B319" s="2" t="n">
        <v>318</v>
      </c>
      <c r="C319" s="8" t="n">
        <v>5E-005</v>
      </c>
    </row>
    <row r="320" customFormat="false" ht="13.8" hidden="false" customHeight="false" outlineLevel="0" collapsed="false">
      <c r="B320" s="2" t="n">
        <v>319</v>
      </c>
      <c r="C320" s="8" t="n">
        <v>5E-005</v>
      </c>
    </row>
    <row r="321" customFormat="false" ht="13.8" hidden="false" customHeight="false" outlineLevel="0" collapsed="false">
      <c r="B321" s="2" t="n">
        <v>320</v>
      </c>
      <c r="C321" s="8" t="n">
        <v>5E-005</v>
      </c>
    </row>
    <row r="322" customFormat="false" ht="13.8" hidden="false" customHeight="false" outlineLevel="0" collapsed="false">
      <c r="B322" s="2" t="n">
        <v>321</v>
      </c>
      <c r="C322" s="8" t="n">
        <v>5E-005</v>
      </c>
    </row>
    <row r="323" customFormat="false" ht="13.8" hidden="false" customHeight="false" outlineLevel="0" collapsed="false">
      <c r="B323" s="2" t="n">
        <v>322</v>
      </c>
      <c r="C323" s="8" t="n">
        <v>5E-005</v>
      </c>
    </row>
    <row r="324" customFormat="false" ht="13.8" hidden="false" customHeight="false" outlineLevel="0" collapsed="false">
      <c r="B324" s="2" t="n">
        <v>323</v>
      </c>
      <c r="C324" s="8" t="n">
        <v>5E-005</v>
      </c>
    </row>
    <row r="325" customFormat="false" ht="13.8" hidden="false" customHeight="false" outlineLevel="0" collapsed="false">
      <c r="B325" s="2" t="n">
        <v>324</v>
      </c>
      <c r="C325" s="8" t="n">
        <v>5E-005</v>
      </c>
    </row>
    <row r="326" customFormat="false" ht="13.8" hidden="false" customHeight="false" outlineLevel="0" collapsed="false">
      <c r="B326" s="2" t="n">
        <v>325</v>
      </c>
      <c r="C326" s="8" t="n">
        <v>5E-005</v>
      </c>
    </row>
    <row r="327" customFormat="false" ht="13.8" hidden="false" customHeight="false" outlineLevel="0" collapsed="false">
      <c r="B327" s="2" t="n">
        <v>326</v>
      </c>
      <c r="C327" s="8" t="n">
        <v>5E-005</v>
      </c>
    </row>
    <row r="328" customFormat="false" ht="13.8" hidden="false" customHeight="false" outlineLevel="0" collapsed="false">
      <c r="B328" s="2" t="n">
        <v>327</v>
      </c>
      <c r="C328" s="8" t="n">
        <v>5E-005</v>
      </c>
    </row>
    <row r="329" customFormat="false" ht="13.8" hidden="false" customHeight="false" outlineLevel="0" collapsed="false">
      <c r="B329" s="2" t="n">
        <v>328</v>
      </c>
      <c r="C329" s="8" t="n">
        <v>5E-005</v>
      </c>
    </row>
    <row r="330" customFormat="false" ht="13.8" hidden="false" customHeight="false" outlineLevel="0" collapsed="false">
      <c r="B330" s="2" t="n">
        <v>329</v>
      </c>
      <c r="C330" s="8" t="n">
        <v>5E-005</v>
      </c>
    </row>
    <row r="331" customFormat="false" ht="13.8" hidden="false" customHeight="false" outlineLevel="0" collapsed="false">
      <c r="B331" s="2" t="n">
        <v>330</v>
      </c>
      <c r="C331" s="8" t="n">
        <v>5E-005</v>
      </c>
    </row>
    <row r="332" customFormat="false" ht="13.8" hidden="false" customHeight="false" outlineLevel="0" collapsed="false">
      <c r="B332" s="2" t="n">
        <v>331</v>
      </c>
      <c r="C332" s="8" t="n">
        <v>5E-005</v>
      </c>
    </row>
    <row r="333" customFormat="false" ht="13.8" hidden="false" customHeight="false" outlineLevel="0" collapsed="false">
      <c r="B333" s="2" t="n">
        <v>332</v>
      </c>
      <c r="C333" s="8" t="n">
        <v>5E-005</v>
      </c>
    </row>
    <row r="334" customFormat="false" ht="13.8" hidden="false" customHeight="false" outlineLevel="0" collapsed="false">
      <c r="B334" s="2" t="n">
        <v>333</v>
      </c>
      <c r="C334" s="8" t="n">
        <v>5E-005</v>
      </c>
    </row>
    <row r="335" customFormat="false" ht="13.8" hidden="false" customHeight="false" outlineLevel="0" collapsed="false">
      <c r="B335" s="2" t="n">
        <v>334</v>
      </c>
      <c r="C335" s="8" t="n">
        <v>5E-005</v>
      </c>
    </row>
    <row r="336" customFormat="false" ht="13.8" hidden="false" customHeight="false" outlineLevel="0" collapsed="false">
      <c r="B336" s="2" t="n">
        <v>335</v>
      </c>
      <c r="C336" s="8" t="n">
        <v>4.99999878396226E-005</v>
      </c>
    </row>
    <row r="337" customFormat="false" ht="13.8" hidden="false" customHeight="false" outlineLevel="0" collapsed="false">
      <c r="B337" s="2" t="n">
        <v>336</v>
      </c>
      <c r="C337" s="8" t="n">
        <v>4.99999367354073E-005</v>
      </c>
    </row>
    <row r="338" customFormat="false" ht="13.8" hidden="false" customHeight="false" outlineLevel="0" collapsed="false">
      <c r="B338" s="2" t="n">
        <v>337</v>
      </c>
      <c r="C338" s="8" t="n">
        <v>4.99999282851843E-005</v>
      </c>
    </row>
    <row r="339" customFormat="false" ht="13.8" hidden="false" customHeight="false" outlineLevel="0" collapsed="false">
      <c r="B339" s="2" t="n">
        <v>338</v>
      </c>
      <c r="C339" s="8" t="n">
        <v>4.99999198424014E-005</v>
      </c>
    </row>
    <row r="340" customFormat="false" ht="13.8" hidden="false" customHeight="false" outlineLevel="0" collapsed="false">
      <c r="B340" s="2" t="n">
        <v>339</v>
      </c>
      <c r="C340" s="8" t="n">
        <v>4.99999114001789E-005</v>
      </c>
    </row>
    <row r="341" customFormat="false" ht="13.8" hidden="false" customHeight="false" outlineLevel="0" collapsed="false">
      <c r="B341" s="2" t="n">
        <v>340</v>
      </c>
      <c r="C341" s="8" t="n">
        <v>4.99999029582919E-005</v>
      </c>
    </row>
    <row r="342" customFormat="false" ht="13.8" hidden="false" customHeight="false" outlineLevel="0" collapsed="false">
      <c r="B342" s="2" t="n">
        <v>341</v>
      </c>
      <c r="C342" s="8" t="n">
        <v>4.99998945159271E-005</v>
      </c>
    </row>
    <row r="343" customFormat="false" ht="13.8" hidden="false" customHeight="false" outlineLevel="0" collapsed="false">
      <c r="B343" s="2" t="n">
        <v>342</v>
      </c>
      <c r="C343" s="8" t="n">
        <v>4.999818178901E-005</v>
      </c>
    </row>
    <row r="344" customFormat="false" ht="13.8" hidden="false" customHeight="false" outlineLevel="0" collapsed="false">
      <c r="B344" s="2" t="n">
        <v>343</v>
      </c>
      <c r="C344" s="8" t="n">
        <v>4.99998776251136E-005</v>
      </c>
    </row>
    <row r="345" customFormat="false" ht="13.8" hidden="false" customHeight="false" outlineLevel="0" collapsed="false">
      <c r="B345" s="2" t="n">
        <v>344</v>
      </c>
      <c r="C345" s="8" t="n">
        <v>4.99999999995864E-005</v>
      </c>
    </row>
    <row r="346" customFormat="false" ht="13.8" hidden="false" customHeight="false" outlineLevel="0" collapsed="false">
      <c r="B346" s="2" t="n">
        <v>345</v>
      </c>
      <c r="C346" s="8" t="n">
        <v>5E-005</v>
      </c>
    </row>
    <row r="347" customFormat="false" ht="13.8" hidden="false" customHeight="false" outlineLevel="0" collapsed="false">
      <c r="B347" s="2" t="n">
        <v>346</v>
      </c>
      <c r="C347" s="8" t="n">
        <v>5E-005</v>
      </c>
    </row>
    <row r="348" customFormat="false" ht="13.8" hidden="false" customHeight="false" outlineLevel="0" collapsed="false">
      <c r="B348" s="2" t="n">
        <v>347</v>
      </c>
      <c r="C348" s="8" t="n">
        <v>5E-005</v>
      </c>
    </row>
    <row r="349" customFormat="false" ht="13.8" hidden="false" customHeight="false" outlineLevel="0" collapsed="false">
      <c r="B349" s="2" t="n">
        <v>348</v>
      </c>
      <c r="C349" s="8" t="n">
        <v>5E-005</v>
      </c>
    </row>
    <row r="350" customFormat="false" ht="13.8" hidden="false" customHeight="false" outlineLevel="0" collapsed="false">
      <c r="B350" s="2" t="n">
        <v>349</v>
      </c>
      <c r="C350" s="8" t="n">
        <v>4.99999999999335E-005</v>
      </c>
    </row>
    <row r="351" customFormat="false" ht="13.8" hidden="false" customHeight="false" outlineLevel="0" collapsed="false">
      <c r="B351" s="2" t="n">
        <v>350</v>
      </c>
      <c r="C351" s="8" t="n">
        <v>4.99961910752219E-005</v>
      </c>
    </row>
    <row r="352" customFormat="false" ht="13.8" hidden="false" customHeight="false" outlineLevel="0" collapsed="false">
      <c r="B352" s="2" t="n">
        <v>351</v>
      </c>
      <c r="C352" s="8" t="n">
        <v>4.99927531621377E-005</v>
      </c>
    </row>
    <row r="353" customFormat="false" ht="13.8" hidden="false" customHeight="false" outlineLevel="0" collapsed="false">
      <c r="B353" s="2" t="n">
        <v>352</v>
      </c>
      <c r="C353" s="8" t="n">
        <v>5.00450042752812E-005</v>
      </c>
    </row>
    <row r="354" customFormat="false" ht="13.8" hidden="false" customHeight="false" outlineLevel="0" collapsed="false">
      <c r="B354" s="2" t="n">
        <v>353</v>
      </c>
      <c r="C354" s="8" t="n">
        <v>5.00112476313703E-005</v>
      </c>
    </row>
    <row r="355" customFormat="false" ht="13.8" hidden="false" customHeight="false" outlineLevel="0" collapsed="false">
      <c r="B355" s="2" t="n">
        <v>354</v>
      </c>
      <c r="C355" s="8" t="n">
        <v>0.000540424271694201</v>
      </c>
    </row>
    <row r="356" customFormat="false" ht="13.8" hidden="false" customHeight="false" outlineLevel="0" collapsed="false">
      <c r="B356" s="2" t="n">
        <v>355</v>
      </c>
      <c r="C356" s="8" t="n">
        <v>0.00054042767597096</v>
      </c>
    </row>
    <row r="357" customFormat="false" ht="13.8" hidden="false" customHeight="false" outlineLevel="0" collapsed="false">
      <c r="B357" s="2" t="n">
        <v>356</v>
      </c>
      <c r="C357" s="8" t="n">
        <v>0.000540431080281763</v>
      </c>
    </row>
    <row r="358" customFormat="false" ht="13.8" hidden="false" customHeight="false" outlineLevel="0" collapsed="false">
      <c r="B358" s="2" t="n">
        <v>357</v>
      </c>
      <c r="C358" s="8" t="n">
        <v>0.000540434484626609</v>
      </c>
    </row>
    <row r="359" customFormat="false" ht="13.8" hidden="false" customHeight="false" outlineLevel="0" collapsed="false">
      <c r="B359" s="2" t="n">
        <v>358</v>
      </c>
      <c r="C359" s="8" t="n">
        <v>0.000540437889005499</v>
      </c>
    </row>
    <row r="360" customFormat="false" ht="13.8" hidden="false" customHeight="false" outlineLevel="0" collapsed="false">
      <c r="B360" s="2" t="n">
        <v>359</v>
      </c>
      <c r="C360" s="8" t="n">
        <v>0.000540441293418433</v>
      </c>
    </row>
    <row r="361" customFormat="false" ht="13.8" hidden="false" customHeight="false" outlineLevel="0" collapsed="false">
      <c r="B361" s="2" t="n">
        <v>360</v>
      </c>
      <c r="C361" s="8" t="n">
        <v>0.000540444697865411</v>
      </c>
    </row>
    <row r="362" customFormat="false" ht="13.8" hidden="false" customHeight="false" outlineLevel="0" collapsed="false">
      <c r="B362" s="2" t="n">
        <v>361</v>
      </c>
      <c r="C362" s="8" t="n">
        <v>0.000608644298183928</v>
      </c>
    </row>
    <row r="363" customFormat="false" ht="13.8" hidden="false" customHeight="false" outlineLevel="0" collapsed="false">
      <c r="B363" s="2" t="n">
        <v>362</v>
      </c>
      <c r="C363" s="8" t="n">
        <v>0.000608644368241468</v>
      </c>
    </row>
    <row r="364" customFormat="false" ht="13.8" hidden="false" customHeight="false" outlineLevel="0" collapsed="false">
      <c r="B364" s="2" t="n">
        <v>363</v>
      </c>
      <c r="C364" s="8" t="n">
        <v>0.000608644438335804</v>
      </c>
    </row>
    <row r="365" customFormat="false" ht="13.8" hidden="false" customHeight="false" outlineLevel="0" collapsed="false">
      <c r="B365" s="2" t="n">
        <v>364</v>
      </c>
      <c r="C365" s="8" t="n">
        <v>0.00054045942527422</v>
      </c>
    </row>
    <row r="366" customFormat="false" ht="13.8" hidden="false" customHeight="false" outlineLevel="0" collapsed="false">
      <c r="B366" s="2" t="n">
        <v>365</v>
      </c>
      <c r="C366" s="8" t="n">
        <v>0.000540462829819156</v>
      </c>
    </row>
    <row r="367" customFormat="false" ht="13.8" hidden="false" customHeight="false" outlineLevel="0" collapsed="false">
      <c r="B367" s="2" t="n">
        <v>366</v>
      </c>
      <c r="C367" s="8" t="n">
        <v>0.000540466234399755</v>
      </c>
    </row>
    <row r="368" customFormat="false" ht="13.8" hidden="false" customHeight="false" outlineLevel="0" collapsed="false">
      <c r="B368" s="2" t="n">
        <v>367</v>
      </c>
      <c r="C368" s="8" t="n">
        <v>0.000540469639015986</v>
      </c>
    </row>
    <row r="369" customFormat="false" ht="13.8" hidden="false" customHeight="false" outlineLevel="0" collapsed="false">
      <c r="B369" s="2" t="n">
        <v>368</v>
      </c>
      <c r="C369" s="8" t="n">
        <v>0.00054047304366782</v>
      </c>
    </row>
    <row r="370" customFormat="false" ht="13.8" hidden="false" customHeight="false" outlineLevel="0" collapsed="false">
      <c r="B370" s="2" t="n">
        <v>369</v>
      </c>
      <c r="C370" s="8" t="n">
        <v>0.000540476448355228</v>
      </c>
    </row>
    <row r="371" customFormat="false" ht="13.8" hidden="false" customHeight="false" outlineLevel="0" collapsed="false">
      <c r="B371" s="2" t="n">
        <v>370</v>
      </c>
      <c r="C371" s="8" t="n">
        <v>0.000540479853078181</v>
      </c>
    </row>
    <row r="372" customFormat="false" ht="13.8" hidden="false" customHeight="false" outlineLevel="0" collapsed="false">
      <c r="B372" s="2" t="n">
        <v>371</v>
      </c>
      <c r="C372" s="8" t="n">
        <v>0.000608645000288863</v>
      </c>
    </row>
    <row r="373" customFormat="false" ht="13.8" hidden="false" customHeight="false" outlineLevel="0" collapsed="false">
      <c r="B373" s="2" t="n">
        <v>372</v>
      </c>
      <c r="C373" s="8" t="n">
        <v>0.000608645070681693</v>
      </c>
    </row>
    <row r="374" customFormat="false" ht="13.8" hidden="false" customHeight="false" outlineLevel="0" collapsed="false">
      <c r="B374" s="2" t="n">
        <v>373</v>
      </c>
      <c r="C374" s="8" t="n">
        <v>0.000608645141110346</v>
      </c>
    </row>
    <row r="375" customFormat="false" ht="13.8" hidden="false" customHeight="false" outlineLevel="0" collapsed="false">
      <c r="B375" s="2" t="n">
        <v>374</v>
      </c>
      <c r="C375" s="8" t="n">
        <v>0.000608645211574551</v>
      </c>
    </row>
    <row r="376" customFormat="false" ht="13.8" hidden="false" customHeight="false" outlineLevel="0" collapsed="false">
      <c r="B376" s="2" t="n">
        <v>375</v>
      </c>
      <c r="C376" s="8" t="n">
        <v>0.000540496877214915</v>
      </c>
    </row>
    <row r="377" customFormat="false" ht="13.8" hidden="false" customHeight="false" outlineLevel="0" collapsed="false">
      <c r="B377" s="2" t="n">
        <v>376</v>
      </c>
      <c r="C377" s="8" t="n">
        <v>0.000540500282146506</v>
      </c>
    </row>
    <row r="378" customFormat="false" ht="13.8" hidden="false" customHeight="false" outlineLevel="0" collapsed="false">
      <c r="B378" s="2" t="n">
        <v>377</v>
      </c>
      <c r="C378" s="8" t="n">
        <v>0.000608645423170072</v>
      </c>
    </row>
    <row r="379" customFormat="false" ht="13.8" hidden="false" customHeight="false" outlineLevel="0" collapsed="false">
      <c r="B379" s="2" t="n">
        <v>378</v>
      </c>
      <c r="C379" s="8" t="n">
        <v>0.000540507092114801</v>
      </c>
    </row>
    <row r="380" customFormat="false" ht="13.8" hidden="false" customHeight="false" outlineLevel="0" collapsed="false">
      <c r="B380" s="2" t="n">
        <v>379</v>
      </c>
      <c r="C380" s="8" t="n">
        <v>0.000540510497151455</v>
      </c>
    </row>
    <row r="381" customFormat="false" ht="13.8" hidden="false" customHeight="false" outlineLevel="0" collapsed="false">
      <c r="B381" s="2" t="n">
        <v>380</v>
      </c>
      <c r="C381" s="8" t="n">
        <v>0.000540513902223389</v>
      </c>
    </row>
    <row r="382" customFormat="false" ht="13.8" hidden="false" customHeight="false" outlineLevel="0" collapsed="false">
      <c r="B382" s="2" t="n">
        <v>381</v>
      </c>
      <c r="C382" s="8" t="n">
        <v>0.000608645705758237</v>
      </c>
    </row>
    <row r="383" customFormat="false" ht="13.8" hidden="false" customHeight="false" outlineLevel="0" collapsed="false">
      <c r="B383" s="2" t="n">
        <v>382</v>
      </c>
      <c r="C383" s="8" t="n">
        <v>0.000608645776488053</v>
      </c>
    </row>
    <row r="384" customFormat="false" ht="13.8" hidden="false" customHeight="false" outlineLevel="0" collapsed="false">
      <c r="B384" s="2" t="n">
        <v>383</v>
      </c>
      <c r="C384" s="8" t="n">
        <v>0.000540524117648075</v>
      </c>
    </row>
    <row r="385" customFormat="false" ht="13.8" hidden="false" customHeight="false" outlineLevel="0" collapsed="false">
      <c r="B385" s="2" t="n">
        <v>384</v>
      </c>
      <c r="C385" s="8" t="n">
        <v>0.000608645918049099</v>
      </c>
    </row>
    <row r="386" customFormat="false" ht="13.8" hidden="false" customHeight="false" outlineLevel="0" collapsed="false">
      <c r="B386" s="2" t="n">
        <v>385</v>
      </c>
      <c r="C386" s="8" t="n">
        <v>0.000608645988880151</v>
      </c>
    </row>
    <row r="387" customFormat="false" ht="13.8" hidden="false" customHeight="false" outlineLevel="0" collapsed="false">
      <c r="B387" s="2" t="n">
        <v>386</v>
      </c>
      <c r="C387" s="8" t="n">
        <v>0.000540534333384489</v>
      </c>
    </row>
    <row r="388" customFormat="false" ht="13.8" hidden="false" customHeight="false" outlineLevel="0" collapsed="false">
      <c r="B388" s="2" t="n">
        <v>387</v>
      </c>
      <c r="C388" s="8" t="n">
        <v>0.000540537738699426</v>
      </c>
    </row>
    <row r="389" customFormat="false" ht="13.8" hidden="false" customHeight="false" outlineLevel="0" collapsed="false">
      <c r="B389" s="2" t="n">
        <v>388</v>
      </c>
      <c r="C389" s="8" t="n">
        <v>0.000540541144049451</v>
      </c>
    </row>
    <row r="390" customFormat="false" ht="13.8" hidden="false" customHeight="false" outlineLevel="0" collapsed="false">
      <c r="B390" s="2" t="n">
        <v>389</v>
      </c>
      <c r="C390" s="8" t="n">
        <v>0.000540544549434542</v>
      </c>
    </row>
    <row r="391" customFormat="false" ht="13.8" hidden="false" customHeight="false" outlineLevel="0" collapsed="false">
      <c r="B391" s="2" t="n">
        <v>390</v>
      </c>
      <c r="C391" s="8" t="n">
        <v>0.000540547954854677</v>
      </c>
    </row>
    <row r="392" customFormat="false" ht="13.8" hidden="false" customHeight="false" outlineLevel="0" collapsed="false">
      <c r="B392" s="2" t="n">
        <v>391</v>
      </c>
      <c r="C392" s="8" t="n">
        <v>0.000540551360309835</v>
      </c>
    </row>
    <row r="393" customFormat="false" ht="13.8" hidden="false" customHeight="false" outlineLevel="0" collapsed="false">
      <c r="B393" s="2" t="n">
        <v>392</v>
      </c>
      <c r="C393" s="8" t="n">
        <v>0.000540554765799993</v>
      </c>
    </row>
    <row r="394" customFormat="false" ht="13.8" hidden="false" customHeight="false" outlineLevel="0" collapsed="false">
      <c r="B394" s="2" t="n">
        <v>393</v>
      </c>
      <c r="C394" s="8" t="n">
        <v>0.000540558171325131</v>
      </c>
    </row>
    <row r="395" customFormat="false" ht="13.8" hidden="false" customHeight="false" outlineLevel="0" collapsed="false">
      <c r="B395" s="2" t="n">
        <v>394</v>
      </c>
      <c r="C395" s="8" t="n">
        <v>0.000540561576885227</v>
      </c>
    </row>
    <row r="396" customFormat="false" ht="13.8" hidden="false" customHeight="false" outlineLevel="0" collapsed="false">
      <c r="B396" s="2" t="n">
        <v>395</v>
      </c>
      <c r="C396" s="8" t="n">
        <v>0.000540564982480262</v>
      </c>
    </row>
    <row r="397" customFormat="false" ht="13.8" hidden="false" customHeight="false" outlineLevel="0" collapsed="false">
      <c r="B397" s="2" t="n">
        <v>396</v>
      </c>
      <c r="C397" s="8" t="n">
        <v>0.000540568388110215</v>
      </c>
    </row>
    <row r="398" customFormat="false" ht="13.8" hidden="false" customHeight="false" outlineLevel="0" collapsed="false">
      <c r="B398" s="2" t="n">
        <v>397</v>
      </c>
      <c r="C398" s="8" t="n">
        <v>0.000540571793775066</v>
      </c>
    </row>
    <row r="399" customFormat="false" ht="13.8" hidden="false" customHeight="false" outlineLevel="0" collapsed="false">
      <c r="B399" s="2" t="n">
        <v>398</v>
      </c>
      <c r="C399" s="8" t="n">
        <v>0.000540575199474796</v>
      </c>
    </row>
    <row r="400" customFormat="false" ht="13.8" hidden="false" customHeight="false" outlineLevel="0" collapsed="false">
      <c r="B400" s="2" t="n">
        <v>399</v>
      </c>
      <c r="C400" s="8" t="n">
        <v>0.000540578605209386</v>
      </c>
    </row>
    <row r="401" customFormat="false" ht="13.8" hidden="false" customHeight="false" outlineLevel="0" collapsed="false">
      <c r="B401" s="2" t="n">
        <v>400</v>
      </c>
      <c r="C401" s="8" t="n">
        <v>0.000540582010978817</v>
      </c>
    </row>
    <row r="402" customFormat="false" ht="13.8" hidden="false" customHeight="false" outlineLevel="0" collapsed="false">
      <c r="B402" s="2" t="n">
        <v>401</v>
      </c>
      <c r="C402" s="8" t="n">
        <v>0.00060864712652493</v>
      </c>
    </row>
    <row r="403" customFormat="false" ht="13.8" hidden="false" customHeight="false" outlineLevel="0" collapsed="false">
      <c r="B403" s="2" t="n">
        <v>402</v>
      </c>
      <c r="C403" s="8" t="n">
        <v>0.000608647197897249</v>
      </c>
    </row>
    <row r="404" customFormat="false" ht="13.8" hidden="false" customHeight="false" outlineLevel="0" collapsed="false">
      <c r="B404" s="2" t="n">
        <v>403</v>
      </c>
      <c r="C404" s="8" t="n">
        <v>0.000540592228494365</v>
      </c>
    </row>
    <row r="405" customFormat="false" ht="13.8" hidden="false" customHeight="false" outlineLevel="0" collapsed="false">
      <c r="B405" s="2" t="n">
        <v>404</v>
      </c>
      <c r="C405" s="8" t="n">
        <v>0.000540595634401909</v>
      </c>
    </row>
    <row r="406" customFormat="false" ht="13.8" hidden="false" customHeight="false" outlineLevel="0" collapsed="false">
      <c r="B406" s="2" t="n">
        <v>405</v>
      </c>
      <c r="C406" s="8" t="n">
        <v>0.000608647412207451</v>
      </c>
    </row>
    <row r="407" customFormat="false" ht="13.8" hidden="false" customHeight="false" outlineLevel="0" collapsed="false">
      <c r="B407" s="2" t="n">
        <v>406</v>
      </c>
      <c r="C407" s="8" t="n">
        <v>0.000540601339234384</v>
      </c>
    </row>
    <row r="408" customFormat="false" ht="13.8" hidden="false" customHeight="false" outlineLevel="0" collapsed="false">
      <c r="B408" s="2" t="n">
        <v>407</v>
      </c>
      <c r="C408" s="8" t="n">
        <v>0.000540604745281836</v>
      </c>
    </row>
    <row r="409" customFormat="false" ht="13.8" hidden="false" customHeight="false" outlineLevel="0" collapsed="false">
      <c r="B409" s="2" t="n">
        <v>408</v>
      </c>
      <c r="C409" s="8" t="n">
        <v>0.00054060815136335</v>
      </c>
    </row>
    <row r="410" customFormat="false" ht="13.8" hidden="false" customHeight="false" outlineLevel="0" collapsed="false">
      <c r="B410" s="2" t="n">
        <v>409</v>
      </c>
      <c r="C410" s="8" t="n">
        <v>0.000540611557478925</v>
      </c>
    </row>
    <row r="411" customFormat="false" ht="13.8" hidden="false" customHeight="false" outlineLevel="0" collapsed="false">
      <c r="B411" s="2" t="n">
        <v>410</v>
      </c>
      <c r="C411" s="8" t="n">
        <v>5E-005</v>
      </c>
    </row>
    <row r="412" customFormat="false" ht="13.8" hidden="false" customHeight="false" outlineLevel="0" collapsed="false">
      <c r="B412" s="2" t="n">
        <v>411</v>
      </c>
      <c r="C412" s="8" t="n">
        <v>5E-005</v>
      </c>
    </row>
    <row r="413" customFormat="false" ht="13.8" hidden="false" customHeight="false" outlineLevel="0" collapsed="false">
      <c r="B413" s="2" t="n">
        <v>412</v>
      </c>
      <c r="C413" s="8" t="n">
        <v>5E-005</v>
      </c>
    </row>
    <row r="414" customFormat="false" ht="13.8" hidden="false" customHeight="false" outlineLevel="0" collapsed="false">
      <c r="B414" s="2" t="n">
        <v>413</v>
      </c>
      <c r="C414" s="8" t="n">
        <v>5E-005</v>
      </c>
    </row>
    <row r="415" customFormat="false" ht="13.8" hidden="false" customHeight="false" outlineLevel="0" collapsed="false">
      <c r="B415" s="2" t="n">
        <v>414</v>
      </c>
      <c r="C415" s="8" t="n">
        <v>5E-005</v>
      </c>
    </row>
    <row r="416" customFormat="false" ht="13.8" hidden="false" customHeight="false" outlineLevel="0" collapsed="false">
      <c r="B416" s="2" t="n">
        <v>415</v>
      </c>
      <c r="C416" s="8" t="n">
        <v>5E-005</v>
      </c>
    </row>
    <row r="417" customFormat="false" ht="13.8" hidden="false" customHeight="false" outlineLevel="0" collapsed="false">
      <c r="B417" s="2" t="n">
        <v>416</v>
      </c>
      <c r="C417" s="8" t="n">
        <v>5E-005</v>
      </c>
    </row>
    <row r="418" customFormat="false" ht="13.8" hidden="false" customHeight="false" outlineLevel="0" collapsed="false">
      <c r="B418" s="2" t="n">
        <v>417</v>
      </c>
      <c r="C418" s="8" t="n">
        <v>5E-005</v>
      </c>
    </row>
    <row r="419" customFormat="false" ht="13.8" hidden="false" customHeight="false" outlineLevel="0" collapsed="false">
      <c r="B419" s="2" t="n">
        <v>418</v>
      </c>
      <c r="C419" s="8" t="n">
        <v>5E-005</v>
      </c>
    </row>
    <row r="420" customFormat="false" ht="13.8" hidden="false" customHeight="false" outlineLevel="0" collapsed="false">
      <c r="B420" s="2" t="n">
        <v>419</v>
      </c>
      <c r="C420" s="8" t="n">
        <v>5E-005</v>
      </c>
    </row>
    <row r="421" customFormat="false" ht="13.8" hidden="false" customHeight="false" outlineLevel="0" collapsed="false">
      <c r="B421" s="2" t="n">
        <v>420</v>
      </c>
      <c r="C421" s="8" t="n">
        <v>5E-005</v>
      </c>
    </row>
    <row r="422" customFormat="false" ht="13.8" hidden="false" customHeight="false" outlineLevel="0" collapsed="false">
      <c r="B422" s="2" t="n">
        <v>421</v>
      </c>
      <c r="C422" s="8" t="n">
        <v>5E-005</v>
      </c>
    </row>
    <row r="423" customFormat="false" ht="13.8" hidden="false" customHeight="false" outlineLevel="0" collapsed="false">
      <c r="B423" s="2" t="n">
        <v>422</v>
      </c>
      <c r="C423" s="8" t="n">
        <v>5E-005</v>
      </c>
    </row>
    <row r="424" customFormat="false" ht="13.8" hidden="false" customHeight="false" outlineLevel="0" collapsed="false">
      <c r="B424" s="2" t="n">
        <v>423</v>
      </c>
      <c r="C424" s="8" t="n">
        <v>5E-005</v>
      </c>
    </row>
    <row r="425" customFormat="false" ht="13.8" hidden="false" customHeight="false" outlineLevel="0" collapsed="false">
      <c r="B425" s="2" t="n">
        <v>424</v>
      </c>
      <c r="C425" s="8" t="n">
        <v>5E-005</v>
      </c>
    </row>
    <row r="426" customFormat="false" ht="13.8" hidden="false" customHeight="false" outlineLevel="0" collapsed="false">
      <c r="B426" s="2" t="n">
        <v>425</v>
      </c>
      <c r="C426" s="8" t="n">
        <v>5E-005</v>
      </c>
    </row>
    <row r="427" customFormat="false" ht="13.8" hidden="false" customHeight="false" outlineLevel="0" collapsed="false">
      <c r="B427" s="2" t="n">
        <v>426</v>
      </c>
      <c r="C427" s="8" t="n">
        <v>5E-005</v>
      </c>
    </row>
    <row r="428" customFormat="false" ht="13.8" hidden="false" customHeight="false" outlineLevel="0" collapsed="false">
      <c r="B428" s="2" t="n">
        <v>427</v>
      </c>
      <c r="C428" s="8" t="n">
        <v>5E-005</v>
      </c>
    </row>
    <row r="429" customFormat="false" ht="13.8" hidden="false" customHeight="false" outlineLevel="0" collapsed="false">
      <c r="B429" s="2" t="n">
        <v>428</v>
      </c>
      <c r="C429" s="8" t="n">
        <v>5E-005</v>
      </c>
    </row>
    <row r="430" customFormat="false" ht="13.8" hidden="false" customHeight="false" outlineLevel="0" collapsed="false">
      <c r="B430" s="2" t="n">
        <v>429</v>
      </c>
      <c r="C430" s="8" t="n">
        <v>5E-005</v>
      </c>
    </row>
    <row r="431" customFormat="false" ht="13.8" hidden="false" customHeight="false" outlineLevel="0" collapsed="false">
      <c r="B431" s="2" t="n">
        <v>430</v>
      </c>
      <c r="C431" s="8" t="n">
        <v>5E-005</v>
      </c>
    </row>
    <row r="432" customFormat="false" ht="13.8" hidden="false" customHeight="false" outlineLevel="0" collapsed="false">
      <c r="B432" s="2" t="n">
        <v>431</v>
      </c>
      <c r="C432" s="8" t="n">
        <v>4.99997447106423E-005</v>
      </c>
    </row>
    <row r="433" customFormat="false" ht="13.8" hidden="false" customHeight="false" outlineLevel="0" collapsed="false">
      <c r="B433" s="2" t="n">
        <v>432</v>
      </c>
      <c r="C433" s="8" t="n">
        <v>-4.99824461061404E-005</v>
      </c>
    </row>
    <row r="434" customFormat="false" ht="13.8" hidden="false" customHeight="false" outlineLevel="0" collapsed="false">
      <c r="B434" s="2" t="n">
        <v>433</v>
      </c>
      <c r="C434" s="8" t="n">
        <v>-4.99771536012053E-005</v>
      </c>
    </row>
    <row r="435" customFormat="false" ht="13.8" hidden="false" customHeight="false" outlineLevel="0" collapsed="false">
      <c r="B435" s="2" t="n">
        <v>434</v>
      </c>
      <c r="C435" s="8" t="n">
        <v>-4.99718547572359E-005</v>
      </c>
    </row>
    <row r="436" customFormat="false" ht="13.8" hidden="false" customHeight="false" outlineLevel="0" collapsed="false">
      <c r="B436" s="2" t="n">
        <v>435</v>
      </c>
      <c r="C436" s="8" t="n">
        <v>-4.99665495441273E-005</v>
      </c>
    </row>
    <row r="437" customFormat="false" ht="13.8" hidden="false" customHeight="false" outlineLevel="0" collapsed="false">
      <c r="B437" s="2" t="n">
        <v>436</v>
      </c>
      <c r="C437" s="8" t="n">
        <v>-4.99613250134017E-005</v>
      </c>
    </row>
    <row r="438" customFormat="false" ht="13.8" hidden="false" customHeight="false" outlineLevel="0" collapsed="false">
      <c r="B438" s="2" t="n">
        <v>437</v>
      </c>
      <c r="C438" s="8" t="n">
        <v>-4.99561650726605E-005</v>
      </c>
    </row>
    <row r="439" customFormat="false" ht="13.8" hidden="false" customHeight="false" outlineLevel="0" collapsed="false">
      <c r="B439" s="2" t="n">
        <v>438</v>
      </c>
      <c r="C439" s="8" t="n">
        <v>-4.99644606950368E-005</v>
      </c>
    </row>
    <row r="440" customFormat="false" ht="13.8" hidden="false" customHeight="false" outlineLevel="0" collapsed="false">
      <c r="B440" s="2" t="n">
        <v>439</v>
      </c>
      <c r="C440" s="8" t="n">
        <v>-4.99719253473588E-005</v>
      </c>
    </row>
    <row r="441" customFormat="false" ht="13.8" hidden="false" customHeight="false" outlineLevel="0" collapsed="false">
      <c r="B441" s="2" t="n">
        <v>440</v>
      </c>
      <c r="C441" s="8" t="n">
        <v>-4.99691989581054E-005</v>
      </c>
    </row>
    <row r="442" customFormat="false" ht="13.8" hidden="false" customHeight="false" outlineLevel="0" collapsed="false">
      <c r="B442" s="2" t="n">
        <v>441</v>
      </c>
      <c r="C442" s="8" t="n">
        <v>-4.99688601027634E-005</v>
      </c>
    </row>
    <row r="443" customFormat="false" ht="13.8" hidden="false" customHeight="false" outlineLevel="0" collapsed="false">
      <c r="B443" s="2" t="n">
        <v>442</v>
      </c>
      <c r="C443" s="8" t="n">
        <v>4.99998372661613E-005</v>
      </c>
    </row>
    <row r="444" customFormat="false" ht="13.8" hidden="false" customHeight="false" outlineLevel="0" collapsed="false">
      <c r="B444" s="2" t="n">
        <v>443</v>
      </c>
      <c r="C444" s="8" t="n">
        <v>4.99998966675832E-005</v>
      </c>
    </row>
    <row r="445" customFormat="false" ht="13.8" hidden="false" customHeight="false" outlineLevel="0" collapsed="false">
      <c r="B445" s="2" t="n">
        <v>444</v>
      </c>
      <c r="C445" s="8" t="n">
        <v>4.9999937670023E-005</v>
      </c>
    </row>
    <row r="446" customFormat="false" ht="13.8" hidden="false" customHeight="false" outlineLevel="0" collapsed="false">
      <c r="B446" s="2" t="n">
        <v>445</v>
      </c>
      <c r="C446" s="8" t="n">
        <v>5.0000016724711E-005</v>
      </c>
    </row>
    <row r="447" customFormat="false" ht="13.8" hidden="false" customHeight="false" outlineLevel="0" collapsed="false">
      <c r="B447" s="2" t="n">
        <v>446</v>
      </c>
      <c r="C447" s="8" t="n">
        <v>5.00000758252831E-005</v>
      </c>
    </row>
    <row r="448" customFormat="false" ht="13.8" hidden="false" customHeight="false" outlineLevel="0" collapsed="false">
      <c r="B448" s="2" t="n">
        <v>447</v>
      </c>
      <c r="C448" s="8" t="n">
        <v>5.00001776674247E-005</v>
      </c>
    </row>
    <row r="449" customFormat="false" ht="13.8" hidden="false" customHeight="false" outlineLevel="0" collapsed="false">
      <c r="B449" s="2" t="n">
        <v>448</v>
      </c>
      <c r="C449" s="8" t="n">
        <v>5.00004721275109E-005</v>
      </c>
    </row>
    <row r="450" customFormat="false" ht="13.8" hidden="false" customHeight="false" outlineLevel="0" collapsed="false">
      <c r="B450" s="2" t="n">
        <v>449</v>
      </c>
      <c r="C450" s="8" t="n">
        <v>5.00049296190798E-005</v>
      </c>
    </row>
    <row r="451" customFormat="false" ht="13.8" hidden="false" customHeight="false" outlineLevel="0" collapsed="false">
      <c r="B451" s="2" t="n">
        <v>450</v>
      </c>
      <c r="C451" s="8" t="n">
        <v>5.00073960371178E-005</v>
      </c>
    </row>
    <row r="452" customFormat="false" ht="13.8" hidden="false" customHeight="false" outlineLevel="0" collapsed="false">
      <c r="B452" s="2" t="n">
        <v>451</v>
      </c>
      <c r="C452" s="8" t="n">
        <v>5.00561150003549E-005</v>
      </c>
    </row>
    <row r="453" customFormat="false" ht="13.8" hidden="false" customHeight="false" outlineLevel="0" collapsed="false">
      <c r="B453" s="2" t="n">
        <v>452</v>
      </c>
      <c r="C453" s="8" t="n">
        <v>5.00167964689684E-005</v>
      </c>
    </row>
    <row r="454" customFormat="false" ht="13.8" hidden="false" customHeight="false" outlineLevel="0" collapsed="false">
      <c r="B454" s="2" t="n">
        <v>453</v>
      </c>
      <c r="C454" s="8" t="n">
        <v>0.000608717427404543</v>
      </c>
    </row>
    <row r="455" customFormat="false" ht="13.8" hidden="false" customHeight="false" outlineLevel="0" collapsed="false">
      <c r="B455" s="2" t="n">
        <v>454</v>
      </c>
      <c r="C455" s="8" t="n">
        <v>5.00636168338481E-005</v>
      </c>
    </row>
    <row r="456" customFormat="false" ht="13.8" hidden="false" customHeight="false" outlineLevel="0" collapsed="false">
      <c r="B456" s="2" t="n">
        <v>455</v>
      </c>
      <c r="C456" s="8" t="n">
        <v>0.116523266574845</v>
      </c>
    </row>
    <row r="457" customFormat="false" ht="13.8" hidden="false" customHeight="false" outlineLevel="0" collapsed="false">
      <c r="B457" s="2" t="n">
        <v>456</v>
      </c>
      <c r="C457" s="8" t="n">
        <v>0.116524429819144</v>
      </c>
    </row>
    <row r="458" customFormat="false" ht="13.8" hidden="false" customHeight="false" outlineLevel="0" collapsed="false">
      <c r="B458" s="2" t="n">
        <v>457</v>
      </c>
      <c r="C458" s="8" t="n">
        <v>0.116596589038045</v>
      </c>
    </row>
    <row r="459" customFormat="false" ht="13.8" hidden="false" customHeight="false" outlineLevel="0" collapsed="false">
      <c r="B459" s="2" t="n">
        <v>458</v>
      </c>
      <c r="C459" s="8" t="n">
        <v>0.116597753015573</v>
      </c>
    </row>
    <row r="460" customFormat="false" ht="13.8" hidden="false" customHeight="false" outlineLevel="0" collapsed="false">
      <c r="B460" s="2" t="n">
        <v>459</v>
      </c>
      <c r="C460" s="8" t="n">
        <v>0.116598917004738</v>
      </c>
    </row>
    <row r="461" customFormat="false" ht="13.8" hidden="false" customHeight="false" outlineLevel="0" collapsed="false">
      <c r="B461" s="2" t="n">
        <v>460</v>
      </c>
      <c r="C461" s="8" t="n">
        <v>0.11660008100554</v>
      </c>
    </row>
    <row r="462" customFormat="false" ht="13.8" hidden="false" customHeight="false" outlineLevel="0" collapsed="false">
      <c r="B462" s="2" t="n">
        <v>461</v>
      </c>
      <c r="C462" s="8" t="n">
        <v>0.116601245017977</v>
      </c>
    </row>
    <row r="463" customFormat="false" ht="13.8" hidden="false" customHeight="false" outlineLevel="0" collapsed="false">
      <c r="B463" s="2" t="n">
        <v>462</v>
      </c>
      <c r="C463" s="8" t="n">
        <v>0.116602409042055</v>
      </c>
    </row>
    <row r="464" customFormat="false" ht="13.8" hidden="false" customHeight="false" outlineLevel="0" collapsed="false">
      <c r="B464" s="2" t="n">
        <v>463</v>
      </c>
      <c r="C464" s="8" t="n">
        <v>0.116603573077772</v>
      </c>
    </row>
    <row r="465" customFormat="false" ht="13.8" hidden="false" customHeight="false" outlineLevel="0" collapsed="false">
      <c r="B465" s="2" t="n">
        <v>464</v>
      </c>
      <c r="C465" s="8" t="n">
        <v>0.116604737125129</v>
      </c>
    </row>
    <row r="466" customFormat="false" ht="13.8" hidden="false" customHeight="false" outlineLevel="0" collapsed="false">
      <c r="B466" s="2" t="n">
        <v>465</v>
      </c>
      <c r="C466" s="8" t="n">
        <v>0.116605901184125</v>
      </c>
    </row>
    <row r="467" customFormat="false" ht="13.8" hidden="false" customHeight="false" outlineLevel="0" collapsed="false">
      <c r="B467" s="2" t="n">
        <v>466</v>
      </c>
      <c r="C467" s="8" t="n">
        <v>0.11660706525476</v>
      </c>
    </row>
    <row r="468" customFormat="false" ht="13.8" hidden="false" customHeight="false" outlineLevel="0" collapsed="false">
      <c r="B468" s="2" t="n">
        <v>467</v>
      </c>
      <c r="C468" s="8" t="n">
        <v>0.116608229337036</v>
      </c>
    </row>
    <row r="469" customFormat="false" ht="13.8" hidden="false" customHeight="false" outlineLevel="0" collapsed="false">
      <c r="B469" s="2" t="n">
        <v>468</v>
      </c>
      <c r="C469" s="8" t="n">
        <v>0.116609393430951</v>
      </c>
    </row>
    <row r="470" customFormat="false" ht="13.8" hidden="false" customHeight="false" outlineLevel="0" collapsed="false">
      <c r="B470" s="2" t="n">
        <v>469</v>
      </c>
      <c r="C470" s="8" t="n">
        <v>0.116610557536506</v>
      </c>
    </row>
    <row r="471" customFormat="false" ht="13.8" hidden="false" customHeight="false" outlineLevel="0" collapsed="false">
      <c r="B471" s="2" t="n">
        <v>470</v>
      </c>
      <c r="C471" s="8" t="n">
        <v>0.116611721653701</v>
      </c>
    </row>
    <row r="472" customFormat="false" ht="13.8" hidden="false" customHeight="false" outlineLevel="0" collapsed="false">
      <c r="B472" s="2" t="n">
        <v>471</v>
      </c>
      <c r="C472" s="8" t="n">
        <v>0.116612885782536</v>
      </c>
    </row>
    <row r="473" customFormat="false" ht="13.8" hidden="false" customHeight="false" outlineLevel="0" collapsed="false">
      <c r="B473" s="2" t="n">
        <v>472</v>
      </c>
      <c r="C473" s="8" t="n">
        <v>0.116614049923011</v>
      </c>
    </row>
    <row r="474" customFormat="false" ht="13.8" hidden="false" customHeight="false" outlineLevel="0" collapsed="false">
      <c r="B474" s="2" t="n">
        <v>473</v>
      </c>
      <c r="C474" s="8" t="n">
        <v>0.116615214075127</v>
      </c>
    </row>
    <row r="475" customFormat="false" ht="13.8" hidden="false" customHeight="false" outlineLevel="0" collapsed="false">
      <c r="B475" s="2" t="n">
        <v>474</v>
      </c>
      <c r="C475" s="8" t="n">
        <v>0.116616378238883</v>
      </c>
    </row>
    <row r="476" customFormat="false" ht="13.8" hidden="false" customHeight="false" outlineLevel="0" collapsed="false">
      <c r="B476" s="2" t="n">
        <v>475</v>
      </c>
      <c r="C476" s="8" t="n">
        <v>0.11661754241428</v>
      </c>
    </row>
    <row r="477" customFormat="false" ht="13.8" hidden="false" customHeight="false" outlineLevel="0" collapsed="false">
      <c r="B477" s="2" t="n">
        <v>476</v>
      </c>
      <c r="C477" s="8" t="n">
        <v>0.116618706601318</v>
      </c>
    </row>
    <row r="478" customFormat="false" ht="13.8" hidden="false" customHeight="false" outlineLevel="0" collapsed="false">
      <c r="B478" s="2" t="n">
        <v>477</v>
      </c>
      <c r="C478" s="8" t="n">
        <v>0.116619870799996</v>
      </c>
    </row>
    <row r="479" customFormat="false" ht="13.8" hidden="false" customHeight="false" outlineLevel="0" collapsed="false">
      <c r="B479" s="2" t="n">
        <v>478</v>
      </c>
      <c r="C479" s="8" t="n">
        <v>0.116621035010315</v>
      </c>
    </row>
    <row r="480" customFormat="false" ht="13.8" hidden="false" customHeight="false" outlineLevel="0" collapsed="false">
      <c r="B480" s="2" t="n">
        <v>479</v>
      </c>
      <c r="C480" s="8" t="n">
        <v>0.116622199232276</v>
      </c>
    </row>
    <row r="481" customFormat="false" ht="13.8" hidden="false" customHeight="false" outlineLevel="0" collapsed="false">
      <c r="B481" s="2" t="n">
        <v>480</v>
      </c>
      <c r="C481" s="8" t="n">
        <v>0.116623363465877</v>
      </c>
    </row>
    <row r="482" customFormat="false" ht="13.8" hidden="false" customHeight="false" outlineLevel="0" collapsed="false">
      <c r="B482" s="2" t="n">
        <v>481</v>
      </c>
      <c r="C482" s="8" t="n">
        <v>0.11662452771112</v>
      </c>
    </row>
    <row r="483" customFormat="false" ht="13.8" hidden="false" customHeight="false" outlineLevel="0" collapsed="false">
      <c r="B483" s="2" t="n">
        <v>482</v>
      </c>
      <c r="C483" s="8" t="n">
        <v>0.116625691968004</v>
      </c>
    </row>
    <row r="484" customFormat="false" ht="13.8" hidden="false" customHeight="false" outlineLevel="0" collapsed="false">
      <c r="B484" s="2" t="n">
        <v>483</v>
      </c>
      <c r="C484" s="8" t="n">
        <v>0.11662685623653</v>
      </c>
    </row>
    <row r="485" customFormat="false" ht="13.8" hidden="false" customHeight="false" outlineLevel="0" collapsed="false">
      <c r="B485" s="2" t="n">
        <v>484</v>
      </c>
      <c r="C485" s="8" t="n">
        <v>0.116628020516697</v>
      </c>
    </row>
    <row r="486" customFormat="false" ht="13.8" hidden="false" customHeight="false" outlineLevel="0" collapsed="false">
      <c r="B486" s="2" t="n">
        <v>485</v>
      </c>
      <c r="C486" s="8" t="n">
        <v>0.116629184808506</v>
      </c>
    </row>
    <row r="487" customFormat="false" ht="13.8" hidden="false" customHeight="false" outlineLevel="0" collapsed="false">
      <c r="B487" s="2" t="n">
        <v>486</v>
      </c>
      <c r="C487" s="8" t="n">
        <v>0.116630349111957</v>
      </c>
    </row>
    <row r="488" customFormat="false" ht="13.8" hidden="false" customHeight="false" outlineLevel="0" collapsed="false">
      <c r="B488" s="2" t="n">
        <v>487</v>
      </c>
      <c r="C488" s="8" t="n">
        <v>0.11663151342705</v>
      </c>
    </row>
    <row r="489" customFormat="false" ht="13.8" hidden="false" customHeight="false" outlineLevel="0" collapsed="false">
      <c r="B489" s="2" t="n">
        <v>488</v>
      </c>
      <c r="C489" s="8" t="n">
        <v>0.116632677753785</v>
      </c>
    </row>
    <row r="490" customFormat="false" ht="13.8" hidden="false" customHeight="false" outlineLevel="0" collapsed="false">
      <c r="B490" s="2" t="n">
        <v>489</v>
      </c>
      <c r="C490" s="8" t="n">
        <v>0.116633842092162</v>
      </c>
    </row>
    <row r="491" customFormat="false" ht="13.8" hidden="false" customHeight="false" outlineLevel="0" collapsed="false">
      <c r="B491" s="2" t="n">
        <v>490</v>
      </c>
      <c r="C491" s="8" t="n">
        <v>0.116635006442181</v>
      </c>
    </row>
    <row r="492" customFormat="false" ht="13.8" hidden="false" customHeight="false" outlineLevel="0" collapsed="false">
      <c r="B492" s="2" t="n">
        <v>491</v>
      </c>
      <c r="C492" s="8" t="n">
        <v>0.116636170750563</v>
      </c>
    </row>
    <row r="493" customFormat="false" ht="13.8" hidden="false" customHeight="false" outlineLevel="0" collapsed="false">
      <c r="B493" s="2" t="n">
        <v>492</v>
      </c>
      <c r="C493" s="8" t="n">
        <v>0.116637334025176</v>
      </c>
    </row>
    <row r="494" customFormat="false" ht="13.8" hidden="false" customHeight="false" outlineLevel="0" collapsed="false">
      <c r="B494" s="2" t="n">
        <v>493</v>
      </c>
      <c r="C494" s="8" t="n">
        <v>0.116638497080223</v>
      </c>
    </row>
    <row r="495" customFormat="false" ht="13.8" hidden="false" customHeight="false" outlineLevel="0" collapsed="false">
      <c r="B495" s="2" t="n">
        <v>494</v>
      </c>
      <c r="C495" s="8" t="n">
        <v>0.116639660976833</v>
      </c>
    </row>
    <row r="496" customFormat="false" ht="13.8" hidden="false" customHeight="false" outlineLevel="0" collapsed="false">
      <c r="B496" s="2" t="n">
        <v>495</v>
      </c>
      <c r="C496" s="8" t="n">
        <v>0.116640824885081</v>
      </c>
    </row>
    <row r="497" customFormat="false" ht="13.8" hidden="false" customHeight="false" outlineLevel="0" collapsed="false">
      <c r="B497" s="2" t="n">
        <v>496</v>
      </c>
      <c r="C497" s="8" t="n">
        <v>0.116641988804969</v>
      </c>
    </row>
    <row r="498" customFormat="false" ht="13.8" hidden="false" customHeight="false" outlineLevel="0" collapsed="false">
      <c r="B498" s="2" t="n">
        <v>497</v>
      </c>
      <c r="C498" s="8" t="n">
        <v>0.116643152736497</v>
      </c>
    </row>
    <row r="499" customFormat="false" ht="13.8" hidden="false" customHeight="false" outlineLevel="0" collapsed="false">
      <c r="B499" s="2" t="n">
        <v>498</v>
      </c>
      <c r="C499" s="8" t="n">
        <v>0.116644316679664</v>
      </c>
    </row>
    <row r="500" customFormat="false" ht="13.8" hidden="false" customHeight="false" outlineLevel="0" collapsed="false">
      <c r="B500" s="2" t="n">
        <v>499</v>
      </c>
      <c r="C500" s="8" t="n">
        <v>0.11664548063447</v>
      </c>
    </row>
    <row r="501" customFormat="false" ht="13.8" hidden="false" customHeight="false" outlineLevel="0" collapsed="false">
      <c r="B501" s="2" t="n">
        <v>500</v>
      </c>
      <c r="C501" s="8" t="n">
        <v>0.116646644600916</v>
      </c>
    </row>
    <row r="502" customFormat="false" ht="13.8" hidden="false" customHeight="false" outlineLevel="0" collapsed="false">
      <c r="B502" s="2" t="n">
        <v>501</v>
      </c>
      <c r="C502" s="8" t="n">
        <v>0.116647808579002</v>
      </c>
    </row>
    <row r="503" customFormat="false" ht="13.8" hidden="false" customHeight="false" outlineLevel="0" collapsed="false">
      <c r="B503" s="2" t="n">
        <v>502</v>
      </c>
      <c r="C503" s="8" t="n">
        <v>0.116648972568728</v>
      </c>
    </row>
    <row r="504" customFormat="false" ht="13.8" hidden="false" customHeight="false" outlineLevel="0" collapsed="false">
      <c r="B504" s="2" t="n">
        <v>503</v>
      </c>
      <c r="C504" s="8" t="n">
        <v>0.116650136570093</v>
      </c>
    </row>
    <row r="505" customFormat="false" ht="13.8" hidden="false" customHeight="false" outlineLevel="0" collapsed="false">
      <c r="B505" s="2" t="n">
        <v>504</v>
      </c>
      <c r="C505" s="8" t="n">
        <v>0.11658027922749</v>
      </c>
    </row>
    <row r="506" customFormat="false" ht="13.8" hidden="false" customHeight="false" outlineLevel="0" collapsed="false">
      <c r="B506" s="2" t="n">
        <v>505</v>
      </c>
      <c r="C506" s="8" t="n">
        <v>0.11658144304192</v>
      </c>
    </row>
    <row r="507" customFormat="false" ht="13.8" hidden="false" customHeight="false" outlineLevel="0" collapsed="false">
      <c r="B507" s="2" t="n">
        <v>506</v>
      </c>
      <c r="C507" s="8" t="n">
        <v>0.116582606867989</v>
      </c>
    </row>
    <row r="508" customFormat="false" ht="13.8" hidden="false" customHeight="false" outlineLevel="0" collapsed="false">
      <c r="B508" s="2" t="n">
        <v>507</v>
      </c>
      <c r="C508" s="8" t="n">
        <v>0.116583770705696</v>
      </c>
    </row>
    <row r="509" customFormat="false" ht="13.8" hidden="false" customHeight="false" outlineLevel="0" collapsed="false">
      <c r="B509" s="2" t="n">
        <v>508</v>
      </c>
      <c r="C509" s="8" t="n">
        <v>0.116584934555041</v>
      </c>
    </row>
    <row r="510" customFormat="false" ht="13.8" hidden="false" customHeight="false" outlineLevel="0" collapsed="false">
      <c r="B510" s="2" t="n">
        <v>509</v>
      </c>
      <c r="C510" s="8" t="n">
        <v>0.116586098416026</v>
      </c>
    </row>
    <row r="511" customFormat="false" ht="13.8" hidden="false" customHeight="false" outlineLevel="0" collapsed="false">
      <c r="B511" s="2" t="n">
        <v>510</v>
      </c>
      <c r="C511" s="8" t="n">
        <v>0.116558280971973</v>
      </c>
    </row>
    <row r="512" customFormat="false" ht="13.8" hidden="false" customHeight="false" outlineLevel="0" collapsed="false">
      <c r="B512" s="2" t="n">
        <v>511</v>
      </c>
      <c r="C512" s="8" t="n">
        <v>0.094106219675099</v>
      </c>
    </row>
    <row r="513" customFormat="false" ht="13.8" hidden="false" customHeight="false" outlineLevel="0" collapsed="false">
      <c r="B513" s="2" t="n">
        <v>512</v>
      </c>
      <c r="C513" s="8" t="n">
        <v>0.0940520923506182</v>
      </c>
    </row>
    <row r="514" customFormat="false" ht="13.8" hidden="false" customHeight="false" outlineLevel="0" collapsed="false">
      <c r="B514" s="2" t="n">
        <v>513</v>
      </c>
      <c r="C514" s="8" t="n">
        <v>0.0940530348780725</v>
      </c>
    </row>
    <row r="515" customFormat="false" ht="13.8" hidden="false" customHeight="false" outlineLevel="0" collapsed="false">
      <c r="B515" s="2" t="n">
        <v>514</v>
      </c>
      <c r="C515" s="8" t="n">
        <v>0.0940539774150124</v>
      </c>
    </row>
    <row r="516" customFormat="false" ht="13.8" hidden="false" customHeight="false" outlineLevel="0" collapsed="false">
      <c r="B516" s="2" t="n">
        <v>515</v>
      </c>
      <c r="C516" s="8" t="n">
        <v>0.0940549199614544</v>
      </c>
    </row>
    <row r="517" customFormat="false" ht="13.8" hidden="false" customHeight="false" outlineLevel="0" collapsed="false">
      <c r="B517" s="2" t="n">
        <v>516</v>
      </c>
      <c r="C517" s="8" t="n">
        <v>0.094055862517419</v>
      </c>
    </row>
    <row r="518" customFormat="false" ht="13.8" hidden="false" customHeight="false" outlineLevel="0" collapsed="false">
      <c r="B518" s="2" t="n">
        <v>517</v>
      </c>
      <c r="C518" s="8" t="n">
        <v>0.0940568050829274</v>
      </c>
    </row>
    <row r="519" customFormat="false" ht="13.8" hidden="false" customHeight="false" outlineLevel="0" collapsed="false">
      <c r="B519" s="2" t="n">
        <v>518</v>
      </c>
      <c r="C519" s="8" t="n">
        <v>0.0940577476580167</v>
      </c>
    </row>
    <row r="520" customFormat="false" ht="13.8" hidden="false" customHeight="false" outlineLevel="0" collapsed="false">
      <c r="B520" s="2" t="n">
        <v>519</v>
      </c>
      <c r="C520" s="8" t="n">
        <v>0.0940586902426784</v>
      </c>
    </row>
    <row r="521" customFormat="false" ht="13.8" hidden="false" customHeight="false" outlineLevel="0" collapsed="false">
      <c r="B521" s="2" t="n">
        <v>520</v>
      </c>
      <c r="C521" s="8" t="n">
        <v>0.0940596328369204</v>
      </c>
    </row>
    <row r="522" customFormat="false" ht="13.8" hidden="false" customHeight="false" outlineLevel="0" collapsed="false">
      <c r="B522" s="2" t="n">
        <v>521</v>
      </c>
      <c r="C522" s="8" t="n">
        <v>0.0940605754407506</v>
      </c>
    </row>
    <row r="523" customFormat="false" ht="13.8" hidden="false" customHeight="false" outlineLevel="0" collapsed="false">
      <c r="B523" s="2" t="n">
        <v>522</v>
      </c>
      <c r="C523" s="8" t="n">
        <v>0.0940615180541509</v>
      </c>
    </row>
    <row r="524" customFormat="false" ht="13.8" hidden="false" customHeight="false" outlineLevel="0" collapsed="false">
      <c r="B524" s="2" t="n">
        <v>523</v>
      </c>
      <c r="C524" s="8" t="n">
        <v>0.0940624606771766</v>
      </c>
    </row>
    <row r="525" customFormat="false" ht="13.8" hidden="false" customHeight="false" outlineLevel="0" collapsed="false">
      <c r="B525" s="2" t="n">
        <v>524</v>
      </c>
      <c r="C525" s="8" t="n">
        <v>0.0940634033098571</v>
      </c>
    </row>
    <row r="526" customFormat="false" ht="13.8" hidden="false" customHeight="false" outlineLevel="0" collapsed="false">
      <c r="B526" s="2" t="n">
        <v>525</v>
      </c>
      <c r="C526" s="8" t="n">
        <v>0.0940643459522219</v>
      </c>
    </row>
    <row r="527" customFormat="false" ht="13.8" hidden="false" customHeight="false" outlineLevel="0" collapsed="false">
      <c r="B527" s="2" t="n">
        <v>526</v>
      </c>
      <c r="C527" s="8" t="n">
        <v>0.0940652886043571</v>
      </c>
    </row>
    <row r="528" customFormat="false" ht="13.8" hidden="false" customHeight="false" outlineLevel="0" collapsed="false">
      <c r="B528" s="2" t="n">
        <v>527</v>
      </c>
      <c r="C528" s="8" t="n">
        <v>0.0940662312661899</v>
      </c>
    </row>
    <row r="529" customFormat="false" ht="13.8" hidden="false" customHeight="false" outlineLevel="0" collapsed="false">
      <c r="B529" s="2" t="n">
        <v>528</v>
      </c>
      <c r="C529" s="8" t="n">
        <v>0.0940671739377041</v>
      </c>
    </row>
    <row r="530" customFormat="false" ht="13.8" hidden="false" customHeight="false" outlineLevel="0" collapsed="false">
      <c r="B530" s="2" t="n">
        <v>529</v>
      </c>
      <c r="C530" s="8" t="n">
        <v>0.0940681166188836</v>
      </c>
    </row>
    <row r="531" customFormat="false" ht="13.8" hidden="false" customHeight="false" outlineLevel="0" collapsed="false">
      <c r="B531" s="2" t="n">
        <v>530</v>
      </c>
      <c r="C531" s="8" t="n">
        <v>0.0940690593097017</v>
      </c>
    </row>
    <row r="532" customFormat="false" ht="13.8" hidden="false" customHeight="false" outlineLevel="0" collapsed="false">
      <c r="B532" s="2" t="n">
        <v>531</v>
      </c>
      <c r="C532" s="8" t="n">
        <v>0.0940700020101623</v>
      </c>
    </row>
    <row r="533" customFormat="false" ht="13.8" hidden="false" customHeight="false" outlineLevel="0" collapsed="false">
      <c r="B533" s="2" t="n">
        <v>532</v>
      </c>
      <c r="C533" s="8" t="n">
        <v>0.094070944720259</v>
      </c>
    </row>
    <row r="534" customFormat="false" ht="13.8" hidden="false" customHeight="false" outlineLevel="0" collapsed="false">
      <c r="B534" s="2" t="n">
        <v>533</v>
      </c>
      <c r="C534" s="8" t="n">
        <v>0.09409536800294</v>
      </c>
    </row>
    <row r="535" customFormat="false" ht="13.8" hidden="false" customHeight="false" outlineLevel="0" collapsed="false">
      <c r="B535" s="2" t="n">
        <v>534</v>
      </c>
      <c r="C535" s="8" t="n">
        <v>0.0940963109660497</v>
      </c>
    </row>
    <row r="536" customFormat="false" ht="13.8" hidden="false" customHeight="false" outlineLevel="0" collapsed="false">
      <c r="B536" s="2" t="n">
        <v>535</v>
      </c>
      <c r="C536" s="8" t="n">
        <v>0.0940972539385891</v>
      </c>
    </row>
    <row r="537" customFormat="false" ht="13.8" hidden="false" customHeight="false" outlineLevel="0" collapsed="false">
      <c r="B537" s="2" t="n">
        <v>536</v>
      </c>
      <c r="C537" s="8" t="n">
        <v>0.0940747156562839</v>
      </c>
    </row>
    <row r="538" customFormat="false" ht="13.8" hidden="false" customHeight="false" outlineLevel="0" collapsed="false">
      <c r="B538" s="2" t="n">
        <v>537</v>
      </c>
      <c r="C538" s="8" t="n">
        <v>0.0940756584140435</v>
      </c>
    </row>
    <row r="539" customFormat="false" ht="13.8" hidden="false" customHeight="false" outlineLevel="0" collapsed="false">
      <c r="B539" s="2" t="n">
        <v>538</v>
      </c>
      <c r="C539" s="8" t="n">
        <v>0.0940766011812245</v>
      </c>
    </row>
    <row r="540" customFormat="false" ht="13.8" hidden="false" customHeight="false" outlineLevel="0" collapsed="false">
      <c r="B540" s="2" t="n">
        <v>539</v>
      </c>
      <c r="C540" s="8" t="n">
        <v>0.0941326292458235</v>
      </c>
    </row>
    <row r="541" customFormat="false" ht="13.8" hidden="false" customHeight="false" outlineLevel="0" collapsed="false">
      <c r="B541" s="2" t="n">
        <v>540</v>
      </c>
      <c r="C541" s="8" t="n">
        <v>0.0941335725815493</v>
      </c>
    </row>
    <row r="542" customFormat="false" ht="13.8" hidden="false" customHeight="false" outlineLevel="0" collapsed="false">
      <c r="B542" s="2" t="n">
        <v>541</v>
      </c>
      <c r="C542" s="8" t="n">
        <v>0.213628217501842</v>
      </c>
    </row>
    <row r="543" customFormat="false" ht="13.8" hidden="false" customHeight="false" outlineLevel="0" collapsed="false">
      <c r="B543" s="2" t="n">
        <v>542</v>
      </c>
      <c r="C543" s="8" t="n">
        <v>0.213698757927184</v>
      </c>
    </row>
    <row r="544" customFormat="false" ht="13.8" hidden="false" customHeight="false" outlineLevel="0" collapsed="false">
      <c r="B544" s="2" t="n">
        <v>543</v>
      </c>
      <c r="C544" s="8" t="n">
        <v>0.213700891967052</v>
      </c>
    </row>
    <row r="545" customFormat="false" ht="13.8" hidden="false" customHeight="false" outlineLevel="0" collapsed="false">
      <c r="B545" s="2" t="n">
        <v>544</v>
      </c>
      <c r="C545" s="8" t="n">
        <v>0.213703026028261</v>
      </c>
    </row>
    <row r="546" customFormat="false" ht="13.8" hidden="false" customHeight="false" outlineLevel="0" collapsed="false">
      <c r="B546" s="2" t="n">
        <v>545</v>
      </c>
      <c r="C546" s="8" t="n">
        <v>0.213705158102754</v>
      </c>
    </row>
    <row r="547" customFormat="false" ht="13.8" hidden="false" customHeight="false" outlineLevel="0" collapsed="false">
      <c r="B547" s="2" t="n">
        <v>546</v>
      </c>
      <c r="C547" s="8" t="n">
        <v>0.213707293711785</v>
      </c>
    </row>
    <row r="548" customFormat="false" ht="13.8" hidden="false" customHeight="false" outlineLevel="0" collapsed="false">
      <c r="B548" s="2" t="n">
        <v>547</v>
      </c>
      <c r="C548" s="8" t="n">
        <v>0.21370942793904</v>
      </c>
    </row>
    <row r="549" customFormat="false" ht="13.8" hidden="false" customHeight="false" outlineLevel="0" collapsed="false">
      <c r="B549" s="2" t="n">
        <v>548</v>
      </c>
      <c r="C549" s="8" t="n">
        <v>0.213711562723745</v>
      </c>
    </row>
    <row r="550" customFormat="false" ht="13.8" hidden="false" customHeight="false" outlineLevel="0" collapsed="false">
      <c r="B550" s="2" t="n">
        <v>549</v>
      </c>
      <c r="C550" s="8" t="n">
        <v>0.213713697529801</v>
      </c>
    </row>
    <row r="551" customFormat="false" ht="13.8" hidden="false" customHeight="false" outlineLevel="0" collapsed="false">
      <c r="B551" s="2" t="n">
        <v>550</v>
      </c>
      <c r="C551" s="8" t="n">
        <v>0.213715832216995</v>
      </c>
    </row>
    <row r="552" customFormat="false" ht="13.8" hidden="false" customHeight="false" outlineLevel="0" collapsed="false">
      <c r="B552" s="2" t="n">
        <v>551</v>
      </c>
      <c r="C552" s="8" t="n">
        <v>0.213717966896664</v>
      </c>
    </row>
    <row r="553" customFormat="false" ht="13.8" hidden="false" customHeight="false" outlineLevel="0" collapsed="false">
      <c r="B553" s="2" t="n">
        <v>552</v>
      </c>
      <c r="C553" s="8" t="n">
        <v>0.213720100772395</v>
      </c>
    </row>
    <row r="554" customFormat="false" ht="13.8" hidden="false" customHeight="false" outlineLevel="0" collapsed="false">
      <c r="B554" s="2" t="n">
        <v>553</v>
      </c>
      <c r="C554" s="8" t="n">
        <v>0.213722235445171</v>
      </c>
    </row>
    <row r="555" customFormat="false" ht="13.8" hidden="false" customHeight="false" outlineLevel="0" collapsed="false">
      <c r="B555" s="2" t="n">
        <v>554</v>
      </c>
      <c r="C555" s="8" t="n">
        <v>0.213724370139294</v>
      </c>
    </row>
    <row r="556" customFormat="false" ht="13.8" hidden="false" customHeight="false" outlineLevel="0" collapsed="false">
      <c r="B556" s="2" t="n">
        <v>555</v>
      </c>
      <c r="C556" s="8" t="n">
        <v>0.213726504854762</v>
      </c>
    </row>
    <row r="557" customFormat="false" ht="13.8" hidden="false" customHeight="false" outlineLevel="0" collapsed="false">
      <c r="B557" s="2" t="n">
        <v>556</v>
      </c>
      <c r="C557" s="8" t="n">
        <v>0.213728639591576</v>
      </c>
    </row>
    <row r="558" customFormat="false" ht="13.8" hidden="false" customHeight="false" outlineLevel="0" collapsed="false">
      <c r="B558" s="2" t="n">
        <v>557</v>
      </c>
      <c r="C558" s="8" t="n">
        <v>0.213730774349736</v>
      </c>
    </row>
    <row r="559" customFormat="false" ht="13.8" hidden="false" customHeight="false" outlineLevel="0" collapsed="false">
      <c r="B559" s="2" t="n">
        <v>558</v>
      </c>
      <c r="C559" s="8" t="n">
        <v>0.213732909129242</v>
      </c>
    </row>
    <row r="560" customFormat="false" ht="13.8" hidden="false" customHeight="false" outlineLevel="0" collapsed="false">
      <c r="B560" s="2" t="n">
        <v>559</v>
      </c>
      <c r="C560" s="8" t="n">
        <v>0.213735043930094</v>
      </c>
    </row>
    <row r="561" customFormat="false" ht="13.8" hidden="false" customHeight="false" outlineLevel="0" collapsed="false">
      <c r="B561" s="2" t="n">
        <v>560</v>
      </c>
      <c r="C561" s="8" t="n">
        <v>0.213737178752292</v>
      </c>
    </row>
    <row r="562" customFormat="false" ht="13.8" hidden="false" customHeight="false" outlineLevel="0" collapsed="false">
      <c r="B562" s="2" t="n">
        <v>561</v>
      </c>
      <c r="C562" s="8" t="n">
        <v>0.213739313595837</v>
      </c>
    </row>
    <row r="563" customFormat="false" ht="13.8" hidden="false" customHeight="false" outlineLevel="0" collapsed="false">
      <c r="B563" s="2" t="n">
        <v>562</v>
      </c>
      <c r="C563" s="8" t="n">
        <v>0.213741448460729</v>
      </c>
    </row>
    <row r="564" customFormat="false" ht="13.8" hidden="false" customHeight="false" outlineLevel="0" collapsed="false">
      <c r="B564" s="2" t="n">
        <v>563</v>
      </c>
      <c r="C564" s="8" t="n">
        <v>0.213743583346969</v>
      </c>
    </row>
    <row r="565" customFormat="false" ht="13.8" hidden="false" customHeight="false" outlineLevel="0" collapsed="false">
      <c r="B565" s="2" t="n">
        <v>564</v>
      </c>
      <c r="C565" s="8" t="n">
        <v>0.213745718320678</v>
      </c>
    </row>
    <row r="566" customFormat="false" ht="13.8" hidden="false" customHeight="false" outlineLevel="0" collapsed="false">
      <c r="B566" s="2" t="n">
        <v>565</v>
      </c>
      <c r="C566" s="8" t="n">
        <v>0.213747853704789</v>
      </c>
    </row>
    <row r="567" customFormat="false" ht="13.8" hidden="false" customHeight="false" outlineLevel="0" collapsed="false">
      <c r="B567" s="2" t="n">
        <v>566</v>
      </c>
      <c r="C567" s="8" t="n">
        <v>0.213749989114007</v>
      </c>
    </row>
    <row r="568" customFormat="false" ht="13.8" hidden="false" customHeight="false" outlineLevel="0" collapsed="false">
      <c r="B568" s="2" t="n">
        <v>567</v>
      </c>
      <c r="C568" s="8" t="n">
        <v>0.213752124549488</v>
      </c>
    </row>
    <row r="569" customFormat="false" ht="13.8" hidden="false" customHeight="false" outlineLevel="0" collapsed="false">
      <c r="B569" s="2" t="n">
        <v>568</v>
      </c>
      <c r="C569" s="8" t="n">
        <v>0.213754259991113</v>
      </c>
    </row>
    <row r="570" customFormat="false" ht="13.8" hidden="false" customHeight="false" outlineLevel="0" collapsed="false">
      <c r="B570" s="2" t="n">
        <v>569</v>
      </c>
      <c r="C570" s="8" t="n">
        <v>0.21375639532582</v>
      </c>
    </row>
    <row r="571" customFormat="false" ht="13.8" hidden="false" customHeight="false" outlineLevel="0" collapsed="false">
      <c r="B571" s="2" t="n">
        <v>570</v>
      </c>
      <c r="C571" s="8" t="n">
        <v>0.213758530476594</v>
      </c>
    </row>
    <row r="572" customFormat="false" ht="13.8" hidden="false" customHeight="false" outlineLevel="0" collapsed="false">
      <c r="B572" s="2" t="n">
        <v>571</v>
      </c>
      <c r="C572" s="8" t="n">
        <v>0.213760665543886</v>
      </c>
    </row>
    <row r="573" customFormat="false" ht="13.8" hidden="false" customHeight="false" outlineLevel="0" collapsed="false">
      <c r="B573" s="2" t="n">
        <v>572</v>
      </c>
      <c r="C573" s="8" t="n">
        <v>0.213762800598476</v>
      </c>
    </row>
    <row r="574" customFormat="false" ht="13.8" hidden="false" customHeight="false" outlineLevel="0" collapsed="false">
      <c r="B574" s="2" t="n">
        <v>573</v>
      </c>
      <c r="C574" s="8" t="n">
        <v>0.213764935662805</v>
      </c>
    </row>
    <row r="575" customFormat="false" ht="13.8" hidden="false" customHeight="false" outlineLevel="0" collapsed="false">
      <c r="B575" s="2" t="n">
        <v>574</v>
      </c>
      <c r="C575" s="8" t="n">
        <v>0.213767070743882</v>
      </c>
    </row>
    <row r="576" customFormat="false" ht="13.8" hidden="false" customHeight="false" outlineLevel="0" collapsed="false">
      <c r="B576" s="2" t="n">
        <v>575</v>
      </c>
      <c r="C576" s="8" t="n">
        <v>0.213769205844262</v>
      </c>
    </row>
    <row r="577" customFormat="false" ht="13.8" hidden="false" customHeight="false" outlineLevel="0" collapsed="false">
      <c r="B577" s="2" t="n">
        <v>576</v>
      </c>
      <c r="C577" s="8" t="n">
        <v>0.213771340965032</v>
      </c>
    </row>
    <row r="578" customFormat="false" ht="13.8" hidden="false" customHeight="false" outlineLevel="0" collapsed="false">
      <c r="B578" s="2" t="n">
        <v>577</v>
      </c>
      <c r="C578" s="8" t="n">
        <v>0.213773482555473</v>
      </c>
    </row>
    <row r="579" customFormat="false" ht="13.8" hidden="false" customHeight="false" outlineLevel="0" collapsed="false">
      <c r="B579" s="2" t="n">
        <v>578</v>
      </c>
      <c r="C579" s="8" t="n">
        <v>0.213775617915097</v>
      </c>
    </row>
    <row r="580" customFormat="false" ht="13.8" hidden="false" customHeight="false" outlineLevel="0" collapsed="false">
      <c r="B580" s="2" t="n">
        <v>579</v>
      </c>
      <c r="C580" s="8" t="n">
        <v>0.213777753296083</v>
      </c>
    </row>
    <row r="581" customFormat="false" ht="13.8" hidden="false" customHeight="false" outlineLevel="0" collapsed="false">
      <c r="B581" s="2" t="n">
        <v>580</v>
      </c>
      <c r="C581" s="8" t="n">
        <v>0.21377988166009</v>
      </c>
    </row>
    <row r="582" customFormat="false" ht="13.8" hidden="false" customHeight="false" outlineLevel="0" collapsed="false">
      <c r="B582" s="2" t="n">
        <v>581</v>
      </c>
      <c r="C582" s="8" t="n">
        <v>0.213782016887886</v>
      </c>
    </row>
    <row r="583" customFormat="false" ht="13.8" hidden="false" customHeight="false" outlineLevel="0" collapsed="false">
      <c r="B583" s="2" t="n">
        <v>582</v>
      </c>
      <c r="C583" s="8" t="n">
        <v>0.213784152137626</v>
      </c>
    </row>
    <row r="584" customFormat="false" ht="13.8" hidden="false" customHeight="false" outlineLevel="0" collapsed="false">
      <c r="B584" s="2" t="n">
        <v>583</v>
      </c>
      <c r="C584" s="8" t="n">
        <v>0.213786287409495</v>
      </c>
    </row>
    <row r="585" customFormat="false" ht="13.8" hidden="false" customHeight="false" outlineLevel="0" collapsed="false">
      <c r="B585" s="2" t="n">
        <v>584</v>
      </c>
      <c r="C585" s="8" t="n">
        <v>0.213788422703713</v>
      </c>
    </row>
    <row r="586" customFormat="false" ht="13.8" hidden="false" customHeight="false" outlineLevel="0" collapsed="false">
      <c r="B586" s="2" t="n">
        <v>585</v>
      </c>
      <c r="C586" s="8" t="n">
        <v>0.213790558020542</v>
      </c>
    </row>
    <row r="587" customFormat="false" ht="13.8" hidden="false" customHeight="false" outlineLevel="0" collapsed="false">
      <c r="B587" s="2" t="n">
        <v>586</v>
      </c>
      <c r="C587" s="8" t="n">
        <v>0.2137926933603</v>
      </c>
    </row>
    <row r="588" customFormat="false" ht="13.8" hidden="false" customHeight="false" outlineLevel="0" collapsed="false">
      <c r="B588" s="2" t="n">
        <v>587</v>
      </c>
      <c r="C588" s="8" t="n">
        <v>0.213794828723376</v>
      </c>
    </row>
    <row r="589" customFormat="false" ht="13.8" hidden="false" customHeight="false" outlineLevel="0" collapsed="false">
      <c r="B589" s="2" t="n">
        <v>588</v>
      </c>
      <c r="C589" s="8" t="n">
        <v>0.213796964110242</v>
      </c>
    </row>
    <row r="590" customFormat="false" ht="13.8" hidden="false" customHeight="false" outlineLevel="0" collapsed="false">
      <c r="B590" s="2" t="n">
        <v>589</v>
      </c>
      <c r="C590" s="8" t="n">
        <v>0.21379909952147</v>
      </c>
    </row>
    <row r="591" customFormat="false" ht="13.8" hidden="false" customHeight="false" outlineLevel="0" collapsed="false">
      <c r="B591" s="2" t="n">
        <v>590</v>
      </c>
      <c r="C591" s="8" t="n">
        <v>0.213801234957741</v>
      </c>
    </row>
    <row r="592" customFormat="false" ht="13.8" hidden="false" customHeight="false" outlineLevel="0" collapsed="false">
      <c r="B592" s="2" t="n">
        <v>591</v>
      </c>
      <c r="C592" s="8" t="n">
        <v>0.213803370419861</v>
      </c>
    </row>
    <row r="593" customFormat="false" ht="13.8" hidden="false" customHeight="false" outlineLevel="0" collapsed="false">
      <c r="B593" s="2" t="n">
        <v>592</v>
      </c>
      <c r="C593" s="8" t="n">
        <v>0.21380550590876</v>
      </c>
    </row>
    <row r="594" customFormat="false" ht="13.8" hidden="false" customHeight="false" outlineLevel="0" collapsed="false">
      <c r="B594" s="2" t="n">
        <v>593</v>
      </c>
      <c r="C594" s="8" t="n">
        <v>0.213807641425483</v>
      </c>
    </row>
    <row r="595" customFormat="false" ht="13.8" hidden="false" customHeight="false" outlineLevel="0" collapsed="false">
      <c r="B595" s="2" t="n">
        <v>594</v>
      </c>
      <c r="C595" s="8" t="n">
        <v>0.213809776971165</v>
      </c>
    </row>
    <row r="596" customFormat="false" ht="13.8" hidden="false" customHeight="false" outlineLevel="0" collapsed="false">
      <c r="B596" s="2" t="n">
        <v>595</v>
      </c>
      <c r="C596" s="8" t="n">
        <v>0.213811912546986</v>
      </c>
    </row>
    <row r="597" customFormat="false" ht="13.8" hidden="false" customHeight="false" outlineLevel="0" collapsed="false">
      <c r="B597" s="2" t="n">
        <v>596</v>
      </c>
      <c r="C597" s="8" t="n">
        <v>0.213814048154099</v>
      </c>
    </row>
    <row r="598" customFormat="false" ht="13.8" hidden="false" customHeight="false" outlineLevel="0" collapsed="false">
      <c r="B598" s="2" t="n">
        <v>597</v>
      </c>
      <c r="C598" s="8" t="n">
        <v>0.213816183793543</v>
      </c>
    </row>
    <row r="599" customFormat="false" ht="13.8" hidden="false" customHeight="false" outlineLevel="0" collapsed="false">
      <c r="B599" s="2" t="n">
        <v>598</v>
      </c>
      <c r="C599" s="8" t="n">
        <v>0.213818297022539</v>
      </c>
    </row>
    <row r="600" customFormat="false" ht="13.8" hidden="false" customHeight="false" outlineLevel="0" collapsed="false">
      <c r="B600" s="2" t="n">
        <v>599</v>
      </c>
      <c r="C600" s="8" t="n">
        <v>0.213820481030721</v>
      </c>
    </row>
    <row r="601" customFormat="false" ht="13.8" hidden="false" customHeight="false" outlineLevel="0" collapsed="false">
      <c r="B601" s="2" t="n">
        <v>600</v>
      </c>
      <c r="C601" s="8" t="n">
        <v>0.213822617256893</v>
      </c>
    </row>
    <row r="602" customFormat="false" ht="13.8" hidden="false" customHeight="false" outlineLevel="0" collapsed="false">
      <c r="B602" s="2" t="n">
        <v>601</v>
      </c>
      <c r="C602" s="8" t="n">
        <v>0.213824753504428</v>
      </c>
    </row>
    <row r="603" customFormat="false" ht="13.8" hidden="false" customHeight="false" outlineLevel="0" collapsed="false">
      <c r="B603" s="2" t="n">
        <v>602</v>
      </c>
      <c r="C603" s="8" t="n">
        <v>5E-005</v>
      </c>
    </row>
    <row r="604" customFormat="false" ht="13.8" hidden="false" customHeight="false" outlineLevel="0" collapsed="false">
      <c r="B604" s="2" t="n">
        <v>603</v>
      </c>
      <c r="C604" s="8" t="n">
        <v>5E-005</v>
      </c>
    </row>
    <row r="605" customFormat="false" ht="13.8" hidden="false" customHeight="false" outlineLevel="0" collapsed="false">
      <c r="B605" s="2" t="n">
        <v>604</v>
      </c>
      <c r="C605" s="8" t="n">
        <v>5E-005</v>
      </c>
    </row>
    <row r="606" customFormat="false" ht="13.8" hidden="false" customHeight="false" outlineLevel="0" collapsed="false">
      <c r="B606" s="2" t="n">
        <v>605</v>
      </c>
      <c r="C606" s="8" t="n">
        <v>5E-005</v>
      </c>
    </row>
    <row r="607" customFormat="false" ht="13.8" hidden="false" customHeight="false" outlineLevel="0" collapsed="false">
      <c r="B607" s="2" t="n">
        <v>606</v>
      </c>
      <c r="C607" s="8" t="n">
        <v>5E-005</v>
      </c>
    </row>
    <row r="608" customFormat="false" ht="13.8" hidden="false" customHeight="false" outlineLevel="0" collapsed="false">
      <c r="B608" s="2" t="n">
        <v>607</v>
      </c>
      <c r="C608" s="8" t="n">
        <v>5E-005</v>
      </c>
    </row>
    <row r="609" customFormat="false" ht="13.8" hidden="false" customHeight="false" outlineLevel="0" collapsed="false">
      <c r="B609" s="2" t="n">
        <v>608</v>
      </c>
      <c r="C609" s="8" t="n">
        <v>5E-005</v>
      </c>
    </row>
    <row r="610" customFormat="false" ht="13.8" hidden="false" customHeight="false" outlineLevel="0" collapsed="false">
      <c r="B610" s="2" t="n">
        <v>609</v>
      </c>
      <c r="C610" s="8" t="n">
        <v>5E-005</v>
      </c>
    </row>
    <row r="611" customFormat="false" ht="13.8" hidden="false" customHeight="false" outlineLevel="0" collapsed="false">
      <c r="B611" s="2" t="n">
        <v>610</v>
      </c>
      <c r="C611" s="8" t="n">
        <v>5E-005</v>
      </c>
    </row>
    <row r="612" customFormat="false" ht="13.8" hidden="false" customHeight="false" outlineLevel="0" collapsed="false">
      <c r="B612" s="2" t="n">
        <v>611</v>
      </c>
      <c r="C612" s="8" t="n">
        <v>5E-005</v>
      </c>
    </row>
    <row r="613" customFormat="false" ht="13.8" hidden="false" customHeight="false" outlineLevel="0" collapsed="false">
      <c r="B613" s="2" t="n">
        <v>612</v>
      </c>
      <c r="C613" s="8" t="n">
        <v>5E-005</v>
      </c>
    </row>
    <row r="614" customFormat="false" ht="13.8" hidden="false" customHeight="false" outlineLevel="0" collapsed="false">
      <c r="B614" s="2" t="n">
        <v>613</v>
      </c>
      <c r="C614" s="8" t="n">
        <v>5E-005</v>
      </c>
    </row>
    <row r="615" customFormat="false" ht="13.8" hidden="false" customHeight="false" outlineLevel="0" collapsed="false">
      <c r="B615" s="2" t="n">
        <v>614</v>
      </c>
      <c r="C615" s="8" t="n">
        <v>5E-005</v>
      </c>
    </row>
    <row r="616" customFormat="false" ht="13.8" hidden="false" customHeight="false" outlineLevel="0" collapsed="false">
      <c r="B616" s="2" t="n">
        <v>615</v>
      </c>
      <c r="C616" s="8" t="n">
        <v>5E-005</v>
      </c>
    </row>
    <row r="617" customFormat="false" ht="13.8" hidden="false" customHeight="false" outlineLevel="0" collapsed="false">
      <c r="B617" s="2" t="n">
        <v>616</v>
      </c>
      <c r="C617" s="8" t="n">
        <v>5E-005</v>
      </c>
    </row>
    <row r="618" customFormat="false" ht="13.8" hidden="false" customHeight="false" outlineLevel="0" collapsed="false">
      <c r="B618" s="2" t="n">
        <v>617</v>
      </c>
      <c r="C618" s="8" t="n">
        <v>5E-005</v>
      </c>
    </row>
    <row r="619" customFormat="false" ht="13.8" hidden="false" customHeight="false" outlineLevel="0" collapsed="false">
      <c r="B619" s="2" t="n">
        <v>618</v>
      </c>
      <c r="C619" s="8" t="n">
        <v>5E-005</v>
      </c>
    </row>
    <row r="620" customFormat="false" ht="13.8" hidden="false" customHeight="false" outlineLevel="0" collapsed="false">
      <c r="B620" s="2" t="n">
        <v>619</v>
      </c>
      <c r="C620" s="8" t="n">
        <v>5E-005</v>
      </c>
    </row>
    <row r="621" customFormat="false" ht="13.8" hidden="false" customHeight="false" outlineLevel="0" collapsed="false">
      <c r="B621" s="2" t="n">
        <v>620</v>
      </c>
      <c r="C621" s="8" t="n">
        <v>5E-005</v>
      </c>
    </row>
    <row r="622" customFormat="false" ht="13.8" hidden="false" customHeight="false" outlineLevel="0" collapsed="false">
      <c r="B622" s="2" t="n">
        <v>621</v>
      </c>
      <c r="C622" s="8" t="n">
        <v>4.99904747061561E-005</v>
      </c>
    </row>
    <row r="623" customFormat="false" ht="13.8" hidden="false" customHeight="false" outlineLevel="0" collapsed="false">
      <c r="B623" s="2" t="n">
        <v>622</v>
      </c>
      <c r="C623" s="8" t="n">
        <v>5E-005</v>
      </c>
    </row>
    <row r="624" customFormat="false" ht="13.8" hidden="false" customHeight="false" outlineLevel="0" collapsed="false">
      <c r="B624" s="2" t="n">
        <v>623</v>
      </c>
      <c r="C624" s="8" t="n">
        <v>5E-005</v>
      </c>
    </row>
    <row r="625" customFormat="false" ht="13.8" hidden="false" customHeight="false" outlineLevel="0" collapsed="false">
      <c r="B625" s="2" t="n">
        <v>624</v>
      </c>
      <c r="C625" s="8" t="n">
        <v>4.99989872849437E-005</v>
      </c>
    </row>
    <row r="626" customFormat="false" ht="13.8" hidden="false" customHeight="false" outlineLevel="0" collapsed="false">
      <c r="B626" s="2" t="n">
        <v>625</v>
      </c>
      <c r="C626" s="8" t="n">
        <v>4.99998271335314E-005</v>
      </c>
    </row>
    <row r="627" customFormat="false" ht="13.8" hidden="false" customHeight="false" outlineLevel="0" collapsed="false">
      <c r="B627" s="2" t="n">
        <v>626</v>
      </c>
      <c r="C627" s="8" t="n">
        <v>5.00005969829983E-005</v>
      </c>
    </row>
    <row r="628" customFormat="false" ht="13.8" hidden="false" customHeight="false" outlineLevel="0" collapsed="false">
      <c r="B628" s="2" t="n">
        <v>627</v>
      </c>
      <c r="C628" s="8" t="n">
        <v>5.00026284965232E-005</v>
      </c>
    </row>
    <row r="629" customFormat="false" ht="13.8" hidden="false" customHeight="false" outlineLevel="0" collapsed="false">
      <c r="B629" s="2" t="n">
        <v>628</v>
      </c>
      <c r="C629" s="8" t="n">
        <v>4.9997233063164E-005</v>
      </c>
    </row>
    <row r="630" customFormat="false" ht="13.8" hidden="false" customHeight="false" outlineLevel="0" collapsed="false">
      <c r="B630" s="2" t="n">
        <v>629</v>
      </c>
      <c r="C630" s="8" t="n">
        <v>4.99997325623663E-005</v>
      </c>
    </row>
    <row r="631" customFormat="false" ht="13.8" hidden="false" customHeight="false" outlineLevel="0" collapsed="false">
      <c r="B631" s="2" t="n">
        <v>630</v>
      </c>
      <c r="C631" s="8" t="n">
        <v>5.00107179199547E-005</v>
      </c>
    </row>
    <row r="632" customFormat="false" ht="13.8" hidden="false" customHeight="false" outlineLevel="0" collapsed="false">
      <c r="B632" s="2" t="n">
        <v>631</v>
      </c>
      <c r="C632" s="8" t="n">
        <v>5.00047323258708E-005</v>
      </c>
    </row>
    <row r="633" customFormat="false" ht="13.8" hidden="false" customHeight="false" outlineLevel="0" collapsed="false">
      <c r="B633" s="2" t="n">
        <v>632</v>
      </c>
      <c r="C633" s="8" t="n">
        <v>5.00072321850067E-005</v>
      </c>
    </row>
    <row r="634" customFormat="false" ht="13.8" hidden="false" customHeight="false" outlineLevel="0" collapsed="false">
      <c r="B634" s="2" t="n">
        <v>633</v>
      </c>
      <c r="C634" s="8" t="n">
        <v>5E-005</v>
      </c>
    </row>
    <row r="635" customFormat="false" ht="13.8" hidden="false" customHeight="false" outlineLevel="0" collapsed="false">
      <c r="B635" s="2" t="n">
        <v>634</v>
      </c>
      <c r="C635" s="8" t="n">
        <v>4.99979418247951E-005</v>
      </c>
    </row>
    <row r="636" customFormat="false" ht="13.8" hidden="false" customHeight="false" outlineLevel="0" collapsed="false">
      <c r="B636" s="2" t="n">
        <v>635</v>
      </c>
      <c r="C636" s="8" t="n">
        <v>4.99976936679556E-005</v>
      </c>
    </row>
    <row r="637" customFormat="false" ht="13.8" hidden="false" customHeight="false" outlineLevel="0" collapsed="false">
      <c r="B637" s="2" t="n">
        <v>636</v>
      </c>
      <c r="C637" s="8" t="n">
        <v>5E-005</v>
      </c>
    </row>
    <row r="638" customFormat="false" ht="13.8" hidden="false" customHeight="false" outlineLevel="0" collapsed="false">
      <c r="B638" s="2" t="n">
        <v>637</v>
      </c>
      <c r="C638" s="8" t="n">
        <v>5.00295296369004E-005</v>
      </c>
    </row>
    <row r="639" customFormat="false" ht="13.8" hidden="false" customHeight="false" outlineLevel="0" collapsed="false">
      <c r="B639" s="2" t="n">
        <v>638</v>
      </c>
      <c r="C639" s="8" t="n">
        <v>4.99848946969675E-005</v>
      </c>
    </row>
    <row r="640" customFormat="false" ht="13.8" hidden="false" customHeight="false" outlineLevel="0" collapsed="false">
      <c r="B640" s="2" t="n">
        <v>639</v>
      </c>
      <c r="C640" s="8" t="n">
        <v>0.000508703710185644</v>
      </c>
    </row>
    <row r="641" customFormat="false" ht="13.8" hidden="false" customHeight="false" outlineLevel="0" collapsed="false">
      <c r="B641" s="2" t="n">
        <v>640</v>
      </c>
      <c r="C641" s="8" t="n">
        <v>0.000508706510636168</v>
      </c>
    </row>
    <row r="642" customFormat="false" ht="13.8" hidden="false" customHeight="false" outlineLevel="0" collapsed="false">
      <c r="B642" s="2" t="n">
        <v>641</v>
      </c>
      <c r="C642" s="8" t="n">
        <v>0.000508708505768748</v>
      </c>
    </row>
    <row r="643" customFormat="false" ht="13.8" hidden="false" customHeight="false" outlineLevel="0" collapsed="false">
      <c r="B643" s="2" t="n">
        <v>642</v>
      </c>
      <c r="C643" s="8" t="n">
        <v>0.000508712684859063</v>
      </c>
    </row>
    <row r="644" customFormat="false" ht="13.8" hidden="false" customHeight="false" outlineLevel="0" collapsed="false">
      <c r="B644" s="2" t="n">
        <v>643</v>
      </c>
      <c r="C644" s="8" t="n">
        <v>0.000508714680031477</v>
      </c>
    </row>
    <row r="645" customFormat="false" ht="13.8" hidden="false" customHeight="false" outlineLevel="0" collapsed="false">
      <c r="B645" s="2" t="n">
        <v>644</v>
      </c>
      <c r="C645" s="8" t="n">
        <v>0.000508717767209149</v>
      </c>
    </row>
    <row r="646" customFormat="false" ht="13.8" hidden="false" customHeight="false" outlineLevel="0" collapsed="false">
      <c r="B646" s="2" t="n">
        <v>645</v>
      </c>
      <c r="C646" s="8" t="n">
        <v>0.000508720854417693</v>
      </c>
    </row>
    <row r="647" customFormat="false" ht="13.8" hidden="false" customHeight="false" outlineLevel="0" collapsed="false">
      <c r="B647" s="2" t="n">
        <v>646</v>
      </c>
      <c r="C647" s="8" t="n">
        <v>0.000508723941657109</v>
      </c>
    </row>
    <row r="648" customFormat="false" ht="13.8" hidden="false" customHeight="false" outlineLevel="0" collapsed="false">
      <c r="B648" s="2" t="n">
        <v>647</v>
      </c>
      <c r="C648" s="8" t="n">
        <v>0.000508727028927399</v>
      </c>
    </row>
    <row r="649" customFormat="false" ht="13.8" hidden="false" customHeight="false" outlineLevel="0" collapsed="false">
      <c r="B649" s="2" t="n">
        <v>648</v>
      </c>
      <c r="C649" s="8" t="n">
        <v>0.000508730116228561</v>
      </c>
    </row>
    <row r="650" customFormat="false" ht="13.8" hidden="false" customHeight="false" outlineLevel="0" collapsed="false">
      <c r="B650" s="2" t="n">
        <v>649</v>
      </c>
      <c r="C650" s="8" t="n">
        <v>0.000608701511520847</v>
      </c>
    </row>
    <row r="651" customFormat="false" ht="13.8" hidden="false" customHeight="false" outlineLevel="0" collapsed="false">
      <c r="B651" s="2" t="n">
        <v>650</v>
      </c>
      <c r="C651" s="8" t="n">
        <v>0.000608704598956119</v>
      </c>
    </row>
    <row r="652" customFormat="false" ht="13.8" hidden="false" customHeight="false" outlineLevel="0" collapsed="false">
      <c r="B652" s="2" t="n">
        <v>651</v>
      </c>
      <c r="C652" s="8" t="n">
        <v>0.000508753480055278</v>
      </c>
    </row>
    <row r="653" customFormat="false" ht="13.8" hidden="false" customHeight="false" outlineLevel="0" collapsed="false">
      <c r="B653" s="2" t="n">
        <v>652</v>
      </c>
      <c r="C653" s="8" t="n">
        <v>0.000508756567620909</v>
      </c>
    </row>
    <row r="654" customFormat="false" ht="13.8" hidden="false" customHeight="false" outlineLevel="0" collapsed="false">
      <c r="B654" s="2" t="n">
        <v>653</v>
      </c>
      <c r="C654" s="8" t="n">
        <v>0.000608715638925625</v>
      </c>
    </row>
    <row r="655" customFormat="false" ht="13.8" hidden="false" customHeight="false" outlineLevel="0" collapsed="false">
      <c r="B655" s="2" t="n">
        <v>654</v>
      </c>
      <c r="C655" s="8" t="n">
        <v>0.000508762742844935</v>
      </c>
    </row>
    <row r="656" customFormat="false" ht="13.8" hidden="false" customHeight="false" outlineLevel="0" collapsed="false">
      <c r="B656" s="2" t="n">
        <v>655</v>
      </c>
      <c r="C656" s="8" t="n">
        <v>0.000508765830503194</v>
      </c>
    </row>
    <row r="657" customFormat="false" ht="13.8" hidden="false" customHeight="false" outlineLevel="0" collapsed="false">
      <c r="B657" s="2" t="n">
        <v>656</v>
      </c>
      <c r="C657" s="8" t="n">
        <v>0.000508768918192422</v>
      </c>
    </row>
    <row r="658" customFormat="false" ht="13.8" hidden="false" customHeight="false" outlineLevel="0" collapsed="false">
      <c r="B658" s="2" t="n">
        <v>657</v>
      </c>
      <c r="C658" s="8" t="n">
        <v>0.000508772005912481</v>
      </c>
    </row>
    <row r="659" customFormat="false" ht="13.8" hidden="false" customHeight="false" outlineLevel="0" collapsed="false">
      <c r="B659" s="2" t="n">
        <v>658</v>
      </c>
      <c r="C659" s="8" t="n">
        <v>0.000508775093663372</v>
      </c>
    </row>
    <row r="660" customFormat="false" ht="13.8" hidden="false" customHeight="false" outlineLevel="0" collapsed="false">
      <c r="B660" s="2" t="n">
        <v>659</v>
      </c>
      <c r="C660" s="8" t="n">
        <v>0.000508778181445231</v>
      </c>
    </row>
    <row r="661" customFormat="false" ht="13.8" hidden="false" customHeight="false" outlineLevel="0" collapsed="false">
      <c r="B661" s="2" t="n">
        <v>660</v>
      </c>
      <c r="C661" s="8" t="n">
        <v>0.000608737251825413</v>
      </c>
    </row>
    <row r="662" customFormat="false" ht="13.8" hidden="false" customHeight="false" outlineLevel="0" collapsed="false">
      <c r="B662" s="2" t="n">
        <v>661</v>
      </c>
      <c r="C662" s="8" t="n">
        <v>0.000608740339445526</v>
      </c>
    </row>
    <row r="663" customFormat="false" ht="13.8" hidden="false" customHeight="false" outlineLevel="0" collapsed="false">
      <c r="B663" s="2" t="n">
        <v>662</v>
      </c>
      <c r="C663" s="8" t="n">
        <v>0.000508787444975945</v>
      </c>
    </row>
    <row r="664" customFormat="false" ht="13.8" hidden="false" customHeight="false" outlineLevel="0" collapsed="false">
      <c r="B664" s="2" t="n">
        <v>663</v>
      </c>
      <c r="C664" s="8" t="n">
        <v>0.000508790532881274</v>
      </c>
    </row>
    <row r="665" customFormat="false" ht="13.8" hidden="false" customHeight="false" outlineLevel="0" collapsed="false">
      <c r="B665" s="2" t="n">
        <v>664</v>
      </c>
      <c r="C665" s="8" t="n">
        <v>0.000508793620817482</v>
      </c>
    </row>
    <row r="666" customFormat="false" ht="13.8" hidden="false" customHeight="false" outlineLevel="0" collapsed="false">
      <c r="B666" s="2" t="n">
        <v>665</v>
      </c>
      <c r="C666" s="8" t="n">
        <v>0.000508796708784524</v>
      </c>
    </row>
    <row r="667" customFormat="false" ht="13.8" hidden="false" customHeight="false" outlineLevel="0" collapsed="false">
      <c r="B667" s="2" t="n">
        <v>666</v>
      </c>
      <c r="C667" s="8" t="n">
        <v>0.000508799796782538</v>
      </c>
    </row>
    <row r="668" customFormat="false" ht="13.8" hidden="false" customHeight="false" outlineLevel="0" collapsed="false">
      <c r="B668" s="2" t="n">
        <v>667</v>
      </c>
      <c r="C668" s="8" t="n">
        <v>0.000508802884811386</v>
      </c>
    </row>
    <row r="669" customFormat="false" ht="13.8" hidden="false" customHeight="false" outlineLevel="0" collapsed="false">
      <c r="B669" s="2" t="n">
        <v>668</v>
      </c>
      <c r="C669" s="8" t="n">
        <v>0.000608761953230908</v>
      </c>
    </row>
    <row r="670" customFormat="false" ht="13.8" hidden="false" customHeight="false" outlineLevel="0" collapsed="false">
      <c r="B670" s="2" t="n">
        <v>669</v>
      </c>
      <c r="C670" s="8" t="n">
        <v>0.000608765040978541</v>
      </c>
    </row>
    <row r="671" customFormat="false" ht="13.8" hidden="false" customHeight="false" outlineLevel="0" collapsed="false">
      <c r="B671" s="2" t="n">
        <v>670</v>
      </c>
      <c r="C671" s="8" t="n">
        <v>0.000608768128724623</v>
      </c>
    </row>
    <row r="672" customFormat="false" ht="13.8" hidden="false" customHeight="false" outlineLevel="0" collapsed="false">
      <c r="B672" s="2" t="n">
        <v>671</v>
      </c>
      <c r="C672" s="8" t="n">
        <v>0.00060877121646918</v>
      </c>
    </row>
    <row r="673" customFormat="false" ht="13.8" hidden="false" customHeight="false" outlineLevel="0" collapsed="false">
      <c r="B673" s="2" t="n">
        <v>672</v>
      </c>
      <c r="C673" s="8" t="n">
        <v>0.000299999976729138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1" sqref="I2:I4 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9" width="8.85"/>
    <col collapsed="false" customWidth="true" hidden="false" outlineLevel="0" max="5" min="5" style="9" width="8.85"/>
    <col collapsed="false" customWidth="true" hidden="false" outlineLevel="0" max="6" min="6" style="10" width="8.85"/>
    <col collapsed="false" customWidth="true" hidden="false" outlineLevel="0" max="14" min="14" style="8" width="10.43"/>
  </cols>
  <sheetData>
    <row r="2" customFormat="false" ht="13.8" hidden="false" customHeight="false" outlineLevel="0" collapsed="false">
      <c r="B2" s="11" t="s">
        <v>3</v>
      </c>
      <c r="C2" s="12" t="n">
        <v>1</v>
      </c>
      <c r="D2" s="12"/>
      <c r="E2" s="13" t="s">
        <v>4</v>
      </c>
    </row>
    <row r="4" customFormat="false" ht="13.8" hidden="false" customHeight="false" outlineLevel="0" collapsed="false">
      <c r="B4" s="14" t="s">
        <v>5</v>
      </c>
      <c r="C4" s="15"/>
      <c r="D4" s="15" t="s">
        <v>6</v>
      </c>
      <c r="E4" s="16" t="s">
        <v>7</v>
      </c>
      <c r="F4" s="17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8" t="s">
        <v>14</v>
      </c>
      <c r="M4" s="18" t="s">
        <v>15</v>
      </c>
      <c r="N4" s="19" t="s">
        <v>16</v>
      </c>
    </row>
    <row r="5" customFormat="false" ht="13.8" hidden="false" customHeight="false" outlineLevel="0" collapsed="false">
      <c r="B5" s="14" t="n">
        <f aca="false">_xlfn.NUMBERVALUE(solar!B2)</f>
        <v>8</v>
      </c>
      <c r="C5" s="15" t="n">
        <f aca="false">solar!C2</f>
        <v>0</v>
      </c>
      <c r="D5" s="15" t="n">
        <v>1</v>
      </c>
      <c r="E5" s="9" t="n">
        <v>1</v>
      </c>
      <c r="F5" s="20" t="n">
        <f aca="false">IFERROR(INDEX($B$5:$C$173, MATCH($E5, $B$5:$B$175, 0), 2), 0)*investment!$C$2</f>
        <v>0</v>
      </c>
      <c r="G5" s="9" t="n">
        <f aca="false">demand!C3</f>
        <v>0</v>
      </c>
      <c r="H5" s="2" t="n">
        <f aca="false">solgen!C3</f>
        <v>0</v>
      </c>
      <c r="I5" s="2" t="n">
        <f aca="false">import!C3</f>
        <v>0</v>
      </c>
      <c r="J5" s="2" t="n">
        <f aca="false">-export!C3</f>
        <v>-0</v>
      </c>
      <c r="K5" s="2" t="n">
        <f aca="false">-charge!C3</f>
        <v>-0</v>
      </c>
      <c r="L5" s="2" t="n">
        <f aca="false">discharge!C3</f>
        <v>0</v>
      </c>
      <c r="M5" s="2" t="n">
        <f aca="false">soc!C3/investment!$E$2 *100</f>
        <v>69.6480919693716</v>
      </c>
      <c r="N5" s="8" t="n">
        <f aca="false">p_micro!C2</f>
        <v>0</v>
      </c>
    </row>
    <row r="6" customFormat="false" ht="13.8" hidden="false" customHeight="false" outlineLevel="0" collapsed="false">
      <c r="B6" s="14" t="n">
        <f aca="false">_xlfn.NUMBERVALUE(solar!B3)</f>
        <v>9</v>
      </c>
      <c r="C6" s="15" t="n">
        <f aca="false">solar!C3</f>
        <v>0</v>
      </c>
      <c r="D6" s="15" t="n">
        <v>2</v>
      </c>
      <c r="E6" s="9" t="n">
        <v>2</v>
      </c>
      <c r="F6" s="20" t="n">
        <f aca="false">IFERROR(INDEX($B$5:$C$173, MATCH($E6, $B$5:$B$175, 0), 2), 0)*investment!$C$2</f>
        <v>0</v>
      </c>
      <c r="G6" s="9" t="n">
        <f aca="false">demand!C4</f>
        <v>0</v>
      </c>
      <c r="H6" s="2" t="n">
        <f aca="false">solgen!C4</f>
        <v>0</v>
      </c>
      <c r="I6" s="2" t="n">
        <f aca="false">import!C4</f>
        <v>0</v>
      </c>
      <c r="J6" s="2" t="n">
        <f aca="false">-export!C4</f>
        <v>-0</v>
      </c>
      <c r="K6" s="2" t="n">
        <f aca="false">-charge!C4</f>
        <v>-0</v>
      </c>
      <c r="L6" s="2" t="n">
        <f aca="false">discharge!C4</f>
        <v>0</v>
      </c>
      <c r="M6" s="2" t="n">
        <f aca="false">soc!C4/investment!$E$2 *100</f>
        <v>68.2287504195908</v>
      </c>
      <c r="N6" s="8" t="n">
        <f aca="false">p_micro!C3</f>
        <v>0</v>
      </c>
    </row>
    <row r="7" customFormat="false" ht="13.8" hidden="false" customHeight="false" outlineLevel="0" collapsed="false">
      <c r="B7" s="14" t="n">
        <f aca="false">_xlfn.NUMBERVALUE(solar!B4)</f>
        <v>10</v>
      </c>
      <c r="C7" s="15" t="n">
        <f aca="false">solar!C4</f>
        <v>0</v>
      </c>
      <c r="D7" s="15" t="n">
        <v>3</v>
      </c>
      <c r="E7" s="9" t="n">
        <v>3</v>
      </c>
      <c r="F7" s="20" t="n">
        <f aca="false">IFERROR(INDEX($B$5:$C$173, MATCH($E7, $B$5:$B$175, 0), 2), 0)*investment!$C$2</f>
        <v>0</v>
      </c>
      <c r="G7" s="9" t="n">
        <f aca="false">demand!C5</f>
        <v>0</v>
      </c>
      <c r="H7" s="2" t="n">
        <f aca="false">solgen!C5</f>
        <v>0</v>
      </c>
      <c r="I7" s="2" t="n">
        <f aca="false">import!C5</f>
        <v>0</v>
      </c>
      <c r="J7" s="2" t="n">
        <f aca="false">-export!C5</f>
        <v>-0</v>
      </c>
      <c r="K7" s="2" t="n">
        <f aca="false">-charge!C5</f>
        <v>-0</v>
      </c>
      <c r="L7" s="2" t="n">
        <f aca="false">discharge!C5</f>
        <v>0</v>
      </c>
      <c r="M7" s="2" t="n">
        <f aca="false">soc!C5/investment!$E$2 *100</f>
        <v>66.6100558474699</v>
      </c>
      <c r="N7" s="8" t="n">
        <f aca="false">p_micro!C4</f>
        <v>0</v>
      </c>
    </row>
    <row r="8" customFormat="false" ht="13.8" hidden="false" customHeight="false" outlineLevel="0" collapsed="false">
      <c r="B8" s="14" t="n">
        <f aca="false">_xlfn.NUMBERVALUE(solar!B5)</f>
        <v>11</v>
      </c>
      <c r="C8" s="15" t="n">
        <f aca="false">solar!C5</f>
        <v>0</v>
      </c>
      <c r="D8" s="15" t="n">
        <v>4</v>
      </c>
      <c r="E8" s="9" t="n">
        <v>4</v>
      </c>
      <c r="F8" s="20" t="n">
        <f aca="false">IFERROR(INDEX($B$5:$C$173, MATCH($E8, $B$5:$B$175, 0), 2), 0)*investment!$C$2</f>
        <v>0</v>
      </c>
      <c r="G8" s="9" t="n">
        <f aca="false">demand!C6</f>
        <v>0</v>
      </c>
      <c r="H8" s="2" t="n">
        <f aca="false">solgen!C6</f>
        <v>0</v>
      </c>
      <c r="I8" s="2" t="n">
        <f aca="false">import!C6</f>
        <v>0</v>
      </c>
      <c r="J8" s="2" t="n">
        <f aca="false">-export!C6</f>
        <v>-0</v>
      </c>
      <c r="K8" s="2" t="n">
        <f aca="false">-charge!C6</f>
        <v>-0</v>
      </c>
      <c r="L8" s="2" t="n">
        <f aca="false">discharge!C6</f>
        <v>0</v>
      </c>
      <c r="M8" s="2" t="n">
        <f aca="false">soc!C6/investment!$E$2 *100</f>
        <v>65.0505347274511</v>
      </c>
      <c r="N8" s="8" t="n">
        <f aca="false">p_micro!C5</f>
        <v>0</v>
      </c>
    </row>
    <row r="9" customFormat="false" ht="13.8" hidden="false" customHeight="false" outlineLevel="0" collapsed="false">
      <c r="B9" s="14" t="n">
        <f aca="false">_xlfn.NUMBERVALUE(solar!B6)</f>
        <v>12</v>
      </c>
      <c r="C9" s="15" t="n">
        <f aca="false">solar!C6</f>
        <v>0</v>
      </c>
      <c r="D9" s="15" t="n">
        <v>5</v>
      </c>
      <c r="E9" s="9" t="n">
        <v>5</v>
      </c>
      <c r="F9" s="20" t="n">
        <f aca="false">IFERROR(INDEX($B$5:$C$173, MATCH($E9, $B$5:$B$175, 0), 2), 0)*investment!$C$2</f>
        <v>0</v>
      </c>
      <c r="G9" s="9" t="n">
        <f aca="false">demand!C7</f>
        <v>0</v>
      </c>
      <c r="H9" s="2" t="n">
        <f aca="false">solgen!C7</f>
        <v>0</v>
      </c>
      <c r="I9" s="2" t="n">
        <f aca="false">import!C7</f>
        <v>0</v>
      </c>
      <c r="J9" s="2" t="n">
        <f aca="false">-export!C7</f>
        <v>-0</v>
      </c>
      <c r="K9" s="2" t="n">
        <f aca="false">-charge!C7</f>
        <v>-0</v>
      </c>
      <c r="L9" s="2" t="n">
        <f aca="false">discharge!C7</f>
        <v>0</v>
      </c>
      <c r="M9" s="2" t="n">
        <f aca="false">soc!C7/investment!$E$2 *100</f>
        <v>63.4592809165275</v>
      </c>
      <c r="N9" s="8" t="n">
        <f aca="false">p_micro!C6</f>
        <v>0</v>
      </c>
    </row>
    <row r="10" customFormat="false" ht="13.8" hidden="false" customHeight="false" outlineLevel="0" collapsed="false">
      <c r="B10" s="14" t="n">
        <f aca="false">_xlfn.NUMBERVALUE(solar!B7)</f>
        <v>13</v>
      </c>
      <c r="C10" s="15" t="n">
        <f aca="false">solar!C7</f>
        <v>0</v>
      </c>
      <c r="D10" s="15" t="n">
        <v>6</v>
      </c>
      <c r="E10" s="9" t="n">
        <v>6</v>
      </c>
      <c r="F10" s="20" t="n">
        <f aca="false">IFERROR(INDEX($B$5:$C$173, MATCH($E10, $B$5:$B$175, 0), 2), 0)*investment!$C$2</f>
        <v>0</v>
      </c>
      <c r="G10" s="9" t="n">
        <f aca="false">demand!C8</f>
        <v>0</v>
      </c>
      <c r="H10" s="2" t="n">
        <f aca="false">solgen!C8</f>
        <v>0</v>
      </c>
      <c r="I10" s="2" t="n">
        <f aca="false">import!C8</f>
        <v>0</v>
      </c>
      <c r="J10" s="2" t="n">
        <f aca="false">-export!C8</f>
        <v>-0</v>
      </c>
      <c r="K10" s="2" t="n">
        <f aca="false">-charge!C8</f>
        <v>-0</v>
      </c>
      <c r="L10" s="2" t="n">
        <f aca="false">discharge!C8</f>
        <v>0</v>
      </c>
      <c r="M10" s="2" t="n">
        <f aca="false">soc!C8/investment!$E$2 *100</f>
        <v>62.2936728462908</v>
      </c>
      <c r="N10" s="8" t="n">
        <f aca="false">p_micro!C7</f>
        <v>0</v>
      </c>
    </row>
    <row r="11" customFormat="false" ht="13.8" hidden="false" customHeight="false" outlineLevel="0" collapsed="false">
      <c r="B11" s="14" t="n">
        <f aca="false">_xlfn.NUMBERVALUE(solar!B8)</f>
        <v>14</v>
      </c>
      <c r="C11" s="15" t="n">
        <f aca="false">solar!C8</f>
        <v>0</v>
      </c>
      <c r="D11" s="15" t="n">
        <v>7</v>
      </c>
      <c r="E11" s="9" t="n">
        <v>7</v>
      </c>
      <c r="F11" s="20" t="n">
        <f aca="false">IFERROR(INDEX($B$5:$C$173, MATCH($E11, $B$5:$B$175, 0), 2), 0)*investment!$C$2</f>
        <v>0</v>
      </c>
      <c r="G11" s="9" t="n">
        <f aca="false">demand!C9</f>
        <v>0</v>
      </c>
      <c r="H11" s="2" t="n">
        <f aca="false">solgen!C9</f>
        <v>0</v>
      </c>
      <c r="I11" s="2" t="n">
        <f aca="false">import!C9</f>
        <v>0</v>
      </c>
      <c r="J11" s="2" t="n">
        <f aca="false">-export!C9</f>
        <v>-0</v>
      </c>
      <c r="K11" s="2" t="n">
        <f aca="false">-charge!C9</f>
        <v>-0</v>
      </c>
      <c r="L11" s="2" t="n">
        <f aca="false">discharge!C9</f>
        <v>0</v>
      </c>
      <c r="M11" s="2" t="n">
        <f aca="false">soc!C9/investment!$E$2 *100</f>
        <v>60.7088079890661</v>
      </c>
      <c r="N11" s="8" t="n">
        <f aca="false">p_micro!C8</f>
        <v>0</v>
      </c>
    </row>
    <row r="12" customFormat="false" ht="13.8" hidden="false" customHeight="false" outlineLevel="0" collapsed="false">
      <c r="B12" s="14" t="n">
        <f aca="false">_xlfn.NUMBERVALUE(solar!B9)</f>
        <v>15</v>
      </c>
      <c r="C12" s="15" t="n">
        <f aca="false">solar!C9</f>
        <v>0</v>
      </c>
      <c r="D12" s="15" t="n">
        <v>8</v>
      </c>
      <c r="E12" s="9" t="n">
        <v>8</v>
      </c>
      <c r="F12" s="20" t="n">
        <f aca="false">IFERROR(INDEX($B$5:$C$173, MATCH($E12, $B$5:$B$175, 0), 2), 0)*investment!$C$2</f>
        <v>0</v>
      </c>
      <c r="G12" s="9" t="n">
        <f aca="false">demand!C10</f>
        <v>0</v>
      </c>
      <c r="H12" s="2" t="n">
        <f aca="false">solgen!C10</f>
        <v>0</v>
      </c>
      <c r="I12" s="2" t="n">
        <f aca="false">import!C10</f>
        <v>0</v>
      </c>
      <c r="J12" s="2" t="n">
        <f aca="false">-export!C10</f>
        <v>-0</v>
      </c>
      <c r="K12" s="2" t="n">
        <f aca="false">-charge!C10</f>
        <v>-0</v>
      </c>
      <c r="L12" s="2" t="n">
        <f aca="false">discharge!C10</f>
        <v>0</v>
      </c>
      <c r="M12" s="2" t="n">
        <f aca="false">soc!C10/investment!$E$2 *100</f>
        <v>59.5026700508824</v>
      </c>
      <c r="N12" s="8" t="n">
        <f aca="false">p_micro!C9</f>
        <v>0</v>
      </c>
    </row>
    <row r="13" customFormat="false" ht="13.8" hidden="false" customHeight="false" outlineLevel="0" collapsed="false">
      <c r="B13" s="14" t="n">
        <f aca="false">_xlfn.NUMBERVALUE(solar!B10)</f>
        <v>16</v>
      </c>
      <c r="C13" s="15" t="n">
        <f aca="false">solar!C10</f>
        <v>0</v>
      </c>
      <c r="D13" s="15" t="n">
        <v>9</v>
      </c>
      <c r="E13" s="9" t="n">
        <v>9</v>
      </c>
      <c r="F13" s="20" t="n">
        <f aca="false">IFERROR(INDEX($B$5:$C$173, MATCH($E13, $B$5:$B$175, 0), 2), 0)*investment!$C$2</f>
        <v>0</v>
      </c>
      <c r="G13" s="9" t="n">
        <f aca="false">demand!C11</f>
        <v>0</v>
      </c>
      <c r="H13" s="2" t="n">
        <f aca="false">solgen!C11</f>
        <v>0</v>
      </c>
      <c r="I13" s="2" t="n">
        <f aca="false">import!C11</f>
        <v>0</v>
      </c>
      <c r="J13" s="2" t="n">
        <f aca="false">-export!C11</f>
        <v>-0</v>
      </c>
      <c r="K13" s="2" t="n">
        <f aca="false">-charge!C11</f>
        <v>-0</v>
      </c>
      <c r="L13" s="2" t="n">
        <f aca="false">discharge!C11</f>
        <v>0</v>
      </c>
      <c r="M13" s="2" t="n">
        <f aca="false">soc!C11/investment!$E$2 *100</f>
        <v>57.8821613607553</v>
      </c>
      <c r="N13" s="8" t="n">
        <f aca="false">p_micro!C10</f>
        <v>0</v>
      </c>
    </row>
    <row r="14" customFormat="false" ht="13.8" hidden="false" customHeight="false" outlineLevel="0" collapsed="false">
      <c r="B14" s="14" t="n">
        <f aca="false">_xlfn.NUMBERVALUE(solar!B11)</f>
        <v>17</v>
      </c>
      <c r="C14" s="15" t="n">
        <f aca="false">solar!C11</f>
        <v>0</v>
      </c>
      <c r="D14" s="15" t="n">
        <v>10</v>
      </c>
      <c r="E14" s="9" t="n">
        <v>10</v>
      </c>
      <c r="F14" s="20" t="n">
        <f aca="false">IFERROR(INDEX($B$5:$C$173, MATCH($E14, $B$5:$B$175, 0), 2), 0)*investment!$C$2</f>
        <v>0</v>
      </c>
      <c r="G14" s="9" t="n">
        <f aca="false">demand!C12</f>
        <v>0</v>
      </c>
      <c r="H14" s="2" t="n">
        <f aca="false">solgen!C12</f>
        <v>0</v>
      </c>
      <c r="I14" s="2" t="n">
        <f aca="false">import!C12</f>
        <v>0</v>
      </c>
      <c r="J14" s="2" t="n">
        <f aca="false">-export!C12</f>
        <v>-0</v>
      </c>
      <c r="K14" s="2" t="n">
        <f aca="false">-charge!C12</f>
        <v>-0</v>
      </c>
      <c r="L14" s="2" t="n">
        <f aca="false">discharge!C12</f>
        <v>0</v>
      </c>
      <c r="M14" s="2" t="n">
        <f aca="false">soc!C12/investment!$E$2 *100</f>
        <v>56.7073230423042</v>
      </c>
      <c r="N14" s="8" t="n">
        <f aca="false">p_micro!C11</f>
        <v>0</v>
      </c>
    </row>
    <row r="15" customFormat="false" ht="13.8" hidden="false" customHeight="false" outlineLevel="0" collapsed="false">
      <c r="B15" s="14" t="n">
        <f aca="false">_xlfn.NUMBERVALUE(solar!B12)</f>
        <v>18</v>
      </c>
      <c r="C15" s="15" t="n">
        <f aca="false">solar!C12</f>
        <v>0</v>
      </c>
      <c r="D15" s="15" t="n">
        <v>11</v>
      </c>
      <c r="E15" s="9" t="n">
        <v>11</v>
      </c>
      <c r="F15" s="20" t="n">
        <f aca="false">IFERROR(INDEX($B$5:$C$173, MATCH($E15, $B$5:$B$175, 0), 2), 0)*investment!$C$2</f>
        <v>0</v>
      </c>
      <c r="G15" s="9" t="n">
        <f aca="false">demand!C13</f>
        <v>0</v>
      </c>
      <c r="H15" s="2" t="n">
        <f aca="false">solgen!C13</f>
        <v>0</v>
      </c>
      <c r="I15" s="2" t="n">
        <f aca="false">import!C13</f>
        <v>0</v>
      </c>
      <c r="J15" s="2" t="n">
        <f aca="false">-export!C13</f>
        <v>-0</v>
      </c>
      <c r="K15" s="2" t="n">
        <f aca="false">-charge!C13</f>
        <v>-0</v>
      </c>
      <c r="L15" s="2" t="n">
        <f aca="false">discharge!C13</f>
        <v>0</v>
      </c>
      <c r="M15" s="2" t="n">
        <f aca="false">soc!C13/investment!$E$2 *100</f>
        <v>56.0861534509049</v>
      </c>
      <c r="N15" s="8" t="n">
        <f aca="false">p_micro!C12</f>
        <v>0</v>
      </c>
    </row>
    <row r="16" customFormat="false" ht="13.8" hidden="false" customHeight="false" outlineLevel="0" collapsed="false">
      <c r="B16" s="14" t="n">
        <f aca="false">_xlfn.NUMBERVALUE(solar!B13)</f>
        <v>19</v>
      </c>
      <c r="C16" s="15" t="n">
        <f aca="false">solar!C13</f>
        <v>0</v>
      </c>
      <c r="D16" s="15" t="n">
        <v>12</v>
      </c>
      <c r="E16" s="9" t="n">
        <v>12</v>
      </c>
      <c r="F16" s="20" t="n">
        <f aca="false">IFERROR(INDEX($B$5:$C$173, MATCH($E16, $B$5:$B$175, 0), 2), 0)*investment!$C$2</f>
        <v>0</v>
      </c>
      <c r="G16" s="9" t="n">
        <f aca="false">demand!C14</f>
        <v>0</v>
      </c>
      <c r="H16" s="2" t="n">
        <f aca="false">solgen!C14</f>
        <v>0</v>
      </c>
      <c r="I16" s="2" t="n">
        <f aca="false">import!C14</f>
        <v>0</v>
      </c>
      <c r="J16" s="2" t="n">
        <f aca="false">-export!C14</f>
        <v>-0</v>
      </c>
      <c r="K16" s="2" t="n">
        <f aca="false">-charge!C14</f>
        <v>-0</v>
      </c>
      <c r="L16" s="2" t="n">
        <f aca="false">discharge!C14</f>
        <v>0</v>
      </c>
      <c r="M16" s="2" t="n">
        <f aca="false">soc!C14/investment!$E$2 *100</f>
        <v>54.5726990413422</v>
      </c>
      <c r="N16" s="8" t="n">
        <f aca="false">p_micro!C13</f>
        <v>0</v>
      </c>
    </row>
    <row r="17" customFormat="false" ht="13.8" hidden="false" customHeight="false" outlineLevel="0" collapsed="false">
      <c r="B17" s="14" t="n">
        <f aca="false">_xlfn.NUMBERVALUE(solar!B14)</f>
        <v>32</v>
      </c>
      <c r="C17" s="15" t="n">
        <f aca="false">solar!C14</f>
        <v>0</v>
      </c>
      <c r="D17" s="15" t="n">
        <v>13</v>
      </c>
      <c r="E17" s="9" t="n">
        <v>13</v>
      </c>
      <c r="F17" s="20" t="n">
        <f aca="false">IFERROR(INDEX($B$5:$C$173, MATCH($E17, $B$5:$B$175, 0), 2), 0)*investment!$C$2</f>
        <v>0</v>
      </c>
      <c r="G17" s="9" t="n">
        <f aca="false">demand!C15</f>
        <v>0</v>
      </c>
      <c r="H17" s="2" t="n">
        <f aca="false">solgen!C15</f>
        <v>0</v>
      </c>
      <c r="I17" s="2" t="n">
        <f aca="false">import!C15</f>
        <v>0</v>
      </c>
      <c r="J17" s="2" t="n">
        <f aca="false">-export!C15</f>
        <v>-0</v>
      </c>
      <c r="K17" s="2" t="n">
        <f aca="false">-charge!C15</f>
        <v>-0</v>
      </c>
      <c r="L17" s="2" t="n">
        <f aca="false">discharge!C15</f>
        <v>0</v>
      </c>
      <c r="M17" s="2" t="n">
        <f aca="false">soc!C15/investment!$E$2 *100</f>
        <v>52.4303500161402</v>
      </c>
      <c r="N17" s="8" t="n">
        <f aca="false">p_micro!C14</f>
        <v>0</v>
      </c>
    </row>
    <row r="18" customFormat="false" ht="13.8" hidden="false" customHeight="false" outlineLevel="0" collapsed="false">
      <c r="B18" s="14" t="n">
        <f aca="false">_xlfn.NUMBERVALUE(solar!B15)</f>
        <v>33</v>
      </c>
      <c r="C18" s="15" t="n">
        <f aca="false">solar!C15</f>
        <v>0</v>
      </c>
      <c r="D18" s="15" t="n">
        <v>14</v>
      </c>
      <c r="E18" s="9" t="n">
        <v>14</v>
      </c>
      <c r="F18" s="20" t="n">
        <f aca="false">IFERROR(INDEX($B$5:$C$173, MATCH($E18, $B$5:$B$175, 0), 2), 0)*investment!$C$2</f>
        <v>0</v>
      </c>
      <c r="G18" s="9" t="n">
        <f aca="false">demand!C16</f>
        <v>0</v>
      </c>
      <c r="H18" s="2" t="n">
        <f aca="false">solgen!C16</f>
        <v>0</v>
      </c>
      <c r="I18" s="2" t="n">
        <f aca="false">import!C16</f>
        <v>0</v>
      </c>
      <c r="J18" s="2" t="n">
        <f aca="false">-export!C16</f>
        <v>-0</v>
      </c>
      <c r="K18" s="2" t="n">
        <f aca="false">-charge!C16</f>
        <v>-0</v>
      </c>
      <c r="L18" s="2" t="n">
        <f aca="false">discharge!C16</f>
        <v>0</v>
      </c>
      <c r="M18" s="2" t="n">
        <f aca="false">soc!C16/investment!$E$2 *100</f>
        <v>49.9679525834862</v>
      </c>
      <c r="N18" s="8" t="n">
        <f aca="false">p_micro!C15</f>
        <v>0</v>
      </c>
    </row>
    <row r="19" customFormat="false" ht="13.8" hidden="false" customHeight="false" outlineLevel="0" collapsed="false">
      <c r="B19" s="14" t="n">
        <f aca="false">_xlfn.NUMBERVALUE(solar!B16)</f>
        <v>34</v>
      </c>
      <c r="C19" s="15" t="n">
        <f aca="false">solar!C16</f>
        <v>0</v>
      </c>
      <c r="D19" s="15" t="n">
        <v>15</v>
      </c>
      <c r="E19" s="9" t="n">
        <v>15</v>
      </c>
      <c r="F19" s="20" t="n">
        <f aca="false">IFERROR(INDEX($B$5:$C$173, MATCH($E19, $B$5:$B$175, 0), 2), 0)*investment!$C$2</f>
        <v>0</v>
      </c>
      <c r="G19" s="9" t="n">
        <f aca="false">demand!C17</f>
        <v>0</v>
      </c>
      <c r="H19" s="2" t="n">
        <f aca="false">solgen!C17</f>
        <v>0</v>
      </c>
      <c r="I19" s="2" t="n">
        <f aca="false">import!C17</f>
        <v>0</v>
      </c>
      <c r="J19" s="2" t="n">
        <f aca="false">-export!C17</f>
        <v>-0</v>
      </c>
      <c r="K19" s="2" t="n">
        <f aca="false">-charge!C17</f>
        <v>-0</v>
      </c>
      <c r="L19" s="2" t="n">
        <f aca="false">discharge!C17</f>
        <v>0</v>
      </c>
      <c r="M19" s="2" t="n">
        <f aca="false">soc!C17/investment!$E$2 *100</f>
        <v>48.5801446689003</v>
      </c>
      <c r="N19" s="8" t="n">
        <f aca="false">p_micro!C16</f>
        <v>0</v>
      </c>
    </row>
    <row r="20" customFormat="false" ht="13.8" hidden="false" customHeight="false" outlineLevel="0" collapsed="false">
      <c r="B20" s="14" t="n">
        <f aca="false">_xlfn.NUMBERVALUE(solar!B17)</f>
        <v>35</v>
      </c>
      <c r="C20" s="15" t="n">
        <f aca="false">solar!C17</f>
        <v>0</v>
      </c>
      <c r="D20" s="15" t="n">
        <v>16</v>
      </c>
      <c r="E20" s="9" t="n">
        <v>16</v>
      </c>
      <c r="F20" s="20" t="n">
        <f aca="false">IFERROR(INDEX($B$5:$C$173, MATCH($E20, $B$5:$B$175, 0), 2), 0)*investment!$C$2</f>
        <v>0</v>
      </c>
      <c r="G20" s="9" t="n">
        <f aca="false">demand!C18</f>
        <v>0</v>
      </c>
      <c r="H20" s="2" t="n">
        <f aca="false">solgen!C18</f>
        <v>0</v>
      </c>
      <c r="I20" s="2" t="n">
        <f aca="false">import!C18</f>
        <v>0</v>
      </c>
      <c r="J20" s="2" t="n">
        <f aca="false">-export!C18</f>
        <v>-0</v>
      </c>
      <c r="K20" s="2" t="n">
        <f aca="false">-charge!C18</f>
        <v>-0</v>
      </c>
      <c r="L20" s="2" t="n">
        <f aca="false">discharge!C18</f>
        <v>0</v>
      </c>
      <c r="M20" s="2" t="n">
        <f aca="false">soc!C18/investment!$E$2 *100</f>
        <v>46.3249744573273</v>
      </c>
      <c r="N20" s="8" t="n">
        <f aca="false">p_micro!C17</f>
        <v>0</v>
      </c>
    </row>
    <row r="21" customFormat="false" ht="13.8" hidden="false" customHeight="false" outlineLevel="0" collapsed="false">
      <c r="B21" s="14" t="n">
        <f aca="false">_xlfn.NUMBERVALUE(solar!B18)</f>
        <v>36</v>
      </c>
      <c r="C21" s="15" t="n">
        <f aca="false">solar!C18</f>
        <v>0</v>
      </c>
      <c r="D21" s="15" t="n">
        <v>17</v>
      </c>
      <c r="E21" s="9" t="n">
        <v>17</v>
      </c>
      <c r="F21" s="20" t="n">
        <f aca="false">IFERROR(INDEX($B$5:$C$173, MATCH($E21, $B$5:$B$175, 0), 2), 0)*investment!$C$2</f>
        <v>0</v>
      </c>
      <c r="G21" s="9" t="n">
        <f aca="false">demand!C19</f>
        <v>0</v>
      </c>
      <c r="H21" s="2" t="n">
        <f aca="false">solgen!C19</f>
        <v>0</v>
      </c>
      <c r="I21" s="2" t="n">
        <f aca="false">import!C19</f>
        <v>0</v>
      </c>
      <c r="J21" s="2" t="n">
        <f aca="false">-export!C19</f>
        <v>-0</v>
      </c>
      <c r="K21" s="2" t="n">
        <f aca="false">-charge!C19</f>
        <v>-0</v>
      </c>
      <c r="L21" s="2" t="n">
        <f aca="false">discharge!C19</f>
        <v>0</v>
      </c>
      <c r="M21" s="2" t="n">
        <f aca="false">soc!C19/investment!$E$2 *100</f>
        <v>45.0578963031558</v>
      </c>
      <c r="N21" s="8" t="n">
        <f aca="false">p_micro!C18</f>
        <v>0</v>
      </c>
    </row>
    <row r="22" customFormat="false" ht="13.8" hidden="false" customHeight="false" outlineLevel="0" collapsed="false">
      <c r="B22" s="14" t="n">
        <f aca="false">_xlfn.NUMBERVALUE(solar!B19)</f>
        <v>37</v>
      </c>
      <c r="C22" s="15" t="n">
        <f aca="false">solar!C19</f>
        <v>0</v>
      </c>
      <c r="D22" s="15" t="n">
        <v>18</v>
      </c>
      <c r="E22" s="9" t="n">
        <v>18</v>
      </c>
      <c r="F22" s="20" t="n">
        <f aca="false">IFERROR(INDEX($B$5:$C$173, MATCH($E22, $B$5:$B$175, 0), 2), 0)*investment!$C$2</f>
        <v>0</v>
      </c>
      <c r="G22" s="9" t="n">
        <f aca="false">demand!C20</f>
        <v>0</v>
      </c>
      <c r="H22" s="2" t="n">
        <f aca="false">solgen!C20</f>
        <v>0</v>
      </c>
      <c r="I22" s="2" t="n">
        <f aca="false">import!C20</f>
        <v>0</v>
      </c>
      <c r="J22" s="2" t="n">
        <f aca="false">-export!C20</f>
        <v>-0</v>
      </c>
      <c r="K22" s="2" t="n">
        <f aca="false">-charge!C20</f>
        <v>-0</v>
      </c>
      <c r="L22" s="2" t="n">
        <f aca="false">discharge!C20</f>
        <v>0</v>
      </c>
      <c r="M22" s="2" t="n">
        <f aca="false">soc!C20/investment!$E$2 *100</f>
        <v>42.9210142731303</v>
      </c>
      <c r="N22" s="8" t="n">
        <f aca="false">p_micro!C19</f>
        <v>0</v>
      </c>
    </row>
    <row r="23" customFormat="false" ht="13.8" hidden="false" customHeight="false" outlineLevel="0" collapsed="false">
      <c r="B23" s="14" t="n">
        <f aca="false">_xlfn.NUMBERVALUE(solar!B20)</f>
        <v>38</v>
      </c>
      <c r="C23" s="15" t="n">
        <f aca="false">solar!C20</f>
        <v>0</v>
      </c>
      <c r="D23" s="15" t="n">
        <v>19</v>
      </c>
      <c r="E23" s="9" t="n">
        <v>19</v>
      </c>
      <c r="F23" s="20" t="n">
        <f aca="false">IFERROR(INDEX($B$5:$C$173, MATCH($E23, $B$5:$B$175, 0), 2), 0)*investment!$C$2</f>
        <v>0</v>
      </c>
      <c r="G23" s="9" t="n">
        <f aca="false">demand!C21</f>
        <v>0</v>
      </c>
      <c r="H23" s="2" t="n">
        <f aca="false">solgen!C21</f>
        <v>0</v>
      </c>
      <c r="I23" s="2" t="n">
        <f aca="false">import!C21</f>
        <v>0</v>
      </c>
      <c r="J23" s="2" t="n">
        <f aca="false">-export!C21</f>
        <v>-0</v>
      </c>
      <c r="K23" s="2" t="n">
        <f aca="false">-charge!C21</f>
        <v>-0</v>
      </c>
      <c r="L23" s="2" t="n">
        <f aca="false">discharge!C21</f>
        <v>0</v>
      </c>
      <c r="M23" s="2" t="n">
        <f aca="false">soc!C21/investment!$E$2 *100</f>
        <v>41.7189630098769</v>
      </c>
      <c r="N23" s="8" t="n">
        <f aca="false">p_micro!C20</f>
        <v>0</v>
      </c>
    </row>
    <row r="24" customFormat="false" ht="13.8" hidden="false" customHeight="false" outlineLevel="0" collapsed="false">
      <c r="B24" s="14" t="n">
        <f aca="false">_xlfn.NUMBERVALUE(solar!B21)</f>
        <v>39</v>
      </c>
      <c r="C24" s="15" t="n">
        <f aca="false">solar!C21</f>
        <v>0</v>
      </c>
      <c r="D24" s="15" t="n">
        <v>20</v>
      </c>
      <c r="E24" s="9" t="n">
        <v>20</v>
      </c>
      <c r="F24" s="20" t="n">
        <f aca="false">IFERROR(INDEX($B$5:$C$173, MATCH($E24, $B$5:$B$175, 0), 2), 0)*investment!$C$2</f>
        <v>0</v>
      </c>
      <c r="G24" s="9" t="n">
        <f aca="false">demand!C22</f>
        <v>0</v>
      </c>
      <c r="H24" s="2" t="n">
        <f aca="false">solgen!C22</f>
        <v>0</v>
      </c>
      <c r="I24" s="2" t="n">
        <f aca="false">import!C22</f>
        <v>0</v>
      </c>
      <c r="J24" s="2" t="n">
        <f aca="false">-export!C22</f>
        <v>-0</v>
      </c>
      <c r="K24" s="2" t="n">
        <f aca="false">-charge!C22</f>
        <v>-0</v>
      </c>
      <c r="L24" s="2" t="n">
        <f aca="false">discharge!C22</f>
        <v>0</v>
      </c>
      <c r="M24" s="2" t="n">
        <f aca="false">soc!C22/investment!$E$2 *100</f>
        <v>40.1445603993241</v>
      </c>
      <c r="N24" s="8" t="n">
        <f aca="false">p_micro!C21</f>
        <v>0</v>
      </c>
    </row>
    <row r="25" customFormat="false" ht="13.8" hidden="false" customHeight="false" outlineLevel="0" collapsed="false">
      <c r="B25" s="14" t="n">
        <f aca="false">_xlfn.NUMBERVALUE(solar!B22)</f>
        <v>40</v>
      </c>
      <c r="C25" s="15" t="n">
        <f aca="false">solar!C22</f>
        <v>0</v>
      </c>
      <c r="D25" s="15" t="n">
        <v>21</v>
      </c>
      <c r="E25" s="9" t="n">
        <v>21</v>
      </c>
      <c r="F25" s="20" t="n">
        <f aca="false">IFERROR(INDEX($B$5:$C$173, MATCH($E25, $B$5:$B$175, 0), 2), 0)*investment!$C$2</f>
        <v>0</v>
      </c>
      <c r="G25" s="9" t="n">
        <f aca="false">demand!C23</f>
        <v>0</v>
      </c>
      <c r="H25" s="2" t="n">
        <f aca="false">solgen!C23</f>
        <v>0</v>
      </c>
      <c r="I25" s="2" t="n">
        <f aca="false">import!C23</f>
        <v>0</v>
      </c>
      <c r="J25" s="2" t="n">
        <f aca="false">-export!C23</f>
        <v>-0</v>
      </c>
      <c r="K25" s="2" t="n">
        <f aca="false">-charge!C23</f>
        <v>-0</v>
      </c>
      <c r="L25" s="2" t="n">
        <f aca="false">discharge!C23</f>
        <v>0</v>
      </c>
      <c r="M25" s="2" t="n">
        <f aca="false">soc!C23/investment!$E$2 *100</f>
        <v>38.258893241987</v>
      </c>
      <c r="N25" s="8" t="n">
        <f aca="false">p_micro!C22</f>
        <v>0</v>
      </c>
    </row>
    <row r="26" customFormat="false" ht="13.8" hidden="false" customHeight="false" outlineLevel="0" collapsed="false">
      <c r="B26" s="14" t="n">
        <f aca="false">_xlfn.NUMBERVALUE(solar!B23)</f>
        <v>41</v>
      </c>
      <c r="C26" s="15" t="n">
        <f aca="false">solar!C23</f>
        <v>0</v>
      </c>
      <c r="D26" s="15" t="n">
        <v>22</v>
      </c>
      <c r="E26" s="9" t="n">
        <v>22</v>
      </c>
      <c r="F26" s="20" t="n">
        <f aca="false">IFERROR(INDEX($B$5:$C$173, MATCH($E26, $B$5:$B$175, 0), 2), 0)*investment!$C$2</f>
        <v>0</v>
      </c>
      <c r="G26" s="9" t="n">
        <f aca="false">demand!C24</f>
        <v>0</v>
      </c>
      <c r="H26" s="2" t="n">
        <f aca="false">solgen!C24</f>
        <v>0</v>
      </c>
      <c r="I26" s="2" t="n">
        <f aca="false">import!C24</f>
        <v>0</v>
      </c>
      <c r="J26" s="2" t="n">
        <f aca="false">-export!C24</f>
        <v>-0</v>
      </c>
      <c r="K26" s="2" t="n">
        <f aca="false">-charge!C24</f>
        <v>-0</v>
      </c>
      <c r="L26" s="2" t="n">
        <f aca="false">discharge!C24</f>
        <v>0</v>
      </c>
      <c r="M26" s="2" t="n">
        <f aca="false">soc!C24/investment!$E$2 *100</f>
        <v>36.2028872381037</v>
      </c>
      <c r="N26" s="8" t="n">
        <f aca="false">p_micro!C23</f>
        <v>0</v>
      </c>
    </row>
    <row r="27" customFormat="false" ht="13.8" hidden="false" customHeight="false" outlineLevel="0" collapsed="false">
      <c r="B27" s="14" t="n">
        <f aca="false">_xlfn.NUMBERVALUE(solar!B24)</f>
        <v>42</v>
      </c>
      <c r="C27" s="15" t="n">
        <f aca="false">solar!C24</f>
        <v>0</v>
      </c>
      <c r="D27" s="15" t="n">
        <v>23</v>
      </c>
      <c r="E27" s="9" t="n">
        <v>23</v>
      </c>
      <c r="F27" s="20" t="n">
        <f aca="false">IFERROR(INDEX($B$5:$C$173, MATCH($E27, $B$5:$B$175, 0), 2), 0)*investment!$C$2</f>
        <v>0</v>
      </c>
      <c r="G27" s="9" t="n">
        <f aca="false">demand!C25</f>
        <v>0</v>
      </c>
      <c r="H27" s="2" t="n">
        <f aca="false">solgen!C25</f>
        <v>0</v>
      </c>
      <c r="I27" s="2" t="n">
        <f aca="false">import!C25</f>
        <v>0</v>
      </c>
      <c r="J27" s="2" t="n">
        <f aca="false">-export!C25</f>
        <v>-0</v>
      </c>
      <c r="K27" s="2" t="n">
        <f aca="false">-charge!C25</f>
        <v>-0</v>
      </c>
      <c r="L27" s="2" t="n">
        <f aca="false">discharge!C25</f>
        <v>0</v>
      </c>
      <c r="M27" s="2" t="n">
        <f aca="false">soc!C25/investment!$E$2 *100</f>
        <v>35.0965378164181</v>
      </c>
      <c r="N27" s="8" t="n">
        <f aca="false">p_micro!C24</f>
        <v>0</v>
      </c>
    </row>
    <row r="28" customFormat="false" ht="13.8" hidden="false" customHeight="false" outlineLevel="0" collapsed="false">
      <c r="B28" s="14" t="n">
        <f aca="false">_xlfn.NUMBERVALUE(solar!B25)</f>
        <v>43</v>
      </c>
      <c r="C28" s="15" t="n">
        <f aca="false">solar!C25</f>
        <v>0</v>
      </c>
      <c r="D28" s="15" t="n">
        <v>24</v>
      </c>
      <c r="E28" s="9" t="n">
        <v>24</v>
      </c>
      <c r="F28" s="20" t="n">
        <f aca="false">IFERROR(INDEX($B$5:$C$173, MATCH($E28, $B$5:$B$175, 0), 2), 0)*investment!$C$2</f>
        <v>0</v>
      </c>
      <c r="G28" s="9" t="n">
        <f aca="false">demand!C26</f>
        <v>0</v>
      </c>
      <c r="H28" s="2" t="n">
        <f aca="false">solgen!C26</f>
        <v>0</v>
      </c>
      <c r="I28" s="2" t="n">
        <f aca="false">import!C26</f>
        <v>0</v>
      </c>
      <c r="J28" s="2" t="n">
        <f aca="false">-export!C26</f>
        <v>-0</v>
      </c>
      <c r="K28" s="2" t="n">
        <f aca="false">-charge!C26</f>
        <v>-0</v>
      </c>
      <c r="L28" s="2" t="n">
        <f aca="false">discharge!C26</f>
        <v>0</v>
      </c>
      <c r="M28" s="2" t="n">
        <f aca="false">soc!C26/investment!$E$2 *100</f>
        <v>32.30595915771</v>
      </c>
      <c r="N28" s="8" t="n">
        <f aca="false">p_micro!C25</f>
        <v>0</v>
      </c>
    </row>
    <row r="29" customFormat="false" ht="13.8" hidden="false" customHeight="false" outlineLevel="0" collapsed="false">
      <c r="B29" s="14" t="n">
        <f aca="false">_xlfn.NUMBERVALUE(solar!B26)</f>
        <v>56</v>
      </c>
      <c r="C29" s="15" t="n">
        <f aca="false">solar!C26</f>
        <v>0</v>
      </c>
      <c r="D29" s="15" t="n">
        <v>1</v>
      </c>
      <c r="E29" s="9" t="n">
        <v>25</v>
      </c>
      <c r="F29" s="20" t="n">
        <f aca="false">IFERROR(INDEX($B$5:$C$173, MATCH($E29, $B$5:$B$175, 0), 2), 0)*investment!$C$2</f>
        <v>0</v>
      </c>
      <c r="G29" s="9" t="n">
        <f aca="false">demand!C27</f>
        <v>0</v>
      </c>
      <c r="H29" s="2" t="n">
        <f aca="false">solgen!C27</f>
        <v>0</v>
      </c>
      <c r="I29" s="2" t="n">
        <f aca="false">import!C27</f>
        <v>0</v>
      </c>
      <c r="J29" s="2" t="n">
        <f aca="false">-export!C27</f>
        <v>-0</v>
      </c>
      <c r="K29" s="2" t="n">
        <f aca="false">-charge!C27</f>
        <v>-0</v>
      </c>
      <c r="L29" s="2" t="n">
        <f aca="false">discharge!C27</f>
        <v>0</v>
      </c>
      <c r="M29" s="2" t="n">
        <f aca="false">soc!C27/investment!$E$2 *100</f>
        <v>31.2229625583283</v>
      </c>
      <c r="N29" s="8" t="n">
        <f aca="false">p_micro!C26</f>
        <v>0</v>
      </c>
    </row>
    <row r="30" customFormat="false" ht="13.8" hidden="false" customHeight="false" outlineLevel="0" collapsed="false">
      <c r="B30" s="14" t="n">
        <f aca="false">_xlfn.NUMBERVALUE(solar!B27)</f>
        <v>57</v>
      </c>
      <c r="C30" s="15" t="n">
        <f aca="false">solar!C27</f>
        <v>0</v>
      </c>
      <c r="D30" s="15" t="n">
        <v>2</v>
      </c>
      <c r="E30" s="9" t="n">
        <v>26</v>
      </c>
      <c r="F30" s="20" t="n">
        <f aca="false">IFERROR(INDEX($B$5:$C$173, MATCH($E30, $B$5:$B$175, 0), 2), 0)*investment!$C$2</f>
        <v>0</v>
      </c>
      <c r="G30" s="9" t="n">
        <f aca="false">demand!C28</f>
        <v>0</v>
      </c>
      <c r="H30" s="2" t="n">
        <f aca="false">solgen!C28</f>
        <v>0</v>
      </c>
      <c r="I30" s="2" t="n">
        <f aca="false">import!C28</f>
        <v>0</v>
      </c>
      <c r="J30" s="2" t="n">
        <f aca="false">-export!C28</f>
        <v>-0</v>
      </c>
      <c r="K30" s="2" t="n">
        <f aca="false">-charge!C28</f>
        <v>-0</v>
      </c>
      <c r="L30" s="2" t="n">
        <f aca="false">discharge!C28</f>
        <v>0</v>
      </c>
      <c r="M30" s="2" t="n">
        <f aca="false">soc!C28/investment!$E$2 *100</f>
        <v>28.448783271352</v>
      </c>
      <c r="N30" s="8" t="n">
        <f aca="false">p_micro!C27</f>
        <v>0</v>
      </c>
    </row>
    <row r="31" customFormat="false" ht="13.8" hidden="false" customHeight="false" outlineLevel="0" collapsed="false">
      <c r="B31" s="14" t="n">
        <f aca="false">_xlfn.NUMBERVALUE(solar!B28)</f>
        <v>58</v>
      </c>
      <c r="C31" s="15" t="n">
        <f aca="false">solar!C28</f>
        <v>0</v>
      </c>
      <c r="D31" s="15" t="n">
        <v>3</v>
      </c>
      <c r="E31" s="9" t="n">
        <v>27</v>
      </c>
      <c r="F31" s="20" t="n">
        <f aca="false">IFERROR(INDEX($B$5:$C$173, MATCH($E31, $B$5:$B$175, 0), 2), 0)*investment!$C$2</f>
        <v>0</v>
      </c>
      <c r="G31" s="9" t="n">
        <f aca="false">demand!C29</f>
        <v>0</v>
      </c>
      <c r="H31" s="2" t="n">
        <f aca="false">solgen!C29</f>
        <v>0</v>
      </c>
      <c r="I31" s="2" t="n">
        <f aca="false">import!C29</f>
        <v>0</v>
      </c>
      <c r="J31" s="2" t="n">
        <f aca="false">-export!C29</f>
        <v>-0</v>
      </c>
      <c r="K31" s="2" t="n">
        <f aca="false">-charge!C29</f>
        <v>-0</v>
      </c>
      <c r="L31" s="2" t="n">
        <f aca="false">discharge!C29</f>
        <v>0</v>
      </c>
      <c r="M31" s="2" t="n">
        <f aca="false">soc!C29/investment!$E$2 *100</f>
        <v>27.6160495740715</v>
      </c>
      <c r="N31" s="8" t="n">
        <f aca="false">p_micro!C28</f>
        <v>0</v>
      </c>
    </row>
    <row r="32" customFormat="false" ht="13.8" hidden="false" customHeight="false" outlineLevel="0" collapsed="false">
      <c r="B32" s="14" t="n">
        <f aca="false">_xlfn.NUMBERVALUE(solar!B29)</f>
        <v>59</v>
      </c>
      <c r="C32" s="15" t="n">
        <f aca="false">solar!C29</f>
        <v>0</v>
      </c>
      <c r="D32" s="15" t="n">
        <v>4</v>
      </c>
      <c r="E32" s="9" t="n">
        <v>28</v>
      </c>
      <c r="F32" s="20" t="n">
        <f aca="false">IFERROR(INDEX($B$5:$C$173, MATCH($E32, $B$5:$B$175, 0), 2), 0)*investment!$C$2</f>
        <v>0</v>
      </c>
      <c r="G32" s="9" t="n">
        <f aca="false">demand!C30</f>
        <v>0</v>
      </c>
      <c r="H32" s="2" t="n">
        <f aca="false">solgen!C30</f>
        <v>0</v>
      </c>
      <c r="I32" s="2" t="n">
        <f aca="false">import!C30</f>
        <v>0</v>
      </c>
      <c r="J32" s="2" t="n">
        <f aca="false">-export!C30</f>
        <v>-0</v>
      </c>
      <c r="K32" s="2" t="n">
        <f aca="false">-charge!C30</f>
        <v>-0</v>
      </c>
      <c r="L32" s="2" t="n">
        <f aca="false">discharge!C30</f>
        <v>0</v>
      </c>
      <c r="M32" s="2" t="n">
        <f aca="false">soc!C30/investment!$E$2 *100</f>
        <v>25.7970972711504</v>
      </c>
      <c r="N32" s="8" t="n">
        <f aca="false">p_micro!C29</f>
        <v>0</v>
      </c>
    </row>
    <row r="33" customFormat="false" ht="13.8" hidden="false" customHeight="false" outlineLevel="0" collapsed="false">
      <c r="B33" s="14" t="n">
        <f aca="false">_xlfn.NUMBERVALUE(solar!B30)</f>
        <v>60</v>
      </c>
      <c r="C33" s="15" t="n">
        <f aca="false">solar!C30</f>
        <v>0</v>
      </c>
      <c r="D33" s="15" t="n">
        <v>5</v>
      </c>
      <c r="E33" s="9" t="n">
        <v>29</v>
      </c>
      <c r="F33" s="20" t="n">
        <f aca="false">IFERROR(INDEX($B$5:$C$173, MATCH($E33, $B$5:$B$175, 0), 2), 0)*investment!$C$2</f>
        <v>0</v>
      </c>
      <c r="G33" s="9" t="n">
        <f aca="false">demand!C31</f>
        <v>0</v>
      </c>
      <c r="H33" s="2" t="n">
        <f aca="false">solgen!C31</f>
        <v>0</v>
      </c>
      <c r="I33" s="2" t="n">
        <f aca="false">import!C31</f>
        <v>0</v>
      </c>
      <c r="J33" s="2" t="n">
        <f aca="false">-export!C31</f>
        <v>-0</v>
      </c>
      <c r="K33" s="2" t="n">
        <f aca="false">-charge!C31</f>
        <v>-0</v>
      </c>
      <c r="L33" s="2" t="n">
        <f aca="false">discharge!C31</f>
        <v>0</v>
      </c>
      <c r="M33" s="2" t="n">
        <f aca="false">soc!C31/investment!$E$2 *100</f>
        <v>25.641015176927</v>
      </c>
      <c r="N33" s="8" t="n">
        <f aca="false">p_micro!C30</f>
        <v>0</v>
      </c>
    </row>
    <row r="34" customFormat="false" ht="13.8" hidden="false" customHeight="false" outlineLevel="0" collapsed="false">
      <c r="B34" s="14" t="n">
        <f aca="false">_xlfn.NUMBERVALUE(solar!B31)</f>
        <v>61</v>
      </c>
      <c r="C34" s="15" t="n">
        <f aca="false">solar!C31</f>
        <v>0</v>
      </c>
      <c r="D34" s="15" t="n">
        <v>6</v>
      </c>
      <c r="E34" s="9" t="n">
        <v>30</v>
      </c>
      <c r="F34" s="20" t="n">
        <f aca="false">IFERROR(INDEX($B$5:$C$173, MATCH($E34, $B$5:$B$175, 0), 2), 0)*investment!$C$2</f>
        <v>0</v>
      </c>
      <c r="G34" s="9" t="n">
        <f aca="false">demand!C32</f>
        <v>0</v>
      </c>
      <c r="H34" s="2" t="n">
        <f aca="false">solgen!C32</f>
        <v>0</v>
      </c>
      <c r="I34" s="2" t="n">
        <f aca="false">import!C32</f>
        <v>0</v>
      </c>
      <c r="J34" s="2" t="n">
        <f aca="false">-export!C32</f>
        <v>-0</v>
      </c>
      <c r="K34" s="2" t="n">
        <f aca="false">-charge!C32</f>
        <v>-0</v>
      </c>
      <c r="L34" s="2" t="n">
        <f aca="false">discharge!C32</f>
        <v>0</v>
      </c>
      <c r="M34" s="2" t="n">
        <f aca="false">soc!C32/investment!$E$2 *100</f>
        <v>25.6407587667753</v>
      </c>
      <c r="N34" s="8" t="n">
        <f aca="false">p_micro!C31</f>
        <v>0</v>
      </c>
    </row>
    <row r="35" customFormat="false" ht="13.8" hidden="false" customHeight="false" outlineLevel="0" collapsed="false">
      <c r="B35" s="14" t="n">
        <f aca="false">_xlfn.NUMBERVALUE(solar!B32)</f>
        <v>62</v>
      </c>
      <c r="C35" s="15" t="n">
        <f aca="false">solar!C32</f>
        <v>0</v>
      </c>
      <c r="D35" s="15" t="n">
        <v>7</v>
      </c>
      <c r="E35" s="9" t="n">
        <v>31</v>
      </c>
      <c r="F35" s="20" t="n">
        <f aca="false">IFERROR(INDEX($B$5:$C$173, MATCH($E35, $B$5:$B$175, 0), 2), 0)*investment!$C$2</f>
        <v>0</v>
      </c>
      <c r="G35" s="9" t="n">
        <f aca="false">demand!C33</f>
        <v>0</v>
      </c>
      <c r="H35" s="2" t="n">
        <f aca="false">solgen!C33</f>
        <v>0</v>
      </c>
      <c r="I35" s="2" t="n">
        <f aca="false">import!C33</f>
        <v>0</v>
      </c>
      <c r="J35" s="2" t="n">
        <f aca="false">-export!C33</f>
        <v>-0</v>
      </c>
      <c r="K35" s="2" t="n">
        <f aca="false">-charge!C33</f>
        <v>-0</v>
      </c>
      <c r="L35" s="2" t="n">
        <f aca="false">discharge!C33</f>
        <v>0</v>
      </c>
      <c r="M35" s="2" t="n">
        <f aca="false">soc!C33/investment!$E$2 *100</f>
        <v>26.4987152762759</v>
      </c>
      <c r="N35" s="8" t="n">
        <f aca="false">p_micro!C32</f>
        <v>0</v>
      </c>
    </row>
    <row r="36" customFormat="false" ht="13.8" hidden="false" customHeight="false" outlineLevel="0" collapsed="false">
      <c r="B36" s="14" t="n">
        <f aca="false">_xlfn.NUMBERVALUE(solar!B33)</f>
        <v>63</v>
      </c>
      <c r="C36" s="15" t="n">
        <f aca="false">solar!C33</f>
        <v>0</v>
      </c>
      <c r="D36" s="15" t="n">
        <v>8</v>
      </c>
      <c r="E36" s="9" t="n">
        <v>32</v>
      </c>
      <c r="F36" s="20" t="n">
        <f aca="false">IFERROR(INDEX($B$5:$C$173, MATCH($E36, $B$5:$B$175, 0), 2), 0)*investment!$C$2</f>
        <v>0</v>
      </c>
      <c r="G36" s="9" t="n">
        <f aca="false">demand!C34</f>
        <v>0</v>
      </c>
      <c r="H36" s="2" t="n">
        <f aca="false">solgen!C34</f>
        <v>0</v>
      </c>
      <c r="I36" s="2" t="n">
        <f aca="false">import!C34</f>
        <v>0</v>
      </c>
      <c r="J36" s="2" t="n">
        <f aca="false">-export!C34</f>
        <v>-0</v>
      </c>
      <c r="K36" s="2" t="n">
        <f aca="false">-charge!C34</f>
        <v>-0</v>
      </c>
      <c r="L36" s="2" t="n">
        <f aca="false">discharge!C34</f>
        <v>0</v>
      </c>
      <c r="M36" s="2" t="n">
        <f aca="false">soc!C34/investment!$E$2 *100</f>
        <v>26.4984502891231</v>
      </c>
      <c r="N36" s="8" t="n">
        <f aca="false">p_micro!C33</f>
        <v>0</v>
      </c>
    </row>
    <row r="37" customFormat="false" ht="13.8" hidden="false" customHeight="false" outlineLevel="0" collapsed="false">
      <c r="B37" s="14" t="n">
        <f aca="false">_xlfn.NUMBERVALUE(solar!B34)</f>
        <v>64</v>
      </c>
      <c r="C37" s="15" t="n">
        <f aca="false">solar!C34</f>
        <v>0</v>
      </c>
      <c r="D37" s="15" t="n">
        <v>9</v>
      </c>
      <c r="E37" s="9" t="n">
        <v>33</v>
      </c>
      <c r="F37" s="20" t="n">
        <f aca="false">IFERROR(INDEX($B$5:$C$173, MATCH($E37, $B$5:$B$175, 0), 2), 0)*investment!$C$2</f>
        <v>0</v>
      </c>
      <c r="G37" s="9" t="n">
        <f aca="false">demand!C35</f>
        <v>0</v>
      </c>
      <c r="H37" s="2" t="n">
        <f aca="false">solgen!C35</f>
        <v>0</v>
      </c>
      <c r="I37" s="2" t="n">
        <f aca="false">import!C35</f>
        <v>0</v>
      </c>
      <c r="J37" s="2" t="n">
        <f aca="false">-export!C35</f>
        <v>-0</v>
      </c>
      <c r="K37" s="2" t="n">
        <f aca="false">-charge!C35</f>
        <v>-0</v>
      </c>
      <c r="L37" s="2" t="n">
        <f aca="false">discharge!C35</f>
        <v>0</v>
      </c>
      <c r="M37" s="2" t="n">
        <f aca="false">soc!C35/investment!$E$2 *100</f>
        <v>28.5836829118614</v>
      </c>
      <c r="N37" s="8" t="n">
        <f aca="false">p_micro!C34</f>
        <v>0</v>
      </c>
    </row>
    <row r="38" customFormat="false" ht="13.8" hidden="false" customHeight="false" outlineLevel="0" collapsed="false">
      <c r="B38" s="14" t="n">
        <f aca="false">_xlfn.NUMBERVALUE(solar!B35)</f>
        <v>65</v>
      </c>
      <c r="C38" s="15" t="n">
        <f aca="false">solar!C35</f>
        <v>0</v>
      </c>
      <c r="D38" s="15" t="n">
        <v>10</v>
      </c>
      <c r="E38" s="9" t="n">
        <v>34</v>
      </c>
      <c r="F38" s="20" t="n">
        <f aca="false">IFERROR(INDEX($B$5:$C$173, MATCH($E38, $B$5:$B$175, 0), 2), 0)*investment!$C$2</f>
        <v>0</v>
      </c>
      <c r="G38" s="9" t="n">
        <f aca="false">demand!C36</f>
        <v>0</v>
      </c>
      <c r="H38" s="2" t="n">
        <f aca="false">solgen!C36</f>
        <v>0</v>
      </c>
      <c r="I38" s="2" t="n">
        <f aca="false">import!C36</f>
        <v>0</v>
      </c>
      <c r="J38" s="2" t="n">
        <f aca="false">-export!C36</f>
        <v>-0</v>
      </c>
      <c r="K38" s="2" t="n">
        <f aca="false">-charge!C36</f>
        <v>-0</v>
      </c>
      <c r="L38" s="2" t="n">
        <f aca="false">discharge!C36</f>
        <v>0</v>
      </c>
      <c r="M38" s="2" t="n">
        <f aca="false">soc!C36/investment!$E$2 *100</f>
        <v>28.5833970750322</v>
      </c>
      <c r="N38" s="8" t="n">
        <f aca="false">p_micro!C35</f>
        <v>0</v>
      </c>
    </row>
    <row r="39" customFormat="false" ht="13.8" hidden="false" customHeight="false" outlineLevel="0" collapsed="false">
      <c r="B39" s="14" t="n">
        <f aca="false">_xlfn.NUMBERVALUE(solar!B36)</f>
        <v>66</v>
      </c>
      <c r="C39" s="15" t="n">
        <f aca="false">solar!C36</f>
        <v>0</v>
      </c>
      <c r="D39" s="15" t="n">
        <v>11</v>
      </c>
      <c r="E39" s="9" t="n">
        <v>35</v>
      </c>
      <c r="F39" s="20" t="n">
        <f aca="false">IFERROR(INDEX($B$5:$C$173, MATCH($E39, $B$5:$B$175, 0), 2), 0)*investment!$C$2</f>
        <v>0</v>
      </c>
      <c r="G39" s="9" t="n">
        <f aca="false">demand!C37</f>
        <v>0</v>
      </c>
      <c r="H39" s="2" t="n">
        <f aca="false">solgen!C37</f>
        <v>0</v>
      </c>
      <c r="I39" s="2" t="n">
        <f aca="false">import!C37</f>
        <v>0</v>
      </c>
      <c r="J39" s="2" t="n">
        <f aca="false">-export!C37</f>
        <v>-0</v>
      </c>
      <c r="K39" s="2" t="n">
        <f aca="false">-charge!C37</f>
        <v>-0</v>
      </c>
      <c r="L39" s="2" t="n">
        <f aca="false">discharge!C37</f>
        <v>0</v>
      </c>
      <c r="M39" s="2" t="n">
        <f aca="false">soc!C37/investment!$E$2 *100</f>
        <v>30.7000570344053</v>
      </c>
      <c r="N39" s="8" t="n">
        <f aca="false">p_micro!C36</f>
        <v>0</v>
      </c>
    </row>
    <row r="40" customFormat="false" ht="13.8" hidden="false" customHeight="false" outlineLevel="0" collapsed="false">
      <c r="B40" s="14" t="n">
        <f aca="false">_xlfn.NUMBERVALUE(solar!B37)</f>
        <v>67</v>
      </c>
      <c r="C40" s="15" t="n">
        <f aca="false">solar!C37</f>
        <v>0</v>
      </c>
      <c r="D40" s="15" t="n">
        <v>12</v>
      </c>
      <c r="E40" s="9" t="n">
        <v>36</v>
      </c>
      <c r="F40" s="20" t="n">
        <f aca="false">IFERROR(INDEX($B$5:$C$173, MATCH($E40, $B$5:$B$175, 0), 2), 0)*investment!$C$2</f>
        <v>0</v>
      </c>
      <c r="G40" s="9" t="n">
        <f aca="false">demand!C38</f>
        <v>0</v>
      </c>
      <c r="H40" s="2" t="n">
        <f aca="false">solgen!C38</f>
        <v>0</v>
      </c>
      <c r="I40" s="2" t="n">
        <f aca="false">import!C38</f>
        <v>0</v>
      </c>
      <c r="J40" s="2" t="n">
        <f aca="false">-export!C38</f>
        <v>-0</v>
      </c>
      <c r="K40" s="2" t="n">
        <f aca="false">-charge!C38</f>
        <v>-0</v>
      </c>
      <c r="L40" s="2" t="n">
        <f aca="false">discharge!C38</f>
        <v>0</v>
      </c>
      <c r="M40" s="2" t="n">
        <f aca="false">soc!C38/investment!$E$2 *100</f>
        <v>32.3473446661493</v>
      </c>
      <c r="N40" s="8" t="n">
        <f aca="false">p_micro!C37</f>
        <v>0</v>
      </c>
    </row>
    <row r="41" customFormat="false" ht="13.8" hidden="false" customHeight="false" outlineLevel="0" collapsed="false">
      <c r="B41" s="14" t="n">
        <f aca="false">_xlfn.NUMBERVALUE(solar!B38)</f>
        <v>80</v>
      </c>
      <c r="C41" s="15" t="n">
        <f aca="false">solar!C38</f>
        <v>0</v>
      </c>
      <c r="D41" s="15" t="n">
        <v>13</v>
      </c>
      <c r="E41" s="9" t="n">
        <v>37</v>
      </c>
      <c r="F41" s="20" t="n">
        <f aca="false">IFERROR(INDEX($B$5:$C$173, MATCH($E41, $B$5:$B$175, 0), 2), 0)*investment!$C$2</f>
        <v>0</v>
      </c>
      <c r="G41" s="9" t="n">
        <f aca="false">demand!C39</f>
        <v>0</v>
      </c>
      <c r="H41" s="2" t="n">
        <f aca="false">solgen!C39</f>
        <v>0</v>
      </c>
      <c r="I41" s="2" t="n">
        <f aca="false">import!C39</f>
        <v>0</v>
      </c>
      <c r="J41" s="2" t="n">
        <f aca="false">-export!C39</f>
        <v>-0</v>
      </c>
      <c r="K41" s="2" t="n">
        <f aca="false">-charge!C39</f>
        <v>-0</v>
      </c>
      <c r="L41" s="2" t="n">
        <f aca="false">discharge!C39</f>
        <v>0</v>
      </c>
      <c r="M41" s="2" t="n">
        <f aca="false">soc!C39/investment!$E$2 *100</f>
        <v>34.1296807653604</v>
      </c>
      <c r="N41" s="8" t="n">
        <f aca="false">p_micro!C38</f>
        <v>0</v>
      </c>
    </row>
    <row r="42" customFormat="false" ht="13.8" hidden="false" customHeight="false" outlineLevel="0" collapsed="false">
      <c r="B42" s="14" t="n">
        <f aca="false">_xlfn.NUMBERVALUE(solar!B39)</f>
        <v>81</v>
      </c>
      <c r="C42" s="15" t="n">
        <f aca="false">solar!C39</f>
        <v>0</v>
      </c>
      <c r="D42" s="15" t="n">
        <v>14</v>
      </c>
      <c r="E42" s="9" t="n">
        <v>38</v>
      </c>
      <c r="F42" s="20" t="n">
        <f aca="false">IFERROR(INDEX($B$5:$C$173, MATCH($E42, $B$5:$B$175, 0), 2), 0)*investment!$C$2</f>
        <v>0</v>
      </c>
      <c r="G42" s="9" t="n">
        <f aca="false">demand!C40</f>
        <v>0</v>
      </c>
      <c r="H42" s="2" t="n">
        <f aca="false">solgen!C40</f>
        <v>0</v>
      </c>
      <c r="I42" s="2" t="n">
        <f aca="false">import!C40</f>
        <v>0</v>
      </c>
      <c r="J42" s="2" t="n">
        <f aca="false">-export!C40</f>
        <v>-0</v>
      </c>
      <c r="K42" s="2" t="n">
        <f aca="false">-charge!C40</f>
        <v>-0</v>
      </c>
      <c r="L42" s="2" t="n">
        <f aca="false">discharge!C40</f>
        <v>0</v>
      </c>
      <c r="M42" s="2" t="n">
        <f aca="false">soc!C40/investment!$E$2 *100</f>
        <v>37.2713509018619</v>
      </c>
      <c r="N42" s="8" t="n">
        <f aca="false">p_micro!C39</f>
        <v>0</v>
      </c>
    </row>
    <row r="43" customFormat="false" ht="13.8" hidden="false" customHeight="false" outlineLevel="0" collapsed="false">
      <c r="B43" s="14" t="n">
        <f aca="false">_xlfn.NUMBERVALUE(solar!B40)</f>
        <v>82</v>
      </c>
      <c r="C43" s="15" t="n">
        <f aca="false">solar!C40</f>
        <v>0</v>
      </c>
      <c r="D43" s="15" t="n">
        <v>15</v>
      </c>
      <c r="E43" s="9" t="n">
        <v>39</v>
      </c>
      <c r="F43" s="20" t="n">
        <f aca="false">IFERROR(INDEX($B$5:$C$173, MATCH($E43, $B$5:$B$175, 0), 2), 0)*investment!$C$2</f>
        <v>0</v>
      </c>
      <c r="G43" s="9" t="n">
        <f aca="false">demand!C41</f>
        <v>0</v>
      </c>
      <c r="H43" s="2" t="n">
        <f aca="false">solgen!C41</f>
        <v>0</v>
      </c>
      <c r="I43" s="2" t="n">
        <f aca="false">import!C41</f>
        <v>0</v>
      </c>
      <c r="J43" s="2" t="n">
        <f aca="false">-export!C41</f>
        <v>-0</v>
      </c>
      <c r="K43" s="2" t="n">
        <f aca="false">-charge!C41</f>
        <v>-0</v>
      </c>
      <c r="L43" s="2" t="n">
        <f aca="false">discharge!C41</f>
        <v>0</v>
      </c>
      <c r="M43" s="2" t="n">
        <f aca="false">soc!C41/investment!$E$2 *100</f>
        <v>41.4655831404046</v>
      </c>
      <c r="N43" s="8" t="n">
        <f aca="false">p_micro!C40</f>
        <v>0</v>
      </c>
    </row>
    <row r="44" customFormat="false" ht="13.8" hidden="false" customHeight="false" outlineLevel="0" collapsed="false">
      <c r="B44" s="14" t="n">
        <f aca="false">_xlfn.NUMBERVALUE(solar!B41)</f>
        <v>83</v>
      </c>
      <c r="C44" s="15" t="n">
        <f aca="false">solar!C41</f>
        <v>0</v>
      </c>
      <c r="D44" s="15" t="n">
        <v>16</v>
      </c>
      <c r="E44" s="9" t="n">
        <v>40</v>
      </c>
      <c r="F44" s="20" t="n">
        <f aca="false">IFERROR(INDEX($B$5:$C$173, MATCH($E44, $B$5:$B$175, 0), 2), 0)*investment!$C$2</f>
        <v>0</v>
      </c>
      <c r="G44" s="9" t="n">
        <f aca="false">demand!C42</f>
        <v>0</v>
      </c>
      <c r="H44" s="2" t="n">
        <f aca="false">solgen!C42</f>
        <v>0</v>
      </c>
      <c r="I44" s="2" t="n">
        <f aca="false">import!C42</f>
        <v>0</v>
      </c>
      <c r="J44" s="2" t="n">
        <f aca="false">-export!C42</f>
        <v>-0</v>
      </c>
      <c r="K44" s="2" t="n">
        <f aca="false">-charge!C42</f>
        <v>-0</v>
      </c>
      <c r="L44" s="2" t="n">
        <f aca="false">discharge!C42</f>
        <v>0</v>
      </c>
      <c r="M44" s="2" t="n">
        <f aca="false">soc!C42/investment!$E$2 *100</f>
        <v>47.088381473815</v>
      </c>
      <c r="N44" s="8" t="n">
        <f aca="false">p_micro!C41</f>
        <v>0</v>
      </c>
    </row>
    <row r="45" customFormat="false" ht="13.8" hidden="false" customHeight="false" outlineLevel="0" collapsed="false">
      <c r="B45" s="14" t="n">
        <f aca="false">_xlfn.NUMBERVALUE(solar!B42)</f>
        <v>84</v>
      </c>
      <c r="C45" s="15" t="n">
        <f aca="false">solar!C42</f>
        <v>0</v>
      </c>
      <c r="D45" s="15" t="n">
        <v>17</v>
      </c>
      <c r="E45" s="9" t="n">
        <v>41</v>
      </c>
      <c r="F45" s="20" t="n">
        <f aca="false">IFERROR(INDEX($B$5:$C$173, MATCH($E45, $B$5:$B$175, 0), 2), 0)*investment!$C$2</f>
        <v>0</v>
      </c>
      <c r="G45" s="9" t="n">
        <f aca="false">demand!C43</f>
        <v>0</v>
      </c>
      <c r="H45" s="2" t="n">
        <f aca="false">solgen!C43</f>
        <v>0</v>
      </c>
      <c r="I45" s="2" t="n">
        <f aca="false">import!C43</f>
        <v>0</v>
      </c>
      <c r="J45" s="2" t="n">
        <f aca="false">-export!C43</f>
        <v>-0</v>
      </c>
      <c r="K45" s="2" t="n">
        <f aca="false">-charge!C43</f>
        <v>-0</v>
      </c>
      <c r="L45" s="2" t="n">
        <f aca="false">discharge!C43</f>
        <v>0</v>
      </c>
      <c r="M45" s="2" t="n">
        <f aca="false">soc!C43/investment!$E$2 *100</f>
        <v>54.4049317401249</v>
      </c>
      <c r="N45" s="8" t="n">
        <f aca="false">p_micro!C42</f>
        <v>0</v>
      </c>
    </row>
    <row r="46" customFormat="false" ht="13.8" hidden="false" customHeight="false" outlineLevel="0" collapsed="false">
      <c r="B46" s="14" t="n">
        <f aca="false">_xlfn.NUMBERVALUE(solar!B43)</f>
        <v>85</v>
      </c>
      <c r="C46" s="15" t="n">
        <f aca="false">solar!C43</f>
        <v>0</v>
      </c>
      <c r="D46" s="15" t="n">
        <v>18</v>
      </c>
      <c r="E46" s="9" t="n">
        <v>42</v>
      </c>
      <c r="F46" s="20" t="n">
        <f aca="false">IFERROR(INDEX($B$5:$C$173, MATCH($E46, $B$5:$B$175, 0), 2), 0)*investment!$C$2</f>
        <v>0</v>
      </c>
      <c r="G46" s="9" t="n">
        <f aca="false">demand!C44</f>
        <v>0</v>
      </c>
      <c r="H46" s="2" t="n">
        <f aca="false">solgen!C44</f>
        <v>0</v>
      </c>
      <c r="I46" s="2" t="n">
        <f aca="false">import!C44</f>
        <v>0</v>
      </c>
      <c r="J46" s="2" t="n">
        <f aca="false">-export!C44</f>
        <v>-0</v>
      </c>
      <c r="K46" s="2" t="n">
        <f aca="false">-charge!C44</f>
        <v>-0</v>
      </c>
      <c r="L46" s="2" t="n">
        <f aca="false">discharge!C44</f>
        <v>0</v>
      </c>
      <c r="M46" s="2" t="n">
        <f aca="false">soc!C44/investment!$E$2 *100</f>
        <v>62.0060740585009</v>
      </c>
      <c r="N46" s="8" t="n">
        <f aca="false">p_micro!C43</f>
        <v>0</v>
      </c>
    </row>
    <row r="47" customFormat="false" ht="13.8" hidden="false" customHeight="false" outlineLevel="0" collapsed="false">
      <c r="B47" s="14" t="n">
        <f aca="false">_xlfn.NUMBERVALUE(solar!B44)</f>
        <v>86</v>
      </c>
      <c r="C47" s="15" t="n">
        <f aca="false">solar!C44</f>
        <v>0</v>
      </c>
      <c r="D47" s="15" t="n">
        <v>19</v>
      </c>
      <c r="E47" s="9" t="n">
        <v>43</v>
      </c>
      <c r="F47" s="20" t="n">
        <f aca="false">IFERROR(INDEX($B$5:$C$173, MATCH($E47, $B$5:$B$175, 0), 2), 0)*investment!$C$2</f>
        <v>0</v>
      </c>
      <c r="G47" s="9" t="n">
        <f aca="false">demand!C45</f>
        <v>0</v>
      </c>
      <c r="H47" s="2" t="n">
        <f aca="false">solgen!C45</f>
        <v>0</v>
      </c>
      <c r="I47" s="2" t="n">
        <f aca="false">import!C45</f>
        <v>0</v>
      </c>
      <c r="J47" s="2" t="n">
        <f aca="false">-export!C45</f>
        <v>-0</v>
      </c>
      <c r="K47" s="2" t="n">
        <f aca="false">-charge!C45</f>
        <v>-0</v>
      </c>
      <c r="L47" s="2" t="n">
        <f aca="false">discharge!C45</f>
        <v>0</v>
      </c>
      <c r="M47" s="2" t="n">
        <f aca="false">soc!C45/investment!$E$2 *100</f>
        <v>68.9188958472939</v>
      </c>
      <c r="N47" s="8" t="n">
        <f aca="false">p_micro!C44</f>
        <v>0</v>
      </c>
    </row>
    <row r="48" customFormat="false" ht="13.8" hidden="false" customHeight="false" outlineLevel="0" collapsed="false">
      <c r="B48" s="14" t="n">
        <f aca="false">_xlfn.NUMBERVALUE(solar!B45)</f>
        <v>87</v>
      </c>
      <c r="C48" s="15" t="n">
        <f aca="false">solar!C45</f>
        <v>0</v>
      </c>
      <c r="D48" s="15" t="n">
        <v>20</v>
      </c>
      <c r="E48" s="9" t="n">
        <v>44</v>
      </c>
      <c r="F48" s="20" t="n">
        <f aca="false">IFERROR(INDEX($B$5:$C$173, MATCH($E48, $B$5:$B$175, 0), 2), 0)*investment!$C$2</f>
        <v>0</v>
      </c>
      <c r="G48" s="9" t="n">
        <f aca="false">demand!C46</f>
        <v>0</v>
      </c>
      <c r="H48" s="2" t="n">
        <f aca="false">solgen!C46</f>
        <v>0</v>
      </c>
      <c r="I48" s="2" t="n">
        <f aca="false">import!C46</f>
        <v>0</v>
      </c>
      <c r="J48" s="2" t="n">
        <f aca="false">-export!C46</f>
        <v>-0</v>
      </c>
      <c r="K48" s="2" t="n">
        <f aca="false">-charge!C46</f>
        <v>-0</v>
      </c>
      <c r="L48" s="2" t="n">
        <f aca="false">discharge!C46</f>
        <v>0</v>
      </c>
      <c r="M48" s="2" t="n">
        <f aca="false">soc!C46/investment!$E$2 *100</f>
        <v>76.4005157481144</v>
      </c>
      <c r="N48" s="8" t="n">
        <f aca="false">p_micro!C45</f>
        <v>0</v>
      </c>
    </row>
    <row r="49" customFormat="false" ht="13.8" hidden="false" customHeight="false" outlineLevel="0" collapsed="false">
      <c r="B49" s="14" t="n">
        <f aca="false">_xlfn.NUMBERVALUE(solar!B46)</f>
        <v>88</v>
      </c>
      <c r="C49" s="15" t="n">
        <f aca="false">solar!C46</f>
        <v>0</v>
      </c>
      <c r="D49" s="15" t="n">
        <v>21</v>
      </c>
      <c r="E49" s="9" t="n">
        <v>45</v>
      </c>
      <c r="F49" s="20" t="n">
        <f aca="false">IFERROR(INDEX($B$5:$C$173, MATCH($E49, $B$5:$B$175, 0), 2), 0)*investment!$C$2</f>
        <v>0</v>
      </c>
      <c r="G49" s="9" t="n">
        <f aca="false">demand!C47</f>
        <v>0</v>
      </c>
      <c r="H49" s="2" t="n">
        <f aca="false">solgen!C47</f>
        <v>0</v>
      </c>
      <c r="I49" s="2" t="n">
        <f aca="false">import!C47</f>
        <v>0</v>
      </c>
      <c r="J49" s="2" t="n">
        <f aca="false">-export!C47</f>
        <v>-0</v>
      </c>
      <c r="K49" s="2" t="n">
        <f aca="false">-charge!C47</f>
        <v>-0</v>
      </c>
      <c r="L49" s="2" t="n">
        <f aca="false">discharge!C47</f>
        <v>0</v>
      </c>
      <c r="M49" s="2" t="n">
        <f aca="false">soc!C47/investment!$E$2 *100</f>
        <v>83.3307731140256</v>
      </c>
      <c r="N49" s="8" t="n">
        <f aca="false">p_micro!C46</f>
        <v>0</v>
      </c>
    </row>
    <row r="50" customFormat="false" ht="13.8" hidden="false" customHeight="false" outlineLevel="0" collapsed="false">
      <c r="B50" s="14" t="n">
        <f aca="false">_xlfn.NUMBERVALUE(solar!B47)</f>
        <v>89</v>
      </c>
      <c r="C50" s="15" t="n">
        <f aca="false">solar!C47</f>
        <v>0</v>
      </c>
      <c r="D50" s="15" t="n">
        <v>22</v>
      </c>
      <c r="E50" s="9" t="n">
        <v>46</v>
      </c>
      <c r="F50" s="20" t="n">
        <f aca="false">IFERROR(INDEX($B$5:$C$173, MATCH($E50, $B$5:$B$175, 0), 2), 0)*investment!$C$2</f>
        <v>0</v>
      </c>
      <c r="G50" s="9" t="n">
        <f aca="false">demand!C48</f>
        <v>0</v>
      </c>
      <c r="H50" s="2" t="n">
        <f aca="false">solgen!C48</f>
        <v>0</v>
      </c>
      <c r="I50" s="2" t="n">
        <f aca="false">import!C48</f>
        <v>0</v>
      </c>
      <c r="J50" s="2" t="n">
        <f aca="false">-export!C48</f>
        <v>-0</v>
      </c>
      <c r="K50" s="2" t="n">
        <f aca="false">-charge!C48</f>
        <v>-0</v>
      </c>
      <c r="L50" s="2" t="n">
        <f aca="false">discharge!C48</f>
        <v>0</v>
      </c>
      <c r="M50" s="2" t="n">
        <f aca="false">soc!C48/investment!$E$2 *100</f>
        <v>90.9238390102069</v>
      </c>
      <c r="N50" s="8" t="n">
        <f aca="false">p_micro!C47</f>
        <v>0</v>
      </c>
    </row>
    <row r="51" customFormat="false" ht="13.8" hidden="false" customHeight="false" outlineLevel="0" collapsed="false">
      <c r="B51" s="14" t="n">
        <f aca="false">_xlfn.NUMBERVALUE(solar!B48)</f>
        <v>90</v>
      </c>
      <c r="C51" s="15" t="n">
        <f aca="false">solar!C48</f>
        <v>0</v>
      </c>
      <c r="D51" s="15" t="n">
        <v>23</v>
      </c>
      <c r="E51" s="9" t="n">
        <v>47</v>
      </c>
      <c r="F51" s="20" t="n">
        <f aca="false">IFERROR(INDEX($B$5:$C$173, MATCH($E51, $B$5:$B$175, 0), 2), 0)*investment!$C$2</f>
        <v>0</v>
      </c>
      <c r="G51" s="9" t="n">
        <f aca="false">demand!C49</f>
        <v>0</v>
      </c>
      <c r="H51" s="2" t="n">
        <f aca="false">solgen!C49</f>
        <v>0</v>
      </c>
      <c r="I51" s="2" t="n">
        <f aca="false">import!C49</f>
        <v>0</v>
      </c>
      <c r="J51" s="2" t="n">
        <f aca="false">-export!C49</f>
        <v>-0</v>
      </c>
      <c r="K51" s="2" t="n">
        <f aca="false">-charge!C49</f>
        <v>-0</v>
      </c>
      <c r="L51" s="2" t="n">
        <f aca="false">discharge!C49</f>
        <v>0</v>
      </c>
      <c r="M51" s="2" t="n">
        <f aca="false">soc!C49/investment!$E$2 *100</f>
        <v>98.9362777068105</v>
      </c>
      <c r="N51" s="8" t="n">
        <f aca="false">p_micro!C48</f>
        <v>0</v>
      </c>
    </row>
    <row r="52" customFormat="false" ht="13.8" hidden="false" customHeight="false" outlineLevel="0" collapsed="false">
      <c r="B52" s="14" t="n">
        <f aca="false">_xlfn.NUMBERVALUE(solar!B49)</f>
        <v>91</v>
      </c>
      <c r="C52" s="15" t="n">
        <f aca="false">solar!C49</f>
        <v>0</v>
      </c>
      <c r="D52" s="15" t="n">
        <v>24</v>
      </c>
      <c r="E52" s="9" t="n">
        <v>48</v>
      </c>
      <c r="F52" s="20" t="n">
        <f aca="false">IFERROR(INDEX($B$5:$C$173, MATCH($E52, $B$5:$B$175, 0), 2), 0)*investment!$C$2</f>
        <v>0</v>
      </c>
      <c r="G52" s="9" t="n">
        <f aca="false">demand!C50</f>
        <v>0</v>
      </c>
      <c r="H52" s="2" t="n">
        <f aca="false">solgen!C50</f>
        <v>0</v>
      </c>
      <c r="I52" s="2" t="n">
        <f aca="false">import!C50</f>
        <v>0</v>
      </c>
      <c r="J52" s="2" t="n">
        <f aca="false">-export!C50</f>
        <v>-0</v>
      </c>
      <c r="K52" s="2" t="n">
        <f aca="false">-charge!C50</f>
        <v>-0</v>
      </c>
      <c r="L52" s="2" t="n">
        <f aca="false">discharge!C50</f>
        <v>0</v>
      </c>
      <c r="M52" s="2" t="n">
        <f aca="false">soc!C50/investment!$E$2 *100</f>
        <v>98.9352883440334</v>
      </c>
      <c r="N52" s="8" t="n">
        <f aca="false">p_micro!C49</f>
        <v>0</v>
      </c>
    </row>
    <row r="53" customFormat="false" ht="13.8" hidden="false" customHeight="false" outlineLevel="0" collapsed="false">
      <c r="B53" s="14" t="n">
        <f aca="false">_xlfn.NUMBERVALUE(solar!B50)</f>
        <v>104</v>
      </c>
      <c r="C53" s="15" t="n">
        <f aca="false">solar!C50</f>
        <v>0</v>
      </c>
      <c r="D53" s="15" t="n">
        <v>1</v>
      </c>
      <c r="E53" s="9" t="n">
        <v>49</v>
      </c>
      <c r="F53" s="20" t="n">
        <f aca="false">IFERROR(INDEX($B$5:$C$173, MATCH($E53, $B$5:$B$175, 0), 2), 0)*investment!$C$2</f>
        <v>0</v>
      </c>
      <c r="G53" s="9" t="n">
        <f aca="false">demand!C51</f>
        <v>0</v>
      </c>
      <c r="H53" s="2" t="n">
        <f aca="false">solgen!C51</f>
        <v>0</v>
      </c>
      <c r="I53" s="2" t="n">
        <f aca="false">import!C51</f>
        <v>0</v>
      </c>
      <c r="J53" s="2" t="n">
        <f aca="false">-export!C51</f>
        <v>-0</v>
      </c>
      <c r="K53" s="2" t="n">
        <f aca="false">-charge!C51</f>
        <v>-0</v>
      </c>
      <c r="L53" s="2" t="n">
        <f aca="false">discharge!C51</f>
        <v>0</v>
      </c>
      <c r="M53" s="2" t="n">
        <f aca="false">soc!C51/investment!$E$2 *100</f>
        <v>98.93429899115</v>
      </c>
      <c r="N53" s="8" t="n">
        <f aca="false">p_micro!C50</f>
        <v>0</v>
      </c>
    </row>
    <row r="54" customFormat="false" ht="13.8" hidden="false" customHeight="false" outlineLevel="0" collapsed="false">
      <c r="B54" s="14" t="n">
        <f aca="false">_xlfn.NUMBERVALUE(solar!B51)</f>
        <v>105</v>
      </c>
      <c r="C54" s="15" t="n">
        <f aca="false">solar!C51</f>
        <v>0</v>
      </c>
      <c r="D54" s="15" t="n">
        <v>2</v>
      </c>
      <c r="E54" s="9" t="n">
        <v>50</v>
      </c>
      <c r="F54" s="20" t="n">
        <f aca="false">IFERROR(INDEX($B$5:$C$173, MATCH($E54, $B$5:$B$175, 0), 2), 0)*investment!$C$2</f>
        <v>0</v>
      </c>
      <c r="G54" s="9" t="n">
        <f aca="false">demand!C52</f>
        <v>0</v>
      </c>
      <c r="H54" s="2" t="n">
        <f aca="false">solgen!C52</f>
        <v>0</v>
      </c>
      <c r="I54" s="2" t="n">
        <f aca="false">import!C52</f>
        <v>0</v>
      </c>
      <c r="J54" s="2" t="n">
        <f aca="false">-export!C52</f>
        <v>-0</v>
      </c>
      <c r="K54" s="2" t="n">
        <f aca="false">-charge!C52</f>
        <v>-0</v>
      </c>
      <c r="L54" s="2" t="n">
        <f aca="false">discharge!C52</f>
        <v>0</v>
      </c>
      <c r="M54" s="2" t="n">
        <f aca="false">soc!C52/investment!$E$2 *100</f>
        <v>98.9333096481601</v>
      </c>
      <c r="N54" s="8" t="n">
        <f aca="false">p_micro!C51</f>
        <v>0</v>
      </c>
    </row>
    <row r="55" customFormat="false" ht="13.8" hidden="false" customHeight="false" outlineLevel="0" collapsed="false">
      <c r="B55" s="14" t="n">
        <f aca="false">_xlfn.NUMBERVALUE(solar!B52)</f>
        <v>106</v>
      </c>
      <c r="C55" s="15" t="n">
        <f aca="false">solar!C52</f>
        <v>0</v>
      </c>
      <c r="D55" s="15" t="n">
        <v>3</v>
      </c>
      <c r="E55" s="9" t="n">
        <v>51</v>
      </c>
      <c r="F55" s="20" t="n">
        <f aca="false">IFERROR(INDEX($B$5:$C$173, MATCH($E55, $B$5:$B$175, 0), 2), 0)*investment!$C$2</f>
        <v>0</v>
      </c>
      <c r="G55" s="9" t="n">
        <f aca="false">demand!C53</f>
        <v>0</v>
      </c>
      <c r="H55" s="2" t="n">
        <f aca="false">solgen!C53</f>
        <v>0</v>
      </c>
      <c r="I55" s="2" t="n">
        <f aca="false">import!C53</f>
        <v>0</v>
      </c>
      <c r="J55" s="2" t="n">
        <f aca="false">-export!C53</f>
        <v>-0</v>
      </c>
      <c r="K55" s="2" t="n">
        <f aca="false">-charge!C53</f>
        <v>-0</v>
      </c>
      <c r="L55" s="2" t="n">
        <f aca="false">discharge!C53</f>
        <v>0</v>
      </c>
      <c r="M55" s="2" t="n">
        <f aca="false">soc!C53/investment!$E$2 *100</f>
        <v>98.9323203150636</v>
      </c>
      <c r="N55" s="8" t="n">
        <f aca="false">p_micro!C52</f>
        <v>0</v>
      </c>
    </row>
    <row r="56" customFormat="false" ht="13.8" hidden="false" customHeight="false" outlineLevel="0" collapsed="false">
      <c r="B56" s="14" t="n">
        <f aca="false">_xlfn.NUMBERVALUE(solar!B53)</f>
        <v>107</v>
      </c>
      <c r="C56" s="15" t="n">
        <f aca="false">solar!C53</f>
        <v>0</v>
      </c>
      <c r="D56" s="15" t="n">
        <v>4</v>
      </c>
      <c r="E56" s="9" t="n">
        <v>52</v>
      </c>
      <c r="F56" s="20" t="n">
        <f aca="false">IFERROR(INDEX($B$5:$C$173, MATCH($E56, $B$5:$B$175, 0), 2), 0)*investment!$C$2</f>
        <v>0</v>
      </c>
      <c r="G56" s="9" t="n">
        <f aca="false">demand!C54</f>
        <v>0</v>
      </c>
      <c r="H56" s="2" t="n">
        <f aca="false">solgen!C54</f>
        <v>0</v>
      </c>
      <c r="I56" s="2" t="n">
        <f aca="false">import!C54</f>
        <v>0</v>
      </c>
      <c r="J56" s="2" t="n">
        <f aca="false">-export!C54</f>
        <v>-0</v>
      </c>
      <c r="K56" s="2" t="n">
        <f aca="false">-charge!C54</f>
        <v>-0</v>
      </c>
      <c r="L56" s="2" t="n">
        <f aca="false">discharge!C54</f>
        <v>0</v>
      </c>
      <c r="M56" s="2" t="n">
        <f aca="false">soc!C54/investment!$E$2 *100</f>
        <v>98.9313309918605</v>
      </c>
      <c r="N56" s="8" t="n">
        <f aca="false">p_micro!C53</f>
        <v>0</v>
      </c>
    </row>
    <row r="57" customFormat="false" ht="13.8" hidden="false" customHeight="false" outlineLevel="0" collapsed="false">
      <c r="B57" s="14" t="n">
        <f aca="false">_xlfn.NUMBERVALUE(solar!B54)</f>
        <v>108</v>
      </c>
      <c r="C57" s="15" t="n">
        <f aca="false">solar!C54</f>
        <v>0</v>
      </c>
      <c r="D57" s="15" t="n">
        <v>5</v>
      </c>
      <c r="E57" s="9" t="n">
        <v>53</v>
      </c>
      <c r="F57" s="20" t="n">
        <f aca="false">IFERROR(INDEX($B$5:$C$173, MATCH($E57, $B$5:$B$175, 0), 2), 0)*investment!$C$2</f>
        <v>0</v>
      </c>
      <c r="G57" s="9" t="n">
        <f aca="false">demand!C55</f>
        <v>0</v>
      </c>
      <c r="H57" s="2" t="n">
        <f aca="false">solgen!C55</f>
        <v>0</v>
      </c>
      <c r="I57" s="2" t="n">
        <f aca="false">import!C55</f>
        <v>0</v>
      </c>
      <c r="J57" s="2" t="n">
        <f aca="false">-export!C55</f>
        <v>-0</v>
      </c>
      <c r="K57" s="2" t="n">
        <f aca="false">-charge!C55</f>
        <v>-0</v>
      </c>
      <c r="L57" s="2" t="n">
        <f aca="false">discharge!C55</f>
        <v>0</v>
      </c>
      <c r="M57" s="2" t="n">
        <f aca="false">soc!C55/investment!$E$2 *100</f>
        <v>98.9303416785505</v>
      </c>
      <c r="N57" s="8" t="n">
        <f aca="false">p_micro!C54</f>
        <v>0</v>
      </c>
    </row>
    <row r="58" customFormat="false" ht="13.8" hidden="false" customHeight="false" outlineLevel="0" collapsed="false">
      <c r="B58" s="14" t="n">
        <f aca="false">_xlfn.NUMBERVALUE(solar!B55)</f>
        <v>109</v>
      </c>
      <c r="C58" s="15" t="n">
        <f aca="false">solar!C55</f>
        <v>0</v>
      </c>
      <c r="D58" s="15" t="n">
        <v>6</v>
      </c>
      <c r="E58" s="9" t="n">
        <v>54</v>
      </c>
      <c r="F58" s="20" t="n">
        <f aca="false">IFERROR(INDEX($B$5:$C$173, MATCH($E58, $B$5:$B$175, 0), 2), 0)*investment!$C$2</f>
        <v>0</v>
      </c>
      <c r="G58" s="9" t="n">
        <f aca="false">demand!C56</f>
        <v>0</v>
      </c>
      <c r="H58" s="2" t="n">
        <f aca="false">solgen!C56</f>
        <v>0</v>
      </c>
      <c r="I58" s="2" t="n">
        <f aca="false">import!C56</f>
        <v>0</v>
      </c>
      <c r="J58" s="2" t="n">
        <f aca="false">-export!C56</f>
        <v>-0</v>
      </c>
      <c r="K58" s="2" t="n">
        <f aca="false">-charge!C56</f>
        <v>-0</v>
      </c>
      <c r="L58" s="2" t="n">
        <f aca="false">discharge!C56</f>
        <v>0</v>
      </c>
      <c r="M58" s="2" t="n">
        <f aca="false">soc!C56/investment!$E$2 *100</f>
        <v>98.9293523751338</v>
      </c>
      <c r="N58" s="8" t="n">
        <f aca="false">p_micro!C55</f>
        <v>0</v>
      </c>
    </row>
    <row r="59" customFormat="false" ht="13.8" hidden="false" customHeight="false" outlineLevel="0" collapsed="false">
      <c r="B59" s="14" t="n">
        <f aca="false">_xlfn.NUMBERVALUE(solar!B56)</f>
        <v>110</v>
      </c>
      <c r="C59" s="15" t="n">
        <f aca="false">solar!C56</f>
        <v>0</v>
      </c>
      <c r="D59" s="15" t="n">
        <v>7</v>
      </c>
      <c r="E59" s="9" t="n">
        <v>55</v>
      </c>
      <c r="F59" s="20" t="n">
        <f aca="false">IFERROR(INDEX($B$5:$C$173, MATCH($E59, $B$5:$B$175, 0), 2), 0)*investment!$C$2</f>
        <v>0</v>
      </c>
      <c r="G59" s="9" t="n">
        <f aca="false">demand!C57</f>
        <v>0</v>
      </c>
      <c r="H59" s="2" t="n">
        <f aca="false">solgen!C57</f>
        <v>0</v>
      </c>
      <c r="I59" s="2" t="n">
        <f aca="false">import!C57</f>
        <v>0</v>
      </c>
      <c r="J59" s="2" t="n">
        <f aca="false">-export!C57</f>
        <v>-0</v>
      </c>
      <c r="K59" s="2" t="n">
        <f aca="false">-charge!C57</f>
        <v>-0</v>
      </c>
      <c r="L59" s="2" t="n">
        <f aca="false">discharge!C57</f>
        <v>0</v>
      </c>
      <c r="M59" s="2" t="n">
        <f aca="false">soc!C57/investment!$E$2 *100</f>
        <v>98.92836308161</v>
      </c>
      <c r="N59" s="8" t="n">
        <f aca="false">p_micro!C56</f>
        <v>0</v>
      </c>
    </row>
    <row r="60" customFormat="false" ht="13.8" hidden="false" customHeight="false" outlineLevel="0" collapsed="false">
      <c r="B60" s="14" t="n">
        <f aca="false">_xlfn.NUMBERVALUE(solar!B57)</f>
        <v>111</v>
      </c>
      <c r="C60" s="15" t="n">
        <f aca="false">solar!C57</f>
        <v>0</v>
      </c>
      <c r="D60" s="15" t="n">
        <v>8</v>
      </c>
      <c r="E60" s="9" t="n">
        <v>56</v>
      </c>
      <c r="F60" s="20" t="n">
        <f aca="false">IFERROR(INDEX($B$5:$C$173, MATCH($E60, $B$5:$B$175, 0), 2), 0)*investment!$C$2</f>
        <v>0</v>
      </c>
      <c r="G60" s="9" t="n">
        <f aca="false">demand!C58</f>
        <v>0</v>
      </c>
      <c r="H60" s="2" t="n">
        <f aca="false">solgen!C58</f>
        <v>0</v>
      </c>
      <c r="I60" s="2" t="n">
        <f aca="false">import!C58</f>
        <v>0</v>
      </c>
      <c r="J60" s="2" t="n">
        <f aca="false">-export!C58</f>
        <v>-0</v>
      </c>
      <c r="K60" s="2" t="n">
        <f aca="false">-charge!C58</f>
        <v>-0</v>
      </c>
      <c r="L60" s="2" t="n">
        <f aca="false">discharge!C58</f>
        <v>0</v>
      </c>
      <c r="M60" s="2" t="n">
        <f aca="false">soc!C58/investment!$E$2 *100</f>
        <v>98.9273737979792</v>
      </c>
      <c r="N60" s="8" t="n">
        <f aca="false">p_micro!C57</f>
        <v>0</v>
      </c>
    </row>
    <row r="61" customFormat="false" ht="13.8" hidden="false" customHeight="false" outlineLevel="0" collapsed="false">
      <c r="B61" s="14" t="n">
        <f aca="false">_xlfn.NUMBERVALUE(solar!B58)</f>
        <v>112</v>
      </c>
      <c r="C61" s="15" t="n">
        <f aca="false">solar!C58</f>
        <v>0</v>
      </c>
      <c r="D61" s="15" t="n">
        <v>9</v>
      </c>
      <c r="E61" s="9" t="n">
        <v>57</v>
      </c>
      <c r="F61" s="20" t="n">
        <f aca="false">IFERROR(INDEX($B$5:$C$173, MATCH($E61, $B$5:$B$175, 0), 2), 0)*investment!$C$2</f>
        <v>0</v>
      </c>
      <c r="G61" s="9" t="n">
        <f aca="false">demand!C59</f>
        <v>0</v>
      </c>
      <c r="H61" s="2" t="n">
        <f aca="false">solgen!C59</f>
        <v>0</v>
      </c>
      <c r="I61" s="2" t="n">
        <f aca="false">import!C59</f>
        <v>0</v>
      </c>
      <c r="J61" s="2" t="n">
        <f aca="false">-export!C59</f>
        <v>-0</v>
      </c>
      <c r="K61" s="2" t="n">
        <f aca="false">-charge!C59</f>
        <v>-0</v>
      </c>
      <c r="L61" s="2" t="n">
        <f aca="false">discharge!C59</f>
        <v>0</v>
      </c>
      <c r="M61" s="2" t="n">
        <f aca="false">soc!C59/investment!$E$2 *100</f>
        <v>98.9263845242412</v>
      </c>
      <c r="N61" s="8" t="n">
        <f aca="false">p_micro!C58</f>
        <v>0</v>
      </c>
    </row>
    <row r="62" customFormat="false" ht="13.8" hidden="false" customHeight="false" outlineLevel="0" collapsed="false">
      <c r="B62" s="14" t="n">
        <f aca="false">_xlfn.NUMBERVALUE(solar!B59)</f>
        <v>113</v>
      </c>
      <c r="C62" s="15" t="n">
        <f aca="false">solar!C59</f>
        <v>0</v>
      </c>
      <c r="D62" s="15" t="n">
        <v>10</v>
      </c>
      <c r="E62" s="9" t="n">
        <v>58</v>
      </c>
      <c r="F62" s="20" t="n">
        <f aca="false">IFERROR(INDEX($B$5:$C$173, MATCH($E62, $B$5:$B$175, 0), 2), 0)*investment!$C$2</f>
        <v>0</v>
      </c>
      <c r="G62" s="9" t="n">
        <f aca="false">demand!C60</f>
        <v>0</v>
      </c>
      <c r="H62" s="2" t="n">
        <f aca="false">solgen!C60</f>
        <v>0</v>
      </c>
      <c r="I62" s="2" t="n">
        <f aca="false">import!C60</f>
        <v>0</v>
      </c>
      <c r="J62" s="2" t="n">
        <f aca="false">-export!C60</f>
        <v>-0</v>
      </c>
      <c r="K62" s="2" t="n">
        <f aca="false">-charge!C60</f>
        <v>-0</v>
      </c>
      <c r="L62" s="2" t="n">
        <f aca="false">discharge!C60</f>
        <v>0</v>
      </c>
      <c r="M62" s="2" t="n">
        <f aca="false">soc!C60/investment!$E$2 *100</f>
        <v>98.925395260396</v>
      </c>
      <c r="N62" s="8" t="n">
        <f aca="false">p_micro!C59</f>
        <v>0</v>
      </c>
    </row>
    <row r="63" customFormat="false" ht="13.8" hidden="false" customHeight="false" outlineLevel="0" collapsed="false">
      <c r="B63" s="14" t="n">
        <f aca="false">_xlfn.NUMBERVALUE(solar!B60)</f>
        <v>114</v>
      </c>
      <c r="C63" s="15" t="n">
        <f aca="false">solar!C60</f>
        <v>0</v>
      </c>
      <c r="D63" s="15" t="n">
        <v>11</v>
      </c>
      <c r="E63" s="9" t="n">
        <v>59</v>
      </c>
      <c r="F63" s="20" t="n">
        <f aca="false">IFERROR(INDEX($B$5:$C$173, MATCH($E63, $B$5:$B$175, 0), 2), 0)*investment!$C$2</f>
        <v>0</v>
      </c>
      <c r="G63" s="9" t="n">
        <f aca="false">demand!C61</f>
        <v>0</v>
      </c>
      <c r="H63" s="2" t="n">
        <f aca="false">solgen!C61</f>
        <v>0</v>
      </c>
      <c r="I63" s="2" t="n">
        <f aca="false">import!C61</f>
        <v>0</v>
      </c>
      <c r="J63" s="2" t="n">
        <f aca="false">-export!C61</f>
        <v>-0</v>
      </c>
      <c r="K63" s="2" t="n">
        <f aca="false">-charge!C61</f>
        <v>-0</v>
      </c>
      <c r="L63" s="2" t="n">
        <f aca="false">discharge!C61</f>
        <v>0</v>
      </c>
      <c r="M63" s="2" t="n">
        <f aca="false">soc!C61/investment!$E$2 *100</f>
        <v>98.9244060064434</v>
      </c>
      <c r="N63" s="8" t="n">
        <f aca="false">p_micro!C60</f>
        <v>0</v>
      </c>
    </row>
    <row r="64" customFormat="false" ht="13.8" hidden="false" customHeight="false" outlineLevel="0" collapsed="false">
      <c r="B64" s="14" t="n">
        <f aca="false">_xlfn.NUMBERVALUE(solar!B61)</f>
        <v>115</v>
      </c>
      <c r="C64" s="15" t="n">
        <f aca="false">solar!C61</f>
        <v>0</v>
      </c>
      <c r="D64" s="15" t="n">
        <v>12</v>
      </c>
      <c r="E64" s="9" t="n">
        <v>60</v>
      </c>
      <c r="F64" s="20" t="n">
        <f aca="false">IFERROR(INDEX($B$5:$C$173, MATCH($E64, $B$5:$B$175, 0), 2), 0)*investment!$C$2</f>
        <v>0</v>
      </c>
      <c r="G64" s="9" t="n">
        <f aca="false">demand!C62</f>
        <v>0</v>
      </c>
      <c r="H64" s="2" t="n">
        <f aca="false">solgen!C62</f>
        <v>0</v>
      </c>
      <c r="I64" s="2" t="n">
        <f aca="false">import!C62</f>
        <v>0</v>
      </c>
      <c r="J64" s="2" t="n">
        <f aca="false">-export!C62</f>
        <v>-0</v>
      </c>
      <c r="K64" s="2" t="n">
        <f aca="false">-charge!C62</f>
        <v>-0</v>
      </c>
      <c r="L64" s="2" t="n">
        <f aca="false">discharge!C62</f>
        <v>0</v>
      </c>
      <c r="M64" s="2" t="n">
        <f aca="false">soc!C62/investment!$E$2 *100</f>
        <v>98.9234167623833</v>
      </c>
      <c r="N64" s="8" t="n">
        <f aca="false">p_micro!C61</f>
        <v>0</v>
      </c>
    </row>
    <row r="65" customFormat="false" ht="13.8" hidden="false" customHeight="false" outlineLevel="0" collapsed="false">
      <c r="B65" s="14" t="n">
        <f aca="false">_xlfn.NUMBERVALUE(solar!B62)</f>
        <v>128</v>
      </c>
      <c r="C65" s="15" t="n">
        <f aca="false">solar!C62</f>
        <v>0</v>
      </c>
      <c r="D65" s="15" t="n">
        <v>13</v>
      </c>
      <c r="E65" s="9" t="n">
        <v>61</v>
      </c>
      <c r="F65" s="20" t="n">
        <f aca="false">IFERROR(INDEX($B$5:$C$173, MATCH($E65, $B$5:$B$175, 0), 2), 0)*investment!$C$2</f>
        <v>0</v>
      </c>
      <c r="G65" s="9" t="n">
        <f aca="false">demand!C63</f>
        <v>0</v>
      </c>
      <c r="H65" s="2" t="n">
        <f aca="false">solgen!C63</f>
        <v>0</v>
      </c>
      <c r="I65" s="2" t="n">
        <f aca="false">import!C63</f>
        <v>0</v>
      </c>
      <c r="J65" s="2" t="n">
        <f aca="false">-export!C63</f>
        <v>-0</v>
      </c>
      <c r="K65" s="2" t="n">
        <f aca="false">-charge!C63</f>
        <v>-0</v>
      </c>
      <c r="L65" s="2" t="n">
        <f aca="false">discharge!C63</f>
        <v>0</v>
      </c>
      <c r="M65" s="2" t="n">
        <f aca="false">soc!C63/investment!$E$2 *100</f>
        <v>98.9224275282157</v>
      </c>
      <c r="N65" s="8" t="n">
        <f aca="false">p_micro!C62</f>
        <v>0</v>
      </c>
    </row>
    <row r="66" customFormat="false" ht="13.8" hidden="false" customHeight="false" outlineLevel="0" collapsed="false">
      <c r="B66" s="14" t="n">
        <f aca="false">_xlfn.NUMBERVALUE(solar!B63)</f>
        <v>129</v>
      </c>
      <c r="C66" s="15" t="n">
        <f aca="false">solar!C63</f>
        <v>0</v>
      </c>
      <c r="D66" s="15" t="n">
        <v>14</v>
      </c>
      <c r="E66" s="9" t="n">
        <v>62</v>
      </c>
      <c r="F66" s="20" t="n">
        <f aca="false">IFERROR(INDEX($B$5:$C$173, MATCH($E66, $B$5:$B$175, 0), 2), 0)*investment!$C$2</f>
        <v>0</v>
      </c>
      <c r="G66" s="9" t="n">
        <f aca="false">demand!C64</f>
        <v>0</v>
      </c>
      <c r="H66" s="2" t="n">
        <f aca="false">solgen!C64</f>
        <v>0</v>
      </c>
      <c r="I66" s="2" t="n">
        <f aca="false">import!C64</f>
        <v>0</v>
      </c>
      <c r="J66" s="2" t="n">
        <f aca="false">-export!C64</f>
        <v>-0</v>
      </c>
      <c r="K66" s="2" t="n">
        <f aca="false">-charge!C64</f>
        <v>-0</v>
      </c>
      <c r="L66" s="2" t="n">
        <f aca="false">discharge!C64</f>
        <v>0</v>
      </c>
      <c r="M66" s="2" t="n">
        <f aca="false">soc!C64/investment!$E$2 *100</f>
        <v>98.9214383039404</v>
      </c>
      <c r="N66" s="8" t="n">
        <f aca="false">p_micro!C63</f>
        <v>0</v>
      </c>
    </row>
    <row r="67" customFormat="false" ht="13.8" hidden="false" customHeight="false" outlineLevel="0" collapsed="false">
      <c r="B67" s="14" t="n">
        <f aca="false">_xlfn.NUMBERVALUE(solar!B64)</f>
        <v>130</v>
      </c>
      <c r="C67" s="15" t="n">
        <f aca="false">solar!C64</f>
        <v>0</v>
      </c>
      <c r="D67" s="15" t="n">
        <v>15</v>
      </c>
      <c r="E67" s="9" t="n">
        <v>63</v>
      </c>
      <c r="F67" s="20" t="n">
        <f aca="false">IFERROR(INDEX($B$5:$C$173, MATCH($E67, $B$5:$B$175, 0), 2), 0)*investment!$C$2</f>
        <v>0</v>
      </c>
      <c r="G67" s="9" t="n">
        <f aca="false">demand!C65</f>
        <v>0</v>
      </c>
      <c r="H67" s="2" t="n">
        <f aca="false">solgen!C65</f>
        <v>0</v>
      </c>
      <c r="I67" s="2" t="n">
        <f aca="false">import!C65</f>
        <v>0</v>
      </c>
      <c r="J67" s="2" t="n">
        <f aca="false">-export!C65</f>
        <v>-0</v>
      </c>
      <c r="K67" s="2" t="n">
        <f aca="false">-charge!C65</f>
        <v>-0</v>
      </c>
      <c r="L67" s="2" t="n">
        <f aca="false">discharge!C65</f>
        <v>0</v>
      </c>
      <c r="M67" s="2" t="n">
        <f aca="false">soc!C65/investment!$E$2 *100</f>
        <v>98.9204490895574</v>
      </c>
      <c r="N67" s="8" t="n">
        <f aca="false">p_micro!C64</f>
        <v>0</v>
      </c>
    </row>
    <row r="68" customFormat="false" ht="13.8" hidden="false" customHeight="false" outlineLevel="0" collapsed="false">
      <c r="B68" s="14" t="n">
        <f aca="false">_xlfn.NUMBERVALUE(solar!B65)</f>
        <v>131</v>
      </c>
      <c r="C68" s="15" t="n">
        <f aca="false">solar!C65</f>
        <v>0</v>
      </c>
      <c r="D68" s="15" t="n">
        <v>16</v>
      </c>
      <c r="E68" s="9" t="n">
        <v>64</v>
      </c>
      <c r="F68" s="20" t="n">
        <f aca="false">IFERROR(INDEX($B$5:$C$173, MATCH($E68, $B$5:$B$175, 0), 2), 0)*investment!$C$2</f>
        <v>0</v>
      </c>
      <c r="G68" s="9" t="n">
        <f aca="false">demand!C66</f>
        <v>0</v>
      </c>
      <c r="H68" s="2" t="n">
        <f aca="false">solgen!C66</f>
        <v>0</v>
      </c>
      <c r="I68" s="2" t="n">
        <f aca="false">import!C66</f>
        <v>0</v>
      </c>
      <c r="J68" s="2" t="n">
        <f aca="false">-export!C66</f>
        <v>-0</v>
      </c>
      <c r="K68" s="2" t="n">
        <f aca="false">-charge!C66</f>
        <v>-0</v>
      </c>
      <c r="L68" s="2" t="n">
        <f aca="false">discharge!C66</f>
        <v>0</v>
      </c>
      <c r="M68" s="2" t="n">
        <f aca="false">soc!C66/investment!$E$2 *100</f>
        <v>98.9194598850665</v>
      </c>
      <c r="N68" s="8" t="n">
        <f aca="false">p_micro!C65</f>
        <v>0</v>
      </c>
    </row>
    <row r="69" customFormat="false" ht="13.8" hidden="false" customHeight="false" outlineLevel="0" collapsed="false">
      <c r="B69" s="14" t="n">
        <f aca="false">_xlfn.NUMBERVALUE(solar!B66)</f>
        <v>132</v>
      </c>
      <c r="C69" s="15" t="n">
        <f aca="false">solar!C66</f>
        <v>0</v>
      </c>
      <c r="D69" s="15" t="n">
        <v>17</v>
      </c>
      <c r="E69" s="9" t="n">
        <v>65</v>
      </c>
      <c r="F69" s="20" t="n">
        <f aca="false">IFERROR(INDEX($B$5:$C$173, MATCH($E69, $B$5:$B$175, 0), 2), 0)*investment!$C$2</f>
        <v>0</v>
      </c>
      <c r="G69" s="9" t="n">
        <f aca="false">demand!C67</f>
        <v>0</v>
      </c>
      <c r="H69" s="2" t="n">
        <f aca="false">solgen!C67</f>
        <v>0</v>
      </c>
      <c r="I69" s="2" t="n">
        <f aca="false">import!C67</f>
        <v>0</v>
      </c>
      <c r="J69" s="2" t="n">
        <f aca="false">-export!C67</f>
        <v>-0</v>
      </c>
      <c r="K69" s="2" t="n">
        <f aca="false">-charge!C67</f>
        <v>-0</v>
      </c>
      <c r="L69" s="2" t="n">
        <f aca="false">discharge!C67</f>
        <v>0</v>
      </c>
      <c r="M69" s="2" t="n">
        <f aca="false">soc!C67/investment!$E$2 *100</f>
        <v>98.9184706904677</v>
      </c>
      <c r="N69" s="8" t="n">
        <f aca="false">p_micro!C66</f>
        <v>0</v>
      </c>
    </row>
    <row r="70" customFormat="false" ht="13.8" hidden="false" customHeight="false" outlineLevel="0" collapsed="false">
      <c r="B70" s="14" t="n">
        <f aca="false">_xlfn.NUMBERVALUE(solar!B67)</f>
        <v>133</v>
      </c>
      <c r="C70" s="15" t="n">
        <f aca="false">solar!C67</f>
        <v>0</v>
      </c>
      <c r="D70" s="15" t="n">
        <v>18</v>
      </c>
      <c r="E70" s="9" t="n">
        <v>66</v>
      </c>
      <c r="F70" s="20" t="n">
        <f aca="false">IFERROR(INDEX($B$5:$C$173, MATCH($E70, $B$5:$B$175, 0), 2), 0)*investment!$C$2</f>
        <v>0</v>
      </c>
      <c r="G70" s="9" t="n">
        <f aca="false">demand!C68</f>
        <v>0</v>
      </c>
      <c r="H70" s="2" t="n">
        <f aca="false">solgen!C68</f>
        <v>0</v>
      </c>
      <c r="I70" s="2" t="n">
        <f aca="false">import!C68</f>
        <v>0</v>
      </c>
      <c r="J70" s="2" t="n">
        <f aca="false">-export!C68</f>
        <v>-0</v>
      </c>
      <c r="K70" s="2" t="n">
        <f aca="false">-charge!C68</f>
        <v>-0</v>
      </c>
      <c r="L70" s="2" t="n">
        <f aca="false">discharge!C68</f>
        <v>0</v>
      </c>
      <c r="M70" s="2" t="n">
        <f aca="false">soc!C68/investment!$E$2 *100</f>
        <v>98.9174815057608</v>
      </c>
      <c r="N70" s="8" t="n">
        <f aca="false">p_micro!C67</f>
        <v>0</v>
      </c>
    </row>
    <row r="71" customFormat="false" ht="13.8" hidden="false" customHeight="false" outlineLevel="0" collapsed="false">
      <c r="B71" s="14" t="n">
        <f aca="false">_xlfn.NUMBERVALUE(solar!B68)</f>
        <v>134</v>
      </c>
      <c r="C71" s="15" t="n">
        <f aca="false">solar!C68</f>
        <v>0</v>
      </c>
      <c r="D71" s="15" t="n">
        <v>19</v>
      </c>
      <c r="E71" s="9" t="n">
        <v>67</v>
      </c>
      <c r="F71" s="20" t="n">
        <f aca="false">IFERROR(INDEX($B$5:$C$173, MATCH($E71, $B$5:$B$175, 0), 2), 0)*investment!$C$2</f>
        <v>0</v>
      </c>
      <c r="G71" s="9" t="n">
        <f aca="false">demand!C69</f>
        <v>0</v>
      </c>
      <c r="H71" s="2" t="n">
        <f aca="false">solgen!C69</f>
        <v>0</v>
      </c>
      <c r="I71" s="2" t="n">
        <f aca="false">import!C69</f>
        <v>0</v>
      </c>
      <c r="J71" s="2" t="n">
        <f aca="false">-export!C69</f>
        <v>-0</v>
      </c>
      <c r="K71" s="2" t="n">
        <f aca="false">-charge!C69</f>
        <v>-0</v>
      </c>
      <c r="L71" s="2" t="n">
        <f aca="false">discharge!C69</f>
        <v>0</v>
      </c>
      <c r="M71" s="2" t="n">
        <f aca="false">soc!C69/investment!$E$2 *100</f>
        <v>98.9164923309457</v>
      </c>
      <c r="N71" s="8" t="n">
        <f aca="false">p_micro!C68</f>
        <v>0</v>
      </c>
    </row>
    <row r="72" customFormat="false" ht="13.8" hidden="false" customHeight="false" outlineLevel="0" collapsed="false">
      <c r="B72" s="14" t="n">
        <f aca="false">_xlfn.NUMBERVALUE(solar!B69)</f>
        <v>135</v>
      </c>
      <c r="C72" s="15" t="n">
        <f aca="false">solar!C69</f>
        <v>0</v>
      </c>
      <c r="D72" s="15" t="n">
        <v>20</v>
      </c>
      <c r="E72" s="9" t="n">
        <v>68</v>
      </c>
      <c r="F72" s="20" t="n">
        <f aca="false">IFERROR(INDEX($B$5:$C$173, MATCH($E72, $B$5:$B$175, 0), 2), 0)*investment!$C$2</f>
        <v>0</v>
      </c>
      <c r="G72" s="9" t="n">
        <f aca="false">demand!C70</f>
        <v>0</v>
      </c>
      <c r="H72" s="2" t="n">
        <f aca="false">solgen!C70</f>
        <v>0</v>
      </c>
      <c r="I72" s="2" t="n">
        <f aca="false">import!C70</f>
        <v>0</v>
      </c>
      <c r="J72" s="2" t="n">
        <f aca="false">-export!C70</f>
        <v>-0</v>
      </c>
      <c r="K72" s="2" t="n">
        <f aca="false">-charge!C70</f>
        <v>-0</v>
      </c>
      <c r="L72" s="2" t="n">
        <f aca="false">discharge!C70</f>
        <v>0</v>
      </c>
      <c r="M72" s="2" t="n">
        <f aca="false">soc!C70/investment!$E$2 *100</f>
        <v>98.9155031660224</v>
      </c>
      <c r="N72" s="8" t="n">
        <f aca="false">p_micro!C69</f>
        <v>0</v>
      </c>
    </row>
    <row r="73" customFormat="false" ht="13.8" hidden="false" customHeight="false" outlineLevel="0" collapsed="false">
      <c r="B73" s="14" t="n">
        <f aca="false">_xlfn.NUMBERVALUE(solar!B70)</f>
        <v>136</v>
      </c>
      <c r="C73" s="15" t="n">
        <f aca="false">solar!C70</f>
        <v>0</v>
      </c>
      <c r="D73" s="15" t="n">
        <v>21</v>
      </c>
      <c r="E73" s="9" t="n">
        <v>69</v>
      </c>
      <c r="F73" s="20" t="n">
        <f aca="false">IFERROR(INDEX($B$5:$C$173, MATCH($E73, $B$5:$B$175, 0), 2), 0)*investment!$C$2</f>
        <v>0</v>
      </c>
      <c r="G73" s="9" t="n">
        <f aca="false">demand!C71</f>
        <v>0</v>
      </c>
      <c r="H73" s="2" t="n">
        <f aca="false">solgen!C71</f>
        <v>0</v>
      </c>
      <c r="I73" s="2" t="n">
        <f aca="false">import!C71</f>
        <v>0</v>
      </c>
      <c r="J73" s="2" t="n">
        <f aca="false">-export!C71</f>
        <v>-0</v>
      </c>
      <c r="K73" s="2" t="n">
        <f aca="false">-charge!C71</f>
        <v>-0</v>
      </c>
      <c r="L73" s="2" t="n">
        <f aca="false">discharge!C71</f>
        <v>0</v>
      </c>
      <c r="M73" s="2" t="n">
        <f aca="false">soc!C71/investment!$E$2 *100</f>
        <v>98.5904357963952</v>
      </c>
      <c r="N73" s="8" t="n">
        <f aca="false">p_micro!C70</f>
        <v>0</v>
      </c>
    </row>
    <row r="74" customFormat="false" ht="13.8" hidden="false" customHeight="false" outlineLevel="0" collapsed="false">
      <c r="B74" s="14" t="n">
        <f aca="false">_xlfn.NUMBERVALUE(solar!B71)</f>
        <v>137</v>
      </c>
      <c r="C74" s="15" t="n">
        <f aca="false">solar!C71</f>
        <v>0</v>
      </c>
      <c r="D74" s="15" t="n">
        <v>22</v>
      </c>
      <c r="E74" s="9" t="n">
        <v>70</v>
      </c>
      <c r="F74" s="20" t="n">
        <f aca="false">IFERROR(INDEX($B$5:$C$173, MATCH($E74, $B$5:$B$175, 0), 2), 0)*investment!$C$2</f>
        <v>0</v>
      </c>
      <c r="G74" s="9" t="n">
        <f aca="false">demand!C72</f>
        <v>0</v>
      </c>
      <c r="H74" s="2" t="n">
        <f aca="false">solgen!C72</f>
        <v>0</v>
      </c>
      <c r="I74" s="2" t="n">
        <f aca="false">import!C72</f>
        <v>0</v>
      </c>
      <c r="J74" s="2" t="n">
        <f aca="false">-export!C72</f>
        <v>-0</v>
      </c>
      <c r="K74" s="2" t="n">
        <f aca="false">-charge!C72</f>
        <v>-0</v>
      </c>
      <c r="L74" s="2" t="n">
        <f aca="false">discharge!C72</f>
        <v>0</v>
      </c>
      <c r="M74" s="2" t="n">
        <f aca="false">soc!C72/investment!$E$2 *100</f>
        <v>97.5181070574063</v>
      </c>
      <c r="N74" s="8" t="n">
        <f aca="false">p_micro!C71</f>
        <v>0</v>
      </c>
    </row>
    <row r="75" customFormat="false" ht="13.8" hidden="false" customHeight="false" outlineLevel="0" collapsed="false">
      <c r="B75" s="14" t="n">
        <f aca="false">_xlfn.NUMBERVALUE(solar!B72)</f>
        <v>138</v>
      </c>
      <c r="C75" s="15" t="n">
        <f aca="false">solar!C72</f>
        <v>0</v>
      </c>
      <c r="D75" s="15" t="n">
        <v>23</v>
      </c>
      <c r="E75" s="9" t="n">
        <v>71</v>
      </c>
      <c r="F75" s="20" t="n">
        <f aca="false">IFERROR(INDEX($B$5:$C$173, MATCH($E75, $B$5:$B$175, 0), 2), 0)*investment!$C$2</f>
        <v>0</v>
      </c>
      <c r="G75" s="9" t="n">
        <f aca="false">demand!C73</f>
        <v>0</v>
      </c>
      <c r="H75" s="2" t="n">
        <f aca="false">solgen!C73</f>
        <v>0</v>
      </c>
      <c r="I75" s="2" t="n">
        <f aca="false">import!C73</f>
        <v>0</v>
      </c>
      <c r="J75" s="2" t="n">
        <f aca="false">-export!C73</f>
        <v>-0</v>
      </c>
      <c r="K75" s="2" t="n">
        <f aca="false">-charge!C73</f>
        <v>-0</v>
      </c>
      <c r="L75" s="2" t="n">
        <f aca="false">discharge!C73</f>
        <v>0</v>
      </c>
      <c r="M75" s="2" t="n">
        <f aca="false">soc!C73/investment!$E$2 *100</f>
        <v>96.4608326808607</v>
      </c>
      <c r="N75" s="8" t="n">
        <f aca="false">p_micro!C72</f>
        <v>0</v>
      </c>
    </row>
    <row r="76" customFormat="false" ht="13.8" hidden="false" customHeight="false" outlineLevel="0" collapsed="false">
      <c r="B76" s="14" t="n">
        <f aca="false">_xlfn.NUMBERVALUE(solar!B73)</f>
        <v>139</v>
      </c>
      <c r="C76" s="15" t="n">
        <f aca="false">solar!C73</f>
        <v>0</v>
      </c>
      <c r="D76" s="15" t="n">
        <v>24</v>
      </c>
      <c r="E76" s="9" t="n">
        <v>72</v>
      </c>
      <c r="F76" s="20" t="n">
        <f aca="false">IFERROR(INDEX($B$5:$C$173, MATCH($E76, $B$5:$B$175, 0), 2), 0)*investment!$C$2</f>
        <v>0</v>
      </c>
      <c r="G76" s="9" t="n">
        <f aca="false">demand!C74</f>
        <v>0</v>
      </c>
      <c r="H76" s="2" t="n">
        <f aca="false">solgen!C74</f>
        <v>0</v>
      </c>
      <c r="I76" s="2" t="n">
        <f aca="false">import!C74</f>
        <v>0</v>
      </c>
      <c r="J76" s="2" t="n">
        <f aca="false">-export!C74</f>
        <v>-0</v>
      </c>
      <c r="K76" s="2" t="n">
        <f aca="false">-charge!C74</f>
        <v>-0</v>
      </c>
      <c r="L76" s="2" t="n">
        <f aca="false">discharge!C74</f>
        <v>0</v>
      </c>
      <c r="M76" s="2" t="n">
        <f aca="false">soc!C74/investment!$E$2 *100</f>
        <v>94.6563067003271</v>
      </c>
      <c r="N76" s="8" t="n">
        <f aca="false">p_micro!C73</f>
        <v>0</v>
      </c>
    </row>
    <row r="77" customFormat="false" ht="13.8" hidden="false" customHeight="false" outlineLevel="0" collapsed="false">
      <c r="B77" s="14" t="n">
        <f aca="false">_xlfn.NUMBERVALUE(solar!B74)</f>
        <v>152</v>
      </c>
      <c r="C77" s="15" t="n">
        <f aca="false">solar!C74</f>
        <v>0</v>
      </c>
      <c r="D77" s="15" t="n">
        <v>1</v>
      </c>
      <c r="E77" s="9" t="n">
        <v>73</v>
      </c>
      <c r="F77" s="20" t="n">
        <f aca="false">IFERROR(INDEX($B$5:$C$173, MATCH($E77, $B$5:$B$175, 0), 2), 0)*investment!$C$2</f>
        <v>0</v>
      </c>
      <c r="G77" s="9" t="n">
        <f aca="false">demand!C75</f>
        <v>0</v>
      </c>
      <c r="H77" s="2" t="n">
        <f aca="false">solgen!C75</f>
        <v>0</v>
      </c>
      <c r="I77" s="2" t="n">
        <f aca="false">import!C75</f>
        <v>0</v>
      </c>
      <c r="J77" s="2" t="n">
        <f aca="false">-export!C75</f>
        <v>-0</v>
      </c>
      <c r="K77" s="2" t="n">
        <f aca="false">-charge!C75</f>
        <v>-0</v>
      </c>
      <c r="L77" s="2" t="n">
        <f aca="false">discharge!C75</f>
        <v>0</v>
      </c>
      <c r="M77" s="2" t="n">
        <f aca="false">soc!C75/investment!$E$2 *100</f>
        <v>92.5858649411444</v>
      </c>
      <c r="N77" s="8" t="n">
        <f aca="false">p_micro!C74</f>
        <v>0</v>
      </c>
    </row>
    <row r="78" customFormat="false" ht="13.8" hidden="false" customHeight="false" outlineLevel="0" collapsed="false">
      <c r="B78" s="14" t="n">
        <f aca="false">_xlfn.NUMBERVALUE(solar!B75)</f>
        <v>153</v>
      </c>
      <c r="C78" s="15" t="n">
        <f aca="false">solar!C75</f>
        <v>0</v>
      </c>
      <c r="D78" s="15" t="n">
        <v>2</v>
      </c>
      <c r="E78" s="9" t="n">
        <v>74</v>
      </c>
      <c r="F78" s="20" t="n">
        <f aca="false">IFERROR(INDEX($B$5:$C$173, MATCH($E78, $B$5:$B$175, 0), 2), 0)*investment!$C$2</f>
        <v>0</v>
      </c>
      <c r="G78" s="9" t="n">
        <f aca="false">demand!C76</f>
        <v>0</v>
      </c>
      <c r="H78" s="2" t="n">
        <f aca="false">solgen!C76</f>
        <v>0</v>
      </c>
      <c r="I78" s="2" t="n">
        <f aca="false">import!C76</f>
        <v>0</v>
      </c>
      <c r="J78" s="2" t="n">
        <f aca="false">-export!C76</f>
        <v>-0</v>
      </c>
      <c r="K78" s="2" t="n">
        <f aca="false">-charge!C76</f>
        <v>-0</v>
      </c>
      <c r="L78" s="2" t="n">
        <f aca="false">discharge!C76</f>
        <v>0</v>
      </c>
      <c r="M78" s="2" t="n">
        <f aca="false">soc!C76/investment!$E$2 *100</f>
        <v>90.0365397793223</v>
      </c>
      <c r="N78" s="8" t="n">
        <f aca="false">p_micro!C75</f>
        <v>0</v>
      </c>
    </row>
    <row r="79" customFormat="false" ht="13.8" hidden="false" customHeight="false" outlineLevel="0" collapsed="false">
      <c r="B79" s="14" t="n">
        <f aca="false">_xlfn.NUMBERVALUE(solar!B76)</f>
        <v>154</v>
      </c>
      <c r="C79" s="15" t="n">
        <f aca="false">solar!C76</f>
        <v>0</v>
      </c>
      <c r="D79" s="15" t="n">
        <v>3</v>
      </c>
      <c r="E79" s="9" t="n">
        <v>75</v>
      </c>
      <c r="F79" s="20" t="n">
        <f aca="false">IFERROR(INDEX($B$5:$C$173, MATCH($E79, $B$5:$B$175, 0), 2), 0)*investment!$C$2</f>
        <v>0</v>
      </c>
      <c r="G79" s="9" t="n">
        <f aca="false">demand!C77</f>
        <v>0</v>
      </c>
      <c r="H79" s="2" t="n">
        <f aca="false">solgen!C77</f>
        <v>0</v>
      </c>
      <c r="I79" s="2" t="n">
        <f aca="false">import!C77</f>
        <v>0</v>
      </c>
      <c r="J79" s="2" t="n">
        <f aca="false">-export!C77</f>
        <v>-0</v>
      </c>
      <c r="K79" s="2" t="n">
        <f aca="false">-charge!C77</f>
        <v>-0</v>
      </c>
      <c r="L79" s="2" t="n">
        <f aca="false">discharge!C77</f>
        <v>0</v>
      </c>
      <c r="M79" s="2" t="n">
        <f aca="false">soc!C77/investment!$E$2 *100</f>
        <v>87.7535396721687</v>
      </c>
      <c r="N79" s="8" t="n">
        <f aca="false">p_micro!C76</f>
        <v>0</v>
      </c>
    </row>
    <row r="80" customFormat="false" ht="13.8" hidden="false" customHeight="false" outlineLevel="0" collapsed="false">
      <c r="B80" s="14" t="n">
        <f aca="false">_xlfn.NUMBERVALUE(solar!B77)</f>
        <v>155</v>
      </c>
      <c r="C80" s="15" t="n">
        <f aca="false">solar!C77</f>
        <v>0</v>
      </c>
      <c r="D80" s="15" t="n">
        <v>4</v>
      </c>
      <c r="E80" s="9" t="n">
        <v>76</v>
      </c>
      <c r="F80" s="20" t="n">
        <f aca="false">IFERROR(INDEX($B$5:$C$173, MATCH($E80, $B$5:$B$175, 0), 2), 0)*investment!$C$2</f>
        <v>0</v>
      </c>
      <c r="G80" s="9" t="n">
        <f aca="false">demand!C78</f>
        <v>0</v>
      </c>
      <c r="H80" s="2" t="n">
        <f aca="false">solgen!C78</f>
        <v>0</v>
      </c>
      <c r="I80" s="2" t="n">
        <f aca="false">import!C78</f>
        <v>0</v>
      </c>
      <c r="J80" s="2" t="n">
        <f aca="false">-export!C78</f>
        <v>-0</v>
      </c>
      <c r="K80" s="2" t="n">
        <f aca="false">-charge!C78</f>
        <v>-0</v>
      </c>
      <c r="L80" s="2" t="n">
        <f aca="false">discharge!C78</f>
        <v>0</v>
      </c>
      <c r="M80" s="2" t="n">
        <f aca="false">soc!C78/investment!$E$2 *100</f>
        <v>86.4200008285452</v>
      </c>
      <c r="N80" s="8" t="n">
        <f aca="false">p_micro!C77</f>
        <v>0</v>
      </c>
    </row>
    <row r="81" customFormat="false" ht="13.8" hidden="false" customHeight="false" outlineLevel="0" collapsed="false">
      <c r="B81" s="14" t="n">
        <f aca="false">_xlfn.NUMBERVALUE(solar!B78)</f>
        <v>156</v>
      </c>
      <c r="C81" s="15" t="n">
        <f aca="false">solar!C78</f>
        <v>0</v>
      </c>
      <c r="D81" s="15" t="n">
        <v>5</v>
      </c>
      <c r="E81" s="9" t="n">
        <v>77</v>
      </c>
      <c r="F81" s="20" t="n">
        <f aca="false">IFERROR(INDEX($B$5:$C$173, MATCH($E81, $B$5:$B$175, 0), 2), 0)*investment!$C$2</f>
        <v>0</v>
      </c>
      <c r="G81" s="9" t="n">
        <f aca="false">demand!C79</f>
        <v>0</v>
      </c>
      <c r="H81" s="2" t="n">
        <f aca="false">solgen!C79</f>
        <v>0</v>
      </c>
      <c r="I81" s="2" t="n">
        <f aca="false">import!C79</f>
        <v>0</v>
      </c>
      <c r="J81" s="2" t="n">
        <f aca="false">-export!C79</f>
        <v>-0</v>
      </c>
      <c r="K81" s="2" t="n">
        <f aca="false">-charge!C79</f>
        <v>-0</v>
      </c>
      <c r="L81" s="2" t="n">
        <f aca="false">discharge!C79</f>
        <v>0</v>
      </c>
      <c r="M81" s="2" t="n">
        <f aca="false">soc!C79/investment!$E$2 *100</f>
        <v>83.411826771123</v>
      </c>
      <c r="N81" s="8" t="n">
        <f aca="false">p_micro!C78</f>
        <v>0</v>
      </c>
    </row>
    <row r="82" customFormat="false" ht="13.8" hidden="false" customHeight="false" outlineLevel="0" collapsed="false">
      <c r="B82" s="14" t="n">
        <f aca="false">_xlfn.NUMBERVALUE(solar!B79)</f>
        <v>157</v>
      </c>
      <c r="C82" s="15" t="n">
        <f aca="false">solar!C79</f>
        <v>0</v>
      </c>
      <c r="D82" s="15" t="n">
        <v>6</v>
      </c>
      <c r="E82" s="9" t="n">
        <v>78</v>
      </c>
      <c r="F82" s="20" t="n">
        <f aca="false">IFERROR(INDEX($B$5:$C$173, MATCH($E82, $B$5:$B$175, 0), 2), 0)*investment!$C$2</f>
        <v>0</v>
      </c>
      <c r="G82" s="9" t="n">
        <f aca="false">demand!C80</f>
        <v>0</v>
      </c>
      <c r="H82" s="2" t="n">
        <f aca="false">solgen!C80</f>
        <v>0</v>
      </c>
      <c r="I82" s="2" t="n">
        <f aca="false">import!C80</f>
        <v>0</v>
      </c>
      <c r="J82" s="2" t="n">
        <f aca="false">-export!C80</f>
        <v>-0</v>
      </c>
      <c r="K82" s="2" t="n">
        <f aca="false">-charge!C80</f>
        <v>-0</v>
      </c>
      <c r="L82" s="2" t="n">
        <f aca="false">discharge!C80</f>
        <v>0</v>
      </c>
      <c r="M82" s="2" t="n">
        <f aca="false">soc!C80/investment!$E$2 *100</f>
        <v>81.5139228530905</v>
      </c>
      <c r="N82" s="8" t="n">
        <f aca="false">p_micro!C79</f>
        <v>0</v>
      </c>
    </row>
    <row r="83" customFormat="false" ht="13.8" hidden="false" customHeight="false" outlineLevel="0" collapsed="false">
      <c r="B83" s="14" t="n">
        <f aca="false">_xlfn.NUMBERVALUE(solar!B80)</f>
        <v>158</v>
      </c>
      <c r="C83" s="15" t="n">
        <f aca="false">solar!C80</f>
        <v>0</v>
      </c>
      <c r="D83" s="15" t="n">
        <v>7</v>
      </c>
      <c r="E83" s="9" t="n">
        <v>79</v>
      </c>
      <c r="F83" s="20" t="n">
        <f aca="false">IFERROR(INDEX($B$5:$C$173, MATCH($E83, $B$5:$B$175, 0), 2), 0)*investment!$C$2</f>
        <v>0</v>
      </c>
      <c r="G83" s="9" t="n">
        <f aca="false">demand!C81</f>
        <v>0</v>
      </c>
      <c r="H83" s="2" t="n">
        <f aca="false">solgen!C81</f>
        <v>0</v>
      </c>
      <c r="I83" s="2" t="n">
        <f aca="false">import!C81</f>
        <v>0</v>
      </c>
      <c r="J83" s="2" t="n">
        <f aca="false">-export!C81</f>
        <v>-0</v>
      </c>
      <c r="K83" s="2" t="n">
        <f aca="false">-charge!C81</f>
        <v>-0</v>
      </c>
      <c r="L83" s="2" t="n">
        <f aca="false">discharge!C81</f>
        <v>0</v>
      </c>
      <c r="M83" s="2" t="n">
        <f aca="false">soc!C81/investment!$E$2 *100</f>
        <v>77.6574770056407</v>
      </c>
      <c r="N83" s="8" t="n">
        <f aca="false">p_micro!C80</f>
        <v>0</v>
      </c>
    </row>
    <row r="84" customFormat="false" ht="13.8" hidden="false" customHeight="false" outlineLevel="0" collapsed="false">
      <c r="B84" s="14" t="n">
        <f aca="false">_xlfn.NUMBERVALUE(solar!B81)</f>
        <v>159</v>
      </c>
      <c r="C84" s="15" t="n">
        <f aca="false">solar!C81</f>
        <v>0</v>
      </c>
      <c r="D84" s="15" t="n">
        <v>8</v>
      </c>
      <c r="E84" s="9" t="n">
        <v>80</v>
      </c>
      <c r="F84" s="20" t="n">
        <f aca="false">IFERROR(INDEX($B$5:$C$173, MATCH($E84, $B$5:$B$175, 0), 2), 0)*investment!$C$2</f>
        <v>0</v>
      </c>
      <c r="G84" s="9" t="n">
        <f aca="false">demand!C82</f>
        <v>0</v>
      </c>
      <c r="H84" s="2" t="n">
        <f aca="false">solgen!C82</f>
        <v>0</v>
      </c>
      <c r="I84" s="2" t="n">
        <f aca="false">import!C82</f>
        <v>0</v>
      </c>
      <c r="J84" s="2" t="n">
        <f aca="false">-export!C82</f>
        <v>-0</v>
      </c>
      <c r="K84" s="2" t="n">
        <f aca="false">-charge!C82</f>
        <v>-0</v>
      </c>
      <c r="L84" s="2" t="n">
        <f aca="false">discharge!C82</f>
        <v>0</v>
      </c>
      <c r="M84" s="2" t="n">
        <f aca="false">soc!C82/investment!$E$2 *100</f>
        <v>76.1666424863284</v>
      </c>
      <c r="N84" s="8" t="n">
        <f aca="false">p_micro!C81</f>
        <v>0</v>
      </c>
    </row>
    <row r="85" customFormat="false" ht="13.8" hidden="false" customHeight="false" outlineLevel="0" collapsed="false">
      <c r="B85" s="14" t="n">
        <f aca="false">_xlfn.NUMBERVALUE(solar!B82)</f>
        <v>160</v>
      </c>
      <c r="C85" s="15" t="n">
        <f aca="false">solar!C82</f>
        <v>0</v>
      </c>
      <c r="D85" s="15" t="n">
        <v>9</v>
      </c>
      <c r="E85" s="9" t="n">
        <v>81</v>
      </c>
      <c r="F85" s="20" t="n">
        <f aca="false">IFERROR(INDEX($B$5:$C$173, MATCH($E85, $B$5:$B$175, 0), 2), 0)*investment!$C$2</f>
        <v>0</v>
      </c>
      <c r="G85" s="9" t="n">
        <f aca="false">demand!C83</f>
        <v>0</v>
      </c>
      <c r="H85" s="2" t="n">
        <f aca="false">solgen!C83</f>
        <v>0</v>
      </c>
      <c r="I85" s="2" t="n">
        <f aca="false">import!C83</f>
        <v>0</v>
      </c>
      <c r="J85" s="2" t="n">
        <f aca="false">-export!C83</f>
        <v>-0</v>
      </c>
      <c r="K85" s="2" t="n">
        <f aca="false">-charge!C83</f>
        <v>-0</v>
      </c>
      <c r="L85" s="2" t="n">
        <f aca="false">discharge!C83</f>
        <v>0</v>
      </c>
      <c r="M85" s="2" t="n">
        <f aca="false">soc!C83/investment!$E$2 *100</f>
        <v>73.0275776414801</v>
      </c>
      <c r="N85" s="8" t="n">
        <f aca="false">p_micro!C82</f>
        <v>0</v>
      </c>
    </row>
    <row r="86" customFormat="false" ht="13.8" hidden="false" customHeight="false" outlineLevel="0" collapsed="false">
      <c r="B86" s="14" t="n">
        <f aca="false">_xlfn.NUMBERVALUE(solar!B83)</f>
        <v>161</v>
      </c>
      <c r="C86" s="15" t="n">
        <f aca="false">solar!C83</f>
        <v>0</v>
      </c>
      <c r="D86" s="15" t="n">
        <v>10</v>
      </c>
      <c r="E86" s="9" t="n">
        <v>82</v>
      </c>
      <c r="F86" s="20" t="n">
        <f aca="false">IFERROR(INDEX($B$5:$C$173, MATCH($E86, $B$5:$B$175, 0), 2), 0)*investment!$C$2</f>
        <v>0</v>
      </c>
      <c r="G86" s="9" t="n">
        <f aca="false">demand!C84</f>
        <v>0</v>
      </c>
      <c r="H86" s="2" t="n">
        <f aca="false">solgen!C84</f>
        <v>0</v>
      </c>
      <c r="I86" s="2" t="n">
        <f aca="false">import!C84</f>
        <v>0</v>
      </c>
      <c r="J86" s="2" t="n">
        <f aca="false">-export!C84</f>
        <v>-0</v>
      </c>
      <c r="K86" s="2" t="n">
        <f aca="false">-charge!C84</f>
        <v>-0</v>
      </c>
      <c r="L86" s="2" t="n">
        <f aca="false">discharge!C84</f>
        <v>0</v>
      </c>
      <c r="M86" s="2" t="n">
        <f aca="false">soc!C84/investment!$E$2 *100</f>
        <v>71.1585797166541</v>
      </c>
      <c r="N86" s="8" t="n">
        <f aca="false">p_micro!C83</f>
        <v>0</v>
      </c>
    </row>
    <row r="87" customFormat="false" ht="13.8" hidden="false" customHeight="false" outlineLevel="0" collapsed="false">
      <c r="B87" s="14" t="n">
        <f aca="false">_xlfn.NUMBERVALUE(solar!B84)</f>
        <v>162</v>
      </c>
      <c r="C87" s="15" t="n">
        <f aca="false">solar!C84</f>
        <v>0</v>
      </c>
      <c r="D87" s="15" t="n">
        <v>11</v>
      </c>
      <c r="E87" s="9" t="n">
        <v>83</v>
      </c>
      <c r="F87" s="20" t="n">
        <f aca="false">IFERROR(INDEX($B$5:$C$173, MATCH($E87, $B$5:$B$175, 0), 2), 0)*investment!$C$2</f>
        <v>0</v>
      </c>
      <c r="G87" s="9" t="n">
        <f aca="false">demand!C85</f>
        <v>0</v>
      </c>
      <c r="H87" s="2" t="n">
        <f aca="false">solgen!C85</f>
        <v>0</v>
      </c>
      <c r="I87" s="2" t="n">
        <f aca="false">import!C85</f>
        <v>0</v>
      </c>
      <c r="J87" s="2" t="n">
        <f aca="false">-export!C85</f>
        <v>-0</v>
      </c>
      <c r="K87" s="2" t="n">
        <f aca="false">-charge!C85</f>
        <v>-0</v>
      </c>
      <c r="L87" s="2" t="n">
        <f aca="false">discharge!C85</f>
        <v>0</v>
      </c>
      <c r="M87" s="2" t="n">
        <f aca="false">soc!C85/investment!$E$2 *100</f>
        <v>68.2389916902003</v>
      </c>
      <c r="N87" s="8" t="n">
        <f aca="false">p_micro!C84</f>
        <v>0</v>
      </c>
    </row>
    <row r="88" customFormat="false" ht="13.8" hidden="false" customHeight="false" outlineLevel="0" collapsed="false">
      <c r="B88" s="14" t="n">
        <f aca="false">_xlfn.NUMBERVALUE(solar!B85)</f>
        <v>163</v>
      </c>
      <c r="C88" s="15" t="n">
        <f aca="false">solar!C85</f>
        <v>0</v>
      </c>
      <c r="D88" s="15" t="n">
        <v>12</v>
      </c>
      <c r="E88" s="9" t="n">
        <v>84</v>
      </c>
      <c r="F88" s="20" t="n">
        <f aca="false">IFERROR(INDEX($B$5:$C$173, MATCH($E88, $B$5:$B$175, 0), 2), 0)*investment!$C$2</f>
        <v>0</v>
      </c>
      <c r="G88" s="9" t="n">
        <f aca="false">demand!C86</f>
        <v>0</v>
      </c>
      <c r="H88" s="2" t="n">
        <f aca="false">solgen!C86</f>
        <v>0</v>
      </c>
      <c r="I88" s="2" t="n">
        <f aca="false">import!C86</f>
        <v>0</v>
      </c>
      <c r="J88" s="2" t="n">
        <f aca="false">-export!C86</f>
        <v>-0</v>
      </c>
      <c r="K88" s="2" t="n">
        <f aca="false">-charge!C86</f>
        <v>-0</v>
      </c>
      <c r="L88" s="2" t="n">
        <f aca="false">discharge!C86</f>
        <v>0</v>
      </c>
      <c r="M88" s="2" t="n">
        <f aca="false">soc!C86/investment!$E$2 *100</f>
        <v>65.1352087505118</v>
      </c>
      <c r="N88" s="8" t="n">
        <f aca="false">p_micro!C85</f>
        <v>0</v>
      </c>
    </row>
    <row r="89" customFormat="false" ht="13.8" hidden="false" customHeight="false" outlineLevel="0" collapsed="false">
      <c r="B89" s="14" t="n">
        <f aca="false">_xlfn.NUMBERVALUE(solar!B86)</f>
        <v>0</v>
      </c>
      <c r="C89" s="15" t="n">
        <f aca="false">solar!C86</f>
        <v>0</v>
      </c>
      <c r="D89" s="15" t="n">
        <v>13</v>
      </c>
      <c r="E89" s="9" t="n">
        <v>85</v>
      </c>
      <c r="F89" s="20" t="n">
        <f aca="false">IFERROR(INDEX($B$5:$C$173, MATCH($E89, $B$5:$B$175, 0), 2), 0)*investment!$C$2</f>
        <v>0</v>
      </c>
      <c r="G89" s="9" t="n">
        <f aca="false">demand!C87</f>
        <v>0</v>
      </c>
      <c r="H89" s="2" t="n">
        <f aca="false">solgen!C87</f>
        <v>0</v>
      </c>
      <c r="I89" s="2" t="n">
        <f aca="false">import!C87</f>
        <v>0</v>
      </c>
      <c r="J89" s="2" t="n">
        <f aca="false">-export!C87</f>
        <v>-0</v>
      </c>
      <c r="K89" s="2" t="n">
        <f aca="false">-charge!C87</f>
        <v>-0</v>
      </c>
      <c r="L89" s="2" t="n">
        <f aca="false">discharge!C87</f>
        <v>0</v>
      </c>
      <c r="M89" s="2" t="n">
        <f aca="false">soc!C87/investment!$E$2 *100</f>
        <v>62.4893177596959</v>
      </c>
      <c r="N89" s="8" t="n">
        <f aca="false">p_micro!C86</f>
        <v>0</v>
      </c>
    </row>
    <row r="90" customFormat="false" ht="13.8" hidden="false" customHeight="false" outlineLevel="0" collapsed="false">
      <c r="B90" s="14" t="n">
        <f aca="false">_xlfn.NUMBERVALUE(solar!B87)</f>
        <v>0</v>
      </c>
      <c r="C90" s="15" t="n">
        <f aca="false">solar!C87</f>
        <v>0</v>
      </c>
      <c r="D90" s="15" t="n">
        <v>14</v>
      </c>
      <c r="E90" s="9" t="n">
        <v>86</v>
      </c>
      <c r="F90" s="20" t="n">
        <f aca="false">IFERROR(INDEX($B$5:$C$173, MATCH($E90, $B$5:$B$175, 0), 2), 0)*investment!$C$2</f>
        <v>0</v>
      </c>
      <c r="G90" s="9" t="n">
        <f aca="false">demand!C88</f>
        <v>0</v>
      </c>
      <c r="H90" s="2" t="n">
        <f aca="false">solgen!C88</f>
        <v>0</v>
      </c>
      <c r="I90" s="2" t="n">
        <f aca="false">import!C88</f>
        <v>0</v>
      </c>
      <c r="J90" s="2" t="n">
        <f aca="false">-export!C88</f>
        <v>-0</v>
      </c>
      <c r="K90" s="2" t="n">
        <f aca="false">-charge!C88</f>
        <v>-0</v>
      </c>
      <c r="L90" s="2" t="n">
        <f aca="false">discharge!C88</f>
        <v>0</v>
      </c>
      <c r="M90" s="2" t="n">
        <f aca="false">soc!C88/investment!$E$2 *100</f>
        <v>60.200667136372</v>
      </c>
      <c r="N90" s="8" t="n">
        <f aca="false">p_micro!C87</f>
        <v>0</v>
      </c>
    </row>
    <row r="91" customFormat="false" ht="13.8" hidden="false" customHeight="false" outlineLevel="0" collapsed="false">
      <c r="B91" s="14" t="n">
        <f aca="false">_xlfn.NUMBERVALUE(solar!B88)</f>
        <v>0</v>
      </c>
      <c r="C91" s="15" t="n">
        <f aca="false">solar!C88</f>
        <v>0</v>
      </c>
      <c r="D91" s="15" t="n">
        <v>15</v>
      </c>
      <c r="E91" s="9" t="n">
        <v>87</v>
      </c>
      <c r="F91" s="20" t="n">
        <f aca="false">IFERROR(INDEX($B$5:$C$173, MATCH($E91, $B$5:$B$175, 0), 2), 0)*investment!$C$2</f>
        <v>0</v>
      </c>
      <c r="G91" s="9" t="n">
        <f aca="false">demand!C89</f>
        <v>0</v>
      </c>
      <c r="H91" s="2" t="n">
        <f aca="false">solgen!C89</f>
        <v>0</v>
      </c>
      <c r="I91" s="2" t="n">
        <f aca="false">import!C89</f>
        <v>0</v>
      </c>
      <c r="J91" s="2" t="n">
        <f aca="false">-export!C89</f>
        <v>-0</v>
      </c>
      <c r="K91" s="2" t="n">
        <f aca="false">-charge!C89</f>
        <v>-0</v>
      </c>
      <c r="L91" s="2" t="n">
        <f aca="false">discharge!C89</f>
        <v>0</v>
      </c>
      <c r="M91" s="2" t="n">
        <f aca="false">soc!C89/investment!$E$2 *100</f>
        <v>58.0840626281435</v>
      </c>
      <c r="N91" s="8" t="n">
        <f aca="false">p_micro!C88</f>
        <v>0</v>
      </c>
    </row>
    <row r="92" customFormat="false" ht="13.8" hidden="false" customHeight="false" outlineLevel="0" collapsed="false">
      <c r="B92" s="14" t="n">
        <f aca="false">_xlfn.NUMBERVALUE(solar!B89)</f>
        <v>0</v>
      </c>
      <c r="C92" s="15" t="n">
        <f aca="false">solar!C89</f>
        <v>0</v>
      </c>
      <c r="D92" s="15" t="n">
        <v>16</v>
      </c>
      <c r="E92" s="9" t="n">
        <v>88</v>
      </c>
      <c r="F92" s="20" t="n">
        <f aca="false">IFERROR(INDEX($B$5:$C$173, MATCH($E92, $B$5:$B$175, 0), 2), 0)*investment!$C$2</f>
        <v>0</v>
      </c>
      <c r="G92" s="9" t="n">
        <f aca="false">demand!C90</f>
        <v>0</v>
      </c>
      <c r="H92" s="2" t="n">
        <f aca="false">solgen!C90</f>
        <v>0</v>
      </c>
      <c r="I92" s="2" t="n">
        <f aca="false">import!C90</f>
        <v>0</v>
      </c>
      <c r="J92" s="2" t="n">
        <f aca="false">-export!C90</f>
        <v>-0</v>
      </c>
      <c r="K92" s="2" t="n">
        <f aca="false">-charge!C90</f>
        <v>-0</v>
      </c>
      <c r="L92" s="2" t="n">
        <f aca="false">discharge!C90</f>
        <v>0</v>
      </c>
      <c r="M92" s="2" t="n">
        <f aca="false">soc!C90/investment!$E$2 *100</f>
        <v>55.3073103990283</v>
      </c>
      <c r="N92" s="8" t="n">
        <f aca="false">p_micro!C89</f>
        <v>0</v>
      </c>
    </row>
    <row r="93" customFormat="false" ht="13.8" hidden="false" customHeight="false" outlineLevel="0" collapsed="false">
      <c r="B93" s="14" t="n">
        <f aca="false">_xlfn.NUMBERVALUE(solar!B90)</f>
        <v>0</v>
      </c>
      <c r="C93" s="15" t="n">
        <f aca="false">solar!C90</f>
        <v>0</v>
      </c>
      <c r="D93" s="15" t="n">
        <v>17</v>
      </c>
      <c r="E93" s="9" t="n">
        <v>89</v>
      </c>
      <c r="F93" s="20" t="n">
        <f aca="false">IFERROR(INDEX($B$5:$C$173, MATCH($E93, $B$5:$B$175, 0), 2), 0)*investment!$C$2</f>
        <v>0</v>
      </c>
      <c r="G93" s="9" t="n">
        <f aca="false">demand!C91</f>
        <v>0</v>
      </c>
      <c r="H93" s="2" t="n">
        <f aca="false">solgen!C91</f>
        <v>0</v>
      </c>
      <c r="I93" s="2" t="n">
        <f aca="false">import!C91</f>
        <v>0</v>
      </c>
      <c r="J93" s="2" t="n">
        <f aca="false">-export!C91</f>
        <v>-0</v>
      </c>
      <c r="K93" s="2" t="n">
        <f aca="false">-charge!C91</f>
        <v>-0</v>
      </c>
      <c r="L93" s="2" t="n">
        <f aca="false">discharge!C91</f>
        <v>0</v>
      </c>
      <c r="M93" s="2" t="n">
        <f aca="false">soc!C91/investment!$E$2 *100</f>
        <v>52.9899235811343</v>
      </c>
      <c r="N93" s="8" t="n">
        <f aca="false">p_micro!C90</f>
        <v>0</v>
      </c>
    </row>
    <row r="94" customFormat="false" ht="13.8" hidden="false" customHeight="false" outlineLevel="0" collapsed="false">
      <c r="B94" s="14" t="n">
        <f aca="false">_xlfn.NUMBERVALUE(solar!B91)</f>
        <v>0</v>
      </c>
      <c r="C94" s="15" t="n">
        <f aca="false">solar!C91</f>
        <v>0</v>
      </c>
      <c r="D94" s="15" t="n">
        <v>18</v>
      </c>
      <c r="E94" s="9" t="n">
        <v>90</v>
      </c>
      <c r="F94" s="20" t="n">
        <f aca="false">IFERROR(INDEX($B$5:$C$173, MATCH($E94, $B$5:$B$175, 0), 2), 0)*investment!$C$2</f>
        <v>0</v>
      </c>
      <c r="G94" s="9" t="n">
        <f aca="false">demand!C92</f>
        <v>0</v>
      </c>
      <c r="H94" s="2" t="n">
        <f aca="false">solgen!C92</f>
        <v>0</v>
      </c>
      <c r="I94" s="2" t="n">
        <f aca="false">import!C92</f>
        <v>0</v>
      </c>
      <c r="J94" s="2" t="n">
        <f aca="false">-export!C92</f>
        <v>-0</v>
      </c>
      <c r="K94" s="2" t="n">
        <f aca="false">-charge!C92</f>
        <v>-0</v>
      </c>
      <c r="L94" s="2" t="n">
        <f aca="false">discharge!C92</f>
        <v>0</v>
      </c>
      <c r="M94" s="2" t="n">
        <f aca="false">soc!C92/investment!$E$2 *100</f>
        <v>51.7573642276509</v>
      </c>
      <c r="N94" s="8" t="n">
        <f aca="false">p_micro!C91</f>
        <v>0</v>
      </c>
    </row>
    <row r="95" customFormat="false" ht="13.8" hidden="false" customHeight="false" outlineLevel="0" collapsed="false">
      <c r="B95" s="14" t="n">
        <f aca="false">_xlfn.NUMBERVALUE(solar!B92)</f>
        <v>0</v>
      </c>
      <c r="C95" s="15" t="n">
        <f aca="false">solar!C92</f>
        <v>0</v>
      </c>
      <c r="D95" s="15" t="n">
        <v>19</v>
      </c>
      <c r="E95" s="9" t="n">
        <v>91</v>
      </c>
      <c r="F95" s="20" t="n">
        <f aca="false">IFERROR(INDEX($B$5:$C$173, MATCH($E95, $B$5:$B$175, 0), 2), 0)*investment!$C$2</f>
        <v>0</v>
      </c>
      <c r="G95" s="9" t="n">
        <f aca="false">demand!C93</f>
        <v>0</v>
      </c>
      <c r="H95" s="2" t="n">
        <f aca="false">solgen!C93</f>
        <v>0</v>
      </c>
      <c r="I95" s="2" t="n">
        <f aca="false">import!C93</f>
        <v>0</v>
      </c>
      <c r="J95" s="2" t="n">
        <f aca="false">-export!C93</f>
        <v>-0</v>
      </c>
      <c r="K95" s="2" t="n">
        <f aca="false">-charge!C93</f>
        <v>-0</v>
      </c>
      <c r="L95" s="2" t="n">
        <f aca="false">discharge!C93</f>
        <v>0</v>
      </c>
      <c r="M95" s="2" t="n">
        <f aca="false">soc!C93/investment!$E$2 *100</f>
        <v>50.642595180618</v>
      </c>
      <c r="N95" s="8" t="n">
        <f aca="false">p_micro!C92</f>
        <v>0</v>
      </c>
    </row>
    <row r="96" customFormat="false" ht="13.8" hidden="false" customHeight="false" outlineLevel="0" collapsed="false">
      <c r="B96" s="14" t="n">
        <f aca="false">_xlfn.NUMBERVALUE(solar!B93)</f>
        <v>0</v>
      </c>
      <c r="C96" s="15" t="n">
        <f aca="false">solar!C93</f>
        <v>0</v>
      </c>
      <c r="D96" s="15" t="n">
        <v>20</v>
      </c>
      <c r="E96" s="9" t="n">
        <v>92</v>
      </c>
      <c r="F96" s="20" t="n">
        <f aca="false">IFERROR(INDEX($B$5:$C$173, MATCH($E96, $B$5:$B$175, 0), 2), 0)*investment!$C$2</f>
        <v>0</v>
      </c>
      <c r="G96" s="9" t="n">
        <f aca="false">demand!C94</f>
        <v>0</v>
      </c>
      <c r="H96" s="2" t="n">
        <f aca="false">solgen!C94</f>
        <v>0</v>
      </c>
      <c r="I96" s="2" t="n">
        <f aca="false">import!C94</f>
        <v>0</v>
      </c>
      <c r="J96" s="2" t="n">
        <f aca="false">-export!C94</f>
        <v>-0</v>
      </c>
      <c r="K96" s="2" t="n">
        <f aca="false">-charge!C94</f>
        <v>-0</v>
      </c>
      <c r="L96" s="2" t="n">
        <f aca="false">discharge!C94</f>
        <v>0</v>
      </c>
      <c r="M96" s="2" t="n">
        <f aca="false">soc!C94/investment!$E$2 *100</f>
        <v>47.7344642154426</v>
      </c>
      <c r="N96" s="8" t="n">
        <f aca="false">p_micro!C93</f>
        <v>0</v>
      </c>
    </row>
    <row r="97" customFormat="false" ht="13.8" hidden="false" customHeight="false" outlineLevel="0" collapsed="false">
      <c r="B97" s="14" t="n">
        <f aca="false">_xlfn.NUMBERVALUE(solar!B94)</f>
        <v>0</v>
      </c>
      <c r="C97" s="15" t="n">
        <f aca="false">solar!C94</f>
        <v>0</v>
      </c>
      <c r="D97" s="15" t="n">
        <v>21</v>
      </c>
      <c r="E97" s="9" t="n">
        <v>93</v>
      </c>
      <c r="F97" s="20" t="n">
        <f aca="false">IFERROR(INDEX($B$5:$C$173, MATCH($E97, $B$5:$B$175, 0), 2), 0)*investment!$C$2</f>
        <v>0</v>
      </c>
      <c r="G97" s="9" t="n">
        <f aca="false">demand!C95</f>
        <v>0</v>
      </c>
      <c r="H97" s="2" t="n">
        <f aca="false">solgen!C95</f>
        <v>0</v>
      </c>
      <c r="I97" s="2" t="n">
        <f aca="false">import!C95</f>
        <v>0</v>
      </c>
      <c r="J97" s="2" t="n">
        <f aca="false">-export!C95</f>
        <v>-0</v>
      </c>
      <c r="K97" s="2" t="n">
        <f aca="false">-charge!C95</f>
        <v>-0</v>
      </c>
      <c r="L97" s="2" t="n">
        <f aca="false">discharge!C95</f>
        <v>0</v>
      </c>
      <c r="M97" s="2" t="n">
        <f aca="false">soc!C95/investment!$E$2 *100</f>
        <v>46.1565324475207</v>
      </c>
      <c r="N97" s="8" t="n">
        <f aca="false">p_micro!C94</f>
        <v>0</v>
      </c>
    </row>
    <row r="98" customFormat="false" ht="13.8" hidden="false" customHeight="false" outlineLevel="0" collapsed="false">
      <c r="B98" s="14" t="n">
        <f aca="false">_xlfn.NUMBERVALUE(solar!B95)</f>
        <v>0</v>
      </c>
      <c r="C98" s="15" t="n">
        <f aca="false">solar!C95</f>
        <v>0</v>
      </c>
      <c r="D98" s="15" t="n">
        <v>22</v>
      </c>
      <c r="E98" s="9" t="n">
        <v>94</v>
      </c>
      <c r="F98" s="20" t="n">
        <f aca="false">IFERROR(INDEX($B$5:$C$173, MATCH($E98, $B$5:$B$175, 0), 2), 0)*investment!$C$2</f>
        <v>0</v>
      </c>
      <c r="G98" s="9" t="n">
        <f aca="false">demand!C96</f>
        <v>0</v>
      </c>
      <c r="H98" s="2" t="n">
        <f aca="false">solgen!C96</f>
        <v>0</v>
      </c>
      <c r="I98" s="2" t="n">
        <f aca="false">import!C96</f>
        <v>0</v>
      </c>
      <c r="J98" s="2" t="n">
        <f aca="false">-export!C96</f>
        <v>-0</v>
      </c>
      <c r="K98" s="2" t="n">
        <f aca="false">-charge!C96</f>
        <v>-0</v>
      </c>
      <c r="L98" s="2" t="n">
        <f aca="false">discharge!C96</f>
        <v>0</v>
      </c>
      <c r="M98" s="2" t="n">
        <f aca="false">soc!C96/investment!$E$2 *100</f>
        <v>42.9108203988198</v>
      </c>
      <c r="N98" s="8" t="n">
        <f aca="false">p_micro!C95</f>
        <v>0</v>
      </c>
    </row>
    <row r="99" customFormat="false" ht="13.8" hidden="false" customHeight="false" outlineLevel="0" collapsed="false">
      <c r="B99" s="14" t="n">
        <f aca="false">_xlfn.NUMBERVALUE(solar!B96)</f>
        <v>0</v>
      </c>
      <c r="C99" s="15" t="n">
        <f aca="false">solar!C96</f>
        <v>0</v>
      </c>
      <c r="D99" s="15" t="n">
        <v>23</v>
      </c>
      <c r="E99" s="9" t="n">
        <v>95</v>
      </c>
      <c r="F99" s="20" t="n">
        <f aca="false">IFERROR(INDEX($B$5:$C$173, MATCH($E99, $B$5:$B$175, 0), 2), 0)*investment!$C$2</f>
        <v>0</v>
      </c>
      <c r="G99" s="9" t="n">
        <f aca="false">demand!C97</f>
        <v>0</v>
      </c>
      <c r="H99" s="2" t="n">
        <f aca="false">solgen!C97</f>
        <v>0</v>
      </c>
      <c r="I99" s="2" t="n">
        <f aca="false">import!C97</f>
        <v>0</v>
      </c>
      <c r="J99" s="2" t="n">
        <f aca="false">-export!C97</f>
        <v>-0</v>
      </c>
      <c r="K99" s="2" t="n">
        <f aca="false">-charge!C97</f>
        <v>-0</v>
      </c>
      <c r="L99" s="2" t="n">
        <f aca="false">discharge!C97</f>
        <v>0</v>
      </c>
      <c r="M99" s="2" t="n">
        <f aca="false">soc!C97/investment!$E$2 *100</f>
        <v>41.7360682678864</v>
      </c>
      <c r="N99" s="8" t="n">
        <f aca="false">p_micro!C96</f>
        <v>0</v>
      </c>
    </row>
    <row r="100" customFormat="false" ht="13.8" hidden="false" customHeight="false" outlineLevel="0" collapsed="false">
      <c r="B100" s="14" t="n">
        <f aca="false">_xlfn.NUMBERVALUE(solar!B97)</f>
        <v>0</v>
      </c>
      <c r="C100" s="15" t="n">
        <f aca="false">solar!C97</f>
        <v>0</v>
      </c>
      <c r="D100" s="15" t="n">
        <v>24</v>
      </c>
      <c r="E100" s="9" t="n">
        <v>96</v>
      </c>
      <c r="F100" s="20" t="n">
        <f aca="false">IFERROR(INDEX($B$5:$C$173, MATCH($E100, $B$5:$B$175, 0), 2), 0)*investment!$C$2</f>
        <v>0</v>
      </c>
      <c r="G100" s="9" t="n">
        <f aca="false">demand!C98</f>
        <v>0</v>
      </c>
      <c r="H100" s="2" t="n">
        <f aca="false">solgen!C98</f>
        <v>0</v>
      </c>
      <c r="I100" s="2" t="n">
        <f aca="false">import!C98</f>
        <v>0</v>
      </c>
      <c r="J100" s="2" t="n">
        <f aca="false">-export!C98</f>
        <v>-0</v>
      </c>
      <c r="K100" s="2" t="n">
        <f aca="false">-charge!C98</f>
        <v>-0</v>
      </c>
      <c r="L100" s="2" t="n">
        <f aca="false">discharge!C98</f>
        <v>0</v>
      </c>
      <c r="M100" s="2" t="n">
        <f aca="false">soc!C98/investment!$E$2 *100</f>
        <v>40.6971687196947</v>
      </c>
      <c r="N100" s="8" t="n">
        <f aca="false">p_micro!C97</f>
        <v>0</v>
      </c>
    </row>
    <row r="101" customFormat="false" ht="13.8" hidden="false" customHeight="false" outlineLevel="0" collapsed="false">
      <c r="B101" s="14" t="n">
        <f aca="false">_xlfn.NUMBERVALUE(solar!B98)</f>
        <v>0</v>
      </c>
      <c r="C101" s="15" t="n">
        <f aca="false">solar!C98</f>
        <v>0</v>
      </c>
      <c r="D101" s="15" t="n">
        <v>1</v>
      </c>
      <c r="E101" s="9" t="n">
        <v>97</v>
      </c>
      <c r="F101" s="20" t="n">
        <f aca="false">IFERROR(INDEX($B$5:$C$173, MATCH($E101, $B$5:$B$175, 0), 2), 0)*investment!$C$2</f>
        <v>0</v>
      </c>
      <c r="G101" s="9" t="n">
        <f aca="false">demand!C99</f>
        <v>0</v>
      </c>
      <c r="H101" s="2" t="n">
        <f aca="false">solgen!C99</f>
        <v>0</v>
      </c>
      <c r="I101" s="2" t="n">
        <f aca="false">import!C99</f>
        <v>0</v>
      </c>
      <c r="J101" s="2" t="n">
        <f aca="false">-export!C99</f>
        <v>-0</v>
      </c>
      <c r="K101" s="2" t="n">
        <f aca="false">-charge!C99</f>
        <v>-0</v>
      </c>
      <c r="L101" s="2" t="n">
        <f aca="false">discharge!C99</f>
        <v>0</v>
      </c>
      <c r="M101" s="2" t="n">
        <f aca="false">soc!C99/investment!$E$2 *100</f>
        <v>39.7872742592176</v>
      </c>
      <c r="N101" s="8" t="n">
        <f aca="false">p_micro!C98</f>
        <v>0</v>
      </c>
    </row>
    <row r="102" customFormat="false" ht="13.8" hidden="false" customHeight="false" outlineLevel="0" collapsed="false">
      <c r="B102" s="14" t="n">
        <f aca="false">_xlfn.NUMBERVALUE(solar!B99)</f>
        <v>0</v>
      </c>
      <c r="C102" s="15" t="n">
        <f aca="false">solar!C99</f>
        <v>0</v>
      </c>
      <c r="D102" s="15" t="n">
        <v>2</v>
      </c>
      <c r="E102" s="9" t="n">
        <v>98</v>
      </c>
      <c r="F102" s="20" t="n">
        <f aca="false">IFERROR(INDEX($B$5:$C$173, MATCH($E102, $B$5:$B$175, 0), 2), 0)*investment!$C$2</f>
        <v>0</v>
      </c>
      <c r="G102" s="9" t="n">
        <f aca="false">demand!C100</f>
        <v>0</v>
      </c>
      <c r="H102" s="2" t="n">
        <f aca="false">solgen!C100</f>
        <v>0</v>
      </c>
      <c r="I102" s="2" t="n">
        <f aca="false">import!C100</f>
        <v>0</v>
      </c>
      <c r="J102" s="2" t="n">
        <f aca="false">-export!C100</f>
        <v>-0</v>
      </c>
      <c r="K102" s="2" t="n">
        <f aca="false">-charge!C100</f>
        <v>-0</v>
      </c>
      <c r="L102" s="2" t="n">
        <f aca="false">discharge!C100</f>
        <v>0</v>
      </c>
      <c r="M102" s="2" t="n">
        <f aca="false">soc!C100/investment!$E$2 *100</f>
        <v>36.5445637312674</v>
      </c>
      <c r="N102" s="8" t="n">
        <f aca="false">p_micro!C99</f>
        <v>0</v>
      </c>
    </row>
    <row r="103" customFormat="false" ht="13.8" hidden="false" customHeight="false" outlineLevel="0" collapsed="false">
      <c r="B103" s="14" t="n">
        <f aca="false">_xlfn.NUMBERVALUE(solar!B100)</f>
        <v>0</v>
      </c>
      <c r="C103" s="15" t="n">
        <f aca="false">solar!C100</f>
        <v>0</v>
      </c>
      <c r="D103" s="15" t="n">
        <v>3</v>
      </c>
      <c r="E103" s="9" t="n">
        <v>99</v>
      </c>
      <c r="F103" s="20" t="n">
        <f aca="false">IFERROR(INDEX($B$5:$C$173, MATCH($E103, $B$5:$B$175, 0), 2), 0)*investment!$C$2</f>
        <v>0</v>
      </c>
      <c r="G103" s="9" t="n">
        <f aca="false">demand!C101</f>
        <v>0</v>
      </c>
      <c r="H103" s="2" t="n">
        <f aca="false">solgen!C101</f>
        <v>0</v>
      </c>
      <c r="I103" s="2" t="n">
        <f aca="false">import!C101</f>
        <v>0</v>
      </c>
      <c r="J103" s="2" t="n">
        <f aca="false">-export!C101</f>
        <v>-0</v>
      </c>
      <c r="K103" s="2" t="n">
        <f aca="false">-charge!C101</f>
        <v>-0</v>
      </c>
      <c r="L103" s="2" t="n">
        <f aca="false">discharge!C101</f>
        <v>0</v>
      </c>
      <c r="M103" s="2" t="n">
        <f aca="false">soc!C101/investment!$E$2 *100</f>
        <v>35.3787024299071</v>
      </c>
      <c r="N103" s="8" t="n">
        <f aca="false">p_micro!C100</f>
        <v>0</v>
      </c>
    </row>
    <row r="104" customFormat="false" ht="13.8" hidden="false" customHeight="false" outlineLevel="0" collapsed="false">
      <c r="B104" s="14" t="n">
        <f aca="false">_xlfn.NUMBERVALUE(solar!B101)</f>
        <v>0</v>
      </c>
      <c r="C104" s="15" t="n">
        <f aca="false">solar!C101</f>
        <v>0</v>
      </c>
      <c r="D104" s="15" t="n">
        <v>4</v>
      </c>
      <c r="E104" s="9" t="n">
        <v>100</v>
      </c>
      <c r="F104" s="20" t="n">
        <f aca="false">IFERROR(INDEX($B$5:$C$173, MATCH($E104, $B$5:$B$175, 0), 2), 0)*investment!$C$2</f>
        <v>0</v>
      </c>
      <c r="G104" s="9" t="n">
        <f aca="false">demand!C102</f>
        <v>0</v>
      </c>
      <c r="H104" s="2" t="n">
        <f aca="false">solgen!C102</f>
        <v>0</v>
      </c>
      <c r="I104" s="2" t="n">
        <f aca="false">import!C102</f>
        <v>0</v>
      </c>
      <c r="J104" s="2" t="n">
        <f aca="false">-export!C102</f>
        <v>-0</v>
      </c>
      <c r="K104" s="2" t="n">
        <f aca="false">-charge!C102</f>
        <v>-0</v>
      </c>
      <c r="L104" s="2" t="n">
        <f aca="false">discharge!C102</f>
        <v>0</v>
      </c>
      <c r="M104" s="2" t="n">
        <f aca="false">soc!C102/investment!$E$2 *100</f>
        <v>34.158128163274</v>
      </c>
      <c r="N104" s="8" t="n">
        <f aca="false">p_micro!C101</f>
        <v>0</v>
      </c>
    </row>
    <row r="105" customFormat="false" ht="13.8" hidden="false" customHeight="false" outlineLevel="0" collapsed="false">
      <c r="B105" s="14" t="n">
        <f aca="false">_xlfn.NUMBERVALUE(solar!B102)</f>
        <v>0</v>
      </c>
      <c r="C105" s="15" t="n">
        <f aca="false">solar!C102</f>
        <v>0</v>
      </c>
      <c r="D105" s="15" t="n">
        <v>5</v>
      </c>
      <c r="E105" s="9" t="n">
        <v>101</v>
      </c>
      <c r="F105" s="20" t="n">
        <f aca="false">IFERROR(INDEX($B$5:$C$173, MATCH($E105, $B$5:$B$175, 0), 2), 0)*investment!$C$2</f>
        <v>0</v>
      </c>
      <c r="G105" s="9" t="n">
        <f aca="false">demand!C103</f>
        <v>0</v>
      </c>
      <c r="H105" s="2" t="n">
        <f aca="false">solgen!C103</f>
        <v>0</v>
      </c>
      <c r="I105" s="2" t="n">
        <f aca="false">import!C103</f>
        <v>0</v>
      </c>
      <c r="J105" s="2" t="n">
        <f aca="false">-export!C103</f>
        <v>-0</v>
      </c>
      <c r="K105" s="2" t="n">
        <f aca="false">-charge!C103</f>
        <v>-0</v>
      </c>
      <c r="L105" s="2" t="n">
        <f aca="false">discharge!C103</f>
        <v>0</v>
      </c>
      <c r="M105" s="2" t="n">
        <f aca="false">soc!C103/investment!$E$2 *100</f>
        <v>32.6043297973593</v>
      </c>
      <c r="N105" s="8" t="n">
        <f aca="false">p_micro!C102</f>
        <v>0</v>
      </c>
    </row>
    <row r="106" customFormat="false" ht="13.8" hidden="false" customHeight="false" outlineLevel="0" collapsed="false">
      <c r="B106" s="14" t="n">
        <f aca="false">_xlfn.NUMBERVALUE(solar!B103)</f>
        <v>0</v>
      </c>
      <c r="C106" s="15" t="n">
        <f aca="false">solar!C103</f>
        <v>0</v>
      </c>
      <c r="D106" s="15" t="n">
        <v>6</v>
      </c>
      <c r="E106" s="9" t="n">
        <v>102</v>
      </c>
      <c r="F106" s="20" t="n">
        <f aca="false">IFERROR(INDEX($B$5:$C$173, MATCH($E106, $B$5:$B$175, 0), 2), 0)*investment!$C$2</f>
        <v>0</v>
      </c>
      <c r="G106" s="9" t="n">
        <f aca="false">demand!C104</f>
        <v>0</v>
      </c>
      <c r="H106" s="2" t="n">
        <f aca="false">solgen!C104</f>
        <v>0</v>
      </c>
      <c r="I106" s="2" t="n">
        <f aca="false">import!C104</f>
        <v>0</v>
      </c>
      <c r="J106" s="2" t="n">
        <f aca="false">-export!C104</f>
        <v>-0</v>
      </c>
      <c r="K106" s="2" t="n">
        <f aca="false">-charge!C104</f>
        <v>-0</v>
      </c>
      <c r="L106" s="2" t="n">
        <f aca="false">discharge!C104</f>
        <v>0</v>
      </c>
      <c r="M106" s="2" t="n">
        <f aca="false">soc!C104/investment!$E$2 *100</f>
        <v>32.0855259483307</v>
      </c>
      <c r="N106" s="8" t="n">
        <f aca="false">p_micro!C103</f>
        <v>0</v>
      </c>
    </row>
    <row r="107" customFormat="false" ht="13.8" hidden="false" customHeight="false" outlineLevel="0" collapsed="false">
      <c r="B107" s="14" t="n">
        <f aca="false">_xlfn.NUMBERVALUE(solar!B104)</f>
        <v>0</v>
      </c>
      <c r="C107" s="15" t="n">
        <f aca="false">solar!C104</f>
        <v>0</v>
      </c>
      <c r="D107" s="15" t="n">
        <v>7</v>
      </c>
      <c r="E107" s="9" t="n">
        <v>103</v>
      </c>
      <c r="F107" s="20" t="n">
        <f aca="false">IFERROR(INDEX($B$5:$C$173, MATCH($E107, $B$5:$B$175, 0), 2), 0)*investment!$C$2</f>
        <v>0</v>
      </c>
      <c r="G107" s="9" t="n">
        <f aca="false">demand!C105</f>
        <v>0</v>
      </c>
      <c r="H107" s="2" t="n">
        <f aca="false">solgen!C105</f>
        <v>0</v>
      </c>
      <c r="I107" s="2" t="n">
        <f aca="false">import!C105</f>
        <v>0</v>
      </c>
      <c r="J107" s="2" t="n">
        <f aca="false">-export!C105</f>
        <v>-0</v>
      </c>
      <c r="K107" s="2" t="n">
        <f aca="false">-charge!C105</f>
        <v>-0</v>
      </c>
      <c r="L107" s="2" t="n">
        <f aca="false">discharge!C105</f>
        <v>0</v>
      </c>
      <c r="M107" s="2" t="n">
        <f aca="false">soc!C105/investment!$E$2 *100</f>
        <v>29.8236813876936</v>
      </c>
      <c r="N107" s="8" t="n">
        <f aca="false">p_micro!C104</f>
        <v>0</v>
      </c>
    </row>
    <row r="108" customFormat="false" ht="13.8" hidden="false" customHeight="false" outlineLevel="0" collapsed="false">
      <c r="B108" s="14" t="n">
        <f aca="false">_xlfn.NUMBERVALUE(solar!B105)</f>
        <v>0</v>
      </c>
      <c r="C108" s="15" t="n">
        <f aca="false">solar!C105</f>
        <v>0</v>
      </c>
      <c r="D108" s="15" t="n">
        <v>8</v>
      </c>
      <c r="E108" s="9" t="n">
        <v>104</v>
      </c>
      <c r="F108" s="20" t="n">
        <f aca="false">IFERROR(INDEX($B$5:$C$173, MATCH($E108, $B$5:$B$175, 0), 2), 0)*investment!$C$2</f>
        <v>0</v>
      </c>
      <c r="G108" s="9" t="n">
        <f aca="false">demand!C106</f>
        <v>0</v>
      </c>
      <c r="H108" s="2" t="n">
        <f aca="false">solgen!C106</f>
        <v>0</v>
      </c>
      <c r="I108" s="2" t="n">
        <f aca="false">import!C106</f>
        <v>0</v>
      </c>
      <c r="J108" s="2" t="n">
        <f aca="false">-export!C106</f>
        <v>-0</v>
      </c>
      <c r="K108" s="2" t="n">
        <f aca="false">-charge!C106</f>
        <v>-0</v>
      </c>
      <c r="L108" s="2" t="n">
        <f aca="false">discharge!C106</f>
        <v>0</v>
      </c>
      <c r="M108" s="2" t="n">
        <f aca="false">soc!C106/investment!$E$2 *100</f>
        <v>29.4700760846479</v>
      </c>
      <c r="N108" s="8" t="n">
        <f aca="false">p_micro!C105</f>
        <v>0</v>
      </c>
    </row>
    <row r="109" customFormat="false" ht="13.8" hidden="false" customHeight="false" outlineLevel="0" collapsed="false">
      <c r="B109" s="14" t="n">
        <f aca="false">_xlfn.NUMBERVALUE(solar!B106)</f>
        <v>0</v>
      </c>
      <c r="C109" s="15" t="n">
        <f aca="false">solar!C106</f>
        <v>0</v>
      </c>
      <c r="D109" s="15" t="n">
        <v>9</v>
      </c>
      <c r="E109" s="9" t="n">
        <v>105</v>
      </c>
      <c r="F109" s="20" t="n">
        <f aca="false">IFERROR(INDEX($B$5:$C$173, MATCH($E109, $B$5:$B$175, 0), 2), 0)*investment!$C$2</f>
        <v>0</v>
      </c>
      <c r="G109" s="9" t="n">
        <f aca="false">demand!C107</f>
        <v>0</v>
      </c>
      <c r="H109" s="2" t="n">
        <f aca="false">solgen!C107</f>
        <v>0</v>
      </c>
      <c r="I109" s="2" t="n">
        <f aca="false">import!C107</f>
        <v>0</v>
      </c>
      <c r="J109" s="2" t="n">
        <f aca="false">-export!C107</f>
        <v>-0</v>
      </c>
      <c r="K109" s="2" t="n">
        <f aca="false">-charge!C107</f>
        <v>-0</v>
      </c>
      <c r="L109" s="2" t="n">
        <f aca="false">discharge!C107</f>
        <v>0</v>
      </c>
      <c r="M109" s="2" t="n">
        <f aca="false">soc!C107/investment!$E$2 *100</f>
        <v>28.0111174464486</v>
      </c>
      <c r="N109" s="8" t="n">
        <f aca="false">p_micro!C106</f>
        <v>0</v>
      </c>
    </row>
    <row r="110" customFormat="false" ht="13.8" hidden="false" customHeight="false" outlineLevel="0" collapsed="false">
      <c r="B110" s="14" t="n">
        <f aca="false">_xlfn.NUMBERVALUE(solar!B107)</f>
        <v>0</v>
      </c>
      <c r="C110" s="15" t="n">
        <f aca="false">solar!C107</f>
        <v>0</v>
      </c>
      <c r="D110" s="15" t="n">
        <v>10</v>
      </c>
      <c r="E110" s="9" t="n">
        <v>106</v>
      </c>
      <c r="F110" s="20" t="n">
        <f aca="false">IFERROR(INDEX($B$5:$C$173, MATCH($E110, $B$5:$B$175, 0), 2), 0)*investment!$C$2</f>
        <v>0</v>
      </c>
      <c r="G110" s="9" t="n">
        <f aca="false">demand!C108</f>
        <v>0</v>
      </c>
      <c r="H110" s="2" t="n">
        <f aca="false">solgen!C108</f>
        <v>0</v>
      </c>
      <c r="I110" s="2" t="n">
        <f aca="false">import!C108</f>
        <v>0</v>
      </c>
      <c r="J110" s="2" t="n">
        <f aca="false">-export!C108</f>
        <v>-0</v>
      </c>
      <c r="K110" s="2" t="n">
        <f aca="false">-charge!C108</f>
        <v>-0</v>
      </c>
      <c r="L110" s="2" t="n">
        <f aca="false">discharge!C108</f>
        <v>0</v>
      </c>
      <c r="M110" s="2" t="n">
        <f aca="false">soc!C108/investment!$E$2 *100</f>
        <v>27.6028051564959</v>
      </c>
      <c r="N110" s="8" t="n">
        <f aca="false">p_micro!C107</f>
        <v>0</v>
      </c>
    </row>
    <row r="111" customFormat="false" ht="13.8" hidden="false" customHeight="false" outlineLevel="0" collapsed="false">
      <c r="B111" s="14" t="n">
        <f aca="false">_xlfn.NUMBERVALUE(solar!B108)</f>
        <v>0</v>
      </c>
      <c r="C111" s="15" t="n">
        <f aca="false">solar!C108</f>
        <v>0</v>
      </c>
      <c r="D111" s="15" t="n">
        <v>11</v>
      </c>
      <c r="E111" s="9" t="n">
        <v>107</v>
      </c>
      <c r="F111" s="20" t="n">
        <f aca="false">IFERROR(INDEX($B$5:$C$173, MATCH($E111, $B$5:$B$175, 0), 2), 0)*investment!$C$2</f>
        <v>0</v>
      </c>
      <c r="G111" s="9" t="n">
        <f aca="false">demand!C109</f>
        <v>0</v>
      </c>
      <c r="H111" s="2" t="n">
        <f aca="false">solgen!C109</f>
        <v>0</v>
      </c>
      <c r="I111" s="2" t="n">
        <f aca="false">import!C109</f>
        <v>0</v>
      </c>
      <c r="J111" s="2" t="n">
        <f aca="false">-export!C109</f>
        <v>-0</v>
      </c>
      <c r="K111" s="2" t="n">
        <f aca="false">-charge!C109</f>
        <v>-0</v>
      </c>
      <c r="L111" s="2" t="n">
        <f aca="false">discharge!C109</f>
        <v>0</v>
      </c>
      <c r="M111" s="2" t="n">
        <f aca="false">soc!C109/investment!$E$2 *100</f>
        <v>25.4167458779666</v>
      </c>
      <c r="N111" s="8" t="n">
        <f aca="false">p_micro!C108</f>
        <v>0</v>
      </c>
    </row>
    <row r="112" customFormat="false" ht="13.8" hidden="false" customHeight="false" outlineLevel="0" collapsed="false">
      <c r="B112" s="14" t="n">
        <f aca="false">_xlfn.NUMBERVALUE(solar!B109)</f>
        <v>0</v>
      </c>
      <c r="C112" s="15" t="n">
        <f aca="false">solar!C109</f>
        <v>0</v>
      </c>
      <c r="D112" s="15" t="n">
        <v>12</v>
      </c>
      <c r="E112" s="9" t="n">
        <v>108</v>
      </c>
      <c r="F112" s="20" t="n">
        <f aca="false">IFERROR(INDEX($B$5:$C$173, MATCH($E112, $B$5:$B$175, 0), 2), 0)*investment!$C$2</f>
        <v>0</v>
      </c>
      <c r="G112" s="9" t="n">
        <f aca="false">demand!C110</f>
        <v>0</v>
      </c>
      <c r="H112" s="2" t="n">
        <f aca="false">solgen!C110</f>
        <v>0</v>
      </c>
      <c r="I112" s="2" t="n">
        <f aca="false">import!C110</f>
        <v>0</v>
      </c>
      <c r="J112" s="2" t="n">
        <f aca="false">-export!C110</f>
        <v>-0</v>
      </c>
      <c r="K112" s="2" t="n">
        <f aca="false">-charge!C110</f>
        <v>-0</v>
      </c>
      <c r="L112" s="2" t="n">
        <f aca="false">discharge!C110</f>
        <v>0</v>
      </c>
      <c r="M112" s="2" t="n">
        <f aca="false">soc!C110/investment!$E$2 *100</f>
        <v>24.9424820290894</v>
      </c>
      <c r="N112" s="8" t="n">
        <f aca="false">p_micro!C109</f>
        <v>0</v>
      </c>
    </row>
    <row r="113" customFormat="false" ht="13.8" hidden="false" customHeight="false" outlineLevel="0" collapsed="false">
      <c r="B113" s="14" t="n">
        <f aca="false">_xlfn.NUMBERVALUE(solar!B110)</f>
        <v>0</v>
      </c>
      <c r="C113" s="15" t="n">
        <f aca="false">solar!C110</f>
        <v>0</v>
      </c>
      <c r="D113" s="15" t="n">
        <v>13</v>
      </c>
      <c r="E113" s="9" t="n">
        <v>109</v>
      </c>
      <c r="F113" s="20" t="n">
        <f aca="false">IFERROR(INDEX($B$5:$C$173, MATCH($E113, $B$5:$B$175, 0), 2), 0)*investment!$C$2</f>
        <v>0</v>
      </c>
      <c r="G113" s="9" t="n">
        <f aca="false">demand!C111</f>
        <v>0</v>
      </c>
      <c r="H113" s="2" t="n">
        <f aca="false">solgen!C111</f>
        <v>0</v>
      </c>
      <c r="I113" s="2" t="n">
        <f aca="false">import!C111</f>
        <v>0</v>
      </c>
      <c r="J113" s="2" t="n">
        <f aca="false">-export!C111</f>
        <v>-0</v>
      </c>
      <c r="K113" s="2" t="n">
        <f aca="false">-charge!C111</f>
        <v>-0</v>
      </c>
      <c r="L113" s="2" t="n">
        <f aca="false">discharge!C111</f>
        <v>0</v>
      </c>
      <c r="M113" s="2" t="n">
        <f aca="false">soc!C111/investment!$E$2 *100</f>
        <v>23.0657681605249</v>
      </c>
      <c r="N113" s="8" t="n">
        <f aca="false">p_micro!C110</f>
        <v>0</v>
      </c>
    </row>
    <row r="114" customFormat="false" ht="13.8" hidden="false" customHeight="false" outlineLevel="0" collapsed="false">
      <c r="B114" s="14" t="n">
        <f aca="false">_xlfn.NUMBERVALUE(solar!B111)</f>
        <v>0</v>
      </c>
      <c r="C114" s="15" t="n">
        <f aca="false">solar!C111</f>
        <v>0</v>
      </c>
      <c r="D114" s="15" t="n">
        <v>14</v>
      </c>
      <c r="E114" s="9" t="n">
        <v>110</v>
      </c>
      <c r="F114" s="20" t="n">
        <f aca="false">IFERROR(INDEX($B$5:$C$173, MATCH($E114, $B$5:$B$175, 0), 2), 0)*investment!$C$2</f>
        <v>0</v>
      </c>
      <c r="G114" s="9" t="n">
        <f aca="false">demand!C112</f>
        <v>0</v>
      </c>
      <c r="H114" s="2" t="n">
        <f aca="false">solgen!C112</f>
        <v>0</v>
      </c>
      <c r="I114" s="2" t="n">
        <f aca="false">import!C112</f>
        <v>0</v>
      </c>
      <c r="J114" s="2" t="n">
        <f aca="false">-export!C112</f>
        <v>-0</v>
      </c>
      <c r="K114" s="2" t="n">
        <f aca="false">-charge!C112</f>
        <v>-0</v>
      </c>
      <c r="L114" s="2" t="n">
        <f aca="false">discharge!C112</f>
        <v>0</v>
      </c>
      <c r="M114" s="2" t="n">
        <f aca="false">soc!C112/investment!$E$2 *100</f>
        <v>22.1453825508256</v>
      </c>
      <c r="N114" s="8" t="n">
        <f aca="false">p_micro!C111</f>
        <v>0</v>
      </c>
    </row>
    <row r="115" customFormat="false" ht="13.8" hidden="false" customHeight="false" outlineLevel="0" collapsed="false">
      <c r="B115" s="14" t="n">
        <f aca="false">_xlfn.NUMBERVALUE(solar!B112)</f>
        <v>0</v>
      </c>
      <c r="C115" s="15" t="n">
        <f aca="false">solar!C112</f>
        <v>0</v>
      </c>
      <c r="D115" s="15" t="n">
        <v>15</v>
      </c>
      <c r="E115" s="9" t="n">
        <v>111</v>
      </c>
      <c r="F115" s="20" t="n">
        <f aca="false">IFERROR(INDEX($B$5:$C$173, MATCH($E115, $B$5:$B$175, 0), 2), 0)*investment!$C$2</f>
        <v>0</v>
      </c>
      <c r="G115" s="9" t="n">
        <f aca="false">demand!C113</f>
        <v>0</v>
      </c>
      <c r="H115" s="2" t="n">
        <f aca="false">solgen!C113</f>
        <v>0</v>
      </c>
      <c r="I115" s="2" t="n">
        <f aca="false">import!C113</f>
        <v>0</v>
      </c>
      <c r="J115" s="2" t="n">
        <f aca="false">-export!C113</f>
        <v>-0</v>
      </c>
      <c r="K115" s="2" t="n">
        <f aca="false">-charge!C113</f>
        <v>-0</v>
      </c>
      <c r="L115" s="2" t="n">
        <f aca="false">discharge!C113</f>
        <v>0</v>
      </c>
      <c r="M115" s="2" t="n">
        <f aca="false">soc!C113/investment!$E$2 *100</f>
        <v>20.8291924385151</v>
      </c>
      <c r="N115" s="8" t="n">
        <f aca="false">p_micro!C112</f>
        <v>0</v>
      </c>
    </row>
    <row r="116" customFormat="false" ht="13.8" hidden="false" customHeight="false" outlineLevel="0" collapsed="false">
      <c r="B116" s="14" t="n">
        <f aca="false">_xlfn.NUMBERVALUE(solar!B113)</f>
        <v>0</v>
      </c>
      <c r="C116" s="15" t="n">
        <f aca="false">solar!C113</f>
        <v>0</v>
      </c>
      <c r="D116" s="15" t="n">
        <v>16</v>
      </c>
      <c r="E116" s="9" t="n">
        <v>112</v>
      </c>
      <c r="F116" s="20" t="n">
        <f aca="false">IFERROR(INDEX($B$5:$C$173, MATCH($E116, $B$5:$B$175, 0), 2), 0)*investment!$C$2</f>
        <v>0</v>
      </c>
      <c r="G116" s="9" t="n">
        <f aca="false">demand!C114</f>
        <v>0</v>
      </c>
      <c r="H116" s="2" t="n">
        <f aca="false">solgen!C114</f>
        <v>0</v>
      </c>
      <c r="I116" s="2" t="n">
        <f aca="false">import!C114</f>
        <v>0</v>
      </c>
      <c r="J116" s="2" t="n">
        <f aca="false">-export!C114</f>
        <v>-0</v>
      </c>
      <c r="K116" s="2" t="n">
        <f aca="false">-charge!C114</f>
        <v>-0</v>
      </c>
      <c r="L116" s="2" t="n">
        <f aca="false">discharge!C114</f>
        <v>0</v>
      </c>
      <c r="M116" s="2" t="n">
        <f aca="false">soc!C114/investment!$E$2 *100</f>
        <v>19.6346900494381</v>
      </c>
      <c r="N116" s="8" t="n">
        <f aca="false">p_micro!C113</f>
        <v>0</v>
      </c>
    </row>
    <row r="117" customFormat="false" ht="13.8" hidden="false" customHeight="false" outlineLevel="0" collapsed="false">
      <c r="B117" s="14" t="n">
        <f aca="false">_xlfn.NUMBERVALUE(solar!B114)</f>
        <v>0</v>
      </c>
      <c r="C117" s="15" t="n">
        <f aca="false">solar!C114</f>
        <v>0</v>
      </c>
      <c r="D117" s="15" t="n">
        <v>17</v>
      </c>
      <c r="E117" s="9" t="n">
        <v>113</v>
      </c>
      <c r="F117" s="20" t="n">
        <f aca="false">IFERROR(INDEX($B$5:$C$173, MATCH($E117, $B$5:$B$175, 0), 2), 0)*investment!$C$2</f>
        <v>0</v>
      </c>
      <c r="G117" s="9" t="n">
        <f aca="false">demand!C115</f>
        <v>0</v>
      </c>
      <c r="H117" s="2" t="n">
        <f aca="false">solgen!C115</f>
        <v>0</v>
      </c>
      <c r="I117" s="2" t="n">
        <f aca="false">import!C115</f>
        <v>0</v>
      </c>
      <c r="J117" s="2" t="n">
        <f aca="false">-export!C115</f>
        <v>-0</v>
      </c>
      <c r="K117" s="2" t="n">
        <f aca="false">-charge!C115</f>
        <v>-0</v>
      </c>
      <c r="L117" s="2" t="n">
        <f aca="false">discharge!C115</f>
        <v>0</v>
      </c>
      <c r="M117" s="2" t="n">
        <f aca="false">soc!C115/investment!$E$2 *100</f>
        <v>18.4910276487953</v>
      </c>
      <c r="N117" s="8" t="n">
        <f aca="false">p_micro!C114</f>
        <v>0</v>
      </c>
    </row>
    <row r="118" customFormat="false" ht="13.8" hidden="false" customHeight="false" outlineLevel="0" collapsed="false">
      <c r="B118" s="14" t="n">
        <f aca="false">_xlfn.NUMBERVALUE(solar!B115)</f>
        <v>0</v>
      </c>
      <c r="C118" s="15" t="n">
        <f aca="false">solar!C115</f>
        <v>0</v>
      </c>
      <c r="D118" s="15" t="n">
        <v>18</v>
      </c>
      <c r="E118" s="9" t="n">
        <v>114</v>
      </c>
      <c r="F118" s="20" t="n">
        <f aca="false">IFERROR(INDEX($B$5:$C$173, MATCH($E118, $B$5:$B$175, 0), 2), 0)*investment!$C$2</f>
        <v>0</v>
      </c>
      <c r="G118" s="9" t="n">
        <f aca="false">demand!C116</f>
        <v>0</v>
      </c>
      <c r="H118" s="2" t="n">
        <f aca="false">solgen!C116</f>
        <v>0</v>
      </c>
      <c r="I118" s="2" t="n">
        <f aca="false">import!C116</f>
        <v>0</v>
      </c>
      <c r="J118" s="2" t="n">
        <f aca="false">-export!C116</f>
        <v>-0</v>
      </c>
      <c r="K118" s="2" t="n">
        <f aca="false">-charge!C116</f>
        <v>-0</v>
      </c>
      <c r="L118" s="2" t="n">
        <f aca="false">discharge!C116</f>
        <v>0</v>
      </c>
      <c r="M118" s="2" t="n">
        <f aca="false">soc!C116/investment!$E$2 *100</f>
        <v>17.3752259471136</v>
      </c>
      <c r="N118" s="8" t="n">
        <f aca="false">p_micro!C115</f>
        <v>0</v>
      </c>
    </row>
    <row r="119" customFormat="false" ht="13.8" hidden="false" customHeight="false" outlineLevel="0" collapsed="false">
      <c r="B119" s="14" t="n">
        <f aca="false">_xlfn.NUMBERVALUE(solar!B116)</f>
        <v>0</v>
      </c>
      <c r="C119" s="15" t="n">
        <f aca="false">solar!C116</f>
        <v>0</v>
      </c>
      <c r="D119" s="15" t="n">
        <v>19</v>
      </c>
      <c r="E119" s="9" t="n">
        <v>115</v>
      </c>
      <c r="F119" s="20" t="n">
        <f aca="false">IFERROR(INDEX($B$5:$C$173, MATCH($E119, $B$5:$B$175, 0), 2), 0)*investment!$C$2</f>
        <v>0</v>
      </c>
      <c r="G119" s="9" t="n">
        <f aca="false">demand!C117</f>
        <v>0</v>
      </c>
      <c r="H119" s="2" t="n">
        <f aca="false">solgen!C117</f>
        <v>0</v>
      </c>
      <c r="I119" s="2" t="n">
        <f aca="false">import!C117</f>
        <v>0</v>
      </c>
      <c r="J119" s="2" t="n">
        <f aca="false">-export!C117</f>
        <v>-0</v>
      </c>
      <c r="K119" s="2" t="n">
        <f aca="false">-charge!C117</f>
        <v>-0</v>
      </c>
      <c r="L119" s="2" t="n">
        <f aca="false">discharge!C117</f>
        <v>0</v>
      </c>
      <c r="M119" s="2" t="n">
        <f aca="false">soc!C117/investment!$E$2 *100</f>
        <v>15.7673560264171</v>
      </c>
      <c r="N119" s="8" t="n">
        <f aca="false">p_micro!C116</f>
        <v>0</v>
      </c>
    </row>
    <row r="120" customFormat="false" ht="13.8" hidden="false" customHeight="false" outlineLevel="0" collapsed="false">
      <c r="B120" s="14" t="n">
        <f aca="false">_xlfn.NUMBERVALUE(solar!B117)</f>
        <v>0</v>
      </c>
      <c r="C120" s="15" t="n">
        <f aca="false">solar!C117</f>
        <v>0</v>
      </c>
      <c r="D120" s="15" t="n">
        <v>20</v>
      </c>
      <c r="E120" s="9" t="n">
        <v>116</v>
      </c>
      <c r="F120" s="20" t="n">
        <f aca="false">IFERROR(INDEX($B$5:$C$173, MATCH($E120, $B$5:$B$175, 0), 2), 0)*investment!$C$2</f>
        <v>0</v>
      </c>
      <c r="G120" s="9" t="n">
        <f aca="false">demand!C118</f>
        <v>0</v>
      </c>
      <c r="H120" s="2" t="n">
        <f aca="false">solgen!C118</f>
        <v>0</v>
      </c>
      <c r="I120" s="2" t="n">
        <f aca="false">import!C118</f>
        <v>0</v>
      </c>
      <c r="J120" s="2" t="n">
        <f aca="false">-export!C118</f>
        <v>-0</v>
      </c>
      <c r="K120" s="2" t="n">
        <f aca="false">-charge!C118</f>
        <v>-0</v>
      </c>
      <c r="L120" s="2" t="n">
        <f aca="false">discharge!C118</f>
        <v>0</v>
      </c>
      <c r="M120" s="2" t="n">
        <f aca="false">soc!C118/investment!$E$2 *100</f>
        <v>15.1099472590048</v>
      </c>
      <c r="N120" s="8" t="n">
        <f aca="false">p_micro!C117</f>
        <v>0</v>
      </c>
    </row>
    <row r="121" customFormat="false" ht="13.8" hidden="false" customHeight="false" outlineLevel="0" collapsed="false">
      <c r="B121" s="14" t="n">
        <f aca="false">_xlfn.NUMBERVALUE(solar!B118)</f>
        <v>0</v>
      </c>
      <c r="C121" s="15" t="n">
        <f aca="false">solar!C118</f>
        <v>0</v>
      </c>
      <c r="D121" s="15" t="n">
        <v>21</v>
      </c>
      <c r="E121" s="9" t="n">
        <v>117</v>
      </c>
      <c r="F121" s="20" t="n">
        <f aca="false">IFERROR(INDEX($B$5:$C$173, MATCH($E121, $B$5:$B$175, 0), 2), 0)*investment!$C$2</f>
        <v>0</v>
      </c>
      <c r="G121" s="9" t="n">
        <f aca="false">demand!C119</f>
        <v>0</v>
      </c>
      <c r="H121" s="2" t="n">
        <f aca="false">solgen!C119</f>
        <v>0</v>
      </c>
      <c r="I121" s="2" t="n">
        <f aca="false">import!C119</f>
        <v>0</v>
      </c>
      <c r="J121" s="2" t="n">
        <f aca="false">-export!C119</f>
        <v>-0</v>
      </c>
      <c r="K121" s="2" t="n">
        <f aca="false">-charge!C119</f>
        <v>-0</v>
      </c>
      <c r="L121" s="2" t="n">
        <f aca="false">discharge!C119</f>
        <v>0</v>
      </c>
      <c r="M121" s="2" t="n">
        <f aca="false">soc!C119/investment!$E$2 *100</f>
        <v>13.2084036281566</v>
      </c>
      <c r="N121" s="8" t="n">
        <f aca="false">p_micro!C118</f>
        <v>0</v>
      </c>
    </row>
    <row r="122" customFormat="false" ht="13.8" hidden="false" customHeight="false" outlineLevel="0" collapsed="false">
      <c r="B122" s="14" t="n">
        <f aca="false">_xlfn.NUMBERVALUE(solar!B119)</f>
        <v>0</v>
      </c>
      <c r="C122" s="15" t="n">
        <f aca="false">solar!C119</f>
        <v>0</v>
      </c>
      <c r="D122" s="15" t="n">
        <v>22</v>
      </c>
      <c r="E122" s="9" t="n">
        <v>118</v>
      </c>
      <c r="F122" s="20" t="n">
        <f aca="false">IFERROR(INDEX($B$5:$C$173, MATCH($E122, $B$5:$B$175, 0), 2), 0)*investment!$C$2</f>
        <v>0</v>
      </c>
      <c r="G122" s="9" t="n">
        <f aca="false">demand!C120</f>
        <v>0</v>
      </c>
      <c r="H122" s="2" t="n">
        <f aca="false">solgen!C120</f>
        <v>0</v>
      </c>
      <c r="I122" s="2" t="n">
        <f aca="false">import!C120</f>
        <v>0</v>
      </c>
      <c r="J122" s="2" t="n">
        <f aca="false">-export!C120</f>
        <v>-0</v>
      </c>
      <c r="K122" s="2" t="n">
        <f aca="false">-charge!C120</f>
        <v>-0</v>
      </c>
      <c r="L122" s="2" t="n">
        <f aca="false">discharge!C120</f>
        <v>0</v>
      </c>
      <c r="M122" s="2" t="n">
        <f aca="false">soc!C120/investment!$E$2 *100</f>
        <v>12.6466786942991</v>
      </c>
      <c r="N122" s="8" t="n">
        <f aca="false">p_micro!C119</f>
        <v>0</v>
      </c>
    </row>
    <row r="123" customFormat="false" ht="13.8" hidden="false" customHeight="false" outlineLevel="0" collapsed="false">
      <c r="B123" s="14" t="n">
        <f aca="false">_xlfn.NUMBERVALUE(solar!B120)</f>
        <v>0</v>
      </c>
      <c r="C123" s="15" t="n">
        <f aca="false">solar!C120</f>
        <v>0</v>
      </c>
      <c r="D123" s="15" t="n">
        <v>23</v>
      </c>
      <c r="E123" s="9" t="n">
        <v>119</v>
      </c>
      <c r="F123" s="20" t="n">
        <f aca="false">IFERROR(INDEX($B$5:$C$173, MATCH($E123, $B$5:$B$175, 0), 2), 0)*investment!$C$2</f>
        <v>0</v>
      </c>
      <c r="G123" s="9" t="n">
        <f aca="false">demand!C121</f>
        <v>0</v>
      </c>
      <c r="H123" s="2" t="n">
        <f aca="false">solgen!C121</f>
        <v>0</v>
      </c>
      <c r="I123" s="2" t="n">
        <f aca="false">import!C121</f>
        <v>0</v>
      </c>
      <c r="J123" s="2" t="n">
        <f aca="false">-export!C121</f>
        <v>-0</v>
      </c>
      <c r="K123" s="2" t="n">
        <f aca="false">-charge!C121</f>
        <v>-0</v>
      </c>
      <c r="L123" s="2" t="n">
        <f aca="false">discharge!C121</f>
        <v>0</v>
      </c>
      <c r="M123" s="2" t="n">
        <f aca="false">soc!C121/investment!$E$2 *100</f>
        <v>11.2595029400759</v>
      </c>
      <c r="N123" s="8" t="n">
        <f aca="false">p_micro!C120</f>
        <v>0</v>
      </c>
    </row>
    <row r="124" customFormat="false" ht="13.8" hidden="false" customHeight="false" outlineLevel="0" collapsed="false">
      <c r="B124" s="14" t="n">
        <f aca="false">_xlfn.NUMBERVALUE(solar!B121)</f>
        <v>0</v>
      </c>
      <c r="C124" s="15" t="n">
        <f aca="false">solar!C121</f>
        <v>0</v>
      </c>
      <c r="D124" s="15" t="n">
        <v>24</v>
      </c>
      <c r="E124" s="9" t="n">
        <v>120</v>
      </c>
      <c r="F124" s="20" t="n">
        <f aca="false">IFERROR(INDEX($B$5:$C$173, MATCH($E124, $B$5:$B$175, 0), 2), 0)*investment!$C$2</f>
        <v>0</v>
      </c>
      <c r="G124" s="9" t="n">
        <f aca="false">demand!C122</f>
        <v>0</v>
      </c>
      <c r="H124" s="2" t="n">
        <f aca="false">solgen!C122</f>
        <v>0</v>
      </c>
      <c r="I124" s="2" t="n">
        <f aca="false">import!C122</f>
        <v>0</v>
      </c>
      <c r="J124" s="2" t="n">
        <f aca="false">-export!C122</f>
        <v>-0</v>
      </c>
      <c r="K124" s="2" t="n">
        <f aca="false">-charge!C122</f>
        <v>-0</v>
      </c>
      <c r="L124" s="2" t="n">
        <f aca="false">discharge!C122</f>
        <v>0</v>
      </c>
      <c r="M124" s="2" t="n">
        <f aca="false">soc!C122/investment!$E$2 *100</f>
        <v>8.75940939022244</v>
      </c>
      <c r="N124" s="8" t="n">
        <f aca="false">p_micro!C121</f>
        <v>0</v>
      </c>
    </row>
    <row r="125" customFormat="false" ht="13.8" hidden="false" customHeight="false" outlineLevel="0" collapsed="false">
      <c r="B125" s="14" t="n">
        <f aca="false">_xlfn.NUMBERVALUE(solar!B122)</f>
        <v>0</v>
      </c>
      <c r="C125" s="15" t="n">
        <f aca="false">solar!C122</f>
        <v>0</v>
      </c>
      <c r="D125" s="15" t="n">
        <v>1</v>
      </c>
      <c r="E125" s="9" t="n">
        <v>121</v>
      </c>
      <c r="F125" s="20" t="n">
        <f aca="false">IFERROR(INDEX($B$5:$C$173, MATCH($E125, $B$5:$B$175, 0), 2), 0)*investment!$C$2</f>
        <v>0</v>
      </c>
      <c r="G125" s="9" t="n">
        <f aca="false">demand!C123</f>
        <v>0</v>
      </c>
      <c r="H125" s="2" t="n">
        <f aca="false">solgen!C123</f>
        <v>0</v>
      </c>
      <c r="I125" s="2" t="n">
        <f aca="false">import!C123</f>
        <v>0</v>
      </c>
      <c r="J125" s="2" t="n">
        <f aca="false">-export!C123</f>
        <v>-0</v>
      </c>
      <c r="K125" s="2" t="n">
        <f aca="false">-charge!C123</f>
        <v>-0</v>
      </c>
      <c r="L125" s="2" t="n">
        <f aca="false">discharge!C123</f>
        <v>0</v>
      </c>
      <c r="M125" s="2" t="n">
        <f aca="false">soc!C123/investment!$E$2 *100</f>
        <v>8.75932179612854</v>
      </c>
      <c r="N125" s="8" t="n">
        <f aca="false">p_micro!C122</f>
        <v>0</v>
      </c>
    </row>
    <row r="126" customFormat="false" ht="13.8" hidden="false" customHeight="false" outlineLevel="0" collapsed="false">
      <c r="B126" s="14" t="n">
        <f aca="false">_xlfn.NUMBERVALUE(solar!B123)</f>
        <v>0</v>
      </c>
      <c r="C126" s="15" t="n">
        <f aca="false">solar!C123</f>
        <v>0</v>
      </c>
      <c r="D126" s="15" t="n">
        <v>2</v>
      </c>
      <c r="E126" s="9" t="n">
        <v>122</v>
      </c>
      <c r="F126" s="20" t="n">
        <f aca="false">IFERROR(INDEX($B$5:$C$173, MATCH($E126, $B$5:$B$175, 0), 2), 0)*investment!$C$2</f>
        <v>0</v>
      </c>
      <c r="G126" s="9" t="n">
        <f aca="false">demand!C124</f>
        <v>0</v>
      </c>
      <c r="H126" s="2" t="n">
        <f aca="false">solgen!C124</f>
        <v>0</v>
      </c>
      <c r="I126" s="2" t="n">
        <f aca="false">import!C124</f>
        <v>0</v>
      </c>
      <c r="J126" s="2" t="n">
        <f aca="false">-export!C124</f>
        <v>-0</v>
      </c>
      <c r="K126" s="2" t="n">
        <f aca="false">-charge!C124</f>
        <v>-0</v>
      </c>
      <c r="L126" s="2" t="n">
        <f aca="false">discharge!C124</f>
        <v>0</v>
      </c>
      <c r="M126" s="2" t="n">
        <f aca="false">soc!C124/investment!$E$2 *100</f>
        <v>7.4452821464042</v>
      </c>
      <c r="N126" s="8" t="n">
        <f aca="false">p_micro!C123</f>
        <v>0</v>
      </c>
    </row>
    <row r="127" customFormat="false" ht="13.8" hidden="false" customHeight="false" outlineLevel="0" collapsed="false">
      <c r="B127" s="14" t="n">
        <f aca="false">_xlfn.NUMBERVALUE(solar!B124)</f>
        <v>0</v>
      </c>
      <c r="C127" s="15" t="n">
        <f aca="false">solar!C124</f>
        <v>0</v>
      </c>
      <c r="D127" s="15" t="n">
        <v>3</v>
      </c>
      <c r="E127" s="9" t="n">
        <v>123</v>
      </c>
      <c r="F127" s="20" t="n">
        <f aca="false">IFERROR(INDEX($B$5:$C$173, MATCH($E127, $B$5:$B$175, 0), 2), 0)*investment!$C$2</f>
        <v>0</v>
      </c>
      <c r="G127" s="9" t="n">
        <f aca="false">demand!C125</f>
        <v>0</v>
      </c>
      <c r="H127" s="2" t="n">
        <f aca="false">solgen!C125</f>
        <v>0</v>
      </c>
      <c r="I127" s="2" t="n">
        <f aca="false">import!C125</f>
        <v>0</v>
      </c>
      <c r="J127" s="2" t="n">
        <f aca="false">-export!C125</f>
        <v>-0</v>
      </c>
      <c r="K127" s="2" t="n">
        <f aca="false">-charge!C125</f>
        <v>-0</v>
      </c>
      <c r="L127" s="2" t="n">
        <f aca="false">discharge!C125</f>
        <v>0</v>
      </c>
      <c r="M127" s="2" t="n">
        <f aca="false">soc!C125/investment!$E$2 *100</f>
        <v>8.54464040630018</v>
      </c>
      <c r="N127" s="8" t="n">
        <f aca="false">p_micro!C124</f>
        <v>0</v>
      </c>
    </row>
    <row r="128" customFormat="false" ht="13.8" hidden="false" customHeight="false" outlineLevel="0" collapsed="false">
      <c r="B128" s="14" t="n">
        <f aca="false">_xlfn.NUMBERVALUE(solar!B125)</f>
        <v>0</v>
      </c>
      <c r="C128" s="15" t="n">
        <f aca="false">solar!C125</f>
        <v>0</v>
      </c>
      <c r="D128" s="15" t="n">
        <v>4</v>
      </c>
      <c r="E128" s="9" t="n">
        <v>124</v>
      </c>
      <c r="F128" s="20" t="n">
        <f aca="false">IFERROR(INDEX($B$5:$C$173, MATCH($E128, $B$5:$B$175, 0), 2), 0)*investment!$C$2</f>
        <v>0</v>
      </c>
      <c r="G128" s="9" t="n">
        <f aca="false">demand!C126</f>
        <v>0</v>
      </c>
      <c r="H128" s="2" t="n">
        <f aca="false">solgen!C126</f>
        <v>0</v>
      </c>
      <c r="I128" s="2" t="n">
        <f aca="false">import!C126</f>
        <v>0</v>
      </c>
      <c r="J128" s="2" t="n">
        <f aca="false">-export!C126</f>
        <v>-0</v>
      </c>
      <c r="K128" s="2" t="n">
        <f aca="false">-charge!C126</f>
        <v>-0</v>
      </c>
      <c r="L128" s="2" t="n">
        <f aca="false">discharge!C126</f>
        <v>0</v>
      </c>
      <c r="M128" s="2" t="n">
        <f aca="false">soc!C126/investment!$E$2 *100</f>
        <v>8.54455495989611</v>
      </c>
      <c r="N128" s="8" t="n">
        <f aca="false">p_micro!C125</f>
        <v>0</v>
      </c>
    </row>
    <row r="129" customFormat="false" ht="13.8" hidden="false" customHeight="false" outlineLevel="0" collapsed="false">
      <c r="B129" s="14" t="n">
        <f aca="false">_xlfn.NUMBERVALUE(solar!B126)</f>
        <v>0</v>
      </c>
      <c r="C129" s="15" t="n">
        <f aca="false">solar!C126</f>
        <v>0</v>
      </c>
      <c r="D129" s="15" t="n">
        <v>5</v>
      </c>
      <c r="E129" s="9" t="n">
        <v>125</v>
      </c>
      <c r="F129" s="20" t="n">
        <f aca="false">IFERROR(INDEX($B$5:$C$173, MATCH($E129, $B$5:$B$175, 0), 2), 0)*investment!$C$2</f>
        <v>0</v>
      </c>
      <c r="G129" s="9" t="n">
        <f aca="false">demand!C127</f>
        <v>0</v>
      </c>
      <c r="H129" s="2" t="n">
        <f aca="false">solgen!C127</f>
        <v>0</v>
      </c>
      <c r="I129" s="2" t="n">
        <f aca="false">import!C127</f>
        <v>0</v>
      </c>
      <c r="J129" s="2" t="n">
        <f aca="false">-export!C127</f>
        <v>-0</v>
      </c>
      <c r="K129" s="2" t="n">
        <f aca="false">-charge!C127</f>
        <v>-0</v>
      </c>
      <c r="L129" s="2" t="n">
        <f aca="false">discharge!C127</f>
        <v>0</v>
      </c>
      <c r="M129" s="2" t="n">
        <f aca="false">soc!C127/investment!$E$2 *100</f>
        <v>9.98657093904918</v>
      </c>
      <c r="N129" s="8" t="n">
        <f aca="false">p_micro!C126</f>
        <v>0</v>
      </c>
    </row>
    <row r="130" customFormat="false" ht="13.8" hidden="false" customHeight="false" outlineLevel="0" collapsed="false">
      <c r="B130" s="14" t="n">
        <f aca="false">_xlfn.NUMBERVALUE(solar!B127)</f>
        <v>0</v>
      </c>
      <c r="C130" s="15" t="n">
        <f aca="false">solar!C127</f>
        <v>0</v>
      </c>
      <c r="D130" s="15" t="n">
        <v>6</v>
      </c>
      <c r="E130" s="9" t="n">
        <v>126</v>
      </c>
      <c r="F130" s="20" t="n">
        <f aca="false">IFERROR(INDEX($B$5:$C$173, MATCH($E130, $B$5:$B$175, 0), 2), 0)*investment!$C$2</f>
        <v>0</v>
      </c>
      <c r="G130" s="9" t="n">
        <f aca="false">demand!C128</f>
        <v>0</v>
      </c>
      <c r="H130" s="2" t="n">
        <f aca="false">solgen!C128</f>
        <v>0</v>
      </c>
      <c r="I130" s="2" t="n">
        <f aca="false">import!C128</f>
        <v>0</v>
      </c>
      <c r="J130" s="2" t="n">
        <f aca="false">-export!C128</f>
        <v>-0</v>
      </c>
      <c r="K130" s="2" t="n">
        <f aca="false">-charge!C128</f>
        <v>-0</v>
      </c>
      <c r="L130" s="2" t="n">
        <f aca="false">discharge!C128</f>
        <v>0</v>
      </c>
      <c r="M130" s="2" t="n">
        <f aca="false">soc!C128/investment!$E$2 *100</f>
        <v>9.98647107333979</v>
      </c>
      <c r="N130" s="8" t="n">
        <f aca="false">p_micro!C127</f>
        <v>0</v>
      </c>
    </row>
    <row r="131" customFormat="false" ht="13.8" hidden="false" customHeight="false" outlineLevel="0" collapsed="false">
      <c r="B131" s="14" t="n">
        <f aca="false">_xlfn.NUMBERVALUE(solar!B128)</f>
        <v>0</v>
      </c>
      <c r="C131" s="15" t="n">
        <f aca="false">solar!C128</f>
        <v>0</v>
      </c>
      <c r="D131" s="15" t="n">
        <v>7</v>
      </c>
      <c r="E131" s="9" t="n">
        <v>127</v>
      </c>
      <c r="F131" s="20" t="n">
        <f aca="false">IFERROR(INDEX($B$5:$C$173, MATCH($E131, $B$5:$B$175, 0), 2), 0)*investment!$C$2</f>
        <v>0</v>
      </c>
      <c r="G131" s="9" t="n">
        <f aca="false">demand!C129</f>
        <v>0</v>
      </c>
      <c r="H131" s="2" t="n">
        <f aca="false">solgen!C129</f>
        <v>0</v>
      </c>
      <c r="I131" s="2" t="n">
        <f aca="false">import!C129</f>
        <v>0</v>
      </c>
      <c r="J131" s="2" t="n">
        <f aca="false">-export!C129</f>
        <v>-0</v>
      </c>
      <c r="K131" s="2" t="n">
        <f aca="false">-charge!C129</f>
        <v>-0</v>
      </c>
      <c r="L131" s="2" t="n">
        <f aca="false">discharge!C129</f>
        <v>0</v>
      </c>
      <c r="M131" s="2" t="n">
        <f aca="false">soc!C129/investment!$E$2 *100</f>
        <v>12.8355598961237</v>
      </c>
      <c r="N131" s="8" t="n">
        <f aca="false">p_micro!C128</f>
        <v>0</v>
      </c>
    </row>
    <row r="132" customFormat="false" ht="13.8" hidden="false" customHeight="false" outlineLevel="0" collapsed="false">
      <c r="B132" s="14" t="n">
        <f aca="false">_xlfn.NUMBERVALUE(solar!B129)</f>
        <v>0</v>
      </c>
      <c r="C132" s="15" t="n">
        <f aca="false">solar!C129</f>
        <v>0</v>
      </c>
      <c r="D132" s="15" t="n">
        <v>8</v>
      </c>
      <c r="E132" s="9" t="n">
        <v>128</v>
      </c>
      <c r="F132" s="20" t="n">
        <f aca="false">IFERROR(INDEX($B$5:$C$173, MATCH($E132, $B$5:$B$175, 0), 2), 0)*investment!$C$2</f>
        <v>0</v>
      </c>
      <c r="G132" s="9" t="n">
        <f aca="false">demand!C130</f>
        <v>0</v>
      </c>
      <c r="H132" s="2" t="n">
        <f aca="false">solgen!C130</f>
        <v>0</v>
      </c>
      <c r="I132" s="2" t="n">
        <f aca="false">import!C130</f>
        <v>0</v>
      </c>
      <c r="J132" s="2" t="n">
        <f aca="false">-export!C130</f>
        <v>-0</v>
      </c>
      <c r="K132" s="2" t="n">
        <f aca="false">-charge!C130</f>
        <v>-0</v>
      </c>
      <c r="L132" s="2" t="n">
        <f aca="false">discharge!C130</f>
        <v>0</v>
      </c>
      <c r="M132" s="2" t="n">
        <f aca="false">soc!C130/investment!$E$2 *100</f>
        <v>16.0010502877173</v>
      </c>
      <c r="N132" s="8" t="n">
        <f aca="false">p_micro!C129</f>
        <v>0</v>
      </c>
    </row>
    <row r="133" customFormat="false" ht="13.8" hidden="false" customHeight="false" outlineLevel="0" collapsed="false">
      <c r="B133" s="14" t="n">
        <f aca="false">_xlfn.NUMBERVALUE(solar!B130)</f>
        <v>0</v>
      </c>
      <c r="C133" s="15" t="n">
        <f aca="false">solar!C130</f>
        <v>0</v>
      </c>
      <c r="D133" s="15" t="n">
        <v>9</v>
      </c>
      <c r="E133" s="9" t="n">
        <v>129</v>
      </c>
      <c r="F133" s="20" t="n">
        <f aca="false">IFERROR(INDEX($B$5:$C$173, MATCH($E133, $B$5:$B$175, 0), 2), 0)*investment!$C$2</f>
        <v>0</v>
      </c>
      <c r="G133" s="9" t="n">
        <f aca="false">demand!C131</f>
        <v>0</v>
      </c>
      <c r="H133" s="2" t="n">
        <f aca="false">solgen!C131</f>
        <v>0</v>
      </c>
      <c r="I133" s="2" t="n">
        <f aca="false">import!C131</f>
        <v>0</v>
      </c>
      <c r="J133" s="2" t="n">
        <f aca="false">-export!C131</f>
        <v>-0</v>
      </c>
      <c r="K133" s="2" t="n">
        <f aca="false">-charge!C131</f>
        <v>-0</v>
      </c>
      <c r="L133" s="2" t="n">
        <f aca="false">discharge!C131</f>
        <v>0</v>
      </c>
      <c r="M133" s="2" t="n">
        <f aca="false">soc!C131/investment!$E$2 *100</f>
        <v>19.3580867949725</v>
      </c>
      <c r="N133" s="8" t="n">
        <f aca="false">p_micro!C130</f>
        <v>0</v>
      </c>
    </row>
    <row r="134" customFormat="false" ht="13.8" hidden="false" customHeight="false" outlineLevel="0" collapsed="false">
      <c r="B134" s="14" t="n">
        <f aca="false">_xlfn.NUMBERVALUE(solar!B131)</f>
        <v>0</v>
      </c>
      <c r="C134" s="15" t="n">
        <f aca="false">solar!C131</f>
        <v>0</v>
      </c>
      <c r="D134" s="15" t="n">
        <v>10</v>
      </c>
      <c r="E134" s="9" t="n">
        <v>130</v>
      </c>
      <c r="F134" s="20" t="n">
        <f aca="false">IFERROR(INDEX($B$5:$C$173, MATCH($E134, $B$5:$B$175, 0), 2), 0)*investment!$C$2</f>
        <v>0</v>
      </c>
      <c r="G134" s="9" t="n">
        <f aca="false">demand!C132</f>
        <v>0</v>
      </c>
      <c r="H134" s="2" t="n">
        <f aca="false">solgen!C132</f>
        <v>0</v>
      </c>
      <c r="I134" s="2" t="n">
        <f aca="false">import!C132</f>
        <v>0</v>
      </c>
      <c r="J134" s="2" t="n">
        <f aca="false">-export!C132</f>
        <v>-0</v>
      </c>
      <c r="K134" s="2" t="n">
        <f aca="false">-charge!C132</f>
        <v>-0</v>
      </c>
      <c r="L134" s="2" t="n">
        <f aca="false">discharge!C132</f>
        <v>0</v>
      </c>
      <c r="M134" s="2" t="n">
        <f aca="false">soc!C132/investment!$E$2 *100</f>
        <v>23.6500748778454</v>
      </c>
      <c r="N134" s="8" t="n">
        <f aca="false">p_micro!C131</f>
        <v>0</v>
      </c>
    </row>
    <row r="135" customFormat="false" ht="13.8" hidden="false" customHeight="false" outlineLevel="0" collapsed="false">
      <c r="B135" s="14" t="n">
        <f aca="false">_xlfn.NUMBERVALUE(solar!B132)</f>
        <v>0</v>
      </c>
      <c r="C135" s="15" t="n">
        <f aca="false">solar!C132</f>
        <v>0</v>
      </c>
      <c r="D135" s="15" t="n">
        <v>11</v>
      </c>
      <c r="E135" s="9" t="n">
        <v>131</v>
      </c>
      <c r="F135" s="20" t="n">
        <f aca="false">IFERROR(INDEX($B$5:$C$173, MATCH($E135, $B$5:$B$175, 0), 2), 0)*investment!$C$2</f>
        <v>0</v>
      </c>
      <c r="G135" s="9" t="n">
        <f aca="false">demand!C133</f>
        <v>0</v>
      </c>
      <c r="H135" s="2" t="n">
        <f aca="false">solgen!C133</f>
        <v>0</v>
      </c>
      <c r="I135" s="2" t="n">
        <f aca="false">import!C133</f>
        <v>0</v>
      </c>
      <c r="J135" s="2" t="n">
        <f aca="false">-export!C133</f>
        <v>-0</v>
      </c>
      <c r="K135" s="2" t="n">
        <f aca="false">-charge!C133</f>
        <v>-0</v>
      </c>
      <c r="L135" s="2" t="n">
        <f aca="false">discharge!C133</f>
        <v>0</v>
      </c>
      <c r="M135" s="2" t="n">
        <f aca="false">soc!C133/investment!$E$2 *100</f>
        <v>29.0549420050475</v>
      </c>
      <c r="N135" s="8" t="n">
        <f aca="false">p_micro!C132</f>
        <v>0</v>
      </c>
    </row>
    <row r="136" customFormat="false" ht="13.8" hidden="false" customHeight="false" outlineLevel="0" collapsed="false">
      <c r="B136" s="14" t="n">
        <f aca="false">_xlfn.NUMBERVALUE(solar!B133)</f>
        <v>0</v>
      </c>
      <c r="C136" s="15" t="n">
        <f aca="false">solar!C133</f>
        <v>0</v>
      </c>
      <c r="D136" s="15" t="n">
        <v>12</v>
      </c>
      <c r="E136" s="9" t="n">
        <v>132</v>
      </c>
      <c r="F136" s="20" t="n">
        <f aca="false">IFERROR(INDEX($B$5:$C$173, MATCH($E136, $B$5:$B$175, 0), 2), 0)*investment!$C$2</f>
        <v>0</v>
      </c>
      <c r="G136" s="9" t="n">
        <f aca="false">demand!C134</f>
        <v>0</v>
      </c>
      <c r="H136" s="2" t="n">
        <f aca="false">solgen!C134</f>
        <v>0</v>
      </c>
      <c r="I136" s="2" t="n">
        <f aca="false">import!C134</f>
        <v>0</v>
      </c>
      <c r="J136" s="2" t="n">
        <f aca="false">-export!C134</f>
        <v>-0</v>
      </c>
      <c r="K136" s="2" t="n">
        <f aca="false">-charge!C134</f>
        <v>-0</v>
      </c>
      <c r="L136" s="2" t="n">
        <f aca="false">discharge!C134</f>
        <v>0</v>
      </c>
      <c r="M136" s="2" t="n">
        <f aca="false">soc!C134/investment!$E$2 *100</f>
        <v>33.7337177775131</v>
      </c>
      <c r="N136" s="8" t="n">
        <f aca="false">p_micro!C133</f>
        <v>0</v>
      </c>
    </row>
    <row r="137" customFormat="false" ht="13.8" hidden="false" customHeight="false" outlineLevel="0" collapsed="false">
      <c r="B137" s="14" t="n">
        <f aca="false">_xlfn.NUMBERVALUE(solar!B134)</f>
        <v>0</v>
      </c>
      <c r="C137" s="15" t="n">
        <f aca="false">solar!C134</f>
        <v>0</v>
      </c>
      <c r="D137" s="15" t="n">
        <v>13</v>
      </c>
      <c r="E137" s="9" t="n">
        <v>133</v>
      </c>
      <c r="F137" s="20" t="n">
        <f aca="false">IFERROR(INDEX($B$5:$C$173, MATCH($E137, $B$5:$B$175, 0), 2), 0)*investment!$C$2</f>
        <v>0</v>
      </c>
      <c r="G137" s="9" t="n">
        <f aca="false">demand!C135</f>
        <v>0</v>
      </c>
      <c r="H137" s="2" t="n">
        <f aca="false">solgen!C135</f>
        <v>0</v>
      </c>
      <c r="I137" s="2" t="n">
        <f aca="false">import!C135</f>
        <v>0</v>
      </c>
      <c r="J137" s="2" t="n">
        <f aca="false">-export!C135</f>
        <v>-0</v>
      </c>
      <c r="K137" s="2" t="n">
        <f aca="false">-charge!C135</f>
        <v>-0</v>
      </c>
      <c r="L137" s="2" t="n">
        <f aca="false">discharge!C135</f>
        <v>0</v>
      </c>
      <c r="M137" s="2" t="n">
        <f aca="false">soc!C135/investment!$E$2 *100</f>
        <v>40.2774132001178</v>
      </c>
      <c r="N137" s="8" t="n">
        <f aca="false">p_micro!C134</f>
        <v>0</v>
      </c>
    </row>
    <row r="138" customFormat="false" ht="13.8" hidden="false" customHeight="false" outlineLevel="0" collapsed="false">
      <c r="B138" s="14" t="n">
        <f aca="false">_xlfn.NUMBERVALUE(solar!B135)</f>
        <v>0</v>
      </c>
      <c r="C138" s="15" t="n">
        <f aca="false">solar!C135</f>
        <v>0</v>
      </c>
      <c r="D138" s="15" t="n">
        <v>14</v>
      </c>
      <c r="E138" s="9" t="n">
        <v>134</v>
      </c>
      <c r="F138" s="20" t="n">
        <f aca="false">IFERROR(INDEX($B$5:$C$173, MATCH($E138, $B$5:$B$175, 0), 2), 0)*investment!$C$2</f>
        <v>0</v>
      </c>
      <c r="G138" s="9" t="n">
        <f aca="false">demand!C136</f>
        <v>0</v>
      </c>
      <c r="H138" s="2" t="n">
        <f aca="false">solgen!C136</f>
        <v>0</v>
      </c>
      <c r="I138" s="2" t="n">
        <f aca="false">import!C136</f>
        <v>0</v>
      </c>
      <c r="J138" s="2" t="n">
        <f aca="false">-export!C136</f>
        <v>-0</v>
      </c>
      <c r="K138" s="2" t="n">
        <f aca="false">-charge!C136</f>
        <v>-0</v>
      </c>
      <c r="L138" s="2" t="n">
        <f aca="false">discharge!C136</f>
        <v>0</v>
      </c>
      <c r="M138" s="2" t="n">
        <f aca="false">soc!C136/investment!$E$2 *100</f>
        <v>46.0001459443215</v>
      </c>
      <c r="N138" s="8" t="n">
        <f aca="false">p_micro!C135</f>
        <v>0</v>
      </c>
    </row>
    <row r="139" customFormat="false" ht="13.8" hidden="false" customHeight="false" outlineLevel="0" collapsed="false">
      <c r="B139" s="14" t="n">
        <f aca="false">_xlfn.NUMBERVALUE(solar!B136)</f>
        <v>0</v>
      </c>
      <c r="C139" s="15" t="n">
        <f aca="false">solar!C136</f>
        <v>0</v>
      </c>
      <c r="D139" s="15" t="n">
        <v>15</v>
      </c>
      <c r="E139" s="9" t="n">
        <v>135</v>
      </c>
      <c r="F139" s="20" t="n">
        <f aca="false">IFERROR(INDEX($B$5:$C$173, MATCH($E139, $B$5:$B$175, 0), 2), 0)*investment!$C$2</f>
        <v>0</v>
      </c>
      <c r="G139" s="9" t="n">
        <f aca="false">demand!C137</f>
        <v>0</v>
      </c>
      <c r="H139" s="2" t="n">
        <f aca="false">solgen!C137</f>
        <v>0</v>
      </c>
      <c r="I139" s="2" t="n">
        <f aca="false">import!C137</f>
        <v>0</v>
      </c>
      <c r="J139" s="2" t="n">
        <f aca="false">-export!C137</f>
        <v>-0</v>
      </c>
      <c r="K139" s="2" t="n">
        <f aca="false">-charge!C137</f>
        <v>-0</v>
      </c>
      <c r="L139" s="2" t="n">
        <f aca="false">discharge!C137</f>
        <v>0</v>
      </c>
      <c r="M139" s="2" t="n">
        <f aca="false">soc!C137/investment!$E$2 *100</f>
        <v>53.3718108958346</v>
      </c>
      <c r="N139" s="8" t="n">
        <f aca="false">p_micro!C136</f>
        <v>0</v>
      </c>
    </row>
    <row r="140" customFormat="false" ht="13.8" hidden="false" customHeight="false" outlineLevel="0" collapsed="false">
      <c r="B140" s="14" t="n">
        <f aca="false">_xlfn.NUMBERVALUE(solar!B137)</f>
        <v>0</v>
      </c>
      <c r="C140" s="15" t="n">
        <f aca="false">solar!C137</f>
        <v>0</v>
      </c>
      <c r="D140" s="15" t="n">
        <v>16</v>
      </c>
      <c r="E140" s="9" t="n">
        <v>136</v>
      </c>
      <c r="F140" s="20" t="n">
        <f aca="false">IFERROR(INDEX($B$5:$C$173, MATCH($E140, $B$5:$B$175, 0), 2), 0)*investment!$C$2</f>
        <v>0</v>
      </c>
      <c r="G140" s="9" t="n">
        <f aca="false">demand!C138</f>
        <v>0</v>
      </c>
      <c r="H140" s="2" t="n">
        <f aca="false">solgen!C138</f>
        <v>0</v>
      </c>
      <c r="I140" s="2" t="n">
        <f aca="false">import!C138</f>
        <v>0</v>
      </c>
      <c r="J140" s="2" t="n">
        <f aca="false">-export!C138</f>
        <v>-0</v>
      </c>
      <c r="K140" s="2" t="n">
        <f aca="false">-charge!C138</f>
        <v>-0</v>
      </c>
      <c r="L140" s="2" t="n">
        <f aca="false">discharge!C138</f>
        <v>0</v>
      </c>
      <c r="M140" s="2" t="n">
        <f aca="false">soc!C138/investment!$E$2 *100</f>
        <v>59.9225048892514</v>
      </c>
      <c r="N140" s="8" t="n">
        <f aca="false">p_micro!C137</f>
        <v>0</v>
      </c>
    </row>
    <row r="141" customFormat="false" ht="13.8" hidden="false" customHeight="false" outlineLevel="0" collapsed="false">
      <c r="B141" s="14" t="n">
        <f aca="false">_xlfn.NUMBERVALUE(solar!B138)</f>
        <v>0</v>
      </c>
      <c r="C141" s="15" t="n">
        <f aca="false">solar!C138</f>
        <v>0</v>
      </c>
      <c r="D141" s="15" t="n">
        <v>17</v>
      </c>
      <c r="E141" s="9" t="n">
        <v>137</v>
      </c>
      <c r="F141" s="20" t="n">
        <f aca="false">IFERROR(INDEX($B$5:$C$173, MATCH($E141, $B$5:$B$175, 0), 2), 0)*investment!$C$2</f>
        <v>0</v>
      </c>
      <c r="G141" s="9" t="n">
        <f aca="false">demand!C139</f>
        <v>0</v>
      </c>
      <c r="H141" s="2" t="n">
        <f aca="false">solgen!C139</f>
        <v>0</v>
      </c>
      <c r="I141" s="2" t="n">
        <f aca="false">import!C139</f>
        <v>0</v>
      </c>
      <c r="J141" s="2" t="n">
        <f aca="false">-export!C139</f>
        <v>-0</v>
      </c>
      <c r="K141" s="2" t="n">
        <f aca="false">-charge!C139</f>
        <v>-0</v>
      </c>
      <c r="L141" s="2" t="n">
        <f aca="false">discharge!C139</f>
        <v>0</v>
      </c>
      <c r="M141" s="2" t="n">
        <f aca="false">soc!C139/investment!$E$2 *100</f>
        <v>68.0872954291564</v>
      </c>
      <c r="N141" s="8" t="n">
        <f aca="false">p_micro!C138</f>
        <v>0</v>
      </c>
    </row>
    <row r="142" customFormat="false" ht="13.8" hidden="false" customHeight="false" outlineLevel="0" collapsed="false">
      <c r="B142" s="14" t="n">
        <f aca="false">_xlfn.NUMBERVALUE(solar!B139)</f>
        <v>0</v>
      </c>
      <c r="C142" s="15" t="n">
        <f aca="false">solar!C139</f>
        <v>0</v>
      </c>
      <c r="D142" s="15" t="n">
        <v>18</v>
      </c>
      <c r="E142" s="9" t="n">
        <v>138</v>
      </c>
      <c r="F142" s="20" t="n">
        <f aca="false">IFERROR(INDEX($B$5:$C$173, MATCH($E142, $B$5:$B$175, 0), 2), 0)*investment!$C$2</f>
        <v>0</v>
      </c>
      <c r="G142" s="9" t="n">
        <f aca="false">demand!C140</f>
        <v>0</v>
      </c>
      <c r="H142" s="2" t="n">
        <f aca="false">solgen!C140</f>
        <v>0</v>
      </c>
      <c r="I142" s="2" t="n">
        <f aca="false">import!C140</f>
        <v>0</v>
      </c>
      <c r="J142" s="2" t="n">
        <f aca="false">-export!C140</f>
        <v>-0</v>
      </c>
      <c r="K142" s="2" t="n">
        <f aca="false">-charge!C140</f>
        <v>-0</v>
      </c>
      <c r="L142" s="2" t="n">
        <f aca="false">discharge!C140</f>
        <v>0</v>
      </c>
      <c r="M142" s="2" t="n">
        <f aca="false">soc!C140/investment!$E$2 *100</f>
        <v>75.1878685314662</v>
      </c>
      <c r="N142" s="8" t="n">
        <f aca="false">p_micro!C139</f>
        <v>0</v>
      </c>
    </row>
    <row r="143" customFormat="false" ht="13.8" hidden="false" customHeight="false" outlineLevel="0" collapsed="false">
      <c r="B143" s="14" t="n">
        <f aca="false">_xlfn.NUMBERVALUE(solar!B140)</f>
        <v>0</v>
      </c>
      <c r="C143" s="15" t="n">
        <f aca="false">solar!C140</f>
        <v>0</v>
      </c>
      <c r="D143" s="15" t="n">
        <v>19</v>
      </c>
      <c r="E143" s="9" t="n">
        <v>139</v>
      </c>
      <c r="F143" s="20" t="n">
        <f aca="false">IFERROR(INDEX($B$5:$C$173, MATCH($E143, $B$5:$B$175, 0), 2), 0)*investment!$C$2</f>
        <v>0</v>
      </c>
      <c r="G143" s="9" t="n">
        <f aca="false">demand!C141</f>
        <v>0</v>
      </c>
      <c r="H143" s="2" t="n">
        <f aca="false">solgen!C141</f>
        <v>0</v>
      </c>
      <c r="I143" s="2" t="n">
        <f aca="false">import!C141</f>
        <v>0</v>
      </c>
      <c r="J143" s="2" t="n">
        <f aca="false">-export!C141</f>
        <v>-0</v>
      </c>
      <c r="K143" s="2" t="n">
        <f aca="false">-charge!C141</f>
        <v>-0</v>
      </c>
      <c r="L143" s="2" t="n">
        <f aca="false">discharge!C141</f>
        <v>0</v>
      </c>
      <c r="M143" s="2" t="n">
        <f aca="false">soc!C141/investment!$E$2 *100</f>
        <v>83.8025665595709</v>
      </c>
      <c r="N143" s="8" t="n">
        <f aca="false">p_micro!C140</f>
        <v>0</v>
      </c>
    </row>
    <row r="144" customFormat="false" ht="13.8" hidden="false" customHeight="false" outlineLevel="0" collapsed="false">
      <c r="B144" s="14" t="n">
        <f aca="false">_xlfn.NUMBERVALUE(solar!B141)</f>
        <v>0</v>
      </c>
      <c r="C144" s="15" t="n">
        <f aca="false">solar!C141</f>
        <v>0</v>
      </c>
      <c r="D144" s="15" t="n">
        <v>20</v>
      </c>
      <c r="E144" s="9" t="n">
        <v>140</v>
      </c>
      <c r="F144" s="20" t="n">
        <f aca="false">IFERROR(INDEX($B$5:$C$173, MATCH($E144, $B$5:$B$175, 0), 2), 0)*investment!$C$2</f>
        <v>0</v>
      </c>
      <c r="G144" s="9" t="n">
        <f aca="false">demand!C142</f>
        <v>0</v>
      </c>
      <c r="H144" s="2" t="n">
        <f aca="false">solgen!C142</f>
        <v>0</v>
      </c>
      <c r="I144" s="2" t="n">
        <f aca="false">import!C142</f>
        <v>0</v>
      </c>
      <c r="J144" s="2" t="n">
        <f aca="false">-export!C142</f>
        <v>-0</v>
      </c>
      <c r="K144" s="2" t="n">
        <f aca="false">-charge!C142</f>
        <v>-0</v>
      </c>
      <c r="L144" s="2" t="n">
        <f aca="false">discharge!C142</f>
        <v>0</v>
      </c>
      <c r="M144" s="2" t="n">
        <f aca="false">soc!C142/investment!$E$2 *100</f>
        <v>91.0739981000259</v>
      </c>
      <c r="N144" s="8" t="n">
        <f aca="false">p_micro!C141</f>
        <v>0</v>
      </c>
    </row>
    <row r="145" customFormat="false" ht="13.8" hidden="false" customHeight="false" outlineLevel="0" collapsed="false">
      <c r="B145" s="14" t="n">
        <f aca="false">_xlfn.NUMBERVALUE(solar!B142)</f>
        <v>0</v>
      </c>
      <c r="C145" s="15" t="n">
        <f aca="false">solar!C142</f>
        <v>0</v>
      </c>
      <c r="D145" s="15" t="n">
        <v>21</v>
      </c>
      <c r="E145" s="9" t="n">
        <v>141</v>
      </c>
      <c r="F145" s="20" t="n">
        <f aca="false">IFERROR(INDEX($B$5:$C$173, MATCH($E145, $B$5:$B$175, 0), 2), 0)*investment!$C$2</f>
        <v>0</v>
      </c>
      <c r="G145" s="9" t="n">
        <f aca="false">demand!C143</f>
        <v>0</v>
      </c>
      <c r="H145" s="2" t="n">
        <f aca="false">solgen!C143</f>
        <v>0</v>
      </c>
      <c r="I145" s="2" t="n">
        <f aca="false">import!C143</f>
        <v>0</v>
      </c>
      <c r="J145" s="2" t="n">
        <f aca="false">-export!C143</f>
        <v>-0</v>
      </c>
      <c r="K145" s="2" t="n">
        <f aca="false">-charge!C143</f>
        <v>-0</v>
      </c>
      <c r="L145" s="2" t="n">
        <f aca="false">discharge!C143</f>
        <v>0</v>
      </c>
      <c r="M145" s="2" t="n">
        <f aca="false">soc!C143/investment!$E$2 *100</f>
        <v>100</v>
      </c>
      <c r="N145" s="8" t="n">
        <f aca="false">p_micro!C142</f>
        <v>0</v>
      </c>
    </row>
    <row r="146" customFormat="false" ht="13.8" hidden="false" customHeight="false" outlineLevel="0" collapsed="false">
      <c r="B146" s="14" t="n">
        <f aca="false">_xlfn.NUMBERVALUE(solar!B143)</f>
        <v>0</v>
      </c>
      <c r="C146" s="15" t="n">
        <f aca="false">solar!C143</f>
        <v>0</v>
      </c>
      <c r="D146" s="15" t="n">
        <v>22</v>
      </c>
      <c r="E146" s="9" t="n">
        <v>142</v>
      </c>
      <c r="F146" s="20" t="n">
        <f aca="false">IFERROR(INDEX($B$5:$C$173, MATCH($E146, $B$5:$B$175, 0), 2), 0)*investment!$C$2</f>
        <v>0</v>
      </c>
      <c r="G146" s="9" t="n">
        <f aca="false">demand!C144</f>
        <v>0</v>
      </c>
      <c r="H146" s="2" t="n">
        <f aca="false">solgen!C144</f>
        <v>0</v>
      </c>
      <c r="I146" s="2" t="n">
        <f aca="false">import!C144</f>
        <v>0</v>
      </c>
      <c r="J146" s="2" t="n">
        <f aca="false">-export!C144</f>
        <v>-0</v>
      </c>
      <c r="K146" s="2" t="n">
        <f aca="false">-charge!C144</f>
        <v>-0</v>
      </c>
      <c r="L146" s="2" t="n">
        <f aca="false">discharge!C144</f>
        <v>0</v>
      </c>
      <c r="M146" s="2" t="n">
        <f aca="false">soc!C144/investment!$E$2 *100</f>
        <v>99.999</v>
      </c>
      <c r="N146" s="8" t="n">
        <f aca="false">p_micro!C143</f>
        <v>0</v>
      </c>
    </row>
    <row r="147" customFormat="false" ht="13.8" hidden="false" customHeight="false" outlineLevel="0" collapsed="false">
      <c r="B147" s="14" t="n">
        <f aca="false">_xlfn.NUMBERVALUE(solar!B144)</f>
        <v>0</v>
      </c>
      <c r="C147" s="15" t="n">
        <f aca="false">solar!C144</f>
        <v>0</v>
      </c>
      <c r="D147" s="15" t="n">
        <v>23</v>
      </c>
      <c r="E147" s="9" t="n">
        <v>143</v>
      </c>
      <c r="F147" s="20" t="n">
        <f aca="false">IFERROR(INDEX($B$5:$C$173, MATCH($E147, $B$5:$B$175, 0), 2), 0)*investment!$C$2</f>
        <v>0</v>
      </c>
      <c r="G147" s="9" t="n">
        <f aca="false">demand!C145</f>
        <v>0</v>
      </c>
      <c r="H147" s="2" t="n">
        <f aca="false">solgen!C145</f>
        <v>0</v>
      </c>
      <c r="I147" s="2" t="n">
        <f aca="false">import!C145</f>
        <v>0</v>
      </c>
      <c r="J147" s="2" t="n">
        <f aca="false">-export!C145</f>
        <v>-0</v>
      </c>
      <c r="K147" s="2" t="n">
        <f aca="false">-charge!C145</f>
        <v>-0</v>
      </c>
      <c r="L147" s="2" t="n">
        <f aca="false">discharge!C145</f>
        <v>0</v>
      </c>
      <c r="M147" s="2" t="n">
        <f aca="false">soc!C145/investment!$E$2 *100</f>
        <v>99.99800001</v>
      </c>
      <c r="N147" s="8" t="n">
        <f aca="false">p_micro!C144</f>
        <v>0</v>
      </c>
    </row>
    <row r="148" customFormat="false" ht="13.8" hidden="false" customHeight="false" outlineLevel="0" collapsed="false">
      <c r="B148" s="14" t="n">
        <f aca="false">_xlfn.NUMBERVALUE(solar!B145)</f>
        <v>0</v>
      </c>
      <c r="C148" s="15" t="n">
        <f aca="false">solar!C145</f>
        <v>0</v>
      </c>
      <c r="D148" s="15" t="n">
        <v>24</v>
      </c>
      <c r="E148" s="9" t="n">
        <v>144</v>
      </c>
      <c r="F148" s="20" t="n">
        <f aca="false">IFERROR(INDEX($B$5:$C$173, MATCH($E148, $B$5:$B$175, 0), 2), 0)*investment!$C$2</f>
        <v>0</v>
      </c>
      <c r="G148" s="9" t="n">
        <f aca="false">demand!C146</f>
        <v>0</v>
      </c>
      <c r="H148" s="2" t="n">
        <f aca="false">solgen!C146</f>
        <v>0</v>
      </c>
      <c r="I148" s="2" t="n">
        <f aca="false">import!C146</f>
        <v>0</v>
      </c>
      <c r="J148" s="2" t="n">
        <f aca="false">-export!C146</f>
        <v>-0</v>
      </c>
      <c r="K148" s="2" t="n">
        <f aca="false">-charge!C146</f>
        <v>-0</v>
      </c>
      <c r="L148" s="2" t="n">
        <f aca="false">discharge!C146</f>
        <v>0</v>
      </c>
      <c r="M148" s="2" t="n">
        <f aca="false">soc!C146/investment!$E$2 *100</f>
        <v>99.9970000299999</v>
      </c>
      <c r="N148" s="8" t="n">
        <f aca="false">p_micro!C145</f>
        <v>0</v>
      </c>
    </row>
    <row r="149" customFormat="false" ht="13.8" hidden="false" customHeight="false" outlineLevel="0" collapsed="false">
      <c r="B149" s="14" t="n">
        <f aca="false">_xlfn.NUMBERVALUE(solar!B146)</f>
        <v>0</v>
      </c>
      <c r="C149" s="15" t="n">
        <f aca="false">solar!C146</f>
        <v>0</v>
      </c>
      <c r="D149" s="15" t="n">
        <v>1</v>
      </c>
      <c r="E149" s="9" t="n">
        <v>145</v>
      </c>
      <c r="F149" s="20" t="n">
        <f aca="false">IFERROR(INDEX($B$5:$C$173, MATCH($E149, $B$5:$B$175, 0), 2), 0)*investment!$C$2</f>
        <v>0</v>
      </c>
      <c r="G149" s="9" t="n">
        <f aca="false">demand!C147</f>
        <v>0</v>
      </c>
      <c r="H149" s="2" t="n">
        <f aca="false">solgen!C147</f>
        <v>0</v>
      </c>
      <c r="I149" s="2" t="n">
        <f aca="false">import!C147</f>
        <v>0</v>
      </c>
      <c r="J149" s="2" t="n">
        <f aca="false">-export!C147</f>
        <v>-0</v>
      </c>
      <c r="K149" s="2" t="n">
        <f aca="false">-charge!C147</f>
        <v>-0</v>
      </c>
      <c r="L149" s="2" t="n">
        <f aca="false">discharge!C147</f>
        <v>0</v>
      </c>
      <c r="M149" s="2" t="n">
        <f aca="false">soc!C147/investment!$E$2 *100</f>
        <v>99.9960000599996</v>
      </c>
      <c r="N149" s="8" t="n">
        <f aca="false">p_micro!C146</f>
        <v>0</v>
      </c>
    </row>
    <row r="150" customFormat="false" ht="13.8" hidden="false" customHeight="false" outlineLevel="0" collapsed="false">
      <c r="B150" s="14" t="n">
        <f aca="false">_xlfn.NUMBERVALUE(solar!B147)</f>
        <v>0</v>
      </c>
      <c r="C150" s="15" t="n">
        <f aca="false">solar!C147</f>
        <v>0</v>
      </c>
      <c r="D150" s="15" t="n">
        <v>2</v>
      </c>
      <c r="E150" s="9" t="n">
        <v>146</v>
      </c>
      <c r="F150" s="20" t="n">
        <f aca="false">IFERROR(INDEX($B$5:$C$173, MATCH($E150, $B$5:$B$175, 0), 2), 0)*investment!$C$2</f>
        <v>0</v>
      </c>
      <c r="G150" s="9" t="n">
        <f aca="false">demand!C148</f>
        <v>0</v>
      </c>
      <c r="H150" s="2" t="n">
        <f aca="false">solgen!C148</f>
        <v>0</v>
      </c>
      <c r="I150" s="2" t="n">
        <f aca="false">import!C148</f>
        <v>0</v>
      </c>
      <c r="J150" s="2" t="n">
        <f aca="false">-export!C148</f>
        <v>-0</v>
      </c>
      <c r="K150" s="2" t="n">
        <f aca="false">-charge!C148</f>
        <v>-0</v>
      </c>
      <c r="L150" s="2" t="n">
        <f aca="false">discharge!C148</f>
        <v>0</v>
      </c>
      <c r="M150" s="2" t="n">
        <f aca="false">soc!C148/investment!$E$2 *100</f>
        <v>99.995000099999</v>
      </c>
      <c r="N150" s="8" t="n">
        <f aca="false">p_micro!C147</f>
        <v>0</v>
      </c>
    </row>
    <row r="151" customFormat="false" ht="13.8" hidden="false" customHeight="false" outlineLevel="0" collapsed="false">
      <c r="B151" s="14" t="n">
        <f aca="false">_xlfn.NUMBERVALUE(solar!B148)</f>
        <v>0</v>
      </c>
      <c r="C151" s="15" t="n">
        <f aca="false">solar!C148</f>
        <v>0</v>
      </c>
      <c r="D151" s="15" t="n">
        <v>3</v>
      </c>
      <c r="E151" s="9" t="n">
        <v>147</v>
      </c>
      <c r="F151" s="20" t="n">
        <f aca="false">IFERROR(INDEX($B$5:$C$173, MATCH($E151, $B$5:$B$175, 0), 2), 0)*investment!$C$2</f>
        <v>0</v>
      </c>
      <c r="G151" s="9" t="n">
        <f aca="false">demand!C149</f>
        <v>0</v>
      </c>
      <c r="H151" s="2" t="n">
        <f aca="false">solgen!C149</f>
        <v>0</v>
      </c>
      <c r="I151" s="2" t="n">
        <f aca="false">import!C149</f>
        <v>0</v>
      </c>
      <c r="J151" s="2" t="n">
        <f aca="false">-export!C149</f>
        <v>-0</v>
      </c>
      <c r="K151" s="2" t="n">
        <f aca="false">-charge!C149</f>
        <v>-0</v>
      </c>
      <c r="L151" s="2" t="n">
        <f aca="false">discharge!C149</f>
        <v>0</v>
      </c>
      <c r="M151" s="2" t="n">
        <f aca="false">soc!C149/investment!$E$2 *100</f>
        <v>99.994000149998</v>
      </c>
      <c r="N151" s="8" t="n">
        <f aca="false">p_micro!C148</f>
        <v>0</v>
      </c>
    </row>
    <row r="152" customFormat="false" ht="13.8" hidden="false" customHeight="false" outlineLevel="0" collapsed="false">
      <c r="B152" s="14" t="n">
        <f aca="false">_xlfn.NUMBERVALUE(solar!B149)</f>
        <v>0</v>
      </c>
      <c r="C152" s="15" t="n">
        <f aca="false">solar!C149</f>
        <v>0</v>
      </c>
      <c r="D152" s="15" t="n">
        <v>4</v>
      </c>
      <c r="E152" s="9" t="n">
        <v>148</v>
      </c>
      <c r="F152" s="20" t="n">
        <f aca="false">IFERROR(INDEX($B$5:$C$173, MATCH($E152, $B$5:$B$175, 0), 2), 0)*investment!$C$2</f>
        <v>0</v>
      </c>
      <c r="G152" s="9" t="n">
        <f aca="false">demand!C150</f>
        <v>0</v>
      </c>
      <c r="H152" s="2" t="n">
        <f aca="false">solgen!C150</f>
        <v>0</v>
      </c>
      <c r="I152" s="2" t="n">
        <f aca="false">import!C150</f>
        <v>0</v>
      </c>
      <c r="J152" s="2" t="n">
        <f aca="false">-export!C150</f>
        <v>-0</v>
      </c>
      <c r="K152" s="2" t="n">
        <f aca="false">-charge!C150</f>
        <v>-0</v>
      </c>
      <c r="L152" s="2" t="n">
        <f aca="false">discharge!C150</f>
        <v>0</v>
      </c>
      <c r="M152" s="2" t="n">
        <f aca="false">soc!C150/investment!$E$2 *100</f>
        <v>99.9930002099965</v>
      </c>
      <c r="N152" s="8" t="n">
        <f aca="false">p_micro!C149</f>
        <v>0</v>
      </c>
    </row>
    <row r="153" customFormat="false" ht="13.8" hidden="false" customHeight="false" outlineLevel="0" collapsed="false">
      <c r="B153" s="14" t="n">
        <f aca="false">_xlfn.NUMBERVALUE(solar!B150)</f>
        <v>0</v>
      </c>
      <c r="C153" s="15" t="n">
        <f aca="false">solar!C150</f>
        <v>0</v>
      </c>
      <c r="D153" s="15" t="n">
        <v>5</v>
      </c>
      <c r="E153" s="9" t="n">
        <v>149</v>
      </c>
      <c r="F153" s="20" t="n">
        <f aca="false">IFERROR(INDEX($B$5:$C$173, MATCH($E153, $B$5:$B$175, 0), 2), 0)*investment!$C$2</f>
        <v>0</v>
      </c>
      <c r="G153" s="9" t="n">
        <f aca="false">demand!C151</f>
        <v>0</v>
      </c>
      <c r="H153" s="2" t="n">
        <f aca="false">solgen!C151</f>
        <v>0</v>
      </c>
      <c r="I153" s="2" t="n">
        <f aca="false">import!C151</f>
        <v>0</v>
      </c>
      <c r="J153" s="2" t="n">
        <f aca="false">-export!C151</f>
        <v>-0</v>
      </c>
      <c r="K153" s="2" t="n">
        <f aca="false">-charge!C151</f>
        <v>-0</v>
      </c>
      <c r="L153" s="2" t="n">
        <f aca="false">discharge!C151</f>
        <v>0</v>
      </c>
      <c r="M153" s="2" t="n">
        <f aca="false">soc!C151/investment!$E$2 *100</f>
        <v>99.9920002799944</v>
      </c>
      <c r="N153" s="8" t="n">
        <f aca="false">p_micro!C150</f>
        <v>0</v>
      </c>
    </row>
    <row r="154" customFormat="false" ht="13.8" hidden="false" customHeight="false" outlineLevel="0" collapsed="false">
      <c r="B154" s="14" t="n">
        <f aca="false">_xlfn.NUMBERVALUE(solar!B151)</f>
        <v>0</v>
      </c>
      <c r="C154" s="15" t="n">
        <f aca="false">solar!C151</f>
        <v>0</v>
      </c>
      <c r="D154" s="15" t="n">
        <v>6</v>
      </c>
      <c r="E154" s="9" t="n">
        <v>150</v>
      </c>
      <c r="F154" s="20" t="n">
        <f aca="false">IFERROR(INDEX($B$5:$C$173, MATCH($E154, $B$5:$B$175, 0), 2), 0)*investment!$C$2</f>
        <v>0</v>
      </c>
      <c r="G154" s="9" t="n">
        <f aca="false">demand!C152</f>
        <v>0</v>
      </c>
      <c r="H154" s="2" t="n">
        <f aca="false">solgen!C152</f>
        <v>0</v>
      </c>
      <c r="I154" s="2" t="n">
        <f aca="false">import!C152</f>
        <v>0</v>
      </c>
      <c r="J154" s="2" t="n">
        <f aca="false">-export!C152</f>
        <v>-0</v>
      </c>
      <c r="K154" s="2" t="n">
        <f aca="false">-charge!C152</f>
        <v>-0</v>
      </c>
      <c r="L154" s="2" t="n">
        <f aca="false">discharge!C152</f>
        <v>0</v>
      </c>
      <c r="M154" s="2" t="n">
        <f aca="false">soc!C152/investment!$E$2 *100</f>
        <v>99.9910003599916</v>
      </c>
      <c r="N154" s="8" t="n">
        <f aca="false">p_micro!C151</f>
        <v>0</v>
      </c>
    </row>
    <row r="155" customFormat="false" ht="13.8" hidden="false" customHeight="false" outlineLevel="0" collapsed="false">
      <c r="B155" s="14" t="n">
        <f aca="false">_xlfn.NUMBERVALUE(solar!B152)</f>
        <v>0</v>
      </c>
      <c r="C155" s="15" t="n">
        <f aca="false">solar!C152</f>
        <v>0</v>
      </c>
      <c r="D155" s="15" t="n">
        <v>7</v>
      </c>
      <c r="E155" s="9" t="n">
        <v>151</v>
      </c>
      <c r="F155" s="20" t="n">
        <f aca="false">IFERROR(INDEX($B$5:$C$173, MATCH($E155, $B$5:$B$175, 0), 2), 0)*investment!$C$2</f>
        <v>0</v>
      </c>
      <c r="G155" s="9" t="n">
        <f aca="false">demand!C153</f>
        <v>0</v>
      </c>
      <c r="H155" s="2" t="n">
        <f aca="false">solgen!C153</f>
        <v>0</v>
      </c>
      <c r="I155" s="2" t="n">
        <f aca="false">import!C153</f>
        <v>0</v>
      </c>
      <c r="J155" s="2" t="n">
        <f aca="false">-export!C153</f>
        <v>-0</v>
      </c>
      <c r="K155" s="2" t="n">
        <f aca="false">-charge!C153</f>
        <v>-0</v>
      </c>
      <c r="L155" s="2" t="n">
        <f aca="false">discharge!C153</f>
        <v>0</v>
      </c>
      <c r="M155" s="2" t="n">
        <f aca="false">soc!C153/investment!$E$2 *100</f>
        <v>99.990000449988</v>
      </c>
      <c r="N155" s="8" t="n">
        <f aca="false">p_micro!C152</f>
        <v>0</v>
      </c>
    </row>
    <row r="156" customFormat="false" ht="13.8" hidden="false" customHeight="false" outlineLevel="0" collapsed="false">
      <c r="B156" s="14" t="n">
        <f aca="false">_xlfn.NUMBERVALUE(solar!B153)</f>
        <v>0</v>
      </c>
      <c r="C156" s="15" t="n">
        <f aca="false">solar!C153</f>
        <v>0</v>
      </c>
      <c r="D156" s="15" t="n">
        <v>8</v>
      </c>
      <c r="E156" s="9" t="n">
        <v>152</v>
      </c>
      <c r="F156" s="20" t="n">
        <f aca="false">IFERROR(INDEX($B$5:$C$173, MATCH($E156, $B$5:$B$175, 0), 2), 0)*investment!$C$2</f>
        <v>0</v>
      </c>
      <c r="G156" s="9" t="n">
        <f aca="false">demand!C154</f>
        <v>0</v>
      </c>
      <c r="H156" s="2" t="n">
        <f aca="false">solgen!C154</f>
        <v>0</v>
      </c>
      <c r="I156" s="2" t="n">
        <f aca="false">import!C154</f>
        <v>0</v>
      </c>
      <c r="J156" s="2" t="n">
        <f aca="false">-export!C154</f>
        <v>-0</v>
      </c>
      <c r="K156" s="2" t="n">
        <f aca="false">-charge!C154</f>
        <v>-0</v>
      </c>
      <c r="L156" s="2" t="n">
        <f aca="false">discharge!C154</f>
        <v>0</v>
      </c>
      <c r="M156" s="2" t="n">
        <f aca="false">soc!C154/investment!$E$2 *100</f>
        <v>99.9890005499836</v>
      </c>
      <c r="N156" s="8" t="n">
        <f aca="false">p_micro!C153</f>
        <v>0</v>
      </c>
    </row>
    <row r="157" customFormat="false" ht="13.8" hidden="false" customHeight="false" outlineLevel="0" collapsed="false">
      <c r="B157" s="14" t="n">
        <f aca="false">_xlfn.NUMBERVALUE(solar!B154)</f>
        <v>0</v>
      </c>
      <c r="C157" s="15" t="n">
        <f aca="false">solar!C154</f>
        <v>0</v>
      </c>
      <c r="D157" s="15" t="n">
        <v>9</v>
      </c>
      <c r="E157" s="9" t="n">
        <v>153</v>
      </c>
      <c r="F157" s="20" t="n">
        <f aca="false">IFERROR(INDEX($B$5:$C$173, MATCH($E157, $B$5:$B$175, 0), 2), 0)*investment!$C$2</f>
        <v>0</v>
      </c>
      <c r="G157" s="9" t="n">
        <f aca="false">demand!C155</f>
        <v>0</v>
      </c>
      <c r="H157" s="2" t="n">
        <f aca="false">solgen!C155</f>
        <v>0</v>
      </c>
      <c r="I157" s="2" t="n">
        <f aca="false">import!C155</f>
        <v>0</v>
      </c>
      <c r="J157" s="2" t="n">
        <f aca="false">-export!C155</f>
        <v>-0</v>
      </c>
      <c r="K157" s="2" t="n">
        <f aca="false">-charge!C155</f>
        <v>-0</v>
      </c>
      <c r="L157" s="2" t="n">
        <f aca="false">discharge!C155</f>
        <v>0</v>
      </c>
      <c r="M157" s="2" t="n">
        <f aca="false">soc!C155/investment!$E$2 *100</f>
        <v>99.988000659978</v>
      </c>
      <c r="N157" s="8" t="n">
        <f aca="false">p_micro!C154</f>
        <v>0</v>
      </c>
    </row>
    <row r="158" customFormat="false" ht="13.8" hidden="false" customHeight="false" outlineLevel="0" collapsed="false">
      <c r="B158" s="14" t="n">
        <f aca="false">_xlfn.NUMBERVALUE(solar!B155)</f>
        <v>0</v>
      </c>
      <c r="C158" s="15" t="n">
        <f aca="false">solar!C155</f>
        <v>0</v>
      </c>
      <c r="D158" s="15" t="n">
        <v>10</v>
      </c>
      <c r="E158" s="9" t="n">
        <v>154</v>
      </c>
      <c r="F158" s="20" t="n">
        <f aca="false">IFERROR(INDEX($B$5:$C$173, MATCH($E158, $B$5:$B$175, 0), 2), 0)*investment!$C$2</f>
        <v>0</v>
      </c>
      <c r="G158" s="9" t="n">
        <f aca="false">demand!C156</f>
        <v>0</v>
      </c>
      <c r="H158" s="2" t="n">
        <f aca="false">solgen!C156</f>
        <v>0</v>
      </c>
      <c r="I158" s="2" t="n">
        <f aca="false">import!C156</f>
        <v>0</v>
      </c>
      <c r="J158" s="2" t="n">
        <f aca="false">-export!C156</f>
        <v>-0</v>
      </c>
      <c r="K158" s="2" t="n">
        <f aca="false">-charge!C156</f>
        <v>-0</v>
      </c>
      <c r="L158" s="2" t="n">
        <f aca="false">discharge!C156</f>
        <v>0</v>
      </c>
      <c r="M158" s="2" t="n">
        <f aca="false">soc!C156/investment!$E$2 *100</f>
        <v>99.9870007799715</v>
      </c>
      <c r="N158" s="8" t="n">
        <f aca="false">p_micro!C155</f>
        <v>0</v>
      </c>
    </row>
    <row r="159" customFormat="false" ht="13.8" hidden="false" customHeight="false" outlineLevel="0" collapsed="false">
      <c r="B159" s="14" t="n">
        <f aca="false">_xlfn.NUMBERVALUE(solar!B156)</f>
        <v>0</v>
      </c>
      <c r="C159" s="15" t="n">
        <f aca="false">solar!C156</f>
        <v>0</v>
      </c>
      <c r="D159" s="15" t="n">
        <v>11</v>
      </c>
      <c r="E159" s="9" t="n">
        <v>155</v>
      </c>
      <c r="F159" s="20" t="n">
        <f aca="false">IFERROR(INDEX($B$5:$C$173, MATCH($E159, $B$5:$B$175, 0), 2), 0)*investment!$C$2</f>
        <v>0</v>
      </c>
      <c r="G159" s="9" t="n">
        <f aca="false">demand!C157</f>
        <v>0</v>
      </c>
      <c r="H159" s="2" t="n">
        <f aca="false">solgen!C157</f>
        <v>0</v>
      </c>
      <c r="I159" s="2" t="n">
        <f aca="false">import!C157</f>
        <v>0</v>
      </c>
      <c r="J159" s="2" t="n">
        <f aca="false">-export!C157</f>
        <v>-0</v>
      </c>
      <c r="K159" s="2" t="n">
        <f aca="false">-charge!C157</f>
        <v>-0</v>
      </c>
      <c r="L159" s="2" t="n">
        <f aca="false">discharge!C157</f>
        <v>0</v>
      </c>
      <c r="M159" s="2" t="n">
        <f aca="false">soc!C157/investment!$E$2 *100</f>
        <v>99.9860009099636</v>
      </c>
      <c r="N159" s="8" t="n">
        <f aca="false">p_micro!C156</f>
        <v>0</v>
      </c>
    </row>
    <row r="160" customFormat="false" ht="13.8" hidden="false" customHeight="false" outlineLevel="0" collapsed="false">
      <c r="B160" s="14" t="n">
        <f aca="false">_xlfn.NUMBERVALUE(solar!B157)</f>
        <v>0</v>
      </c>
      <c r="C160" s="15" t="n">
        <f aca="false">solar!C157</f>
        <v>0</v>
      </c>
      <c r="D160" s="15" t="n">
        <v>12</v>
      </c>
      <c r="E160" s="9" t="n">
        <v>156</v>
      </c>
      <c r="F160" s="20" t="n">
        <f aca="false">IFERROR(INDEX($B$5:$C$173, MATCH($E160, $B$5:$B$175, 0), 2), 0)*investment!$C$2</f>
        <v>0</v>
      </c>
      <c r="G160" s="9" t="n">
        <f aca="false">demand!C158</f>
        <v>0</v>
      </c>
      <c r="H160" s="2" t="n">
        <f aca="false">solgen!C158</f>
        <v>0</v>
      </c>
      <c r="I160" s="2" t="n">
        <f aca="false">import!C158</f>
        <v>0</v>
      </c>
      <c r="J160" s="2" t="n">
        <f aca="false">-export!C158</f>
        <v>-0</v>
      </c>
      <c r="K160" s="2" t="n">
        <f aca="false">-charge!C158</f>
        <v>-0</v>
      </c>
      <c r="L160" s="2" t="n">
        <f aca="false">discharge!C158</f>
        <v>0</v>
      </c>
      <c r="M160" s="2" t="n">
        <f aca="false">soc!C158/investment!$E$2 *100</f>
        <v>99.9850010499545</v>
      </c>
      <c r="N160" s="8" t="n">
        <f aca="false">p_micro!C157</f>
        <v>0</v>
      </c>
    </row>
    <row r="161" customFormat="false" ht="13.8" hidden="false" customHeight="false" outlineLevel="0" collapsed="false">
      <c r="B161" s="14" t="n">
        <f aca="false">_xlfn.NUMBERVALUE(solar!B158)</f>
        <v>0</v>
      </c>
      <c r="C161" s="15" t="n">
        <f aca="false">solar!C158</f>
        <v>0</v>
      </c>
      <c r="D161" s="15" t="n">
        <v>13</v>
      </c>
      <c r="E161" s="9" t="n">
        <v>157</v>
      </c>
      <c r="F161" s="20" t="n">
        <f aca="false">IFERROR(INDEX($B$5:$C$173, MATCH($E161, $B$5:$B$175, 0), 2), 0)*investment!$C$2</f>
        <v>0</v>
      </c>
      <c r="G161" s="9" t="n">
        <f aca="false">demand!C159</f>
        <v>0</v>
      </c>
      <c r="H161" s="2" t="n">
        <f aca="false">solgen!C159</f>
        <v>0</v>
      </c>
      <c r="I161" s="2" t="n">
        <f aca="false">import!C159</f>
        <v>0</v>
      </c>
      <c r="J161" s="2" t="n">
        <f aca="false">-export!C159</f>
        <v>-0</v>
      </c>
      <c r="K161" s="2" t="n">
        <f aca="false">-charge!C159</f>
        <v>-0</v>
      </c>
      <c r="L161" s="2" t="n">
        <f aca="false">discharge!C159</f>
        <v>0</v>
      </c>
      <c r="M161" s="2" t="n">
        <f aca="false">soc!C159/investment!$E$2 *100</f>
        <v>99.984001199944</v>
      </c>
      <c r="N161" s="8" t="n">
        <f aca="false">p_micro!C158</f>
        <v>0</v>
      </c>
    </row>
    <row r="162" customFormat="false" ht="13.8" hidden="false" customHeight="false" outlineLevel="0" collapsed="false">
      <c r="B162" s="14" t="n">
        <f aca="false">_xlfn.NUMBERVALUE(solar!B159)</f>
        <v>0</v>
      </c>
      <c r="C162" s="15" t="n">
        <f aca="false">solar!C159</f>
        <v>0</v>
      </c>
      <c r="D162" s="15" t="n">
        <v>14</v>
      </c>
      <c r="E162" s="9" t="n">
        <v>158</v>
      </c>
      <c r="F162" s="20" t="n">
        <f aca="false">IFERROR(INDEX($B$5:$C$173, MATCH($E162, $B$5:$B$175, 0), 2), 0)*investment!$C$2</f>
        <v>0</v>
      </c>
      <c r="G162" s="9" t="n">
        <f aca="false">demand!C160</f>
        <v>0</v>
      </c>
      <c r="H162" s="2" t="n">
        <f aca="false">solgen!C160</f>
        <v>0</v>
      </c>
      <c r="I162" s="2" t="n">
        <f aca="false">import!C160</f>
        <v>0</v>
      </c>
      <c r="J162" s="2" t="n">
        <f aca="false">-export!C160</f>
        <v>-0</v>
      </c>
      <c r="K162" s="2" t="n">
        <f aca="false">-charge!C160</f>
        <v>-0</v>
      </c>
      <c r="L162" s="2" t="n">
        <f aca="false">discharge!C160</f>
        <v>0</v>
      </c>
      <c r="M162" s="2" t="n">
        <f aca="false">soc!C160/investment!$E$2 *100</f>
        <v>99.9830013599321</v>
      </c>
      <c r="N162" s="8" t="n">
        <f aca="false">p_micro!C159</f>
        <v>0</v>
      </c>
    </row>
    <row r="163" customFormat="false" ht="13.8" hidden="false" customHeight="false" outlineLevel="0" collapsed="false">
      <c r="B163" s="14" t="n">
        <f aca="false">_xlfn.NUMBERVALUE(solar!B160)</f>
        <v>0</v>
      </c>
      <c r="C163" s="15" t="n">
        <f aca="false">solar!C160</f>
        <v>0</v>
      </c>
      <c r="D163" s="15" t="n">
        <v>15</v>
      </c>
      <c r="E163" s="9" t="n">
        <v>159</v>
      </c>
      <c r="F163" s="20" t="n">
        <f aca="false">IFERROR(INDEX($B$5:$C$173, MATCH($E163, $B$5:$B$175, 0), 2), 0)*investment!$C$2</f>
        <v>0</v>
      </c>
      <c r="G163" s="9" t="n">
        <f aca="false">demand!C161</f>
        <v>0</v>
      </c>
      <c r="H163" s="2" t="n">
        <f aca="false">solgen!C161</f>
        <v>0</v>
      </c>
      <c r="I163" s="2" t="n">
        <f aca="false">import!C161</f>
        <v>0</v>
      </c>
      <c r="J163" s="2" t="n">
        <f aca="false">-export!C161</f>
        <v>-0</v>
      </c>
      <c r="K163" s="2" t="n">
        <f aca="false">-charge!C161</f>
        <v>-0</v>
      </c>
      <c r="L163" s="2" t="n">
        <f aca="false">discharge!C161</f>
        <v>0</v>
      </c>
      <c r="M163" s="2" t="n">
        <f aca="false">soc!C161/investment!$E$2 *100</f>
        <v>99.9820015299185</v>
      </c>
      <c r="N163" s="8" t="n">
        <f aca="false">p_micro!C160</f>
        <v>0</v>
      </c>
    </row>
    <row r="164" customFormat="false" ht="13.8" hidden="false" customHeight="false" outlineLevel="0" collapsed="false">
      <c r="B164" s="14" t="n">
        <f aca="false">_xlfn.NUMBERVALUE(solar!B161)</f>
        <v>0</v>
      </c>
      <c r="C164" s="15" t="n">
        <f aca="false">solar!C161</f>
        <v>0</v>
      </c>
      <c r="D164" s="15" t="n">
        <v>16</v>
      </c>
      <c r="E164" s="9" t="n">
        <v>160</v>
      </c>
      <c r="F164" s="20" t="n">
        <f aca="false">IFERROR(INDEX($B$5:$C$173, MATCH($E164, $B$5:$B$175, 0), 2), 0)*investment!$C$2</f>
        <v>0</v>
      </c>
      <c r="G164" s="9" t="n">
        <f aca="false">demand!C162</f>
        <v>0</v>
      </c>
      <c r="H164" s="2" t="n">
        <f aca="false">solgen!C162</f>
        <v>0</v>
      </c>
      <c r="I164" s="2" t="n">
        <f aca="false">import!C162</f>
        <v>0</v>
      </c>
      <c r="J164" s="2" t="n">
        <f aca="false">-export!C162</f>
        <v>-0</v>
      </c>
      <c r="K164" s="2" t="n">
        <f aca="false">-charge!C162</f>
        <v>-0</v>
      </c>
      <c r="L164" s="2" t="n">
        <f aca="false">discharge!C162</f>
        <v>0</v>
      </c>
      <c r="M164" s="2" t="n">
        <f aca="false">soc!C162/investment!$E$2 *100</f>
        <v>99.9810017099032</v>
      </c>
      <c r="N164" s="8" t="n">
        <f aca="false">p_micro!C161</f>
        <v>0</v>
      </c>
    </row>
    <row r="165" customFormat="false" ht="13.8" hidden="false" customHeight="false" outlineLevel="0" collapsed="false">
      <c r="B165" s="14" t="n">
        <f aca="false">_xlfn.NUMBERVALUE(solar!B162)</f>
        <v>0</v>
      </c>
      <c r="C165" s="15" t="n">
        <f aca="false">solar!C162</f>
        <v>0</v>
      </c>
      <c r="D165" s="15" t="n">
        <v>17</v>
      </c>
      <c r="E165" s="9" t="n">
        <v>161</v>
      </c>
      <c r="F165" s="20" t="n">
        <f aca="false">IFERROR(INDEX($B$5:$C$173, MATCH($E165, $B$5:$B$175, 0), 2), 0)*investment!$C$2</f>
        <v>0</v>
      </c>
      <c r="G165" s="9" t="n">
        <f aca="false">demand!C163</f>
        <v>0</v>
      </c>
      <c r="H165" s="2" t="n">
        <f aca="false">solgen!C163</f>
        <v>0</v>
      </c>
      <c r="I165" s="2" t="n">
        <f aca="false">import!C163</f>
        <v>0</v>
      </c>
      <c r="J165" s="2" t="n">
        <f aca="false">-export!C163</f>
        <v>-0</v>
      </c>
      <c r="K165" s="2" t="n">
        <f aca="false">-charge!C163</f>
        <v>-0</v>
      </c>
      <c r="L165" s="2" t="n">
        <f aca="false">discharge!C163</f>
        <v>0</v>
      </c>
      <c r="M165" s="2" t="n">
        <f aca="false">soc!C163/investment!$E$2 *100</f>
        <v>99.9800018998861</v>
      </c>
      <c r="N165" s="8" t="n">
        <f aca="false">p_micro!C162</f>
        <v>0</v>
      </c>
    </row>
    <row r="166" customFormat="false" ht="13.8" hidden="false" customHeight="false" outlineLevel="0" collapsed="false">
      <c r="B166" s="14" t="n">
        <f aca="false">_xlfn.NUMBERVALUE(solar!B163)</f>
        <v>0</v>
      </c>
      <c r="C166" s="15" t="n">
        <f aca="false">solar!C163</f>
        <v>0</v>
      </c>
      <c r="D166" s="15" t="n">
        <v>18</v>
      </c>
      <c r="E166" s="9" t="n">
        <v>162</v>
      </c>
      <c r="F166" s="20" t="n">
        <f aca="false">IFERROR(INDEX($B$5:$C$173, MATCH($E166, $B$5:$B$175, 0), 2), 0)*investment!$C$2</f>
        <v>0</v>
      </c>
      <c r="G166" s="9" t="n">
        <f aca="false">demand!C164</f>
        <v>0</v>
      </c>
      <c r="H166" s="2" t="n">
        <f aca="false">solgen!C164</f>
        <v>0</v>
      </c>
      <c r="I166" s="2" t="n">
        <f aca="false">import!C164</f>
        <v>0</v>
      </c>
      <c r="J166" s="2" t="n">
        <f aca="false">-export!C164</f>
        <v>-0</v>
      </c>
      <c r="K166" s="2" t="n">
        <f aca="false">-charge!C164</f>
        <v>-0</v>
      </c>
      <c r="L166" s="2" t="n">
        <f aca="false">discharge!C164</f>
        <v>0</v>
      </c>
      <c r="M166" s="2" t="n">
        <f aca="false">soc!C164/investment!$E$2 *100</f>
        <v>99.9790020998671</v>
      </c>
      <c r="N166" s="8" t="n">
        <f aca="false">p_micro!C163</f>
        <v>0</v>
      </c>
    </row>
    <row r="167" customFormat="false" ht="13.8" hidden="false" customHeight="false" outlineLevel="0" collapsed="false">
      <c r="B167" s="14" t="n">
        <f aca="false">_xlfn.NUMBERVALUE(solar!B164)</f>
        <v>0</v>
      </c>
      <c r="C167" s="15" t="n">
        <f aca="false">solar!C164</f>
        <v>0</v>
      </c>
      <c r="D167" s="15" t="n">
        <v>19</v>
      </c>
      <c r="E167" s="9" t="n">
        <v>163</v>
      </c>
      <c r="F167" s="20" t="n">
        <f aca="false">IFERROR(INDEX($B$5:$C$173, MATCH($E167, $B$5:$B$175, 0), 2), 0)*investment!$C$2</f>
        <v>0</v>
      </c>
      <c r="G167" s="9" t="n">
        <f aca="false">demand!C165</f>
        <v>0</v>
      </c>
      <c r="H167" s="2" t="n">
        <f aca="false">solgen!C165</f>
        <v>0</v>
      </c>
      <c r="I167" s="2" t="n">
        <f aca="false">import!C165</f>
        <v>0</v>
      </c>
      <c r="J167" s="2" t="n">
        <f aca="false">-export!C165</f>
        <v>-0</v>
      </c>
      <c r="K167" s="2" t="n">
        <f aca="false">-charge!C165</f>
        <v>-0</v>
      </c>
      <c r="L167" s="2" t="n">
        <f aca="false">discharge!C165</f>
        <v>0</v>
      </c>
      <c r="M167" s="2" t="n">
        <f aca="false">soc!C165/investment!$E$2 *100</f>
        <v>99.9780023098461</v>
      </c>
      <c r="N167" s="8" t="n">
        <f aca="false">p_micro!C164</f>
        <v>0</v>
      </c>
    </row>
    <row r="168" customFormat="false" ht="13.8" hidden="false" customHeight="false" outlineLevel="0" collapsed="false">
      <c r="B168" s="14" t="n">
        <f aca="false">_xlfn.NUMBERVALUE(solar!B165)</f>
        <v>0</v>
      </c>
      <c r="C168" s="15" t="n">
        <f aca="false">solar!C165</f>
        <v>0</v>
      </c>
      <c r="D168" s="15" t="n">
        <v>20</v>
      </c>
      <c r="E168" s="9" t="n">
        <v>164</v>
      </c>
      <c r="F168" s="20" t="n">
        <f aca="false">IFERROR(INDEX($B$5:$C$173, MATCH($E168, $B$5:$B$175, 0), 2), 0)*investment!$C$2</f>
        <v>0</v>
      </c>
      <c r="G168" s="9" t="n">
        <f aca="false">demand!C166</f>
        <v>0</v>
      </c>
      <c r="H168" s="2" t="n">
        <f aca="false">solgen!C166</f>
        <v>0</v>
      </c>
      <c r="I168" s="2" t="n">
        <f aca="false">import!C166</f>
        <v>0</v>
      </c>
      <c r="J168" s="2" t="n">
        <f aca="false">-export!C166</f>
        <v>-0</v>
      </c>
      <c r="K168" s="2" t="n">
        <f aca="false">-charge!C166</f>
        <v>-0</v>
      </c>
      <c r="L168" s="2" t="n">
        <f aca="false">discharge!C166</f>
        <v>0</v>
      </c>
      <c r="M168" s="2" t="n">
        <f aca="false">soc!C166/investment!$E$2 *100</f>
        <v>99.977002529823</v>
      </c>
      <c r="N168" s="8" t="n">
        <f aca="false">p_micro!C165</f>
        <v>0</v>
      </c>
    </row>
    <row r="169" customFormat="false" ht="13.8" hidden="false" customHeight="false" outlineLevel="0" collapsed="false">
      <c r="B169" s="14" t="n">
        <f aca="false">_xlfn.NUMBERVALUE(solar!B166)</f>
        <v>0</v>
      </c>
      <c r="C169" s="15" t="n">
        <f aca="false">solar!C166</f>
        <v>0</v>
      </c>
      <c r="D169" s="15" t="n">
        <v>21</v>
      </c>
      <c r="E169" s="9" t="n">
        <v>165</v>
      </c>
      <c r="F169" s="20" t="n">
        <f aca="false">IFERROR(INDEX($B$5:$C$173, MATCH($E169, $B$5:$B$175, 0), 2), 0)*investment!$C$2</f>
        <v>0</v>
      </c>
      <c r="G169" s="9" t="n">
        <f aca="false">demand!C167</f>
        <v>0</v>
      </c>
      <c r="H169" s="2" t="n">
        <f aca="false">solgen!C167</f>
        <v>0</v>
      </c>
      <c r="I169" s="2" t="n">
        <f aca="false">import!C167</f>
        <v>0</v>
      </c>
      <c r="J169" s="2" t="n">
        <f aca="false">-export!C167</f>
        <v>-0</v>
      </c>
      <c r="K169" s="2" t="n">
        <f aca="false">-charge!C167</f>
        <v>-0</v>
      </c>
      <c r="L169" s="2" t="n">
        <f aca="false">discharge!C167</f>
        <v>0</v>
      </c>
      <c r="M169" s="2" t="n">
        <f aca="false">soc!C167/investment!$E$2 *100</f>
        <v>99.9760027597977</v>
      </c>
      <c r="N169" s="8" t="n">
        <f aca="false">p_micro!C166</f>
        <v>0</v>
      </c>
    </row>
    <row r="170" customFormat="false" ht="13.8" hidden="false" customHeight="false" outlineLevel="0" collapsed="false">
      <c r="B170" s="14" t="n">
        <f aca="false">_xlfn.NUMBERVALUE(solar!B167)</f>
        <v>0</v>
      </c>
      <c r="C170" s="15" t="n">
        <f aca="false">solar!C167</f>
        <v>0</v>
      </c>
      <c r="D170" s="15" t="n">
        <v>22</v>
      </c>
      <c r="E170" s="9" t="n">
        <v>166</v>
      </c>
      <c r="F170" s="20" t="n">
        <f aca="false">IFERROR(INDEX($B$5:$C$173, MATCH($E170, $B$5:$B$175, 0), 2), 0)*investment!$C$2</f>
        <v>0</v>
      </c>
      <c r="G170" s="9" t="n">
        <f aca="false">demand!C168</f>
        <v>0</v>
      </c>
      <c r="H170" s="2" t="n">
        <f aca="false">solgen!C168</f>
        <v>0</v>
      </c>
      <c r="I170" s="2" t="n">
        <f aca="false">import!C168</f>
        <v>0</v>
      </c>
      <c r="J170" s="2" t="n">
        <f aca="false">-export!C168</f>
        <v>-0</v>
      </c>
      <c r="K170" s="2" t="n">
        <f aca="false">-charge!C168</f>
        <v>-0</v>
      </c>
      <c r="L170" s="2" t="n">
        <f aca="false">discharge!C168</f>
        <v>0</v>
      </c>
      <c r="M170" s="2" t="n">
        <f aca="false">soc!C168/investment!$E$2 *100</f>
        <v>99.8665338962794</v>
      </c>
      <c r="N170" s="8" t="n">
        <f aca="false">p_micro!C167</f>
        <v>0</v>
      </c>
    </row>
    <row r="171" customFormat="false" ht="13.8" hidden="false" customHeight="false" outlineLevel="0" collapsed="false">
      <c r="B171" s="14" t="n">
        <f aca="false">_xlfn.NUMBERVALUE(solar!B168)</f>
        <v>0</v>
      </c>
      <c r="C171" s="15" t="n">
        <f aca="false">solar!C168</f>
        <v>0</v>
      </c>
      <c r="D171" s="15" t="n">
        <v>23</v>
      </c>
      <c r="E171" s="9" t="n">
        <v>167</v>
      </c>
      <c r="F171" s="20" t="n">
        <f aca="false">IFERROR(INDEX($B$5:$C$173, MATCH($E171, $B$5:$B$175, 0), 2), 0)*investment!$C$2</f>
        <v>0</v>
      </c>
      <c r="G171" s="9" t="n">
        <f aca="false">demand!C169</f>
        <v>0</v>
      </c>
      <c r="H171" s="2" t="n">
        <f aca="false">solgen!C169</f>
        <v>0</v>
      </c>
      <c r="I171" s="2" t="n">
        <f aca="false">import!C169</f>
        <v>0</v>
      </c>
      <c r="J171" s="2" t="n">
        <f aca="false">-export!C169</f>
        <v>-0</v>
      </c>
      <c r="K171" s="2" t="n">
        <f aca="false">-charge!C169</f>
        <v>-0</v>
      </c>
      <c r="L171" s="2" t="n">
        <f aca="false">discharge!C169</f>
        <v>0</v>
      </c>
      <c r="M171" s="2" t="n">
        <f aca="false">soc!C169/investment!$E$2 *100</f>
        <v>99.2709144272951</v>
      </c>
      <c r="N171" s="8" t="n">
        <f aca="false">p_micro!C168</f>
        <v>0</v>
      </c>
    </row>
    <row r="172" customFormat="false" ht="13.8" hidden="false" customHeight="false" outlineLevel="0" collapsed="false">
      <c r="B172" s="14" t="n">
        <f aca="false">_xlfn.NUMBERVALUE(solar!B169)</f>
        <v>0</v>
      </c>
      <c r="C172" s="15" t="n">
        <f aca="false">solar!C169</f>
        <v>0</v>
      </c>
      <c r="D172" s="15" t="n">
        <v>24</v>
      </c>
      <c r="E172" s="9" t="n">
        <v>168</v>
      </c>
      <c r="F172" s="20" t="n">
        <f aca="false">IFERROR(INDEX($B$5:$C$173, MATCH($E172, $B$5:$B$175, 0), 2), 0)*investment!$C$2</f>
        <v>0</v>
      </c>
      <c r="G172" s="9" t="n">
        <f aca="false">demand!C170</f>
        <v>0</v>
      </c>
      <c r="H172" s="2" t="n">
        <f aca="false">solgen!C170</f>
        <v>0</v>
      </c>
      <c r="I172" s="2" t="n">
        <f aca="false">import!C170</f>
        <v>0</v>
      </c>
      <c r="J172" s="2" t="n">
        <f aca="false">-export!C170</f>
        <v>-0</v>
      </c>
      <c r="K172" s="2" t="n">
        <f aca="false">-charge!C170</f>
        <v>-0</v>
      </c>
      <c r="L172" s="2" t="n">
        <f aca="false">discharge!C170</f>
        <v>0</v>
      </c>
      <c r="M172" s="2" t="n">
        <f aca="false">soc!C170/investment!$E$2 *100</f>
        <v>97.170700457494</v>
      </c>
      <c r="N172" s="8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1" sqref="I2:I4 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9" width="8.85"/>
    <col collapsed="false" customWidth="true" hidden="false" outlineLevel="0" max="4" min="4" style="9" width="8.85"/>
    <col collapsed="false" customWidth="true" hidden="false" outlineLevel="0" max="5" min="5" style="10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11" t="s">
        <v>3</v>
      </c>
      <c r="C2" s="12" t="n">
        <v>2</v>
      </c>
      <c r="D2" s="13" t="s">
        <v>17</v>
      </c>
    </row>
    <row r="4" customFormat="false" ht="13.8" hidden="false" customHeight="false" outlineLevel="0" collapsed="false">
      <c r="B4" s="14" t="s">
        <v>5</v>
      </c>
      <c r="C4" s="15"/>
      <c r="D4" s="16" t="s">
        <v>7</v>
      </c>
      <c r="E4" s="17" t="s">
        <v>8</v>
      </c>
      <c r="F4" s="18" t="s">
        <v>9</v>
      </c>
      <c r="G4" s="18" t="s">
        <v>10</v>
      </c>
      <c r="H4" s="18" t="s">
        <v>11</v>
      </c>
      <c r="I4" s="18" t="s">
        <v>12</v>
      </c>
      <c r="J4" s="18" t="s">
        <v>13</v>
      </c>
      <c r="K4" s="18" t="s">
        <v>14</v>
      </c>
      <c r="L4" s="18" t="s">
        <v>15</v>
      </c>
    </row>
    <row r="5" customFormat="false" ht="13.8" hidden="false" customHeight="false" outlineLevel="0" collapsed="false">
      <c r="B5" s="14" t="n">
        <f aca="false">_xlfn.NUMBERVALUE(solar!B2)</f>
        <v>8</v>
      </c>
      <c r="C5" s="15" t="n">
        <f aca="false">solar!C2</f>
        <v>0</v>
      </c>
      <c r="D5" s="9" t="n">
        <v>1</v>
      </c>
      <c r="E5" s="20" t="n">
        <f aca="false">IFERROR(INDEX($B$5:$C$173, MATCH($D5, $B$5:$B$175, 0), 2), 0)*investment!$C$3</f>
        <v>0</v>
      </c>
      <c r="F5" s="21" t="n">
        <f aca="false">demand!D3</f>
        <v>0</v>
      </c>
      <c r="G5" s="2" t="n">
        <f aca="false">solgen!D3</f>
        <v>0</v>
      </c>
      <c r="H5" s="2" t="n">
        <f aca="false">import!D3</f>
        <v>0</v>
      </c>
      <c r="I5" s="2" t="n">
        <f aca="false">-export!D3</f>
        <v>-0</v>
      </c>
      <c r="J5" s="2" t="n">
        <f aca="false">-charge!D3</f>
        <v>-0</v>
      </c>
      <c r="K5" s="2" t="n">
        <f aca="false">discharge!D3</f>
        <v>0</v>
      </c>
      <c r="L5" s="2" t="n">
        <f aca="false">soc!D3/investment!$E$3 *100</f>
        <v>70</v>
      </c>
    </row>
    <row r="6" customFormat="false" ht="13.8" hidden="false" customHeight="false" outlineLevel="0" collapsed="false">
      <c r="B6" s="14" t="n">
        <f aca="false">_xlfn.NUMBERVALUE(solar!B3)</f>
        <v>9</v>
      </c>
      <c r="C6" s="15" t="n">
        <f aca="false">solar!C3</f>
        <v>0</v>
      </c>
      <c r="D6" s="9" t="n">
        <v>2</v>
      </c>
      <c r="E6" s="20" t="n">
        <f aca="false">IFERROR(INDEX($B$5:$C$173, MATCH($D6, $B$5:$B$175, 0), 2), 0)*investment!$C$3</f>
        <v>0</v>
      </c>
      <c r="F6" s="21" t="n">
        <f aca="false">demand!D4</f>
        <v>0</v>
      </c>
      <c r="G6" s="2" t="n">
        <f aca="false">solgen!D4</f>
        <v>0</v>
      </c>
      <c r="H6" s="2" t="n">
        <f aca="false">import!D4</f>
        <v>0</v>
      </c>
      <c r="I6" s="2" t="n">
        <f aca="false">-export!D4</f>
        <v>-0</v>
      </c>
      <c r="J6" s="2" t="n">
        <f aca="false">-charge!D4</f>
        <v>-0</v>
      </c>
      <c r="K6" s="2" t="n">
        <f aca="false">discharge!D4</f>
        <v>0</v>
      </c>
      <c r="L6" s="2" t="n">
        <f aca="false">soc!D4/investment!$E$3 *100</f>
        <v>69.9993</v>
      </c>
    </row>
    <row r="7" customFormat="false" ht="13.8" hidden="false" customHeight="false" outlineLevel="0" collapsed="false">
      <c r="B7" s="14" t="n">
        <f aca="false">_xlfn.NUMBERVALUE(solar!B4)</f>
        <v>10</v>
      </c>
      <c r="C7" s="15" t="n">
        <f aca="false">solar!C4</f>
        <v>0</v>
      </c>
      <c r="D7" s="9" t="n">
        <v>3</v>
      </c>
      <c r="E7" s="20" t="n">
        <f aca="false">IFERROR(INDEX($B$5:$C$173, MATCH($D7, $B$5:$B$175, 0), 2), 0)*investment!$C$3</f>
        <v>0</v>
      </c>
      <c r="F7" s="21" t="n">
        <f aca="false">demand!D5</f>
        <v>0</v>
      </c>
      <c r="G7" s="2" t="n">
        <f aca="false">solgen!D5</f>
        <v>0</v>
      </c>
      <c r="H7" s="2" t="n">
        <f aca="false">import!D5</f>
        <v>0</v>
      </c>
      <c r="I7" s="2" t="n">
        <f aca="false">-export!D5</f>
        <v>-0</v>
      </c>
      <c r="J7" s="2" t="n">
        <f aca="false">-charge!D5</f>
        <v>-0</v>
      </c>
      <c r="K7" s="2" t="n">
        <f aca="false">discharge!D5</f>
        <v>0</v>
      </c>
      <c r="L7" s="2" t="n">
        <f aca="false">soc!D5/investment!$E$3 *100</f>
        <v>69.998600007</v>
      </c>
    </row>
    <row r="8" customFormat="false" ht="13.8" hidden="false" customHeight="false" outlineLevel="0" collapsed="false">
      <c r="B8" s="14" t="n">
        <f aca="false">_xlfn.NUMBERVALUE(solar!B5)</f>
        <v>11</v>
      </c>
      <c r="C8" s="15" t="n">
        <f aca="false">solar!C5</f>
        <v>0</v>
      </c>
      <c r="D8" s="9" t="n">
        <v>4</v>
      </c>
      <c r="E8" s="20" t="n">
        <f aca="false">IFERROR(INDEX($B$5:$C$173, MATCH($D8, $B$5:$B$175, 0), 2), 0)*investment!$C$3</f>
        <v>0</v>
      </c>
      <c r="F8" s="21" t="n">
        <f aca="false">demand!D6</f>
        <v>0</v>
      </c>
      <c r="G8" s="2" t="n">
        <f aca="false">solgen!D6</f>
        <v>0</v>
      </c>
      <c r="H8" s="2" t="n">
        <f aca="false">import!D6</f>
        <v>0</v>
      </c>
      <c r="I8" s="2" t="n">
        <f aca="false">-export!D6</f>
        <v>-0</v>
      </c>
      <c r="J8" s="2" t="n">
        <f aca="false">-charge!D6</f>
        <v>-0</v>
      </c>
      <c r="K8" s="2" t="n">
        <f aca="false">discharge!D6</f>
        <v>0</v>
      </c>
      <c r="L8" s="2" t="n">
        <f aca="false">soc!D6/investment!$E$3 *100</f>
        <v>69.2300269524225</v>
      </c>
    </row>
    <row r="9" customFormat="false" ht="13.8" hidden="false" customHeight="false" outlineLevel="0" collapsed="false">
      <c r="B9" s="14" t="n">
        <f aca="false">_xlfn.NUMBERVALUE(solar!B6)</f>
        <v>12</v>
      </c>
      <c r="C9" s="15" t="n">
        <f aca="false">solar!C6</f>
        <v>0</v>
      </c>
      <c r="D9" s="9" t="n">
        <v>5</v>
      </c>
      <c r="E9" s="20" t="n">
        <f aca="false">IFERROR(INDEX($B$5:$C$173, MATCH($D9, $B$5:$B$175, 0), 2), 0)*investment!$C$3</f>
        <v>0</v>
      </c>
      <c r="F9" s="21" t="n">
        <f aca="false">demand!D7</f>
        <v>0</v>
      </c>
      <c r="G9" s="2" t="n">
        <f aca="false">solgen!D7</f>
        <v>0</v>
      </c>
      <c r="H9" s="2" t="n">
        <f aca="false">import!D7</f>
        <v>0</v>
      </c>
      <c r="I9" s="2" t="n">
        <f aca="false">-export!D7</f>
        <v>-0</v>
      </c>
      <c r="J9" s="2" t="n">
        <f aca="false">-charge!D7</f>
        <v>-0</v>
      </c>
      <c r="K9" s="2" t="n">
        <f aca="false">discharge!D7</f>
        <v>0</v>
      </c>
      <c r="L9" s="2" t="n">
        <f aca="false">soc!D7/investment!$E$3 *100</f>
        <v>66.9257154464205</v>
      </c>
    </row>
    <row r="10" customFormat="false" ht="13.8" hidden="false" customHeight="false" outlineLevel="0" collapsed="false">
      <c r="B10" s="14" t="n">
        <f aca="false">_xlfn.NUMBERVALUE(solar!B7)</f>
        <v>13</v>
      </c>
      <c r="C10" s="15" t="n">
        <f aca="false">solar!C7</f>
        <v>0</v>
      </c>
      <c r="D10" s="9" t="n">
        <v>6</v>
      </c>
      <c r="E10" s="20" t="n">
        <f aca="false">IFERROR(INDEX($B$5:$C$173, MATCH($D10, $B$5:$B$175, 0), 2), 0)*investment!$C$3</f>
        <v>0</v>
      </c>
      <c r="F10" s="21" t="n">
        <f aca="false">demand!D8</f>
        <v>0</v>
      </c>
      <c r="G10" s="2" t="n">
        <f aca="false">solgen!D8</f>
        <v>0</v>
      </c>
      <c r="H10" s="2" t="n">
        <f aca="false">import!D8</f>
        <v>0</v>
      </c>
      <c r="I10" s="2" t="n">
        <f aca="false">-export!D8</f>
        <v>-0</v>
      </c>
      <c r="J10" s="2" t="n">
        <f aca="false">-charge!D8</f>
        <v>-0</v>
      </c>
      <c r="K10" s="2" t="n">
        <f aca="false">discharge!D8</f>
        <v>0</v>
      </c>
      <c r="L10" s="2" t="n">
        <f aca="false">soc!D8/investment!$E$3 *100</f>
        <v>64.6214269835337</v>
      </c>
    </row>
    <row r="11" customFormat="false" ht="13.8" hidden="false" customHeight="false" outlineLevel="0" collapsed="false">
      <c r="B11" s="14" t="n">
        <f aca="false">_xlfn.NUMBERVALUE(solar!B8)</f>
        <v>14</v>
      </c>
      <c r="C11" s="15" t="n">
        <f aca="false">solar!C8</f>
        <v>0</v>
      </c>
      <c r="D11" s="9" t="n">
        <v>7</v>
      </c>
      <c r="E11" s="20" t="n">
        <f aca="false">IFERROR(INDEX($B$5:$C$173, MATCH($D11, $B$5:$B$175, 0), 2), 0)*investment!$C$3</f>
        <v>0</v>
      </c>
      <c r="F11" s="21" t="n">
        <f aca="false">demand!D9</f>
        <v>0</v>
      </c>
      <c r="G11" s="2" t="n">
        <f aca="false">solgen!D9</f>
        <v>0</v>
      </c>
      <c r="H11" s="2" t="n">
        <f aca="false">import!D9</f>
        <v>0</v>
      </c>
      <c r="I11" s="2" t="n">
        <f aca="false">-export!D9</f>
        <v>-0</v>
      </c>
      <c r="J11" s="2" t="n">
        <f aca="false">-charge!D9</f>
        <v>-0</v>
      </c>
      <c r="K11" s="2" t="n">
        <f aca="false">discharge!D9</f>
        <v>0</v>
      </c>
      <c r="L11" s="2" t="n">
        <f aca="false">soc!D9/investment!$E$3 *100</f>
        <v>62.3171615635314</v>
      </c>
    </row>
    <row r="12" customFormat="false" ht="13.8" hidden="false" customHeight="false" outlineLevel="0" collapsed="false">
      <c r="B12" s="14" t="n">
        <f aca="false">_xlfn.NUMBERVALUE(solar!B9)</f>
        <v>15</v>
      </c>
      <c r="C12" s="15" t="n">
        <f aca="false">solar!C9</f>
        <v>0</v>
      </c>
      <c r="D12" s="9" t="n">
        <v>8</v>
      </c>
      <c r="E12" s="20" t="n">
        <f aca="false">IFERROR(INDEX($B$5:$C$173, MATCH($D12, $B$5:$B$175, 0), 2), 0)*investment!$C$3</f>
        <v>0</v>
      </c>
      <c r="F12" s="21" t="n">
        <f aca="false">demand!D10</f>
        <v>0</v>
      </c>
      <c r="G12" s="2" t="n">
        <f aca="false">solgen!D10</f>
        <v>0</v>
      </c>
      <c r="H12" s="2" t="n">
        <f aca="false">import!D10</f>
        <v>0</v>
      </c>
      <c r="I12" s="2" t="n">
        <f aca="false">-export!D10</f>
        <v>-0</v>
      </c>
      <c r="J12" s="2" t="n">
        <f aca="false">-charge!D10</f>
        <v>-0</v>
      </c>
      <c r="K12" s="2" t="n">
        <f aca="false">discharge!D10</f>
        <v>0</v>
      </c>
      <c r="L12" s="2" t="n">
        <f aca="false">soc!D10/investment!$E$3 *100</f>
        <v>60.0129191861834</v>
      </c>
    </row>
    <row r="13" customFormat="false" ht="13.8" hidden="false" customHeight="false" outlineLevel="0" collapsed="false">
      <c r="B13" s="14" t="n">
        <f aca="false">_xlfn.NUMBERVALUE(solar!B10)</f>
        <v>16</v>
      </c>
      <c r="C13" s="15" t="n">
        <f aca="false">solar!C10</f>
        <v>0</v>
      </c>
      <c r="D13" s="9" t="n">
        <v>9</v>
      </c>
      <c r="E13" s="20" t="n">
        <f aca="false">IFERROR(INDEX($B$5:$C$173, MATCH($D13, $B$5:$B$175, 0), 2), 0)*investment!$C$3</f>
        <v>0</v>
      </c>
      <c r="F13" s="21" t="n">
        <f aca="false">demand!D11</f>
        <v>0</v>
      </c>
      <c r="G13" s="2" t="n">
        <f aca="false">solgen!D11</f>
        <v>0</v>
      </c>
      <c r="H13" s="2" t="n">
        <f aca="false">import!D11</f>
        <v>0</v>
      </c>
      <c r="I13" s="2" t="n">
        <f aca="false">-export!D11</f>
        <v>-0</v>
      </c>
      <c r="J13" s="2" t="n">
        <f aca="false">-charge!D11</f>
        <v>-0</v>
      </c>
      <c r="K13" s="2" t="n">
        <f aca="false">discharge!D11</f>
        <v>0</v>
      </c>
      <c r="L13" s="2" t="n">
        <f aca="false">soc!D11/investment!$E$3 *100</f>
        <v>57.7086998512591</v>
      </c>
    </row>
    <row r="14" customFormat="false" ht="13.8" hidden="false" customHeight="false" outlineLevel="0" collapsed="false">
      <c r="B14" s="14" t="n">
        <f aca="false">_xlfn.NUMBERVALUE(solar!B11)</f>
        <v>17</v>
      </c>
      <c r="C14" s="15" t="n">
        <f aca="false">solar!C11</f>
        <v>0</v>
      </c>
      <c r="D14" s="9" t="n">
        <v>10</v>
      </c>
      <c r="E14" s="20" t="n">
        <f aca="false">IFERROR(INDEX($B$5:$C$173, MATCH($D14, $B$5:$B$175, 0), 2), 0)*investment!$C$3</f>
        <v>0</v>
      </c>
      <c r="F14" s="21" t="n">
        <f aca="false">demand!D12</f>
        <v>0</v>
      </c>
      <c r="G14" s="2" t="n">
        <f aca="false">solgen!D12</f>
        <v>0</v>
      </c>
      <c r="H14" s="2" t="n">
        <f aca="false">import!D12</f>
        <v>0</v>
      </c>
      <c r="I14" s="2" t="n">
        <f aca="false">-export!D12</f>
        <v>-0</v>
      </c>
      <c r="J14" s="2" t="n">
        <f aca="false">-charge!D12</f>
        <v>-0</v>
      </c>
      <c r="K14" s="2" t="n">
        <f aca="false">discharge!D12</f>
        <v>0</v>
      </c>
      <c r="L14" s="2" t="n">
        <f aca="false">soc!D12/investment!$E$3 *100</f>
        <v>55.4045035585282</v>
      </c>
    </row>
    <row r="15" customFormat="false" ht="13.8" hidden="false" customHeight="false" outlineLevel="0" collapsed="false">
      <c r="B15" s="14" t="n">
        <f aca="false">_xlfn.NUMBERVALUE(solar!B12)</f>
        <v>18</v>
      </c>
      <c r="C15" s="15" t="n">
        <f aca="false">solar!C12</f>
        <v>0</v>
      </c>
      <c r="D15" s="9" t="n">
        <v>11</v>
      </c>
      <c r="E15" s="20" t="n">
        <f aca="false">IFERROR(INDEX($B$5:$C$173, MATCH($D15, $B$5:$B$175, 0), 2), 0)*investment!$C$3</f>
        <v>0</v>
      </c>
      <c r="F15" s="21" t="n">
        <f aca="false">demand!D13</f>
        <v>0</v>
      </c>
      <c r="G15" s="2" t="n">
        <f aca="false">solgen!D13</f>
        <v>0</v>
      </c>
      <c r="H15" s="2" t="n">
        <f aca="false">import!D13</f>
        <v>0</v>
      </c>
      <c r="I15" s="2" t="n">
        <f aca="false">-export!D13</f>
        <v>-0</v>
      </c>
      <c r="J15" s="2" t="n">
        <f aca="false">-charge!D13</f>
        <v>-0</v>
      </c>
      <c r="K15" s="2" t="n">
        <f aca="false">discharge!D13</f>
        <v>0</v>
      </c>
      <c r="L15" s="2" t="n">
        <f aca="false">soc!D13/investment!$E$3 *100</f>
        <v>53.1003303077602</v>
      </c>
    </row>
    <row r="16" customFormat="false" ht="13.8" hidden="false" customHeight="false" outlineLevel="0" collapsed="false">
      <c r="B16" s="14" t="n">
        <f aca="false">_xlfn.NUMBERVALUE(solar!B13)</f>
        <v>19</v>
      </c>
      <c r="C16" s="15" t="n">
        <f aca="false">solar!C13</f>
        <v>0</v>
      </c>
      <c r="D16" s="9" t="n">
        <v>12</v>
      </c>
      <c r="E16" s="20" t="n">
        <f aca="false">IFERROR(INDEX($B$5:$C$173, MATCH($D16, $B$5:$B$175, 0), 2), 0)*investment!$C$3</f>
        <v>0</v>
      </c>
      <c r="F16" s="21" t="n">
        <f aca="false">demand!D14</f>
        <v>0</v>
      </c>
      <c r="G16" s="2" t="n">
        <f aca="false">solgen!D14</f>
        <v>0</v>
      </c>
      <c r="H16" s="2" t="n">
        <f aca="false">import!D14</f>
        <v>0</v>
      </c>
      <c r="I16" s="2" t="n">
        <f aca="false">-export!D14</f>
        <v>-0</v>
      </c>
      <c r="J16" s="2" t="n">
        <f aca="false">-charge!D14</f>
        <v>-0</v>
      </c>
      <c r="K16" s="2" t="n">
        <f aca="false">discharge!D14</f>
        <v>0</v>
      </c>
      <c r="L16" s="2" t="n">
        <f aca="false">soc!D14/investment!$E$3 *100</f>
        <v>50.7961800987246</v>
      </c>
    </row>
    <row r="17" customFormat="false" ht="13.8" hidden="false" customHeight="false" outlineLevel="0" collapsed="false">
      <c r="B17" s="14" t="n">
        <f aca="false">_xlfn.NUMBERVALUE(solar!B14)</f>
        <v>32</v>
      </c>
      <c r="C17" s="15" t="n">
        <f aca="false">solar!C14</f>
        <v>0</v>
      </c>
      <c r="D17" s="9" t="n">
        <v>13</v>
      </c>
      <c r="E17" s="20" t="n">
        <f aca="false">IFERROR(INDEX($B$5:$C$173, MATCH($D17, $B$5:$B$175, 0), 2), 0)*investment!$C$3</f>
        <v>0</v>
      </c>
      <c r="F17" s="21" t="n">
        <f aca="false">demand!D15</f>
        <v>0</v>
      </c>
      <c r="G17" s="2" t="n">
        <f aca="false">solgen!D15</f>
        <v>0</v>
      </c>
      <c r="H17" s="2" t="n">
        <f aca="false">import!D15</f>
        <v>0</v>
      </c>
      <c r="I17" s="2" t="n">
        <f aca="false">-export!D15</f>
        <v>-0</v>
      </c>
      <c r="J17" s="2" t="n">
        <f aca="false">-charge!D15</f>
        <v>-0</v>
      </c>
      <c r="K17" s="2" t="n">
        <f aca="false">discharge!D15</f>
        <v>0</v>
      </c>
      <c r="L17" s="2" t="n">
        <f aca="false">soc!D15/investment!$E$3 *100</f>
        <v>48.4920529311913</v>
      </c>
    </row>
    <row r="18" customFormat="false" ht="13.8" hidden="false" customHeight="false" outlineLevel="0" collapsed="false">
      <c r="B18" s="14" t="n">
        <f aca="false">_xlfn.NUMBERVALUE(solar!B15)</f>
        <v>33</v>
      </c>
      <c r="C18" s="15" t="n">
        <f aca="false">solar!C15</f>
        <v>0</v>
      </c>
      <c r="D18" s="9" t="n">
        <v>14</v>
      </c>
      <c r="E18" s="20" t="n">
        <f aca="false">IFERROR(INDEX($B$5:$C$173, MATCH($D18, $B$5:$B$175, 0), 2), 0)*investment!$C$3</f>
        <v>0</v>
      </c>
      <c r="F18" s="21" t="n">
        <f aca="false">demand!D16</f>
        <v>0</v>
      </c>
      <c r="G18" s="2" t="n">
        <f aca="false">solgen!D16</f>
        <v>0</v>
      </c>
      <c r="H18" s="2" t="n">
        <f aca="false">import!D16</f>
        <v>0</v>
      </c>
      <c r="I18" s="2" t="n">
        <f aca="false">-export!D16</f>
        <v>-0</v>
      </c>
      <c r="J18" s="2" t="n">
        <f aca="false">-charge!D16</f>
        <v>-0</v>
      </c>
      <c r="K18" s="2" t="n">
        <f aca="false">discharge!D16</f>
        <v>0</v>
      </c>
      <c r="L18" s="2" t="n">
        <f aca="false">soc!D16/investment!$E$3 *100</f>
        <v>46.1879488049295</v>
      </c>
    </row>
    <row r="19" customFormat="false" ht="13.8" hidden="false" customHeight="false" outlineLevel="0" collapsed="false">
      <c r="B19" s="14" t="n">
        <f aca="false">_xlfn.NUMBERVALUE(solar!B16)</f>
        <v>34</v>
      </c>
      <c r="C19" s="15" t="n">
        <f aca="false">solar!C16</f>
        <v>0</v>
      </c>
      <c r="D19" s="9" t="n">
        <v>15</v>
      </c>
      <c r="E19" s="20" t="n">
        <f aca="false">IFERROR(INDEX($B$5:$C$173, MATCH($D19, $B$5:$B$175, 0), 2), 0)*investment!$C$3</f>
        <v>0</v>
      </c>
      <c r="F19" s="21" t="n">
        <f aca="false">demand!D17</f>
        <v>0</v>
      </c>
      <c r="G19" s="2" t="n">
        <f aca="false">solgen!D17</f>
        <v>0</v>
      </c>
      <c r="H19" s="2" t="n">
        <f aca="false">import!D17</f>
        <v>0</v>
      </c>
      <c r="I19" s="2" t="n">
        <f aca="false">-export!D17</f>
        <v>-0</v>
      </c>
      <c r="J19" s="2" t="n">
        <f aca="false">-charge!D17</f>
        <v>-0</v>
      </c>
      <c r="K19" s="2" t="n">
        <f aca="false">discharge!D17</f>
        <v>0</v>
      </c>
      <c r="L19" s="2" t="n">
        <f aca="false">soc!D17/investment!$E$3 *100</f>
        <v>43.8838677197091</v>
      </c>
    </row>
    <row r="20" customFormat="false" ht="13.8" hidden="false" customHeight="false" outlineLevel="0" collapsed="false">
      <c r="B20" s="14" t="n">
        <f aca="false">_xlfn.NUMBERVALUE(solar!B17)</f>
        <v>35</v>
      </c>
      <c r="C20" s="15" t="n">
        <f aca="false">solar!C17</f>
        <v>0</v>
      </c>
      <c r="D20" s="9" t="n">
        <v>16</v>
      </c>
      <c r="E20" s="20" t="n">
        <f aca="false">IFERROR(INDEX($B$5:$C$173, MATCH($D20, $B$5:$B$175, 0), 2), 0)*investment!$C$3</f>
        <v>0</v>
      </c>
      <c r="F20" s="21" t="n">
        <f aca="false">demand!D18</f>
        <v>0</v>
      </c>
      <c r="G20" s="2" t="n">
        <f aca="false">solgen!D18</f>
        <v>0</v>
      </c>
      <c r="H20" s="2" t="n">
        <f aca="false">import!D18</f>
        <v>0</v>
      </c>
      <c r="I20" s="2" t="n">
        <f aca="false">-export!D18</f>
        <v>-0</v>
      </c>
      <c r="J20" s="2" t="n">
        <f aca="false">-charge!D18</f>
        <v>-0</v>
      </c>
      <c r="K20" s="2" t="n">
        <f aca="false">discharge!D18</f>
        <v>0</v>
      </c>
      <c r="L20" s="2" t="n">
        <f aca="false">soc!D18/investment!$E$3 *100</f>
        <v>41.5798096752995</v>
      </c>
    </row>
    <row r="21" customFormat="false" ht="13.8" hidden="false" customHeight="false" outlineLevel="0" collapsed="false">
      <c r="B21" s="14" t="n">
        <f aca="false">_xlfn.NUMBERVALUE(solar!B18)</f>
        <v>36</v>
      </c>
      <c r="C21" s="15" t="n">
        <f aca="false">solar!C18</f>
        <v>0</v>
      </c>
      <c r="D21" s="9" t="n">
        <v>17</v>
      </c>
      <c r="E21" s="20" t="n">
        <f aca="false">IFERROR(INDEX($B$5:$C$173, MATCH($D21, $B$5:$B$175, 0), 2), 0)*investment!$C$3</f>
        <v>0</v>
      </c>
      <c r="F21" s="21" t="n">
        <f aca="false">demand!D19</f>
        <v>0</v>
      </c>
      <c r="G21" s="2" t="n">
        <f aca="false">solgen!D19</f>
        <v>0</v>
      </c>
      <c r="H21" s="2" t="n">
        <f aca="false">import!D19</f>
        <v>0</v>
      </c>
      <c r="I21" s="2" t="n">
        <f aca="false">-export!D19</f>
        <v>-0</v>
      </c>
      <c r="J21" s="2" t="n">
        <f aca="false">-charge!D19</f>
        <v>-0</v>
      </c>
      <c r="K21" s="2" t="n">
        <f aca="false">discharge!D19</f>
        <v>0</v>
      </c>
      <c r="L21" s="2" t="n">
        <f aca="false">soc!D19/investment!$E$3 *100</f>
        <v>39.2757746714703</v>
      </c>
    </row>
    <row r="22" customFormat="false" ht="13.8" hidden="false" customHeight="false" outlineLevel="0" collapsed="false">
      <c r="B22" s="14" t="n">
        <f aca="false">_xlfn.NUMBERVALUE(solar!B19)</f>
        <v>37</v>
      </c>
      <c r="C22" s="15" t="n">
        <f aca="false">solar!C19</f>
        <v>0</v>
      </c>
      <c r="D22" s="9" t="n">
        <v>18</v>
      </c>
      <c r="E22" s="20" t="n">
        <f aca="false">IFERROR(INDEX($B$5:$C$173, MATCH($D22, $B$5:$B$175, 0), 2), 0)*investment!$C$3</f>
        <v>0</v>
      </c>
      <c r="F22" s="21" t="n">
        <f aca="false">demand!D20</f>
        <v>0</v>
      </c>
      <c r="G22" s="2" t="n">
        <f aca="false">solgen!D20</f>
        <v>0</v>
      </c>
      <c r="H22" s="2" t="n">
        <f aca="false">import!D20</f>
        <v>0</v>
      </c>
      <c r="I22" s="2" t="n">
        <f aca="false">-export!D20</f>
        <v>-0</v>
      </c>
      <c r="J22" s="2" t="n">
        <f aca="false">-charge!D20</f>
        <v>-0</v>
      </c>
      <c r="K22" s="2" t="n">
        <f aca="false">discharge!D20</f>
        <v>0</v>
      </c>
      <c r="L22" s="2" t="n">
        <f aca="false">soc!D20/investment!$E$3 *100</f>
        <v>36.9717627079912</v>
      </c>
    </row>
    <row r="23" customFormat="false" ht="13.8" hidden="false" customHeight="false" outlineLevel="0" collapsed="false">
      <c r="B23" s="14" t="n">
        <f aca="false">_xlfn.NUMBERVALUE(solar!B20)</f>
        <v>38</v>
      </c>
      <c r="C23" s="15" t="n">
        <f aca="false">solar!C20</f>
        <v>0</v>
      </c>
      <c r="D23" s="9" t="n">
        <v>19</v>
      </c>
      <c r="E23" s="20" t="n">
        <f aca="false">IFERROR(INDEX($B$5:$C$173, MATCH($D23, $B$5:$B$175, 0), 2), 0)*investment!$C$3</f>
        <v>0</v>
      </c>
      <c r="F23" s="21" t="n">
        <f aca="false">demand!D21</f>
        <v>0</v>
      </c>
      <c r="G23" s="2" t="n">
        <f aca="false">solgen!D21</f>
        <v>0</v>
      </c>
      <c r="H23" s="2" t="n">
        <f aca="false">import!D21</f>
        <v>0</v>
      </c>
      <c r="I23" s="2" t="n">
        <f aca="false">-export!D21</f>
        <v>-0</v>
      </c>
      <c r="J23" s="2" t="n">
        <f aca="false">-charge!D21</f>
        <v>-0</v>
      </c>
      <c r="K23" s="2" t="n">
        <f aca="false">discharge!D21</f>
        <v>0</v>
      </c>
      <c r="L23" s="2" t="n">
        <f aca="false">soc!D21/investment!$E$3 *100</f>
        <v>34.6677737846317</v>
      </c>
    </row>
    <row r="24" customFormat="false" ht="13.8" hidden="false" customHeight="false" outlineLevel="0" collapsed="false">
      <c r="B24" s="14" t="n">
        <f aca="false">_xlfn.NUMBERVALUE(solar!B21)</f>
        <v>39</v>
      </c>
      <c r="C24" s="15" t="n">
        <f aca="false">solar!C21</f>
        <v>0</v>
      </c>
      <c r="D24" s="9" t="n">
        <v>20</v>
      </c>
      <c r="E24" s="20" t="n">
        <f aca="false">IFERROR(INDEX($B$5:$C$173, MATCH($D24, $B$5:$B$175, 0), 2), 0)*investment!$C$3</f>
        <v>0</v>
      </c>
      <c r="F24" s="21" t="n">
        <f aca="false">demand!D22</f>
        <v>0</v>
      </c>
      <c r="G24" s="2" t="n">
        <f aca="false">solgen!D22</f>
        <v>0</v>
      </c>
      <c r="H24" s="2" t="n">
        <f aca="false">import!D22</f>
        <v>0</v>
      </c>
      <c r="I24" s="2" t="n">
        <f aca="false">-export!D22</f>
        <v>-0</v>
      </c>
      <c r="J24" s="2" t="n">
        <f aca="false">-charge!D22</f>
        <v>-0</v>
      </c>
      <c r="K24" s="2" t="n">
        <f aca="false">discharge!D22</f>
        <v>0</v>
      </c>
      <c r="L24" s="2" t="n">
        <f aca="false">soc!D22/investment!$E$3 *100</f>
        <v>32.3638079011614</v>
      </c>
    </row>
    <row r="25" customFormat="false" ht="13.8" hidden="false" customHeight="false" outlineLevel="0" collapsed="false">
      <c r="B25" s="14" t="n">
        <f aca="false">_xlfn.NUMBERVALUE(solar!B22)</f>
        <v>40</v>
      </c>
      <c r="C25" s="15" t="n">
        <f aca="false">solar!C22</f>
        <v>0</v>
      </c>
      <c r="D25" s="9" t="n">
        <v>21</v>
      </c>
      <c r="E25" s="20" t="n">
        <f aca="false">IFERROR(INDEX($B$5:$C$173, MATCH($D25, $B$5:$B$175, 0), 2), 0)*investment!$C$3</f>
        <v>0</v>
      </c>
      <c r="F25" s="21" t="n">
        <f aca="false">demand!D23</f>
        <v>0</v>
      </c>
      <c r="G25" s="2" t="n">
        <f aca="false">solgen!D23</f>
        <v>0</v>
      </c>
      <c r="H25" s="2" t="n">
        <f aca="false">import!D23</f>
        <v>0</v>
      </c>
      <c r="I25" s="2" t="n">
        <f aca="false">-export!D23</f>
        <v>-0</v>
      </c>
      <c r="J25" s="2" t="n">
        <f aca="false">-charge!D23</f>
        <v>-0</v>
      </c>
      <c r="K25" s="2" t="n">
        <f aca="false">discharge!D23</f>
        <v>0</v>
      </c>
      <c r="L25" s="2" t="n">
        <f aca="false">soc!D23/investment!$E$3 *100</f>
        <v>30.05986505735</v>
      </c>
    </row>
    <row r="26" customFormat="false" ht="13.8" hidden="false" customHeight="false" outlineLevel="0" collapsed="false">
      <c r="B26" s="14" t="n">
        <f aca="false">_xlfn.NUMBERVALUE(solar!B23)</f>
        <v>41</v>
      </c>
      <c r="C26" s="15" t="n">
        <f aca="false">solar!C23</f>
        <v>0</v>
      </c>
      <c r="D26" s="9" t="n">
        <v>22</v>
      </c>
      <c r="E26" s="20" t="n">
        <f aca="false">IFERROR(INDEX($B$5:$C$173, MATCH($D26, $B$5:$B$175, 0), 2), 0)*investment!$C$3</f>
        <v>0</v>
      </c>
      <c r="F26" s="21" t="n">
        <f aca="false">demand!D24</f>
        <v>0</v>
      </c>
      <c r="G26" s="2" t="n">
        <f aca="false">solgen!D24</f>
        <v>0</v>
      </c>
      <c r="H26" s="2" t="n">
        <f aca="false">import!D24</f>
        <v>0</v>
      </c>
      <c r="I26" s="2" t="n">
        <f aca="false">-export!D24</f>
        <v>-0</v>
      </c>
      <c r="J26" s="2" t="n">
        <f aca="false">-charge!D24</f>
        <v>-0</v>
      </c>
      <c r="K26" s="2" t="n">
        <f aca="false">discharge!D24</f>
        <v>0</v>
      </c>
      <c r="L26" s="2" t="n">
        <f aca="false">soc!D24/investment!$E$3 *100</f>
        <v>30.0595644586995</v>
      </c>
    </row>
    <row r="27" customFormat="false" ht="13.8" hidden="false" customHeight="false" outlineLevel="0" collapsed="false">
      <c r="B27" s="14" t="n">
        <f aca="false">_xlfn.NUMBERVALUE(solar!B24)</f>
        <v>42</v>
      </c>
      <c r="C27" s="15" t="n">
        <f aca="false">solar!C24</f>
        <v>0</v>
      </c>
      <c r="D27" s="9" t="n">
        <v>23</v>
      </c>
      <c r="E27" s="20" t="n">
        <f aca="false">IFERROR(INDEX($B$5:$C$173, MATCH($D27, $B$5:$B$175, 0), 2), 0)*investment!$C$3</f>
        <v>0</v>
      </c>
      <c r="F27" s="21" t="n">
        <f aca="false">demand!D25</f>
        <v>0</v>
      </c>
      <c r="G27" s="2" t="n">
        <f aca="false">solgen!D25</f>
        <v>0</v>
      </c>
      <c r="H27" s="2" t="n">
        <f aca="false">import!D25</f>
        <v>0</v>
      </c>
      <c r="I27" s="2" t="n">
        <f aca="false">-export!D25</f>
        <v>-0</v>
      </c>
      <c r="J27" s="2" t="n">
        <f aca="false">-charge!D25</f>
        <v>-0</v>
      </c>
      <c r="K27" s="2" t="n">
        <f aca="false">discharge!D25</f>
        <v>0</v>
      </c>
      <c r="L27" s="2" t="n">
        <f aca="false">soc!D25/investment!$E$3 *100</f>
        <v>30.0592638630549</v>
      </c>
    </row>
    <row r="28" customFormat="false" ht="13.8" hidden="false" customHeight="false" outlineLevel="0" collapsed="false">
      <c r="B28" s="14" t="n">
        <f aca="false">_xlfn.NUMBERVALUE(solar!B25)</f>
        <v>43</v>
      </c>
      <c r="C28" s="15" t="n">
        <f aca="false">solar!C25</f>
        <v>0</v>
      </c>
      <c r="D28" s="9" t="n">
        <v>24</v>
      </c>
      <c r="E28" s="20" t="n">
        <f aca="false">IFERROR(INDEX($B$5:$C$173, MATCH($D28, $B$5:$B$175, 0), 2), 0)*investment!$C$3</f>
        <v>0</v>
      </c>
      <c r="F28" s="21" t="n">
        <f aca="false">demand!D26</f>
        <v>0</v>
      </c>
      <c r="G28" s="2" t="n">
        <f aca="false">solgen!D26</f>
        <v>0</v>
      </c>
      <c r="H28" s="2" t="n">
        <f aca="false">import!D26</f>
        <v>0</v>
      </c>
      <c r="I28" s="2" t="n">
        <f aca="false">-export!D26</f>
        <v>-0</v>
      </c>
      <c r="J28" s="2" t="n">
        <f aca="false">-charge!D26</f>
        <v>-0</v>
      </c>
      <c r="K28" s="2" t="n">
        <f aca="false">discharge!D26</f>
        <v>0</v>
      </c>
      <c r="L28" s="2" t="n">
        <f aca="false">soc!D26/investment!$E$3 *100</f>
        <v>30.0589632704162</v>
      </c>
    </row>
    <row r="29" customFormat="false" ht="13.8" hidden="false" customHeight="false" outlineLevel="0" collapsed="false">
      <c r="B29" s="14" t="n">
        <f aca="false">_xlfn.NUMBERVALUE(solar!B26)</f>
        <v>56</v>
      </c>
      <c r="C29" s="15" t="n">
        <f aca="false">solar!C26</f>
        <v>0</v>
      </c>
      <c r="D29" s="9" t="n">
        <v>25</v>
      </c>
      <c r="E29" s="20" t="n">
        <f aca="false">IFERROR(INDEX($B$5:$C$173, MATCH($D29, $B$5:$B$175, 0), 2), 0)*investment!$C$3</f>
        <v>0</v>
      </c>
      <c r="F29" s="21" t="n">
        <f aca="false">demand!D27</f>
        <v>0</v>
      </c>
      <c r="G29" s="2" t="n">
        <f aca="false">solgen!D27</f>
        <v>0</v>
      </c>
      <c r="H29" s="2" t="n">
        <f aca="false">import!D27</f>
        <v>0</v>
      </c>
      <c r="I29" s="2" t="n">
        <f aca="false">-export!D27</f>
        <v>-0</v>
      </c>
      <c r="J29" s="2" t="n">
        <f aca="false">-charge!D27</f>
        <v>-0</v>
      </c>
      <c r="K29" s="2" t="n">
        <f aca="false">discharge!D27</f>
        <v>0</v>
      </c>
      <c r="L29" s="2" t="n">
        <f aca="false">soc!D27/investment!$E$3 *100</f>
        <v>30.0586626807835</v>
      </c>
    </row>
    <row r="30" customFormat="false" ht="13.8" hidden="false" customHeight="false" outlineLevel="0" collapsed="false">
      <c r="B30" s="14" t="n">
        <f aca="false">_xlfn.NUMBERVALUE(solar!B27)</f>
        <v>57</v>
      </c>
      <c r="C30" s="15" t="n">
        <f aca="false">solar!C27</f>
        <v>0</v>
      </c>
      <c r="D30" s="9" t="n">
        <v>26</v>
      </c>
      <c r="E30" s="20" t="n">
        <f aca="false">IFERROR(INDEX($B$5:$C$173, MATCH($D30, $B$5:$B$175, 0), 2), 0)*investment!$C$3</f>
        <v>0</v>
      </c>
      <c r="F30" s="21" t="n">
        <f aca="false">demand!D28</f>
        <v>0</v>
      </c>
      <c r="G30" s="2" t="n">
        <f aca="false">solgen!D28</f>
        <v>0</v>
      </c>
      <c r="H30" s="2" t="n">
        <f aca="false">import!D28</f>
        <v>0</v>
      </c>
      <c r="I30" s="2" t="n">
        <f aca="false">-export!D28</f>
        <v>-0</v>
      </c>
      <c r="J30" s="2" t="n">
        <f aca="false">-charge!D28</f>
        <v>-0</v>
      </c>
      <c r="K30" s="2" t="n">
        <f aca="false">discharge!D28</f>
        <v>0</v>
      </c>
      <c r="L30" s="2" t="n">
        <f aca="false">soc!D28/investment!$E$3 *100</f>
        <v>30.0583620941567</v>
      </c>
    </row>
    <row r="31" customFormat="false" ht="13.8" hidden="false" customHeight="false" outlineLevel="0" collapsed="false">
      <c r="B31" s="14" t="n">
        <f aca="false">_xlfn.NUMBERVALUE(solar!B28)</f>
        <v>58</v>
      </c>
      <c r="C31" s="15" t="n">
        <f aca="false">solar!C28</f>
        <v>0</v>
      </c>
      <c r="D31" s="9" t="n">
        <v>27</v>
      </c>
      <c r="E31" s="20" t="n">
        <f aca="false">IFERROR(INDEX($B$5:$C$173, MATCH($D31, $B$5:$B$175, 0), 2), 0)*investment!$C$3</f>
        <v>0</v>
      </c>
      <c r="F31" s="21" t="n">
        <f aca="false">demand!D29</f>
        <v>0</v>
      </c>
      <c r="G31" s="2" t="n">
        <f aca="false">solgen!D29</f>
        <v>0</v>
      </c>
      <c r="H31" s="2" t="n">
        <f aca="false">import!D29</f>
        <v>0</v>
      </c>
      <c r="I31" s="2" t="n">
        <f aca="false">-export!D29</f>
        <v>-0</v>
      </c>
      <c r="J31" s="2" t="n">
        <f aca="false">-charge!D29</f>
        <v>-0</v>
      </c>
      <c r="K31" s="2" t="n">
        <f aca="false">discharge!D29</f>
        <v>0</v>
      </c>
      <c r="L31" s="2" t="n">
        <f aca="false">soc!D29/investment!$E$3 *100</f>
        <v>30.0580615105358</v>
      </c>
    </row>
    <row r="32" customFormat="false" ht="13.8" hidden="false" customHeight="false" outlineLevel="0" collapsed="false">
      <c r="B32" s="14" t="n">
        <f aca="false">_xlfn.NUMBERVALUE(solar!B29)</f>
        <v>59</v>
      </c>
      <c r="C32" s="15" t="n">
        <f aca="false">solar!C29</f>
        <v>0</v>
      </c>
      <c r="D32" s="9" t="n">
        <v>28</v>
      </c>
      <c r="E32" s="20" t="n">
        <f aca="false">IFERROR(INDEX($B$5:$C$173, MATCH($D32, $B$5:$B$175, 0), 2), 0)*investment!$C$3</f>
        <v>0</v>
      </c>
      <c r="F32" s="21" t="n">
        <f aca="false">demand!D30</f>
        <v>0</v>
      </c>
      <c r="G32" s="2" t="n">
        <f aca="false">solgen!D30</f>
        <v>0</v>
      </c>
      <c r="H32" s="2" t="n">
        <f aca="false">import!D30</f>
        <v>0</v>
      </c>
      <c r="I32" s="2" t="n">
        <f aca="false">-export!D30</f>
        <v>-0</v>
      </c>
      <c r="J32" s="2" t="n">
        <f aca="false">-charge!D30</f>
        <v>-0</v>
      </c>
      <c r="K32" s="2" t="n">
        <f aca="false">discharge!D30</f>
        <v>0</v>
      </c>
      <c r="L32" s="2" t="n">
        <f aca="false">soc!D30/investment!$E$3 *100</f>
        <v>30.0577609299207</v>
      </c>
    </row>
    <row r="33" customFormat="false" ht="13.8" hidden="false" customHeight="false" outlineLevel="0" collapsed="false">
      <c r="B33" s="14" t="n">
        <f aca="false">_xlfn.NUMBERVALUE(solar!B30)</f>
        <v>60</v>
      </c>
      <c r="C33" s="15" t="n">
        <f aca="false">solar!C30</f>
        <v>0</v>
      </c>
      <c r="D33" s="9" t="n">
        <v>29</v>
      </c>
      <c r="E33" s="20" t="n">
        <f aca="false">IFERROR(INDEX($B$5:$C$173, MATCH($D33, $B$5:$B$175, 0), 2), 0)*investment!$C$3</f>
        <v>0</v>
      </c>
      <c r="F33" s="21" t="n">
        <f aca="false">demand!D31</f>
        <v>0</v>
      </c>
      <c r="G33" s="2" t="n">
        <f aca="false">solgen!D31</f>
        <v>0</v>
      </c>
      <c r="H33" s="2" t="n">
        <f aca="false">import!D31</f>
        <v>0</v>
      </c>
      <c r="I33" s="2" t="n">
        <f aca="false">-export!D31</f>
        <v>-0</v>
      </c>
      <c r="J33" s="2" t="n">
        <f aca="false">-charge!D31</f>
        <v>-0</v>
      </c>
      <c r="K33" s="2" t="n">
        <f aca="false">discharge!D31</f>
        <v>0</v>
      </c>
      <c r="L33" s="2" t="n">
        <f aca="false">soc!D31/investment!$E$3 *100</f>
        <v>30.0574603523114</v>
      </c>
    </row>
    <row r="34" customFormat="false" ht="13.8" hidden="false" customHeight="false" outlineLevel="0" collapsed="false">
      <c r="B34" s="14" t="n">
        <f aca="false">_xlfn.NUMBERVALUE(solar!B31)</f>
        <v>61</v>
      </c>
      <c r="C34" s="15" t="n">
        <f aca="false">solar!C31</f>
        <v>0</v>
      </c>
      <c r="D34" s="9" t="n">
        <v>30</v>
      </c>
      <c r="E34" s="20" t="n">
        <f aca="false">IFERROR(INDEX($B$5:$C$173, MATCH($D34, $B$5:$B$175, 0), 2), 0)*investment!$C$3</f>
        <v>0</v>
      </c>
      <c r="F34" s="21" t="n">
        <f aca="false">demand!D32</f>
        <v>0</v>
      </c>
      <c r="G34" s="2" t="n">
        <f aca="false">solgen!D32</f>
        <v>0</v>
      </c>
      <c r="H34" s="2" t="n">
        <f aca="false">import!D32</f>
        <v>0</v>
      </c>
      <c r="I34" s="2" t="n">
        <f aca="false">-export!D32</f>
        <v>-0</v>
      </c>
      <c r="J34" s="2" t="n">
        <f aca="false">-charge!D32</f>
        <v>-0</v>
      </c>
      <c r="K34" s="2" t="n">
        <f aca="false">discharge!D32</f>
        <v>0</v>
      </c>
      <c r="L34" s="2" t="n">
        <f aca="false">soc!D32/investment!$E$3 *100</f>
        <v>30.0571597777079</v>
      </c>
    </row>
    <row r="35" customFormat="false" ht="13.8" hidden="false" customHeight="false" outlineLevel="0" collapsed="false">
      <c r="B35" s="14" t="n">
        <f aca="false">_xlfn.NUMBERVALUE(solar!B32)</f>
        <v>62</v>
      </c>
      <c r="C35" s="15" t="n">
        <f aca="false">solar!C32</f>
        <v>0</v>
      </c>
      <c r="D35" s="9" t="n">
        <v>31</v>
      </c>
      <c r="E35" s="20" t="n">
        <f aca="false">IFERROR(INDEX($B$5:$C$173, MATCH($D35, $B$5:$B$175, 0), 2), 0)*investment!$C$3</f>
        <v>0</v>
      </c>
      <c r="F35" s="21" t="n">
        <f aca="false">demand!D33</f>
        <v>0</v>
      </c>
      <c r="G35" s="2" t="n">
        <f aca="false">solgen!D33</f>
        <v>0</v>
      </c>
      <c r="H35" s="2" t="n">
        <f aca="false">import!D33</f>
        <v>0</v>
      </c>
      <c r="I35" s="2" t="n">
        <f aca="false">-export!D33</f>
        <v>-0</v>
      </c>
      <c r="J35" s="2" t="n">
        <f aca="false">-charge!D33</f>
        <v>-0</v>
      </c>
      <c r="K35" s="2" t="n">
        <f aca="false">discharge!D33</f>
        <v>0</v>
      </c>
      <c r="L35" s="2" t="n">
        <f aca="false">soc!D33/investment!$E$3 *100</f>
        <v>31.2432246681724</v>
      </c>
    </row>
    <row r="36" customFormat="false" ht="13.8" hidden="false" customHeight="false" outlineLevel="0" collapsed="false">
      <c r="B36" s="14" t="n">
        <f aca="false">_xlfn.NUMBERVALUE(solar!B33)</f>
        <v>63</v>
      </c>
      <c r="C36" s="15" t="n">
        <f aca="false">solar!C33</f>
        <v>0</v>
      </c>
      <c r="D36" s="9" t="n">
        <v>32</v>
      </c>
      <c r="E36" s="20" t="n">
        <f aca="false">IFERROR(INDEX($B$5:$C$173, MATCH($D36, $B$5:$B$175, 0), 2), 0)*investment!$C$3</f>
        <v>0</v>
      </c>
      <c r="F36" s="21" t="n">
        <f aca="false">demand!D34</f>
        <v>0</v>
      </c>
      <c r="G36" s="2" t="n">
        <f aca="false">solgen!D34</f>
        <v>0</v>
      </c>
      <c r="H36" s="2" t="n">
        <f aca="false">import!D34</f>
        <v>0</v>
      </c>
      <c r="I36" s="2" t="n">
        <f aca="false">-export!D34</f>
        <v>-0</v>
      </c>
      <c r="J36" s="2" t="n">
        <f aca="false">-charge!D34</f>
        <v>-0</v>
      </c>
      <c r="K36" s="2" t="n">
        <f aca="false">discharge!D34</f>
        <v>0</v>
      </c>
      <c r="L36" s="2" t="n">
        <f aca="false">soc!D34/investment!$E$3 *100</f>
        <v>32.8316823287759</v>
      </c>
    </row>
    <row r="37" customFormat="false" ht="13.8" hidden="false" customHeight="false" outlineLevel="0" collapsed="false">
      <c r="B37" s="14" t="n">
        <f aca="false">_xlfn.NUMBERVALUE(solar!B34)</f>
        <v>64</v>
      </c>
      <c r="C37" s="15" t="n">
        <f aca="false">solar!C34</f>
        <v>0</v>
      </c>
      <c r="D37" s="9" t="n">
        <v>33</v>
      </c>
      <c r="E37" s="20" t="n">
        <f aca="false">IFERROR(INDEX($B$5:$C$173, MATCH($D37, $B$5:$B$175, 0), 2), 0)*investment!$C$3</f>
        <v>0</v>
      </c>
      <c r="F37" s="21" t="n">
        <f aca="false">demand!D35</f>
        <v>0</v>
      </c>
      <c r="G37" s="2" t="n">
        <f aca="false">solgen!D35</f>
        <v>0</v>
      </c>
      <c r="H37" s="2" t="n">
        <f aca="false">import!D35</f>
        <v>0</v>
      </c>
      <c r="I37" s="2" t="n">
        <f aca="false">-export!D35</f>
        <v>-0</v>
      </c>
      <c r="J37" s="2" t="n">
        <f aca="false">-charge!D35</f>
        <v>-0</v>
      </c>
      <c r="K37" s="2" t="n">
        <f aca="false">discharge!D35</f>
        <v>0</v>
      </c>
      <c r="L37" s="2" t="n">
        <f aca="false">soc!D35/investment!$E$3 *100</f>
        <v>34.8225287355905</v>
      </c>
    </row>
    <row r="38" customFormat="false" ht="13.8" hidden="false" customHeight="false" outlineLevel="0" collapsed="false">
      <c r="B38" s="14" t="n">
        <f aca="false">_xlfn.NUMBERVALUE(solar!B35)</f>
        <v>65</v>
      </c>
      <c r="C38" s="15" t="n">
        <f aca="false">solar!C35</f>
        <v>0</v>
      </c>
      <c r="D38" s="9" t="n">
        <v>34</v>
      </c>
      <c r="E38" s="20" t="n">
        <f aca="false">IFERROR(INDEX($B$5:$C$173, MATCH($D38, $B$5:$B$175, 0), 2), 0)*investment!$C$3</f>
        <v>0</v>
      </c>
      <c r="F38" s="21" t="n">
        <f aca="false">demand!D36</f>
        <v>0</v>
      </c>
      <c r="G38" s="2" t="n">
        <f aca="false">solgen!D36</f>
        <v>0</v>
      </c>
      <c r="H38" s="2" t="n">
        <f aca="false">import!D36</f>
        <v>0</v>
      </c>
      <c r="I38" s="2" t="n">
        <f aca="false">-export!D36</f>
        <v>-0</v>
      </c>
      <c r="J38" s="2" t="n">
        <f aca="false">-charge!D36</f>
        <v>-0</v>
      </c>
      <c r="K38" s="2" t="n">
        <f aca="false">discharge!D36</f>
        <v>0</v>
      </c>
      <c r="L38" s="2" t="n">
        <f aca="false">soc!D36/investment!$E$3 *100</f>
        <v>36.9369495169224</v>
      </c>
    </row>
    <row r="39" customFormat="false" ht="13.8" hidden="false" customHeight="false" outlineLevel="0" collapsed="false">
      <c r="B39" s="14" t="n">
        <f aca="false">_xlfn.NUMBERVALUE(solar!B36)</f>
        <v>66</v>
      </c>
      <c r="C39" s="15" t="n">
        <f aca="false">solar!C36</f>
        <v>0</v>
      </c>
      <c r="D39" s="9" t="n">
        <v>35</v>
      </c>
      <c r="E39" s="20" t="n">
        <f aca="false">IFERROR(INDEX($B$5:$C$173, MATCH($D39, $B$5:$B$175, 0), 2), 0)*investment!$C$3</f>
        <v>0</v>
      </c>
      <c r="F39" s="21" t="n">
        <f aca="false">demand!D37</f>
        <v>0</v>
      </c>
      <c r="G39" s="2" t="n">
        <f aca="false">solgen!D37</f>
        <v>0</v>
      </c>
      <c r="H39" s="2" t="n">
        <f aca="false">import!D37</f>
        <v>0</v>
      </c>
      <c r="I39" s="2" t="n">
        <f aca="false">-export!D37</f>
        <v>-0</v>
      </c>
      <c r="J39" s="2" t="n">
        <f aca="false">-charge!D37</f>
        <v>-0</v>
      </c>
      <c r="K39" s="2" t="n">
        <f aca="false">discharge!D37</f>
        <v>0</v>
      </c>
      <c r="L39" s="2" t="n">
        <f aca="false">soc!D37/investment!$E$3 *100</f>
        <v>39.1749434370277</v>
      </c>
    </row>
    <row r="40" customFormat="false" ht="13.8" hidden="false" customHeight="false" outlineLevel="0" collapsed="false">
      <c r="B40" s="14" t="n">
        <f aca="false">_xlfn.NUMBERVALUE(solar!B37)</f>
        <v>67</v>
      </c>
      <c r="C40" s="15" t="n">
        <f aca="false">solar!C37</f>
        <v>0</v>
      </c>
      <c r="D40" s="9" t="n">
        <v>36</v>
      </c>
      <c r="E40" s="20" t="n">
        <f aca="false">IFERROR(INDEX($B$5:$C$173, MATCH($D40, $B$5:$B$175, 0), 2), 0)*investment!$C$3</f>
        <v>0</v>
      </c>
      <c r="F40" s="21" t="n">
        <f aca="false">demand!D38</f>
        <v>0</v>
      </c>
      <c r="G40" s="2" t="n">
        <f aca="false">solgen!D38</f>
        <v>0</v>
      </c>
      <c r="H40" s="2" t="n">
        <f aca="false">import!D38</f>
        <v>0</v>
      </c>
      <c r="I40" s="2" t="n">
        <f aca="false">-export!D38</f>
        <v>-0</v>
      </c>
      <c r="J40" s="2" t="n">
        <f aca="false">-charge!D38</f>
        <v>-0</v>
      </c>
      <c r="K40" s="2" t="n">
        <f aca="false">discharge!D38</f>
        <v>0</v>
      </c>
      <c r="L40" s="2" t="n">
        <f aca="false">soc!D38/investment!$E$3 *100</f>
        <v>41.5365092601749</v>
      </c>
    </row>
    <row r="41" customFormat="false" ht="13.8" hidden="false" customHeight="false" outlineLevel="0" collapsed="false">
      <c r="B41" s="14" t="n">
        <f aca="false">_xlfn.NUMBERVALUE(solar!B38)</f>
        <v>80</v>
      </c>
      <c r="C41" s="15" t="n">
        <f aca="false">solar!C38</f>
        <v>0</v>
      </c>
      <c r="D41" s="9" t="n">
        <v>37</v>
      </c>
      <c r="E41" s="20" t="n">
        <f aca="false">IFERROR(INDEX($B$5:$C$173, MATCH($D41, $B$5:$B$175, 0), 2), 0)*investment!$C$3</f>
        <v>0</v>
      </c>
      <c r="F41" s="21" t="n">
        <f aca="false">demand!D39</f>
        <v>0</v>
      </c>
      <c r="G41" s="2" t="n">
        <f aca="false">solgen!D39</f>
        <v>0</v>
      </c>
      <c r="H41" s="2" t="n">
        <f aca="false">import!D39</f>
        <v>0</v>
      </c>
      <c r="I41" s="2" t="n">
        <f aca="false">-export!D39</f>
        <v>-0</v>
      </c>
      <c r="J41" s="2" t="n">
        <f aca="false">-charge!D39</f>
        <v>-0</v>
      </c>
      <c r="K41" s="2" t="n">
        <f aca="false">discharge!D39</f>
        <v>0</v>
      </c>
      <c r="L41" s="2" t="n">
        <f aca="false">soc!D39/investment!$E$3 *100</f>
        <v>44.021645750645</v>
      </c>
    </row>
    <row r="42" customFormat="false" ht="13.8" hidden="false" customHeight="false" outlineLevel="0" collapsed="false">
      <c r="B42" s="14" t="n">
        <f aca="false">_xlfn.NUMBERVALUE(solar!B39)</f>
        <v>81</v>
      </c>
      <c r="C42" s="15" t="n">
        <f aca="false">solar!C39</f>
        <v>0</v>
      </c>
      <c r="D42" s="9" t="n">
        <v>38</v>
      </c>
      <c r="E42" s="20" t="n">
        <f aca="false">IFERROR(INDEX($B$5:$C$173, MATCH($D42, $B$5:$B$175, 0), 2), 0)*investment!$C$3</f>
        <v>0</v>
      </c>
      <c r="F42" s="21" t="n">
        <f aca="false">demand!D40</f>
        <v>0</v>
      </c>
      <c r="G42" s="2" t="n">
        <f aca="false">solgen!D40</f>
        <v>0</v>
      </c>
      <c r="H42" s="2" t="n">
        <f aca="false">import!D40</f>
        <v>0</v>
      </c>
      <c r="I42" s="2" t="n">
        <f aca="false">-export!D40</f>
        <v>-0</v>
      </c>
      <c r="J42" s="2" t="n">
        <f aca="false">-charge!D40</f>
        <v>-0</v>
      </c>
      <c r="K42" s="2" t="n">
        <f aca="false">discharge!D40</f>
        <v>0</v>
      </c>
      <c r="L42" s="2" t="n">
        <f aca="false">soc!D40/investment!$E$3 *100</f>
        <v>47.3568795674229</v>
      </c>
    </row>
    <row r="43" customFormat="false" ht="13.8" hidden="false" customHeight="false" outlineLevel="0" collapsed="false">
      <c r="B43" s="14" t="n">
        <f aca="false">_xlfn.NUMBERVALUE(solar!B40)</f>
        <v>82</v>
      </c>
      <c r="C43" s="15" t="n">
        <f aca="false">solar!C40</f>
        <v>0</v>
      </c>
      <c r="D43" s="9" t="n">
        <v>39</v>
      </c>
      <c r="E43" s="20" t="n">
        <f aca="false">IFERROR(INDEX($B$5:$C$173, MATCH($D43, $B$5:$B$175, 0), 2), 0)*investment!$C$3</f>
        <v>0</v>
      </c>
      <c r="F43" s="21" t="n">
        <f aca="false">demand!D41</f>
        <v>0</v>
      </c>
      <c r="G43" s="2" t="n">
        <f aca="false">solgen!D41</f>
        <v>0</v>
      </c>
      <c r="H43" s="2" t="n">
        <f aca="false">import!D41</f>
        <v>0</v>
      </c>
      <c r="I43" s="2" t="n">
        <f aca="false">-export!D41</f>
        <v>-0</v>
      </c>
      <c r="J43" s="2" t="n">
        <f aca="false">-charge!D41</f>
        <v>-0</v>
      </c>
      <c r="K43" s="2" t="n">
        <f aca="false">discharge!D41</f>
        <v>0</v>
      </c>
      <c r="L43" s="2" t="n">
        <f aca="false">soc!D41/investment!$E$3 *100</f>
        <v>51.5422022095352</v>
      </c>
    </row>
    <row r="44" customFormat="false" ht="13.8" hidden="false" customHeight="false" outlineLevel="0" collapsed="false">
      <c r="B44" s="14" t="n">
        <f aca="false">_xlfn.NUMBERVALUE(solar!B41)</f>
        <v>83</v>
      </c>
      <c r="C44" s="15" t="n">
        <f aca="false">solar!C41</f>
        <v>0</v>
      </c>
      <c r="D44" s="9" t="n">
        <v>40</v>
      </c>
      <c r="E44" s="20" t="n">
        <f aca="false">IFERROR(INDEX($B$5:$C$173, MATCH($D44, $B$5:$B$175, 0), 2), 0)*investment!$C$3</f>
        <v>0</v>
      </c>
      <c r="F44" s="21" t="n">
        <f aca="false">demand!D42</f>
        <v>0</v>
      </c>
      <c r="G44" s="2" t="n">
        <f aca="false">solgen!D42</f>
        <v>0</v>
      </c>
      <c r="H44" s="2" t="n">
        <f aca="false">import!D42</f>
        <v>0</v>
      </c>
      <c r="I44" s="2" t="n">
        <f aca="false">-export!D42</f>
        <v>-0</v>
      </c>
      <c r="J44" s="2" t="n">
        <f aca="false">-charge!D42</f>
        <v>-0</v>
      </c>
      <c r="K44" s="2" t="n">
        <f aca="false">discharge!D42</f>
        <v>0</v>
      </c>
      <c r="L44" s="2" t="n">
        <f aca="false">soc!D42/investment!$E$3 *100</f>
        <v>56.5776051760938</v>
      </c>
    </row>
    <row r="45" customFormat="false" ht="13.8" hidden="false" customHeight="false" outlineLevel="0" collapsed="false">
      <c r="B45" s="14" t="n">
        <f aca="false">_xlfn.NUMBERVALUE(solar!B42)</f>
        <v>84</v>
      </c>
      <c r="C45" s="15" t="n">
        <f aca="false">solar!C42</f>
        <v>0</v>
      </c>
      <c r="D45" s="9" t="n">
        <v>41</v>
      </c>
      <c r="E45" s="20" t="n">
        <f aca="false">IFERROR(INDEX($B$5:$C$173, MATCH($D45, $B$5:$B$175, 0), 2), 0)*investment!$C$3</f>
        <v>0</v>
      </c>
      <c r="F45" s="21" t="n">
        <f aca="false">demand!D43</f>
        <v>0</v>
      </c>
      <c r="G45" s="2" t="n">
        <f aca="false">solgen!D43</f>
        <v>0</v>
      </c>
      <c r="H45" s="2" t="n">
        <f aca="false">import!D43</f>
        <v>0</v>
      </c>
      <c r="I45" s="2" t="n">
        <f aca="false">-export!D43</f>
        <v>-0</v>
      </c>
      <c r="J45" s="2" t="n">
        <f aca="false">-charge!D43</f>
        <v>-0</v>
      </c>
      <c r="K45" s="2" t="n">
        <f aca="false">discharge!D43</f>
        <v>0</v>
      </c>
      <c r="L45" s="2" t="n">
        <f aca="false">soc!D43/investment!$E$3 *100</f>
        <v>62.4630799662954</v>
      </c>
    </row>
    <row r="46" customFormat="false" ht="13.8" hidden="false" customHeight="false" outlineLevel="0" collapsed="false">
      <c r="B46" s="14" t="n">
        <f aca="false">_xlfn.NUMBERVALUE(solar!B43)</f>
        <v>85</v>
      </c>
      <c r="C46" s="15" t="n">
        <f aca="false">solar!C43</f>
        <v>0</v>
      </c>
      <c r="D46" s="9" t="n">
        <v>42</v>
      </c>
      <c r="E46" s="20" t="n">
        <f aca="false">IFERROR(INDEX($B$5:$C$173, MATCH($D46, $B$5:$B$175, 0), 2), 0)*investment!$C$3</f>
        <v>0</v>
      </c>
      <c r="F46" s="21" t="n">
        <f aca="false">demand!D44</f>
        <v>0</v>
      </c>
      <c r="G46" s="2" t="n">
        <f aca="false">solgen!D44</f>
        <v>0</v>
      </c>
      <c r="H46" s="2" t="n">
        <f aca="false">import!D44</f>
        <v>0</v>
      </c>
      <c r="I46" s="2" t="n">
        <f aca="false">-export!D44</f>
        <v>-0</v>
      </c>
      <c r="J46" s="2" t="n">
        <f aca="false">-charge!D44</f>
        <v>-0</v>
      </c>
      <c r="K46" s="2" t="n">
        <f aca="false">discharge!D44</f>
        <v>0</v>
      </c>
      <c r="L46" s="2" t="n">
        <f aca="false">soc!D44/investment!$E$3 *100</f>
        <v>68.4706936391599</v>
      </c>
    </row>
    <row r="47" customFormat="false" ht="13.8" hidden="false" customHeight="false" outlineLevel="0" collapsed="false">
      <c r="B47" s="14" t="n">
        <f aca="false">_xlfn.NUMBERVALUE(solar!B44)</f>
        <v>86</v>
      </c>
      <c r="C47" s="15" t="n">
        <f aca="false">solar!C44</f>
        <v>0</v>
      </c>
      <c r="D47" s="9" t="n">
        <v>43</v>
      </c>
      <c r="E47" s="20" t="n">
        <f aca="false">IFERROR(INDEX($B$5:$C$173, MATCH($D47, $B$5:$B$175, 0), 2), 0)*investment!$C$3</f>
        <v>0</v>
      </c>
      <c r="F47" s="21" t="n">
        <f aca="false">demand!D45</f>
        <v>0</v>
      </c>
      <c r="G47" s="2" t="n">
        <f aca="false">solgen!D45</f>
        <v>0</v>
      </c>
      <c r="H47" s="2" t="n">
        <f aca="false">import!D45</f>
        <v>0</v>
      </c>
      <c r="I47" s="2" t="n">
        <f aca="false">-export!D45</f>
        <v>-0</v>
      </c>
      <c r="J47" s="2" t="n">
        <f aca="false">-charge!D45</f>
        <v>-0</v>
      </c>
      <c r="K47" s="2" t="n">
        <f aca="false">discharge!D45</f>
        <v>0</v>
      </c>
      <c r="L47" s="2" t="n">
        <f aca="false">soc!D45/investment!$E$3 *100</f>
        <v>74.6004449732984</v>
      </c>
    </row>
    <row r="48" customFormat="false" ht="13.8" hidden="false" customHeight="false" outlineLevel="0" collapsed="false">
      <c r="B48" s="14" t="n">
        <f aca="false">_xlfn.NUMBERVALUE(solar!B45)</f>
        <v>87</v>
      </c>
      <c r="C48" s="15" t="n">
        <f aca="false">solar!C45</f>
        <v>0</v>
      </c>
      <c r="D48" s="9" t="n">
        <v>44</v>
      </c>
      <c r="E48" s="20" t="n">
        <f aca="false">IFERROR(INDEX($B$5:$C$173, MATCH($D48, $B$5:$B$175, 0), 2), 0)*investment!$C$3</f>
        <v>0</v>
      </c>
      <c r="F48" s="21" t="n">
        <f aca="false">demand!D46</f>
        <v>0</v>
      </c>
      <c r="G48" s="2" t="n">
        <f aca="false">solgen!D46</f>
        <v>0</v>
      </c>
      <c r="H48" s="2" t="n">
        <f aca="false">import!D46</f>
        <v>0</v>
      </c>
      <c r="I48" s="2" t="n">
        <f aca="false">-export!D46</f>
        <v>-0</v>
      </c>
      <c r="J48" s="2" t="n">
        <f aca="false">-charge!D46</f>
        <v>-0</v>
      </c>
      <c r="K48" s="2" t="n">
        <f aca="false">discharge!D46</f>
        <v>0</v>
      </c>
      <c r="L48" s="2" t="n">
        <f aca="false">soc!D46/investment!$E$3 *100</f>
        <v>80.8523327473343</v>
      </c>
    </row>
    <row r="49" customFormat="false" ht="13.8" hidden="false" customHeight="false" outlineLevel="0" collapsed="false">
      <c r="B49" s="14" t="n">
        <f aca="false">_xlfn.NUMBERVALUE(solar!B46)</f>
        <v>88</v>
      </c>
      <c r="C49" s="15" t="n">
        <f aca="false">solar!C46</f>
        <v>0</v>
      </c>
      <c r="D49" s="9" t="n">
        <v>45</v>
      </c>
      <c r="E49" s="20" t="n">
        <f aca="false">IFERROR(INDEX($B$5:$C$173, MATCH($D49, $B$5:$B$175, 0), 2), 0)*investment!$C$3</f>
        <v>0</v>
      </c>
      <c r="F49" s="21" t="n">
        <f aca="false">demand!D47</f>
        <v>0</v>
      </c>
      <c r="G49" s="2" t="n">
        <f aca="false">solgen!D47</f>
        <v>0</v>
      </c>
      <c r="H49" s="2" t="n">
        <f aca="false">import!D47</f>
        <v>0</v>
      </c>
      <c r="I49" s="2" t="n">
        <f aca="false">-export!D47</f>
        <v>-0</v>
      </c>
      <c r="J49" s="2" t="n">
        <f aca="false">-charge!D47</f>
        <v>-0</v>
      </c>
      <c r="K49" s="2" t="n">
        <f aca="false">discharge!D47</f>
        <v>0</v>
      </c>
      <c r="L49" s="2" t="n">
        <f aca="false">soc!D47/investment!$E$3 *100</f>
        <v>87.2263557399033</v>
      </c>
    </row>
    <row r="50" customFormat="false" ht="13.8" hidden="false" customHeight="false" outlineLevel="0" collapsed="false">
      <c r="B50" s="14" t="n">
        <f aca="false">_xlfn.NUMBERVALUE(solar!B47)</f>
        <v>89</v>
      </c>
      <c r="C50" s="15" t="n">
        <f aca="false">solar!C47</f>
        <v>0</v>
      </c>
      <c r="D50" s="9" t="n">
        <v>46</v>
      </c>
      <c r="E50" s="20" t="n">
        <f aca="false">IFERROR(INDEX($B$5:$C$173, MATCH($D50, $B$5:$B$175, 0), 2), 0)*investment!$C$3</f>
        <v>0</v>
      </c>
      <c r="F50" s="21" t="n">
        <f aca="false">demand!D48</f>
        <v>0</v>
      </c>
      <c r="G50" s="2" t="n">
        <f aca="false">solgen!D48</f>
        <v>0</v>
      </c>
      <c r="H50" s="2" t="n">
        <f aca="false">import!D48</f>
        <v>0</v>
      </c>
      <c r="I50" s="2" t="n">
        <f aca="false">-export!D48</f>
        <v>-0</v>
      </c>
      <c r="J50" s="2" t="n">
        <f aca="false">-charge!D48</f>
        <v>-0</v>
      </c>
      <c r="K50" s="2" t="n">
        <f aca="false">discharge!D48</f>
        <v>0</v>
      </c>
      <c r="L50" s="2" t="n">
        <f aca="false">soc!D48/investment!$E$3 *100</f>
        <v>93.623781945488</v>
      </c>
    </row>
    <row r="51" customFormat="false" ht="13.8" hidden="false" customHeight="false" outlineLevel="0" collapsed="false">
      <c r="B51" s="14" t="n">
        <f aca="false">_xlfn.NUMBERVALUE(solar!B48)</f>
        <v>90</v>
      </c>
      <c r="C51" s="15" t="n">
        <f aca="false">solar!C48</f>
        <v>0</v>
      </c>
      <c r="D51" s="9" t="n">
        <v>47</v>
      </c>
      <c r="E51" s="20" t="n">
        <f aca="false">IFERROR(INDEX($B$5:$C$173, MATCH($D51, $B$5:$B$175, 0), 2), 0)*investment!$C$3</f>
        <v>0</v>
      </c>
      <c r="F51" s="21" t="n">
        <f aca="false">demand!D49</f>
        <v>0</v>
      </c>
      <c r="G51" s="2" t="n">
        <f aca="false">solgen!D49</f>
        <v>0</v>
      </c>
      <c r="H51" s="2" t="n">
        <f aca="false">import!D49</f>
        <v>0</v>
      </c>
      <c r="I51" s="2" t="n">
        <f aca="false">-export!D49</f>
        <v>-0</v>
      </c>
      <c r="J51" s="2" t="n">
        <f aca="false">-charge!D49</f>
        <v>-0</v>
      </c>
      <c r="K51" s="2" t="n">
        <f aca="false">discharge!D49</f>
        <v>0</v>
      </c>
      <c r="L51" s="2" t="n">
        <f aca="false">soc!D49/investment!$E$3 *100</f>
        <v>93.6228457076686</v>
      </c>
    </row>
    <row r="52" customFormat="false" ht="13.8" hidden="false" customHeight="false" outlineLevel="0" collapsed="false">
      <c r="B52" s="14" t="n">
        <f aca="false">_xlfn.NUMBERVALUE(solar!B49)</f>
        <v>91</v>
      </c>
      <c r="C52" s="15" t="n">
        <f aca="false">solar!C49</f>
        <v>0</v>
      </c>
      <c r="D52" s="9" t="n">
        <v>48</v>
      </c>
      <c r="E52" s="20" t="n">
        <f aca="false">IFERROR(INDEX($B$5:$C$173, MATCH($D52, $B$5:$B$175, 0), 2), 0)*investment!$C$3</f>
        <v>0</v>
      </c>
      <c r="F52" s="21" t="n">
        <f aca="false">demand!D50</f>
        <v>0</v>
      </c>
      <c r="G52" s="2" t="n">
        <f aca="false">solgen!D50</f>
        <v>0</v>
      </c>
      <c r="H52" s="2" t="n">
        <f aca="false">import!D50</f>
        <v>0</v>
      </c>
      <c r="I52" s="2" t="n">
        <f aca="false">-export!D50</f>
        <v>-0</v>
      </c>
      <c r="J52" s="2" t="n">
        <f aca="false">-charge!D50</f>
        <v>-0</v>
      </c>
      <c r="K52" s="2" t="n">
        <f aca="false">discharge!D50</f>
        <v>0</v>
      </c>
      <c r="L52" s="2" t="n">
        <f aca="false">soc!D50/investment!$E$3 *100</f>
        <v>93.6219094792115</v>
      </c>
    </row>
    <row r="53" customFormat="false" ht="13.8" hidden="false" customHeight="false" outlineLevel="0" collapsed="false">
      <c r="B53" s="14" t="n">
        <f aca="false">_xlfn.NUMBERVALUE(solar!B50)</f>
        <v>104</v>
      </c>
      <c r="C53" s="15" t="n">
        <f aca="false">solar!C50</f>
        <v>0</v>
      </c>
      <c r="D53" s="9" t="n">
        <v>49</v>
      </c>
      <c r="E53" s="20" t="n">
        <f aca="false">IFERROR(INDEX($B$5:$C$173, MATCH($D53, $B$5:$B$175, 0), 2), 0)*investment!$C$3</f>
        <v>0</v>
      </c>
      <c r="F53" s="21" t="n">
        <f aca="false">demand!D51</f>
        <v>0</v>
      </c>
      <c r="G53" s="2" t="n">
        <f aca="false">solgen!D51</f>
        <v>0</v>
      </c>
      <c r="H53" s="2" t="n">
        <f aca="false">import!D51</f>
        <v>0</v>
      </c>
      <c r="I53" s="2" t="n">
        <f aca="false">-export!D51</f>
        <v>-0</v>
      </c>
      <c r="J53" s="2" t="n">
        <f aca="false">-charge!D51</f>
        <v>-0</v>
      </c>
      <c r="K53" s="2" t="n">
        <f aca="false">discharge!D51</f>
        <v>0</v>
      </c>
      <c r="L53" s="2" t="n">
        <f aca="false">soc!D51/investment!$E$3 *100</f>
        <v>93.6209732601167</v>
      </c>
    </row>
    <row r="54" customFormat="false" ht="13.8" hidden="false" customHeight="false" outlineLevel="0" collapsed="false">
      <c r="B54" s="14" t="n">
        <f aca="false">_xlfn.NUMBERVALUE(solar!B51)</f>
        <v>105</v>
      </c>
      <c r="C54" s="15" t="n">
        <f aca="false">solar!C51</f>
        <v>0</v>
      </c>
      <c r="D54" s="9" t="n">
        <v>50</v>
      </c>
      <c r="E54" s="20" t="n">
        <f aca="false">IFERROR(INDEX($B$5:$C$173, MATCH($D54, $B$5:$B$175, 0), 2), 0)*investment!$C$3</f>
        <v>0</v>
      </c>
      <c r="F54" s="21" t="n">
        <f aca="false">demand!D52</f>
        <v>0</v>
      </c>
      <c r="G54" s="2" t="n">
        <f aca="false">solgen!D52</f>
        <v>0</v>
      </c>
      <c r="H54" s="2" t="n">
        <f aca="false">import!D52</f>
        <v>0</v>
      </c>
      <c r="I54" s="2" t="n">
        <f aca="false">-export!D52</f>
        <v>-0</v>
      </c>
      <c r="J54" s="2" t="n">
        <f aca="false">-charge!D52</f>
        <v>-0</v>
      </c>
      <c r="K54" s="2" t="n">
        <f aca="false">discharge!D52</f>
        <v>0</v>
      </c>
      <c r="L54" s="2" t="n">
        <f aca="false">soc!D52/investment!$E$3 *100</f>
        <v>93.6200370503841</v>
      </c>
    </row>
    <row r="55" customFormat="false" ht="13.8" hidden="false" customHeight="false" outlineLevel="0" collapsed="false">
      <c r="B55" s="14" t="n">
        <f aca="false">_xlfn.NUMBERVALUE(solar!B52)</f>
        <v>106</v>
      </c>
      <c r="C55" s="15" t="n">
        <f aca="false">solar!C52</f>
        <v>0</v>
      </c>
      <c r="D55" s="9" t="n">
        <v>51</v>
      </c>
      <c r="E55" s="20" t="n">
        <f aca="false">IFERROR(INDEX($B$5:$C$173, MATCH($D55, $B$5:$B$175, 0), 2), 0)*investment!$C$3</f>
        <v>0</v>
      </c>
      <c r="F55" s="21" t="n">
        <f aca="false">demand!D53</f>
        <v>0</v>
      </c>
      <c r="G55" s="2" t="n">
        <f aca="false">solgen!D53</f>
        <v>0</v>
      </c>
      <c r="H55" s="2" t="n">
        <f aca="false">import!D53</f>
        <v>0</v>
      </c>
      <c r="I55" s="2" t="n">
        <f aca="false">-export!D53</f>
        <v>-0</v>
      </c>
      <c r="J55" s="2" t="n">
        <f aca="false">-charge!D53</f>
        <v>-0</v>
      </c>
      <c r="K55" s="2" t="n">
        <f aca="false">discharge!D53</f>
        <v>0</v>
      </c>
      <c r="L55" s="2" t="n">
        <f aca="false">soc!D53/investment!$E$3 *100</f>
        <v>93.6191008500136</v>
      </c>
    </row>
    <row r="56" customFormat="false" ht="13.8" hidden="false" customHeight="false" outlineLevel="0" collapsed="false">
      <c r="B56" s="14" t="n">
        <f aca="false">_xlfn.NUMBERVALUE(solar!B53)</f>
        <v>107</v>
      </c>
      <c r="C56" s="15" t="n">
        <f aca="false">solar!C53</f>
        <v>0</v>
      </c>
      <c r="D56" s="9" t="n">
        <v>52</v>
      </c>
      <c r="E56" s="20" t="n">
        <f aca="false">IFERROR(INDEX($B$5:$C$173, MATCH($D56, $B$5:$B$175, 0), 2), 0)*investment!$C$3</f>
        <v>0</v>
      </c>
      <c r="F56" s="21" t="n">
        <f aca="false">demand!D54</f>
        <v>0</v>
      </c>
      <c r="G56" s="2" t="n">
        <f aca="false">solgen!D54</f>
        <v>0</v>
      </c>
      <c r="H56" s="2" t="n">
        <f aca="false">import!D54</f>
        <v>0</v>
      </c>
      <c r="I56" s="2" t="n">
        <f aca="false">-export!D54</f>
        <v>-0</v>
      </c>
      <c r="J56" s="2" t="n">
        <f aca="false">-charge!D54</f>
        <v>-0</v>
      </c>
      <c r="K56" s="2" t="n">
        <f aca="false">discharge!D54</f>
        <v>0</v>
      </c>
      <c r="L56" s="2" t="n">
        <f aca="false">soc!D54/investment!$E$3 *100</f>
        <v>93.6181646590051</v>
      </c>
    </row>
    <row r="57" customFormat="false" ht="13.8" hidden="false" customHeight="false" outlineLevel="0" collapsed="false">
      <c r="B57" s="14" t="n">
        <f aca="false">_xlfn.NUMBERVALUE(solar!B54)</f>
        <v>108</v>
      </c>
      <c r="C57" s="15" t="n">
        <f aca="false">solar!C54</f>
        <v>0</v>
      </c>
      <c r="D57" s="9" t="n">
        <v>53</v>
      </c>
      <c r="E57" s="20" t="n">
        <f aca="false">IFERROR(INDEX($B$5:$C$173, MATCH($D57, $B$5:$B$175, 0), 2), 0)*investment!$C$3</f>
        <v>0</v>
      </c>
      <c r="F57" s="21" t="n">
        <f aca="false">demand!D55</f>
        <v>0</v>
      </c>
      <c r="G57" s="2" t="n">
        <f aca="false">solgen!D55</f>
        <v>0</v>
      </c>
      <c r="H57" s="2" t="n">
        <f aca="false">import!D55</f>
        <v>0</v>
      </c>
      <c r="I57" s="2" t="n">
        <f aca="false">-export!D55</f>
        <v>-0</v>
      </c>
      <c r="J57" s="2" t="n">
        <f aca="false">-charge!D55</f>
        <v>-0</v>
      </c>
      <c r="K57" s="2" t="n">
        <f aca="false">discharge!D55</f>
        <v>0</v>
      </c>
      <c r="L57" s="2" t="n">
        <f aca="false">soc!D55/investment!$E$3 *100</f>
        <v>93.6172284773585</v>
      </c>
    </row>
    <row r="58" customFormat="false" ht="13.8" hidden="false" customHeight="false" outlineLevel="0" collapsed="false">
      <c r="B58" s="14" t="n">
        <f aca="false">_xlfn.NUMBERVALUE(solar!B55)</f>
        <v>109</v>
      </c>
      <c r="C58" s="15" t="n">
        <f aca="false">solar!C55</f>
        <v>0</v>
      </c>
      <c r="D58" s="9" t="n">
        <v>54</v>
      </c>
      <c r="E58" s="20" t="n">
        <f aca="false">IFERROR(INDEX($B$5:$C$173, MATCH($D58, $B$5:$B$175, 0), 2), 0)*investment!$C$3</f>
        <v>0</v>
      </c>
      <c r="F58" s="21" t="n">
        <f aca="false">demand!D56</f>
        <v>0</v>
      </c>
      <c r="G58" s="2" t="n">
        <f aca="false">solgen!D56</f>
        <v>0</v>
      </c>
      <c r="H58" s="2" t="n">
        <f aca="false">import!D56</f>
        <v>0</v>
      </c>
      <c r="I58" s="2" t="n">
        <f aca="false">-export!D56</f>
        <v>-0</v>
      </c>
      <c r="J58" s="2" t="n">
        <f aca="false">-charge!D56</f>
        <v>-0</v>
      </c>
      <c r="K58" s="2" t="n">
        <f aca="false">discharge!D56</f>
        <v>0</v>
      </c>
      <c r="L58" s="2" t="n">
        <f aca="false">soc!D56/investment!$E$3 *100</f>
        <v>93.6162923050738</v>
      </c>
    </row>
    <row r="59" customFormat="false" ht="13.8" hidden="false" customHeight="false" outlineLevel="0" collapsed="false">
      <c r="B59" s="14" t="n">
        <f aca="false">_xlfn.NUMBERVALUE(solar!B56)</f>
        <v>110</v>
      </c>
      <c r="C59" s="15" t="n">
        <f aca="false">solar!C56</f>
        <v>0</v>
      </c>
      <c r="D59" s="9" t="n">
        <v>55</v>
      </c>
      <c r="E59" s="20" t="n">
        <f aca="false">IFERROR(INDEX($B$5:$C$173, MATCH($D59, $B$5:$B$175, 0), 2), 0)*investment!$C$3</f>
        <v>0</v>
      </c>
      <c r="F59" s="21" t="n">
        <f aca="false">demand!D57</f>
        <v>0</v>
      </c>
      <c r="G59" s="2" t="n">
        <f aca="false">solgen!D57</f>
        <v>0</v>
      </c>
      <c r="H59" s="2" t="n">
        <f aca="false">import!D57</f>
        <v>0</v>
      </c>
      <c r="I59" s="2" t="n">
        <f aca="false">-export!D57</f>
        <v>-0</v>
      </c>
      <c r="J59" s="2" t="n">
        <f aca="false">-charge!D57</f>
        <v>-0</v>
      </c>
      <c r="K59" s="2" t="n">
        <f aca="false">discharge!D57</f>
        <v>0</v>
      </c>
      <c r="L59" s="2" t="n">
        <f aca="false">soc!D57/investment!$E$3 *100</f>
        <v>93.6153561421507</v>
      </c>
    </row>
    <row r="60" customFormat="false" ht="13.8" hidden="false" customHeight="false" outlineLevel="0" collapsed="false">
      <c r="B60" s="14" t="n">
        <f aca="false">_xlfn.NUMBERVALUE(solar!B57)</f>
        <v>111</v>
      </c>
      <c r="C60" s="15" t="n">
        <f aca="false">solar!C57</f>
        <v>0</v>
      </c>
      <c r="D60" s="9" t="n">
        <v>56</v>
      </c>
      <c r="E60" s="20" t="n">
        <f aca="false">IFERROR(INDEX($B$5:$C$173, MATCH($D60, $B$5:$B$175, 0), 2), 0)*investment!$C$3</f>
        <v>0</v>
      </c>
      <c r="F60" s="21" t="n">
        <f aca="false">demand!D58</f>
        <v>0</v>
      </c>
      <c r="G60" s="2" t="n">
        <f aca="false">solgen!D58</f>
        <v>0</v>
      </c>
      <c r="H60" s="2" t="n">
        <f aca="false">import!D58</f>
        <v>0</v>
      </c>
      <c r="I60" s="2" t="n">
        <f aca="false">-export!D58</f>
        <v>-0</v>
      </c>
      <c r="J60" s="2" t="n">
        <f aca="false">-charge!D58</f>
        <v>-0</v>
      </c>
      <c r="K60" s="2" t="n">
        <f aca="false">discharge!D58</f>
        <v>0</v>
      </c>
      <c r="L60" s="2" t="n">
        <f aca="false">soc!D58/investment!$E$3 *100</f>
        <v>93.6144199885893</v>
      </c>
    </row>
    <row r="61" customFormat="false" ht="13.8" hidden="false" customHeight="false" outlineLevel="0" collapsed="false">
      <c r="B61" s="14" t="n">
        <f aca="false">_xlfn.NUMBERVALUE(solar!B58)</f>
        <v>112</v>
      </c>
      <c r="C61" s="15" t="n">
        <f aca="false">solar!C58</f>
        <v>0</v>
      </c>
      <c r="D61" s="9" t="n">
        <v>57</v>
      </c>
      <c r="E61" s="20" t="n">
        <f aca="false">IFERROR(INDEX($B$5:$C$173, MATCH($D61, $B$5:$B$175, 0), 2), 0)*investment!$C$3</f>
        <v>0</v>
      </c>
      <c r="F61" s="21" t="n">
        <f aca="false">demand!D59</f>
        <v>0</v>
      </c>
      <c r="G61" s="2" t="n">
        <f aca="false">solgen!D59</f>
        <v>0</v>
      </c>
      <c r="H61" s="2" t="n">
        <f aca="false">import!D59</f>
        <v>0</v>
      </c>
      <c r="I61" s="2" t="n">
        <f aca="false">-export!D59</f>
        <v>-0</v>
      </c>
      <c r="J61" s="2" t="n">
        <f aca="false">-charge!D59</f>
        <v>-0</v>
      </c>
      <c r="K61" s="2" t="n">
        <f aca="false">discharge!D59</f>
        <v>0</v>
      </c>
      <c r="L61" s="2" t="n">
        <f aca="false">soc!D59/investment!$E$3 *100</f>
        <v>93.6134838443894</v>
      </c>
    </row>
    <row r="62" customFormat="false" ht="13.8" hidden="false" customHeight="false" outlineLevel="0" collapsed="false">
      <c r="B62" s="14" t="n">
        <f aca="false">_xlfn.NUMBERVALUE(solar!B59)</f>
        <v>113</v>
      </c>
      <c r="C62" s="15" t="n">
        <f aca="false">solar!C59</f>
        <v>0</v>
      </c>
      <c r="D62" s="9" t="n">
        <v>58</v>
      </c>
      <c r="E62" s="20" t="n">
        <f aca="false">IFERROR(INDEX($B$5:$C$173, MATCH($D62, $B$5:$B$175, 0), 2), 0)*investment!$C$3</f>
        <v>0</v>
      </c>
      <c r="F62" s="21" t="n">
        <f aca="false">demand!D60</f>
        <v>0</v>
      </c>
      <c r="G62" s="2" t="n">
        <f aca="false">solgen!D60</f>
        <v>0</v>
      </c>
      <c r="H62" s="2" t="n">
        <f aca="false">import!D60</f>
        <v>0</v>
      </c>
      <c r="I62" s="2" t="n">
        <f aca="false">-export!D60</f>
        <v>-0</v>
      </c>
      <c r="J62" s="2" t="n">
        <f aca="false">-charge!D60</f>
        <v>-0</v>
      </c>
      <c r="K62" s="2" t="n">
        <f aca="false">discharge!D60</f>
        <v>0</v>
      </c>
      <c r="L62" s="2" t="n">
        <f aca="false">soc!D60/investment!$E$3 *100</f>
        <v>93.612547709551</v>
      </c>
    </row>
    <row r="63" customFormat="false" ht="13.8" hidden="false" customHeight="false" outlineLevel="0" collapsed="false">
      <c r="B63" s="14" t="n">
        <f aca="false">_xlfn.NUMBERVALUE(solar!B60)</f>
        <v>114</v>
      </c>
      <c r="C63" s="15" t="n">
        <f aca="false">solar!C60</f>
        <v>0</v>
      </c>
      <c r="D63" s="9" t="n">
        <v>59</v>
      </c>
      <c r="E63" s="20" t="n">
        <f aca="false">IFERROR(INDEX($B$5:$C$173, MATCH($D63, $B$5:$B$175, 0), 2), 0)*investment!$C$3</f>
        <v>0</v>
      </c>
      <c r="F63" s="21" t="n">
        <f aca="false">demand!D61</f>
        <v>0</v>
      </c>
      <c r="G63" s="2" t="n">
        <f aca="false">solgen!D61</f>
        <v>0</v>
      </c>
      <c r="H63" s="2" t="n">
        <f aca="false">import!D61</f>
        <v>0</v>
      </c>
      <c r="I63" s="2" t="n">
        <f aca="false">-export!D61</f>
        <v>-0</v>
      </c>
      <c r="J63" s="2" t="n">
        <f aca="false">-charge!D61</f>
        <v>-0</v>
      </c>
      <c r="K63" s="2" t="n">
        <f aca="false">discharge!D61</f>
        <v>0</v>
      </c>
      <c r="L63" s="2" t="n">
        <f aca="false">soc!D61/investment!$E$3 *100</f>
        <v>93.6116115840739</v>
      </c>
    </row>
    <row r="64" customFormat="false" ht="13.8" hidden="false" customHeight="false" outlineLevel="0" collapsed="false">
      <c r="B64" s="14" t="n">
        <f aca="false">_xlfn.NUMBERVALUE(solar!B61)</f>
        <v>115</v>
      </c>
      <c r="C64" s="15" t="n">
        <f aca="false">solar!C61</f>
        <v>0</v>
      </c>
      <c r="D64" s="9" t="n">
        <v>60</v>
      </c>
      <c r="E64" s="20" t="n">
        <f aca="false">IFERROR(INDEX($B$5:$C$173, MATCH($D64, $B$5:$B$175, 0), 2), 0)*investment!$C$3</f>
        <v>0</v>
      </c>
      <c r="F64" s="21" t="n">
        <f aca="false">demand!D62</f>
        <v>0</v>
      </c>
      <c r="G64" s="2" t="n">
        <f aca="false">solgen!D62</f>
        <v>0</v>
      </c>
      <c r="H64" s="2" t="n">
        <f aca="false">import!D62</f>
        <v>0</v>
      </c>
      <c r="I64" s="2" t="n">
        <f aca="false">-export!D62</f>
        <v>-0</v>
      </c>
      <c r="J64" s="2" t="n">
        <f aca="false">-charge!D62</f>
        <v>-0</v>
      </c>
      <c r="K64" s="2" t="n">
        <f aca="false">discharge!D62</f>
        <v>0</v>
      </c>
      <c r="L64" s="2" t="n">
        <f aca="false">soc!D62/investment!$E$3 *100</f>
        <v>93.6106754679581</v>
      </c>
    </row>
    <row r="65" customFormat="false" ht="13.8" hidden="false" customHeight="false" outlineLevel="0" collapsed="false">
      <c r="B65" s="14" t="n">
        <f aca="false">_xlfn.NUMBERVALUE(solar!B62)</f>
        <v>128</v>
      </c>
      <c r="C65" s="15" t="n">
        <f aca="false">solar!C62</f>
        <v>0</v>
      </c>
      <c r="D65" s="9" t="n">
        <v>61</v>
      </c>
      <c r="E65" s="20" t="n">
        <f aca="false">IFERROR(INDEX($B$5:$C$173, MATCH($D65, $B$5:$B$175, 0), 2), 0)*investment!$C$3</f>
        <v>0</v>
      </c>
      <c r="F65" s="21" t="n">
        <f aca="false">demand!D63</f>
        <v>0</v>
      </c>
      <c r="G65" s="2" t="n">
        <f aca="false">solgen!D63</f>
        <v>0</v>
      </c>
      <c r="H65" s="2" t="n">
        <f aca="false">import!D63</f>
        <v>0</v>
      </c>
      <c r="I65" s="2" t="n">
        <f aca="false">-export!D63</f>
        <v>-0</v>
      </c>
      <c r="J65" s="2" t="n">
        <f aca="false">-charge!D63</f>
        <v>-0</v>
      </c>
      <c r="K65" s="2" t="n">
        <f aca="false">discharge!D63</f>
        <v>0</v>
      </c>
      <c r="L65" s="2" t="n">
        <f aca="false">soc!D63/investment!$E$3 *100</f>
        <v>93.6097393612034</v>
      </c>
    </row>
    <row r="66" customFormat="false" ht="13.8" hidden="false" customHeight="false" outlineLevel="0" collapsed="false">
      <c r="B66" s="14" t="n">
        <f aca="false">_xlfn.NUMBERVALUE(solar!B63)</f>
        <v>129</v>
      </c>
      <c r="C66" s="15" t="n">
        <f aca="false">solar!C63</f>
        <v>0</v>
      </c>
      <c r="D66" s="9" t="n">
        <v>62</v>
      </c>
      <c r="E66" s="20" t="n">
        <f aca="false">IFERROR(INDEX($B$5:$C$173, MATCH($D66, $B$5:$B$175, 0), 2), 0)*investment!$C$3</f>
        <v>0</v>
      </c>
      <c r="F66" s="21" t="n">
        <f aca="false">demand!D64</f>
        <v>0</v>
      </c>
      <c r="G66" s="2" t="n">
        <f aca="false">solgen!D64</f>
        <v>0</v>
      </c>
      <c r="H66" s="2" t="n">
        <f aca="false">import!D64</f>
        <v>0</v>
      </c>
      <c r="I66" s="2" t="n">
        <f aca="false">-export!D64</f>
        <v>-0</v>
      </c>
      <c r="J66" s="2" t="n">
        <f aca="false">-charge!D64</f>
        <v>-0</v>
      </c>
      <c r="K66" s="2" t="n">
        <f aca="false">discharge!D64</f>
        <v>0</v>
      </c>
      <c r="L66" s="2" t="n">
        <f aca="false">soc!D64/investment!$E$3 *100</f>
        <v>93.6088032638098</v>
      </c>
    </row>
    <row r="67" customFormat="false" ht="13.8" hidden="false" customHeight="false" outlineLevel="0" collapsed="false">
      <c r="B67" s="14" t="n">
        <f aca="false">_xlfn.NUMBERVALUE(solar!B64)</f>
        <v>130</v>
      </c>
      <c r="C67" s="15" t="n">
        <f aca="false">solar!C64</f>
        <v>0</v>
      </c>
      <c r="D67" s="9" t="n">
        <v>63</v>
      </c>
      <c r="E67" s="20" t="n">
        <f aca="false">IFERROR(INDEX($B$5:$C$173, MATCH($D67, $B$5:$B$175, 0), 2), 0)*investment!$C$3</f>
        <v>0</v>
      </c>
      <c r="F67" s="21" t="n">
        <f aca="false">demand!D65</f>
        <v>0</v>
      </c>
      <c r="G67" s="2" t="n">
        <f aca="false">solgen!D65</f>
        <v>0</v>
      </c>
      <c r="H67" s="2" t="n">
        <f aca="false">import!D65</f>
        <v>0</v>
      </c>
      <c r="I67" s="2" t="n">
        <f aca="false">-export!D65</f>
        <v>-0</v>
      </c>
      <c r="J67" s="2" t="n">
        <f aca="false">-charge!D65</f>
        <v>-0</v>
      </c>
      <c r="K67" s="2" t="n">
        <f aca="false">discharge!D65</f>
        <v>0</v>
      </c>
      <c r="L67" s="2" t="n">
        <f aca="false">soc!D65/investment!$E$3 *100</f>
        <v>93.6078671757771</v>
      </c>
    </row>
    <row r="68" customFormat="false" ht="13.8" hidden="false" customHeight="false" outlineLevel="0" collapsed="false">
      <c r="B68" s="14" t="n">
        <f aca="false">_xlfn.NUMBERVALUE(solar!B65)</f>
        <v>131</v>
      </c>
      <c r="C68" s="15" t="n">
        <f aca="false">solar!C65</f>
        <v>0</v>
      </c>
      <c r="D68" s="9" t="n">
        <v>64</v>
      </c>
      <c r="E68" s="20" t="n">
        <f aca="false">IFERROR(INDEX($B$5:$C$173, MATCH($D68, $B$5:$B$175, 0), 2), 0)*investment!$C$3</f>
        <v>0</v>
      </c>
      <c r="F68" s="21" t="n">
        <f aca="false">demand!D66</f>
        <v>0</v>
      </c>
      <c r="G68" s="2" t="n">
        <f aca="false">solgen!D66</f>
        <v>0</v>
      </c>
      <c r="H68" s="2" t="n">
        <f aca="false">import!D66</f>
        <v>0</v>
      </c>
      <c r="I68" s="2" t="n">
        <f aca="false">-export!D66</f>
        <v>-0</v>
      </c>
      <c r="J68" s="2" t="n">
        <f aca="false">-charge!D66</f>
        <v>-0</v>
      </c>
      <c r="K68" s="2" t="n">
        <f aca="false">discharge!D66</f>
        <v>0</v>
      </c>
      <c r="L68" s="2" t="n">
        <f aca="false">soc!D66/investment!$E$3 *100</f>
        <v>93.6069310971054</v>
      </c>
    </row>
    <row r="69" customFormat="false" ht="13.8" hidden="false" customHeight="false" outlineLevel="0" collapsed="false">
      <c r="B69" s="14" t="n">
        <f aca="false">_xlfn.NUMBERVALUE(solar!B66)</f>
        <v>132</v>
      </c>
      <c r="C69" s="15" t="n">
        <f aca="false">solar!C66</f>
        <v>0</v>
      </c>
      <c r="D69" s="9" t="n">
        <v>65</v>
      </c>
      <c r="E69" s="20" t="n">
        <f aca="false">IFERROR(INDEX($B$5:$C$173, MATCH($D69, $B$5:$B$175, 0), 2), 0)*investment!$C$3</f>
        <v>0</v>
      </c>
      <c r="F69" s="21" t="n">
        <f aca="false">demand!D67</f>
        <v>0</v>
      </c>
      <c r="G69" s="2" t="n">
        <f aca="false">solgen!D67</f>
        <v>0</v>
      </c>
      <c r="H69" s="2" t="n">
        <f aca="false">import!D67</f>
        <v>0</v>
      </c>
      <c r="I69" s="2" t="n">
        <f aca="false">-export!D67</f>
        <v>-0</v>
      </c>
      <c r="J69" s="2" t="n">
        <f aca="false">-charge!D67</f>
        <v>-0</v>
      </c>
      <c r="K69" s="2" t="n">
        <f aca="false">discharge!D67</f>
        <v>0</v>
      </c>
      <c r="L69" s="2" t="n">
        <f aca="false">soc!D67/investment!$E$3 *100</f>
        <v>95.7026089419982</v>
      </c>
    </row>
    <row r="70" customFormat="false" ht="13.8" hidden="false" customHeight="false" outlineLevel="0" collapsed="false">
      <c r="B70" s="14" t="n">
        <f aca="false">_xlfn.NUMBERVALUE(solar!B67)</f>
        <v>133</v>
      </c>
      <c r="C70" s="15" t="n">
        <f aca="false">solar!C67</f>
        <v>0</v>
      </c>
      <c r="D70" s="9" t="n">
        <v>66</v>
      </c>
      <c r="E70" s="20" t="n">
        <f aca="false">IFERROR(INDEX($B$5:$C$173, MATCH($D70, $B$5:$B$175, 0), 2), 0)*investment!$C$3</f>
        <v>0</v>
      </c>
      <c r="F70" s="21" t="n">
        <f aca="false">demand!D68</f>
        <v>0</v>
      </c>
      <c r="G70" s="2" t="n">
        <f aca="false">solgen!D68</f>
        <v>0</v>
      </c>
      <c r="H70" s="2" t="n">
        <f aca="false">import!D68</f>
        <v>0</v>
      </c>
      <c r="I70" s="2" t="n">
        <f aca="false">-export!D68</f>
        <v>-0</v>
      </c>
      <c r="J70" s="2" t="n">
        <f aca="false">-charge!D68</f>
        <v>-0</v>
      </c>
      <c r="K70" s="2" t="n">
        <f aca="false">discharge!D68</f>
        <v>0</v>
      </c>
      <c r="L70" s="2" t="n">
        <f aca="false">soc!D68/investment!$E$3 *100</f>
        <v>95.7016519159088</v>
      </c>
    </row>
    <row r="71" customFormat="false" ht="13.8" hidden="false" customHeight="false" outlineLevel="0" collapsed="false">
      <c r="B71" s="14" t="n">
        <f aca="false">_xlfn.NUMBERVALUE(solar!B68)</f>
        <v>134</v>
      </c>
      <c r="C71" s="15" t="n">
        <f aca="false">solar!C68</f>
        <v>0</v>
      </c>
      <c r="D71" s="9" t="n">
        <v>67</v>
      </c>
      <c r="E71" s="20" t="n">
        <f aca="false">IFERROR(INDEX($B$5:$C$173, MATCH($D71, $B$5:$B$175, 0), 2), 0)*investment!$C$3</f>
        <v>0</v>
      </c>
      <c r="F71" s="21" t="n">
        <f aca="false">demand!D69</f>
        <v>0</v>
      </c>
      <c r="G71" s="2" t="n">
        <f aca="false">solgen!D69</f>
        <v>0</v>
      </c>
      <c r="H71" s="2" t="n">
        <f aca="false">import!D69</f>
        <v>0</v>
      </c>
      <c r="I71" s="2" t="n">
        <f aca="false">-export!D69</f>
        <v>-0</v>
      </c>
      <c r="J71" s="2" t="n">
        <f aca="false">-charge!D69</f>
        <v>-0</v>
      </c>
      <c r="K71" s="2" t="n">
        <f aca="false">discharge!D69</f>
        <v>0</v>
      </c>
      <c r="L71" s="2" t="n">
        <f aca="false">soc!D69/investment!$E$3 *100</f>
        <v>96.6805752666082</v>
      </c>
    </row>
    <row r="72" customFormat="false" ht="13.8" hidden="false" customHeight="false" outlineLevel="0" collapsed="false">
      <c r="B72" s="14" t="n">
        <f aca="false">_xlfn.NUMBERVALUE(solar!B69)</f>
        <v>135</v>
      </c>
      <c r="C72" s="15" t="n">
        <f aca="false">solar!C69</f>
        <v>0</v>
      </c>
      <c r="D72" s="9" t="n">
        <v>68</v>
      </c>
      <c r="E72" s="20" t="n">
        <f aca="false">IFERROR(INDEX($B$5:$C$173, MATCH($D72, $B$5:$B$175, 0), 2), 0)*investment!$C$3</f>
        <v>0</v>
      </c>
      <c r="F72" s="21" t="n">
        <f aca="false">demand!D70</f>
        <v>0</v>
      </c>
      <c r="G72" s="2" t="n">
        <f aca="false">solgen!D70</f>
        <v>0</v>
      </c>
      <c r="H72" s="2" t="n">
        <f aca="false">import!D70</f>
        <v>0</v>
      </c>
      <c r="I72" s="2" t="n">
        <f aca="false">-export!D70</f>
        <v>-0</v>
      </c>
      <c r="J72" s="2" t="n">
        <f aca="false">-charge!D70</f>
        <v>-0</v>
      </c>
      <c r="K72" s="2" t="n">
        <f aca="false">discharge!D70</f>
        <v>0</v>
      </c>
      <c r="L72" s="2" t="n">
        <f aca="false">soc!D70/investment!$E$3 *100</f>
        <v>96.8640411729908</v>
      </c>
    </row>
    <row r="73" customFormat="false" ht="13.8" hidden="false" customHeight="false" outlineLevel="0" collapsed="false">
      <c r="B73" s="14" t="n">
        <f aca="false">_xlfn.NUMBERVALUE(solar!B70)</f>
        <v>136</v>
      </c>
      <c r="C73" s="15" t="n">
        <f aca="false">solar!C70</f>
        <v>0</v>
      </c>
      <c r="D73" s="9" t="n">
        <v>69</v>
      </c>
      <c r="E73" s="20" t="n">
        <f aca="false">IFERROR(INDEX($B$5:$C$173, MATCH($D73, $B$5:$B$175, 0), 2), 0)*investment!$C$3</f>
        <v>0</v>
      </c>
      <c r="F73" s="21" t="n">
        <f aca="false">demand!D71</f>
        <v>0</v>
      </c>
      <c r="G73" s="2" t="n">
        <f aca="false">solgen!D71</f>
        <v>0</v>
      </c>
      <c r="H73" s="2" t="n">
        <f aca="false">import!D71</f>
        <v>0</v>
      </c>
      <c r="I73" s="2" t="n">
        <f aca="false">-export!D71</f>
        <v>-0</v>
      </c>
      <c r="J73" s="2" t="n">
        <f aca="false">-charge!D71</f>
        <v>-0</v>
      </c>
      <c r="K73" s="2" t="n">
        <f aca="false">discharge!D71</f>
        <v>0</v>
      </c>
      <c r="L73" s="2" t="n">
        <f aca="false">soc!D71/investment!$E$3 *100</f>
        <v>96.863072532579</v>
      </c>
    </row>
    <row r="74" customFormat="false" ht="13.8" hidden="false" customHeight="false" outlineLevel="0" collapsed="false">
      <c r="B74" s="14" t="n">
        <f aca="false">_xlfn.NUMBERVALUE(solar!B71)</f>
        <v>137</v>
      </c>
      <c r="C74" s="15" t="n">
        <f aca="false">solar!C71</f>
        <v>0</v>
      </c>
      <c r="D74" s="9" t="n">
        <v>70</v>
      </c>
      <c r="E74" s="20" t="n">
        <f aca="false">IFERROR(INDEX($B$5:$C$173, MATCH($D74, $B$5:$B$175, 0), 2), 0)*investment!$C$3</f>
        <v>0</v>
      </c>
      <c r="F74" s="21" t="n">
        <f aca="false">demand!D72</f>
        <v>0</v>
      </c>
      <c r="G74" s="2" t="n">
        <f aca="false">solgen!D72</f>
        <v>0</v>
      </c>
      <c r="H74" s="2" t="n">
        <f aca="false">import!D72</f>
        <v>0</v>
      </c>
      <c r="I74" s="2" t="n">
        <f aca="false">-export!D72</f>
        <v>-0</v>
      </c>
      <c r="J74" s="2" t="n">
        <f aca="false">-charge!D72</f>
        <v>-0</v>
      </c>
      <c r="K74" s="2" t="n">
        <f aca="false">discharge!D72</f>
        <v>0</v>
      </c>
      <c r="L74" s="2" t="n">
        <f aca="false">soc!D72/investment!$E$3 *100</f>
        <v>96.8621039018537</v>
      </c>
    </row>
    <row r="75" customFormat="false" ht="13.8" hidden="false" customHeight="false" outlineLevel="0" collapsed="false">
      <c r="B75" s="14" t="n">
        <f aca="false">_xlfn.NUMBERVALUE(solar!B72)</f>
        <v>138</v>
      </c>
      <c r="C75" s="15" t="n">
        <f aca="false">solar!C72</f>
        <v>0</v>
      </c>
      <c r="D75" s="9" t="n">
        <v>71</v>
      </c>
      <c r="E75" s="20" t="n">
        <f aca="false">IFERROR(INDEX($B$5:$C$173, MATCH($D75, $B$5:$B$175, 0), 2), 0)*investment!$C$3</f>
        <v>0</v>
      </c>
      <c r="F75" s="21" t="n">
        <f aca="false">demand!D73</f>
        <v>0</v>
      </c>
      <c r="G75" s="2" t="n">
        <f aca="false">solgen!D73</f>
        <v>0</v>
      </c>
      <c r="H75" s="2" t="n">
        <f aca="false">import!D73</f>
        <v>0</v>
      </c>
      <c r="I75" s="2" t="n">
        <f aca="false">-export!D73</f>
        <v>-0</v>
      </c>
      <c r="J75" s="2" t="n">
        <f aca="false">-charge!D73</f>
        <v>-0</v>
      </c>
      <c r="K75" s="2" t="n">
        <f aca="false">discharge!D73</f>
        <v>0</v>
      </c>
      <c r="L75" s="2" t="n">
        <f aca="false">soc!D73/investment!$E$3 *100</f>
        <v>96.8611352808147</v>
      </c>
    </row>
    <row r="76" customFormat="false" ht="13.8" hidden="false" customHeight="false" outlineLevel="0" collapsed="false">
      <c r="B76" s="14" t="n">
        <f aca="false">_xlfn.NUMBERVALUE(solar!B73)</f>
        <v>139</v>
      </c>
      <c r="C76" s="15" t="n">
        <f aca="false">solar!C73</f>
        <v>0</v>
      </c>
      <c r="D76" s="9" t="n">
        <v>72</v>
      </c>
      <c r="E76" s="20" t="n">
        <f aca="false">IFERROR(INDEX($B$5:$C$173, MATCH($D76, $B$5:$B$175, 0), 2), 0)*investment!$C$3</f>
        <v>0</v>
      </c>
      <c r="F76" s="21" t="n">
        <f aca="false">demand!D74</f>
        <v>0</v>
      </c>
      <c r="G76" s="2" t="n">
        <f aca="false">solgen!D74</f>
        <v>0</v>
      </c>
      <c r="H76" s="2" t="n">
        <f aca="false">import!D74</f>
        <v>0</v>
      </c>
      <c r="I76" s="2" t="n">
        <f aca="false">-export!D74</f>
        <v>-0</v>
      </c>
      <c r="J76" s="2" t="n">
        <f aca="false">-charge!D74</f>
        <v>-0</v>
      </c>
      <c r="K76" s="2" t="n">
        <f aca="false">discharge!D74</f>
        <v>0</v>
      </c>
      <c r="L76" s="2" t="n">
        <f aca="false">soc!D74/investment!$E$3 *100</f>
        <v>96.8601666694619</v>
      </c>
    </row>
    <row r="77" customFormat="false" ht="13.8" hidden="false" customHeight="false" outlineLevel="0" collapsed="false">
      <c r="B77" s="14" t="n">
        <f aca="false">_xlfn.NUMBERVALUE(solar!B74)</f>
        <v>152</v>
      </c>
      <c r="C77" s="15" t="n">
        <f aca="false">solar!C74</f>
        <v>0</v>
      </c>
      <c r="D77" s="9" t="n">
        <v>73</v>
      </c>
      <c r="E77" s="20" t="n">
        <f aca="false">IFERROR(INDEX($B$5:$C$173, MATCH($D77, $B$5:$B$175, 0), 2), 0)*investment!$C$3</f>
        <v>0</v>
      </c>
      <c r="F77" s="21" t="n">
        <f aca="false">demand!D75</f>
        <v>0</v>
      </c>
      <c r="G77" s="2" t="n">
        <f aca="false">solgen!D75</f>
        <v>0</v>
      </c>
      <c r="H77" s="2" t="n">
        <f aca="false">import!D75</f>
        <v>0</v>
      </c>
      <c r="I77" s="2" t="n">
        <f aca="false">-export!D75</f>
        <v>-0</v>
      </c>
      <c r="J77" s="2" t="n">
        <f aca="false">-charge!D75</f>
        <v>-0</v>
      </c>
      <c r="K77" s="2" t="n">
        <f aca="false">discharge!D75</f>
        <v>0</v>
      </c>
      <c r="L77" s="2" t="n">
        <f aca="false">soc!D75/investment!$E$3 *100</f>
        <v>96.8591980677952</v>
      </c>
    </row>
    <row r="78" customFormat="false" ht="13.8" hidden="false" customHeight="false" outlineLevel="0" collapsed="false">
      <c r="B78" s="14" t="n">
        <f aca="false">_xlfn.NUMBERVALUE(solar!B75)</f>
        <v>153</v>
      </c>
      <c r="C78" s="15" t="n">
        <f aca="false">solar!C75</f>
        <v>0</v>
      </c>
      <c r="D78" s="9" t="n">
        <v>74</v>
      </c>
      <c r="E78" s="20" t="n">
        <f aca="false">IFERROR(INDEX($B$5:$C$173, MATCH($D78, $B$5:$B$175, 0), 2), 0)*investment!$C$3</f>
        <v>0</v>
      </c>
      <c r="F78" s="21" t="n">
        <f aca="false">demand!D76</f>
        <v>0</v>
      </c>
      <c r="G78" s="2" t="n">
        <f aca="false">solgen!D76</f>
        <v>0</v>
      </c>
      <c r="H78" s="2" t="n">
        <f aca="false">import!D76</f>
        <v>0</v>
      </c>
      <c r="I78" s="2" t="n">
        <f aca="false">-export!D76</f>
        <v>-0</v>
      </c>
      <c r="J78" s="2" t="n">
        <f aca="false">-charge!D76</f>
        <v>-0</v>
      </c>
      <c r="K78" s="2" t="n">
        <f aca="false">discharge!D76</f>
        <v>0</v>
      </c>
      <c r="L78" s="2" t="n">
        <f aca="false">soc!D76/investment!$E$3 *100</f>
        <v>96.8582294758145</v>
      </c>
    </row>
    <row r="79" customFormat="false" ht="13.8" hidden="false" customHeight="false" outlineLevel="0" collapsed="false">
      <c r="B79" s="14" t="n">
        <f aca="false">_xlfn.NUMBERVALUE(solar!B76)</f>
        <v>154</v>
      </c>
      <c r="C79" s="15" t="n">
        <f aca="false">solar!C76</f>
        <v>0</v>
      </c>
      <c r="D79" s="9" t="n">
        <v>75</v>
      </c>
      <c r="E79" s="20" t="n">
        <f aca="false">IFERROR(INDEX($B$5:$C$173, MATCH($D79, $B$5:$B$175, 0), 2), 0)*investment!$C$3</f>
        <v>0</v>
      </c>
      <c r="F79" s="21" t="n">
        <f aca="false">demand!D77</f>
        <v>0</v>
      </c>
      <c r="G79" s="2" t="n">
        <f aca="false">solgen!D77</f>
        <v>0</v>
      </c>
      <c r="H79" s="2" t="n">
        <f aca="false">import!D77</f>
        <v>0</v>
      </c>
      <c r="I79" s="2" t="n">
        <f aca="false">-export!D77</f>
        <v>-0</v>
      </c>
      <c r="J79" s="2" t="n">
        <f aca="false">-charge!D77</f>
        <v>-0</v>
      </c>
      <c r="K79" s="2" t="n">
        <f aca="false">discharge!D77</f>
        <v>0</v>
      </c>
      <c r="L79" s="2" t="n">
        <f aca="false">soc!D77/investment!$E$3 *100</f>
        <v>96.8572608935198</v>
      </c>
    </row>
    <row r="80" customFormat="false" ht="13.8" hidden="false" customHeight="false" outlineLevel="0" collapsed="false">
      <c r="B80" s="14" t="n">
        <f aca="false">_xlfn.NUMBERVALUE(solar!B77)</f>
        <v>155</v>
      </c>
      <c r="C80" s="15" t="n">
        <f aca="false">solar!C77</f>
        <v>0</v>
      </c>
      <c r="D80" s="9" t="n">
        <v>76</v>
      </c>
      <c r="E80" s="20" t="n">
        <f aca="false">IFERROR(INDEX($B$5:$C$173, MATCH($D80, $B$5:$B$175, 0), 2), 0)*investment!$C$3</f>
        <v>0</v>
      </c>
      <c r="F80" s="21" t="n">
        <f aca="false">demand!D78</f>
        <v>0</v>
      </c>
      <c r="G80" s="2" t="n">
        <f aca="false">solgen!D78</f>
        <v>0</v>
      </c>
      <c r="H80" s="2" t="n">
        <f aca="false">import!D78</f>
        <v>0</v>
      </c>
      <c r="I80" s="2" t="n">
        <f aca="false">-export!D78</f>
        <v>-0</v>
      </c>
      <c r="J80" s="2" t="n">
        <f aca="false">-charge!D78</f>
        <v>-0</v>
      </c>
      <c r="K80" s="2" t="n">
        <f aca="false">discharge!D78</f>
        <v>0</v>
      </c>
      <c r="L80" s="2" t="n">
        <f aca="false">soc!D78/investment!$E$3 *100</f>
        <v>96.8562923209109</v>
      </c>
    </row>
    <row r="81" customFormat="false" ht="13.8" hidden="false" customHeight="false" outlineLevel="0" collapsed="false">
      <c r="B81" s="14" t="n">
        <f aca="false">_xlfn.NUMBERVALUE(solar!B78)</f>
        <v>156</v>
      </c>
      <c r="C81" s="15" t="n">
        <f aca="false">solar!C78</f>
        <v>0</v>
      </c>
      <c r="D81" s="9" t="n">
        <v>77</v>
      </c>
      <c r="E81" s="20" t="n">
        <f aca="false">IFERROR(INDEX($B$5:$C$173, MATCH($D81, $B$5:$B$175, 0), 2), 0)*investment!$C$3</f>
        <v>0</v>
      </c>
      <c r="F81" s="21" t="n">
        <f aca="false">demand!D79</f>
        <v>0</v>
      </c>
      <c r="G81" s="2" t="n">
        <f aca="false">solgen!D79</f>
        <v>0</v>
      </c>
      <c r="H81" s="2" t="n">
        <f aca="false">import!D79</f>
        <v>0</v>
      </c>
      <c r="I81" s="2" t="n">
        <f aca="false">-export!D79</f>
        <v>-0</v>
      </c>
      <c r="J81" s="2" t="n">
        <f aca="false">-charge!D79</f>
        <v>-0</v>
      </c>
      <c r="K81" s="2" t="n">
        <f aca="false">discharge!D79</f>
        <v>0</v>
      </c>
      <c r="L81" s="2" t="n">
        <f aca="false">soc!D79/investment!$E$3 *100</f>
        <v>96.8553237579877</v>
      </c>
    </row>
    <row r="82" customFormat="false" ht="13.8" hidden="false" customHeight="false" outlineLevel="0" collapsed="false">
      <c r="B82" s="14" t="n">
        <f aca="false">_xlfn.NUMBERVALUE(solar!B79)</f>
        <v>157</v>
      </c>
      <c r="C82" s="15" t="n">
        <f aca="false">solar!C79</f>
        <v>0</v>
      </c>
      <c r="D82" s="9" t="n">
        <v>78</v>
      </c>
      <c r="E82" s="20" t="n">
        <f aca="false">IFERROR(INDEX($B$5:$C$173, MATCH($D82, $B$5:$B$175, 0), 2), 0)*investment!$C$3</f>
        <v>0</v>
      </c>
      <c r="F82" s="21" t="n">
        <f aca="false">demand!D80</f>
        <v>0</v>
      </c>
      <c r="G82" s="2" t="n">
        <f aca="false">solgen!D80</f>
        <v>0</v>
      </c>
      <c r="H82" s="2" t="n">
        <f aca="false">import!D80</f>
        <v>0</v>
      </c>
      <c r="I82" s="2" t="n">
        <f aca="false">-export!D80</f>
        <v>-0</v>
      </c>
      <c r="J82" s="2" t="n">
        <f aca="false">-charge!D80</f>
        <v>-0</v>
      </c>
      <c r="K82" s="2" t="n">
        <f aca="false">discharge!D80</f>
        <v>0</v>
      </c>
      <c r="L82" s="2" t="n">
        <f aca="false">soc!D80/investment!$E$3 *100</f>
        <v>96.0864821361726</v>
      </c>
    </row>
    <row r="83" customFormat="false" ht="13.8" hidden="false" customHeight="false" outlineLevel="0" collapsed="false">
      <c r="B83" s="14" t="n">
        <f aca="false">_xlfn.NUMBERVALUE(solar!B80)</f>
        <v>158</v>
      </c>
      <c r="C83" s="15" t="n">
        <f aca="false">solar!C80</f>
        <v>0</v>
      </c>
      <c r="D83" s="9" t="n">
        <v>79</v>
      </c>
      <c r="E83" s="20" t="n">
        <f aca="false">IFERROR(INDEX($B$5:$C$173, MATCH($D83, $B$5:$B$175, 0), 2), 0)*investment!$C$3</f>
        <v>0</v>
      </c>
      <c r="F83" s="21" t="n">
        <f aca="false">demand!D81</f>
        <v>0</v>
      </c>
      <c r="G83" s="2" t="n">
        <f aca="false">solgen!D81</f>
        <v>0</v>
      </c>
      <c r="H83" s="2" t="n">
        <f aca="false">import!D81</f>
        <v>0</v>
      </c>
      <c r="I83" s="2" t="n">
        <f aca="false">-export!D81</f>
        <v>-0</v>
      </c>
      <c r="J83" s="2" t="n">
        <f aca="false">-charge!D81</f>
        <v>-0</v>
      </c>
      <c r="K83" s="2" t="n">
        <f aca="false">discharge!D81</f>
        <v>0</v>
      </c>
      <c r="L83" s="2" t="n">
        <f aca="false">soc!D81/investment!$E$3 *100</f>
        <v>93.7819020656189</v>
      </c>
    </row>
    <row r="84" customFormat="false" ht="13.8" hidden="false" customHeight="false" outlineLevel="0" collapsed="false">
      <c r="B84" s="14" t="n">
        <f aca="false">_xlfn.NUMBERVALUE(solar!B81)</f>
        <v>159</v>
      </c>
      <c r="C84" s="15" t="n">
        <f aca="false">solar!C81</f>
        <v>0</v>
      </c>
      <c r="D84" s="9" t="n">
        <v>80</v>
      </c>
      <c r="E84" s="20" t="n">
        <f aca="false">IFERROR(INDEX($B$5:$C$173, MATCH($D84, $B$5:$B$175, 0), 2), 0)*investment!$C$3</f>
        <v>0</v>
      </c>
      <c r="F84" s="21" t="n">
        <f aca="false">demand!D82</f>
        <v>0</v>
      </c>
      <c r="G84" s="2" t="n">
        <f aca="false">solgen!D82</f>
        <v>0</v>
      </c>
      <c r="H84" s="2" t="n">
        <f aca="false">import!D82</f>
        <v>0</v>
      </c>
      <c r="I84" s="2" t="n">
        <f aca="false">-export!D82</f>
        <v>-0</v>
      </c>
      <c r="J84" s="2" t="n">
        <f aca="false">-charge!D82</f>
        <v>-0</v>
      </c>
      <c r="K84" s="2" t="n">
        <f aca="false">discharge!D82</f>
        <v>0</v>
      </c>
      <c r="L84" s="2" t="n">
        <f aca="false">soc!D82/investment!$E$3 *100</f>
        <v>91.4773450408658</v>
      </c>
    </row>
    <row r="85" customFormat="false" ht="13.8" hidden="false" customHeight="false" outlineLevel="0" collapsed="false">
      <c r="B85" s="14" t="n">
        <f aca="false">_xlfn.NUMBERVALUE(solar!B82)</f>
        <v>160</v>
      </c>
      <c r="C85" s="15" t="n">
        <f aca="false">solar!C82</f>
        <v>0</v>
      </c>
      <c r="D85" s="9" t="n">
        <v>81</v>
      </c>
      <c r="E85" s="20" t="n">
        <f aca="false">IFERROR(INDEX($B$5:$C$173, MATCH($D85, $B$5:$B$175, 0), 2), 0)*investment!$C$3</f>
        <v>0</v>
      </c>
      <c r="F85" s="21" t="n">
        <f aca="false">demand!D83</f>
        <v>0</v>
      </c>
      <c r="G85" s="2" t="n">
        <f aca="false">solgen!D83</f>
        <v>0</v>
      </c>
      <c r="H85" s="2" t="n">
        <f aca="false">import!D83</f>
        <v>0</v>
      </c>
      <c r="I85" s="2" t="n">
        <f aca="false">-export!D83</f>
        <v>-0</v>
      </c>
      <c r="J85" s="2" t="n">
        <f aca="false">-charge!D83</f>
        <v>-0</v>
      </c>
      <c r="K85" s="2" t="n">
        <f aca="false">discharge!D83</f>
        <v>0</v>
      </c>
      <c r="L85" s="2" t="n">
        <f aca="false">soc!D83/investment!$E$3 *100</f>
        <v>89.172811061683</v>
      </c>
    </row>
    <row r="86" customFormat="false" ht="13.8" hidden="false" customHeight="false" outlineLevel="0" collapsed="false">
      <c r="B86" s="14" t="n">
        <f aca="false">_xlfn.NUMBERVALUE(solar!B83)</f>
        <v>161</v>
      </c>
      <c r="C86" s="15" t="n">
        <f aca="false">solar!C83</f>
        <v>0</v>
      </c>
      <c r="D86" s="9" t="n">
        <v>82</v>
      </c>
      <c r="E86" s="20" t="n">
        <f aca="false">IFERROR(INDEX($B$5:$C$173, MATCH($D86, $B$5:$B$175, 0), 2), 0)*investment!$C$3</f>
        <v>0</v>
      </c>
      <c r="F86" s="21" t="n">
        <f aca="false">demand!D84</f>
        <v>0</v>
      </c>
      <c r="G86" s="2" t="n">
        <f aca="false">solgen!D84</f>
        <v>0</v>
      </c>
      <c r="H86" s="2" t="n">
        <f aca="false">import!D84</f>
        <v>0</v>
      </c>
      <c r="I86" s="2" t="n">
        <f aca="false">-export!D84</f>
        <v>-0</v>
      </c>
      <c r="J86" s="2" t="n">
        <f aca="false">-charge!D84</f>
        <v>-0</v>
      </c>
      <c r="K86" s="2" t="n">
        <f aca="false">discharge!D84</f>
        <v>0</v>
      </c>
      <c r="L86" s="2" t="n">
        <f aca="false">soc!D84/investment!$E$3 *100</f>
        <v>86.86830012784</v>
      </c>
    </row>
    <row r="87" customFormat="false" ht="13.8" hidden="false" customHeight="false" outlineLevel="0" collapsed="false">
      <c r="B87" s="14" t="n">
        <f aca="false">_xlfn.NUMBERVALUE(solar!B84)</f>
        <v>162</v>
      </c>
      <c r="C87" s="15" t="n">
        <f aca="false">solar!C84</f>
        <v>0</v>
      </c>
      <c r="D87" s="9" t="n">
        <v>83</v>
      </c>
      <c r="E87" s="20" t="n">
        <f aca="false">IFERROR(INDEX($B$5:$C$173, MATCH($D87, $B$5:$B$175, 0), 2), 0)*investment!$C$3</f>
        <v>0</v>
      </c>
      <c r="F87" s="21" t="n">
        <f aca="false">demand!D85</f>
        <v>0</v>
      </c>
      <c r="G87" s="2" t="n">
        <f aca="false">solgen!D85</f>
        <v>0</v>
      </c>
      <c r="H87" s="2" t="n">
        <f aca="false">import!D85</f>
        <v>0</v>
      </c>
      <c r="I87" s="2" t="n">
        <f aca="false">-export!D85</f>
        <v>-0</v>
      </c>
      <c r="J87" s="2" t="n">
        <f aca="false">-charge!D85</f>
        <v>-0</v>
      </c>
      <c r="K87" s="2" t="n">
        <f aca="false">discharge!D85</f>
        <v>0</v>
      </c>
      <c r="L87" s="2" t="n">
        <f aca="false">soc!D85/investment!$E$3 *100</f>
        <v>84.5638122391063</v>
      </c>
    </row>
    <row r="88" customFormat="false" ht="13.8" hidden="false" customHeight="false" outlineLevel="0" collapsed="false">
      <c r="B88" s="14" t="n">
        <f aca="false">_xlfn.NUMBERVALUE(solar!B85)</f>
        <v>163</v>
      </c>
      <c r="C88" s="15" t="n">
        <f aca="false">solar!C85</f>
        <v>0</v>
      </c>
      <c r="D88" s="9" t="n">
        <v>84</v>
      </c>
      <c r="E88" s="20" t="n">
        <f aca="false">IFERROR(INDEX($B$5:$C$173, MATCH($D88, $B$5:$B$175, 0), 2), 0)*investment!$C$3</f>
        <v>0</v>
      </c>
      <c r="F88" s="21" t="n">
        <f aca="false">demand!D86</f>
        <v>0</v>
      </c>
      <c r="G88" s="2" t="n">
        <f aca="false">solgen!D86</f>
        <v>0</v>
      </c>
      <c r="H88" s="2" t="n">
        <f aca="false">import!D86</f>
        <v>0</v>
      </c>
      <c r="I88" s="2" t="n">
        <f aca="false">-export!D86</f>
        <v>-0</v>
      </c>
      <c r="J88" s="2" t="n">
        <f aca="false">-charge!D86</f>
        <v>-0</v>
      </c>
      <c r="K88" s="2" t="n">
        <f aca="false">discharge!D86</f>
        <v>0</v>
      </c>
      <c r="L88" s="2" t="n">
        <f aca="false">soc!D86/investment!$E$3 *100</f>
        <v>82.2593473952515</v>
      </c>
    </row>
    <row r="89" customFormat="false" ht="13.8" hidden="false" customHeight="false" outlineLevel="0" collapsed="false">
      <c r="B89" s="14" t="n">
        <f aca="false">_xlfn.NUMBERVALUE(solar!B86)</f>
        <v>0</v>
      </c>
      <c r="C89" s="15" t="n">
        <f aca="false">solar!C86</f>
        <v>0</v>
      </c>
      <c r="D89" s="9" t="n">
        <v>85</v>
      </c>
      <c r="E89" s="20" t="n">
        <f aca="false">IFERROR(INDEX($B$5:$C$173, MATCH($D89, $B$5:$B$175, 0), 2), 0)*investment!$C$3</f>
        <v>0</v>
      </c>
      <c r="F89" s="21" t="n">
        <f aca="false">demand!D87</f>
        <v>0</v>
      </c>
      <c r="G89" s="2" t="n">
        <f aca="false">solgen!D87</f>
        <v>0</v>
      </c>
      <c r="H89" s="2" t="n">
        <f aca="false">import!D87</f>
        <v>0</v>
      </c>
      <c r="I89" s="2" t="n">
        <f aca="false">-export!D87</f>
        <v>-0</v>
      </c>
      <c r="J89" s="2" t="n">
        <f aca="false">-charge!D87</f>
        <v>-0</v>
      </c>
      <c r="K89" s="2" t="n">
        <f aca="false">discharge!D87</f>
        <v>0</v>
      </c>
      <c r="L89" s="2" t="n">
        <f aca="false">soc!D87/investment!$E$3 *100</f>
        <v>79.9549055960452</v>
      </c>
    </row>
    <row r="90" customFormat="false" ht="13.8" hidden="false" customHeight="false" outlineLevel="0" collapsed="false">
      <c r="B90" s="14" t="n">
        <f aca="false">_xlfn.NUMBERVALUE(solar!B87)</f>
        <v>0</v>
      </c>
      <c r="C90" s="15" t="n">
        <f aca="false">solar!C87</f>
        <v>0</v>
      </c>
      <c r="D90" s="9" t="n">
        <v>86</v>
      </c>
      <c r="E90" s="20" t="n">
        <f aca="false">IFERROR(INDEX($B$5:$C$173, MATCH($D90, $B$5:$B$175, 0), 2), 0)*investment!$C$3</f>
        <v>0</v>
      </c>
      <c r="F90" s="21" t="n">
        <f aca="false">demand!D88</f>
        <v>0</v>
      </c>
      <c r="G90" s="2" t="n">
        <f aca="false">solgen!D88</f>
        <v>0</v>
      </c>
      <c r="H90" s="2" t="n">
        <f aca="false">import!D88</f>
        <v>0</v>
      </c>
      <c r="I90" s="2" t="n">
        <f aca="false">-export!D88</f>
        <v>-0</v>
      </c>
      <c r="J90" s="2" t="n">
        <f aca="false">-charge!D88</f>
        <v>-0</v>
      </c>
      <c r="K90" s="2" t="n">
        <f aca="false">discharge!D88</f>
        <v>0</v>
      </c>
      <c r="L90" s="2" t="n">
        <f aca="false">soc!D88/investment!$E$3 *100</f>
        <v>77.6504868412568</v>
      </c>
    </row>
    <row r="91" customFormat="false" ht="13.8" hidden="false" customHeight="false" outlineLevel="0" collapsed="false">
      <c r="B91" s="14" t="n">
        <f aca="false">_xlfn.NUMBERVALUE(solar!B88)</f>
        <v>0</v>
      </c>
      <c r="C91" s="15" t="n">
        <f aca="false">solar!C88</f>
        <v>0</v>
      </c>
      <c r="D91" s="9" t="n">
        <v>87</v>
      </c>
      <c r="E91" s="20" t="n">
        <f aca="false">IFERROR(INDEX($B$5:$C$173, MATCH($D91, $B$5:$B$175, 0), 2), 0)*investment!$C$3</f>
        <v>0</v>
      </c>
      <c r="F91" s="21" t="n">
        <f aca="false">demand!D89</f>
        <v>0</v>
      </c>
      <c r="G91" s="2" t="n">
        <f aca="false">solgen!D89</f>
        <v>0</v>
      </c>
      <c r="H91" s="2" t="n">
        <f aca="false">import!D89</f>
        <v>0</v>
      </c>
      <c r="I91" s="2" t="n">
        <f aca="false">-export!D89</f>
        <v>-0</v>
      </c>
      <c r="J91" s="2" t="n">
        <f aca="false">-charge!D89</f>
        <v>-0</v>
      </c>
      <c r="K91" s="2" t="n">
        <f aca="false">discharge!D89</f>
        <v>0</v>
      </c>
      <c r="L91" s="2" t="n">
        <f aca="false">soc!D89/investment!$E$3 *100</f>
        <v>75.346091130656</v>
      </c>
    </row>
    <row r="92" customFormat="false" ht="13.8" hidden="false" customHeight="false" outlineLevel="0" collapsed="false">
      <c r="B92" s="14" t="n">
        <f aca="false">_xlfn.NUMBERVALUE(solar!B89)</f>
        <v>0</v>
      </c>
      <c r="C92" s="15" t="n">
        <f aca="false">solar!C89</f>
        <v>0</v>
      </c>
      <c r="D92" s="9" t="n">
        <v>88</v>
      </c>
      <c r="E92" s="20" t="n">
        <f aca="false">IFERROR(INDEX($B$5:$C$173, MATCH($D92, $B$5:$B$175, 0), 2), 0)*investment!$C$3</f>
        <v>0</v>
      </c>
      <c r="F92" s="21" t="n">
        <f aca="false">demand!D90</f>
        <v>0</v>
      </c>
      <c r="G92" s="2" t="n">
        <f aca="false">solgen!D90</f>
        <v>0</v>
      </c>
      <c r="H92" s="2" t="n">
        <f aca="false">import!D90</f>
        <v>0</v>
      </c>
      <c r="I92" s="2" t="n">
        <f aca="false">-export!D90</f>
        <v>-0</v>
      </c>
      <c r="J92" s="2" t="n">
        <f aca="false">-charge!D90</f>
        <v>-0</v>
      </c>
      <c r="K92" s="2" t="n">
        <f aca="false">discharge!D90</f>
        <v>0</v>
      </c>
      <c r="L92" s="2" t="n">
        <f aca="false">soc!D90/investment!$E$3 *100</f>
        <v>73.0417184640123</v>
      </c>
    </row>
    <row r="93" customFormat="false" ht="13.8" hidden="false" customHeight="false" outlineLevel="0" collapsed="false">
      <c r="B93" s="14" t="n">
        <f aca="false">_xlfn.NUMBERVALUE(solar!B90)</f>
        <v>0</v>
      </c>
      <c r="C93" s="15" t="n">
        <f aca="false">solar!C90</f>
        <v>0</v>
      </c>
      <c r="D93" s="9" t="n">
        <v>89</v>
      </c>
      <c r="E93" s="20" t="n">
        <f aca="false">IFERROR(INDEX($B$5:$C$173, MATCH($D93, $B$5:$B$175, 0), 2), 0)*investment!$C$3</f>
        <v>0</v>
      </c>
      <c r="F93" s="21" t="n">
        <f aca="false">demand!D91</f>
        <v>0</v>
      </c>
      <c r="G93" s="2" t="n">
        <f aca="false">solgen!D91</f>
        <v>0</v>
      </c>
      <c r="H93" s="2" t="n">
        <f aca="false">import!D91</f>
        <v>0</v>
      </c>
      <c r="I93" s="2" t="n">
        <f aca="false">-export!D91</f>
        <v>-0</v>
      </c>
      <c r="J93" s="2" t="n">
        <f aca="false">-charge!D91</f>
        <v>-0</v>
      </c>
      <c r="K93" s="2" t="n">
        <f aca="false">discharge!D91</f>
        <v>0</v>
      </c>
      <c r="L93" s="2" t="n">
        <f aca="false">soc!D91/investment!$E$3 *100</f>
        <v>70.7373688410953</v>
      </c>
    </row>
    <row r="94" customFormat="false" ht="13.8" hidden="false" customHeight="false" outlineLevel="0" collapsed="false">
      <c r="B94" s="14" t="n">
        <f aca="false">_xlfn.NUMBERVALUE(solar!B91)</f>
        <v>0</v>
      </c>
      <c r="C94" s="15" t="n">
        <f aca="false">solar!C91</f>
        <v>0</v>
      </c>
      <c r="D94" s="9" t="n">
        <v>90</v>
      </c>
      <c r="E94" s="20" t="n">
        <f aca="false">IFERROR(INDEX($B$5:$C$173, MATCH($D94, $B$5:$B$175, 0), 2), 0)*investment!$C$3</f>
        <v>0</v>
      </c>
      <c r="F94" s="21" t="n">
        <f aca="false">demand!D92</f>
        <v>0</v>
      </c>
      <c r="G94" s="2" t="n">
        <f aca="false">solgen!D92</f>
        <v>0</v>
      </c>
      <c r="H94" s="2" t="n">
        <f aca="false">import!D92</f>
        <v>0</v>
      </c>
      <c r="I94" s="2" t="n">
        <f aca="false">-export!D92</f>
        <v>-0</v>
      </c>
      <c r="J94" s="2" t="n">
        <f aca="false">-charge!D92</f>
        <v>-0</v>
      </c>
      <c r="K94" s="2" t="n">
        <f aca="false">discharge!D92</f>
        <v>0</v>
      </c>
      <c r="L94" s="2" t="n">
        <f aca="false">soc!D92/investment!$E$3 *100</f>
        <v>68.4330422616744</v>
      </c>
    </row>
    <row r="95" customFormat="false" ht="13.8" hidden="false" customHeight="false" outlineLevel="0" collapsed="false">
      <c r="B95" s="14" t="n">
        <f aca="false">_xlfn.NUMBERVALUE(solar!B92)</f>
        <v>0</v>
      </c>
      <c r="C95" s="15" t="n">
        <f aca="false">solar!C92</f>
        <v>0</v>
      </c>
      <c r="D95" s="9" t="n">
        <v>91</v>
      </c>
      <c r="E95" s="20" t="n">
        <f aca="false">IFERROR(INDEX($B$5:$C$173, MATCH($D95, $B$5:$B$175, 0), 2), 0)*investment!$C$3</f>
        <v>0</v>
      </c>
      <c r="F95" s="21" t="n">
        <f aca="false">demand!D93</f>
        <v>0</v>
      </c>
      <c r="G95" s="2" t="n">
        <f aca="false">solgen!D93</f>
        <v>0</v>
      </c>
      <c r="H95" s="2" t="n">
        <f aca="false">import!D93</f>
        <v>0</v>
      </c>
      <c r="I95" s="2" t="n">
        <f aca="false">-export!D93</f>
        <v>-0</v>
      </c>
      <c r="J95" s="2" t="n">
        <f aca="false">-charge!D93</f>
        <v>-0</v>
      </c>
      <c r="K95" s="2" t="n">
        <f aca="false">discharge!D93</f>
        <v>0</v>
      </c>
      <c r="L95" s="2" t="n">
        <f aca="false">soc!D93/investment!$E$3 *100</f>
        <v>66.1287387255194</v>
      </c>
    </row>
    <row r="96" customFormat="false" ht="13.8" hidden="false" customHeight="false" outlineLevel="0" collapsed="false">
      <c r="B96" s="14" t="n">
        <f aca="false">_xlfn.NUMBERVALUE(solar!B93)</f>
        <v>0</v>
      </c>
      <c r="C96" s="15" t="n">
        <f aca="false">solar!C93</f>
        <v>0</v>
      </c>
      <c r="D96" s="9" t="n">
        <v>92</v>
      </c>
      <c r="E96" s="20" t="n">
        <f aca="false">IFERROR(INDEX($B$5:$C$173, MATCH($D96, $B$5:$B$175, 0), 2), 0)*investment!$C$3</f>
        <v>0</v>
      </c>
      <c r="F96" s="21" t="n">
        <f aca="false">demand!D94</f>
        <v>0</v>
      </c>
      <c r="G96" s="2" t="n">
        <f aca="false">solgen!D94</f>
        <v>0</v>
      </c>
      <c r="H96" s="2" t="n">
        <f aca="false">import!D94</f>
        <v>0</v>
      </c>
      <c r="I96" s="2" t="n">
        <f aca="false">-export!D94</f>
        <v>-0</v>
      </c>
      <c r="J96" s="2" t="n">
        <f aca="false">-charge!D94</f>
        <v>-0</v>
      </c>
      <c r="K96" s="2" t="n">
        <f aca="false">discharge!D94</f>
        <v>0</v>
      </c>
      <c r="L96" s="2" t="n">
        <f aca="false">soc!D94/investment!$E$3 *100</f>
        <v>63.8244582323998</v>
      </c>
    </row>
    <row r="97" customFormat="false" ht="13.8" hidden="false" customHeight="false" outlineLevel="0" collapsed="false">
      <c r="B97" s="14" t="n">
        <f aca="false">_xlfn.NUMBERVALUE(solar!B94)</f>
        <v>0</v>
      </c>
      <c r="C97" s="15" t="n">
        <f aca="false">solar!C94</f>
        <v>0</v>
      </c>
      <c r="D97" s="9" t="n">
        <v>93</v>
      </c>
      <c r="E97" s="20" t="n">
        <f aca="false">IFERROR(INDEX($B$5:$C$173, MATCH($D97, $B$5:$B$175, 0), 2), 0)*investment!$C$3</f>
        <v>0</v>
      </c>
      <c r="F97" s="21" t="n">
        <f aca="false">demand!D95</f>
        <v>0</v>
      </c>
      <c r="G97" s="2" t="n">
        <f aca="false">solgen!D95</f>
        <v>0</v>
      </c>
      <c r="H97" s="2" t="n">
        <f aca="false">import!D95</f>
        <v>0</v>
      </c>
      <c r="I97" s="2" t="n">
        <f aca="false">-export!D95</f>
        <v>-0</v>
      </c>
      <c r="J97" s="2" t="n">
        <f aca="false">-charge!D95</f>
        <v>-0</v>
      </c>
      <c r="K97" s="2" t="n">
        <f aca="false">discharge!D95</f>
        <v>0</v>
      </c>
      <c r="L97" s="2" t="n">
        <f aca="false">soc!D95/investment!$E$3 *100</f>
        <v>61.520200782085</v>
      </c>
    </row>
    <row r="98" customFormat="false" ht="13.8" hidden="false" customHeight="false" outlineLevel="0" collapsed="false">
      <c r="B98" s="14" t="n">
        <f aca="false">_xlfn.NUMBERVALUE(solar!B95)</f>
        <v>0</v>
      </c>
      <c r="C98" s="15" t="n">
        <f aca="false">solar!C95</f>
        <v>0</v>
      </c>
      <c r="D98" s="9" t="n">
        <v>94</v>
      </c>
      <c r="E98" s="20" t="n">
        <f aca="false">IFERROR(INDEX($B$5:$C$173, MATCH($D98, $B$5:$B$175, 0), 2), 0)*investment!$C$3</f>
        <v>0</v>
      </c>
      <c r="F98" s="21" t="n">
        <f aca="false">demand!D96</f>
        <v>0</v>
      </c>
      <c r="G98" s="2" t="n">
        <f aca="false">solgen!D96</f>
        <v>0</v>
      </c>
      <c r="H98" s="2" t="n">
        <f aca="false">import!D96</f>
        <v>0</v>
      </c>
      <c r="I98" s="2" t="n">
        <f aca="false">-export!D96</f>
        <v>-0</v>
      </c>
      <c r="J98" s="2" t="n">
        <f aca="false">-charge!D96</f>
        <v>-0</v>
      </c>
      <c r="K98" s="2" t="n">
        <f aca="false">discharge!D96</f>
        <v>0</v>
      </c>
      <c r="L98" s="2" t="n">
        <f aca="false">soc!D96/investment!$E$3 *100</f>
        <v>59.2159663743448</v>
      </c>
    </row>
    <row r="99" customFormat="false" ht="13.8" hidden="false" customHeight="false" outlineLevel="0" collapsed="false">
      <c r="B99" s="14" t="n">
        <f aca="false">_xlfn.NUMBERVALUE(solar!B96)</f>
        <v>0</v>
      </c>
      <c r="C99" s="15" t="n">
        <f aca="false">solar!C96</f>
        <v>0</v>
      </c>
      <c r="D99" s="9" t="n">
        <v>95</v>
      </c>
      <c r="E99" s="20" t="n">
        <f aca="false">IFERROR(INDEX($B$5:$C$173, MATCH($D99, $B$5:$B$175, 0), 2), 0)*investment!$C$3</f>
        <v>0</v>
      </c>
      <c r="F99" s="21" t="n">
        <f aca="false">demand!D97</f>
        <v>0</v>
      </c>
      <c r="G99" s="2" t="n">
        <f aca="false">solgen!D97</f>
        <v>0</v>
      </c>
      <c r="H99" s="2" t="n">
        <f aca="false">import!D97</f>
        <v>0</v>
      </c>
      <c r="I99" s="2" t="n">
        <f aca="false">-export!D97</f>
        <v>-0</v>
      </c>
      <c r="J99" s="2" t="n">
        <f aca="false">-charge!D97</f>
        <v>-0</v>
      </c>
      <c r="K99" s="2" t="n">
        <f aca="false">discharge!D97</f>
        <v>0</v>
      </c>
      <c r="L99" s="2" t="n">
        <f aca="false">soc!D97/investment!$E$3 *100</f>
        <v>56.9117550089487</v>
      </c>
    </row>
    <row r="100" customFormat="false" ht="13.8" hidden="false" customHeight="false" outlineLevel="0" collapsed="false">
      <c r="B100" s="14" t="n">
        <f aca="false">_xlfn.NUMBERVALUE(solar!B97)</f>
        <v>0</v>
      </c>
      <c r="C100" s="15" t="n">
        <f aca="false">solar!C97</f>
        <v>0</v>
      </c>
      <c r="D100" s="9" t="n">
        <v>96</v>
      </c>
      <c r="E100" s="20" t="n">
        <f aca="false">IFERROR(INDEX($B$5:$C$173, MATCH($D100, $B$5:$B$175, 0), 2), 0)*investment!$C$3</f>
        <v>0</v>
      </c>
      <c r="F100" s="21" t="n">
        <f aca="false">demand!D98</f>
        <v>0</v>
      </c>
      <c r="G100" s="2" t="n">
        <f aca="false">solgen!D98</f>
        <v>0</v>
      </c>
      <c r="H100" s="2" t="n">
        <f aca="false">import!D98</f>
        <v>0</v>
      </c>
      <c r="I100" s="2" t="n">
        <f aca="false">-export!D98</f>
        <v>-0</v>
      </c>
      <c r="J100" s="2" t="n">
        <f aca="false">-charge!D98</f>
        <v>-0</v>
      </c>
      <c r="K100" s="2" t="n">
        <f aca="false">discharge!D98</f>
        <v>0</v>
      </c>
      <c r="L100" s="2" t="n">
        <f aca="false">soc!D98/investment!$E$3 *100</f>
        <v>54.7611412993817</v>
      </c>
    </row>
    <row r="101" customFormat="false" ht="13.8" hidden="false" customHeight="false" outlineLevel="0" collapsed="false">
      <c r="B101" s="14" t="n">
        <f aca="false">_xlfn.NUMBERVALUE(solar!B98)</f>
        <v>0</v>
      </c>
      <c r="C101" s="15" t="n">
        <f aca="false">solar!C98</f>
        <v>0</v>
      </c>
      <c r="D101" s="9" t="n">
        <v>97</v>
      </c>
      <c r="E101" s="20" t="n">
        <f aca="false">IFERROR(INDEX($B$5:$C$173, MATCH($D101, $B$5:$B$175, 0), 2), 0)*investment!$C$3</f>
        <v>0</v>
      </c>
      <c r="F101" s="21" t="n">
        <f aca="false">demand!D99</f>
        <v>0</v>
      </c>
      <c r="G101" s="2" t="n">
        <f aca="false">solgen!D99</f>
        <v>0</v>
      </c>
      <c r="H101" s="2" t="n">
        <f aca="false">import!D99</f>
        <v>0</v>
      </c>
      <c r="I101" s="2" t="n">
        <f aca="false">-export!D99</f>
        <v>-0</v>
      </c>
      <c r="J101" s="2" t="n">
        <f aca="false">-charge!D99</f>
        <v>-0</v>
      </c>
      <c r="K101" s="2" t="n">
        <f aca="false">discharge!D99</f>
        <v>0</v>
      </c>
      <c r="L101" s="2" t="n">
        <f aca="false">soc!D99/investment!$E$3 *100</f>
        <v>52.4569744822363</v>
      </c>
    </row>
    <row r="102" customFormat="false" ht="13.8" hidden="false" customHeight="false" outlineLevel="0" collapsed="false">
      <c r="B102" s="14" t="n">
        <f aca="false">_xlfn.NUMBERVALUE(solar!B99)</f>
        <v>0</v>
      </c>
      <c r="C102" s="15" t="n">
        <f aca="false">solar!C99</f>
        <v>0</v>
      </c>
      <c r="D102" s="9" t="n">
        <v>98</v>
      </c>
      <c r="E102" s="20" t="n">
        <f aca="false">IFERROR(INDEX($B$5:$C$173, MATCH($D102, $B$5:$B$175, 0), 2), 0)*investment!$C$3</f>
        <v>0</v>
      </c>
      <c r="F102" s="21" t="n">
        <f aca="false">demand!D100</f>
        <v>0</v>
      </c>
      <c r="G102" s="2" t="n">
        <f aca="false">solgen!D100</f>
        <v>0</v>
      </c>
      <c r="H102" s="2" t="n">
        <f aca="false">import!D100</f>
        <v>0</v>
      </c>
      <c r="I102" s="2" t="n">
        <f aca="false">-export!D100</f>
        <v>-0</v>
      </c>
      <c r="J102" s="2" t="n">
        <f aca="false">-charge!D100</f>
        <v>-0</v>
      </c>
      <c r="K102" s="2" t="n">
        <f aca="false">discharge!D100</f>
        <v>0</v>
      </c>
      <c r="L102" s="2" t="n">
        <f aca="false">soc!D100/investment!$E$3 *100</f>
        <v>50.152830706759</v>
      </c>
    </row>
    <row r="103" customFormat="false" ht="13.8" hidden="false" customHeight="false" outlineLevel="0" collapsed="false">
      <c r="B103" s="14" t="n">
        <f aca="false">_xlfn.NUMBERVALUE(solar!B100)</f>
        <v>0</v>
      </c>
      <c r="C103" s="15" t="n">
        <f aca="false">solar!C100</f>
        <v>0</v>
      </c>
      <c r="D103" s="9" t="n">
        <v>99</v>
      </c>
      <c r="E103" s="20" t="n">
        <f aca="false">IFERROR(INDEX($B$5:$C$173, MATCH($D103, $B$5:$B$175, 0), 2), 0)*investment!$C$3</f>
        <v>0</v>
      </c>
      <c r="F103" s="21" t="n">
        <f aca="false">demand!D101</f>
        <v>0</v>
      </c>
      <c r="G103" s="2" t="n">
        <f aca="false">solgen!D101</f>
        <v>0</v>
      </c>
      <c r="H103" s="2" t="n">
        <f aca="false">import!D101</f>
        <v>0</v>
      </c>
      <c r="I103" s="2" t="n">
        <f aca="false">-export!D101</f>
        <v>-0</v>
      </c>
      <c r="J103" s="2" t="n">
        <f aca="false">-charge!D101</f>
        <v>-0</v>
      </c>
      <c r="K103" s="2" t="n">
        <f aca="false">discharge!D101</f>
        <v>0</v>
      </c>
      <c r="L103" s="2" t="n">
        <f aca="false">soc!D101/investment!$E$3 *100</f>
        <v>47.8487099727196</v>
      </c>
    </row>
    <row r="104" customFormat="false" ht="13.8" hidden="false" customHeight="false" outlineLevel="0" collapsed="false">
      <c r="B104" s="14" t="n">
        <f aca="false">_xlfn.NUMBERVALUE(solar!B101)</f>
        <v>0</v>
      </c>
      <c r="C104" s="15" t="n">
        <f aca="false">solar!C101</f>
        <v>0</v>
      </c>
      <c r="D104" s="9" t="n">
        <v>100</v>
      </c>
      <c r="E104" s="20" t="n">
        <f aca="false">IFERROR(INDEX($B$5:$C$173, MATCH($D104, $B$5:$B$175, 0), 2), 0)*investment!$C$3</f>
        <v>0</v>
      </c>
      <c r="F104" s="21" t="n">
        <f aca="false">demand!D102</f>
        <v>0</v>
      </c>
      <c r="G104" s="2" t="n">
        <f aca="false">solgen!D102</f>
        <v>0</v>
      </c>
      <c r="H104" s="2" t="n">
        <f aca="false">import!D102</f>
        <v>0</v>
      </c>
      <c r="I104" s="2" t="n">
        <f aca="false">-export!D102</f>
        <v>-0</v>
      </c>
      <c r="J104" s="2" t="n">
        <f aca="false">-charge!D102</f>
        <v>-0</v>
      </c>
      <c r="K104" s="2" t="n">
        <f aca="false">discharge!D102</f>
        <v>0</v>
      </c>
      <c r="L104" s="2" t="n">
        <f aca="false">soc!D102/investment!$E$3 *100</f>
        <v>45.5446122798874</v>
      </c>
    </row>
    <row r="105" customFormat="false" ht="13.8" hidden="false" customHeight="false" outlineLevel="0" collapsed="false">
      <c r="B105" s="14" t="n">
        <f aca="false">_xlfn.NUMBERVALUE(solar!B102)</f>
        <v>0</v>
      </c>
      <c r="C105" s="15" t="n">
        <f aca="false">solar!C102</f>
        <v>0</v>
      </c>
      <c r="D105" s="9" t="n">
        <v>101</v>
      </c>
      <c r="E105" s="20" t="n">
        <f aca="false">IFERROR(INDEX($B$5:$C$173, MATCH($D105, $B$5:$B$175, 0), 2), 0)*investment!$C$3</f>
        <v>0</v>
      </c>
      <c r="F105" s="21" t="n">
        <f aca="false">demand!D103</f>
        <v>0</v>
      </c>
      <c r="G105" s="2" t="n">
        <f aca="false">solgen!D103</f>
        <v>0</v>
      </c>
      <c r="H105" s="2" t="n">
        <f aca="false">import!D103</f>
        <v>0</v>
      </c>
      <c r="I105" s="2" t="n">
        <f aca="false">-export!D103</f>
        <v>-0</v>
      </c>
      <c r="J105" s="2" t="n">
        <f aca="false">-charge!D103</f>
        <v>-0</v>
      </c>
      <c r="K105" s="2" t="n">
        <f aca="false">discharge!D103</f>
        <v>0</v>
      </c>
      <c r="L105" s="2" t="n">
        <f aca="false">soc!D103/investment!$E$3 *100</f>
        <v>43.2405376280322</v>
      </c>
    </row>
    <row r="106" customFormat="false" ht="13.8" hidden="false" customHeight="false" outlineLevel="0" collapsed="false">
      <c r="B106" s="14" t="n">
        <f aca="false">_xlfn.NUMBERVALUE(solar!B103)</f>
        <v>0</v>
      </c>
      <c r="C106" s="15" t="n">
        <f aca="false">solar!C103</f>
        <v>0</v>
      </c>
      <c r="D106" s="9" t="n">
        <v>102</v>
      </c>
      <c r="E106" s="20" t="n">
        <f aca="false">IFERROR(INDEX($B$5:$C$173, MATCH($D106, $B$5:$B$175, 0), 2), 0)*investment!$C$3</f>
        <v>0</v>
      </c>
      <c r="F106" s="21" t="n">
        <f aca="false">demand!D104</f>
        <v>0</v>
      </c>
      <c r="G106" s="2" t="n">
        <f aca="false">solgen!D104</f>
        <v>0</v>
      </c>
      <c r="H106" s="2" t="n">
        <f aca="false">import!D104</f>
        <v>0</v>
      </c>
      <c r="I106" s="2" t="n">
        <f aca="false">-export!D104</f>
        <v>-0</v>
      </c>
      <c r="J106" s="2" t="n">
        <f aca="false">-charge!D104</f>
        <v>-0</v>
      </c>
      <c r="K106" s="2" t="n">
        <f aca="false">discharge!D104</f>
        <v>0</v>
      </c>
      <c r="L106" s="2" t="n">
        <f aca="false">soc!D104/investment!$E$3 *100</f>
        <v>40.9364860169235</v>
      </c>
    </row>
    <row r="107" customFormat="false" ht="13.8" hidden="false" customHeight="false" outlineLevel="0" collapsed="false">
      <c r="B107" s="14" t="n">
        <f aca="false">_xlfn.NUMBERVALUE(solar!B104)</f>
        <v>0</v>
      </c>
      <c r="C107" s="15" t="n">
        <f aca="false">solar!C104</f>
        <v>0</v>
      </c>
      <c r="D107" s="9" t="n">
        <v>103</v>
      </c>
      <c r="E107" s="20" t="n">
        <f aca="false">IFERROR(INDEX($B$5:$C$173, MATCH($D107, $B$5:$B$175, 0), 2), 0)*investment!$C$3</f>
        <v>0</v>
      </c>
      <c r="F107" s="21" t="n">
        <f aca="false">demand!D105</f>
        <v>0</v>
      </c>
      <c r="G107" s="2" t="n">
        <f aca="false">solgen!D105</f>
        <v>0</v>
      </c>
      <c r="H107" s="2" t="n">
        <f aca="false">import!D105</f>
        <v>0</v>
      </c>
      <c r="I107" s="2" t="n">
        <f aca="false">-export!D105</f>
        <v>-0</v>
      </c>
      <c r="J107" s="2" t="n">
        <f aca="false">-charge!D105</f>
        <v>-0</v>
      </c>
      <c r="K107" s="2" t="n">
        <f aca="false">discharge!D105</f>
        <v>0</v>
      </c>
      <c r="L107" s="2" t="n">
        <f aca="false">soc!D105/investment!$E$3 *100</f>
        <v>38.632457446331</v>
      </c>
    </row>
    <row r="108" customFormat="false" ht="13.8" hidden="false" customHeight="false" outlineLevel="0" collapsed="false">
      <c r="B108" s="14" t="n">
        <f aca="false">_xlfn.NUMBERVALUE(solar!B105)</f>
        <v>0</v>
      </c>
      <c r="C108" s="15" t="n">
        <f aca="false">solar!C105</f>
        <v>0</v>
      </c>
      <c r="D108" s="9" t="n">
        <v>104</v>
      </c>
      <c r="E108" s="20" t="n">
        <f aca="false">IFERROR(INDEX($B$5:$C$173, MATCH($D108, $B$5:$B$175, 0), 2), 0)*investment!$C$3</f>
        <v>0</v>
      </c>
      <c r="F108" s="21" t="n">
        <f aca="false">demand!D106</f>
        <v>0</v>
      </c>
      <c r="G108" s="2" t="n">
        <f aca="false">solgen!D106</f>
        <v>0</v>
      </c>
      <c r="H108" s="2" t="n">
        <f aca="false">import!D106</f>
        <v>0</v>
      </c>
      <c r="I108" s="2" t="n">
        <f aca="false">-export!D106</f>
        <v>-0</v>
      </c>
      <c r="J108" s="2" t="n">
        <f aca="false">-charge!D106</f>
        <v>-0</v>
      </c>
      <c r="K108" s="2" t="n">
        <f aca="false">discharge!D106</f>
        <v>0</v>
      </c>
      <c r="L108" s="2" t="n">
        <f aca="false">soc!D106/investment!$E$3 *100</f>
        <v>36.3284519160241</v>
      </c>
    </row>
    <row r="109" customFormat="false" ht="13.8" hidden="false" customHeight="false" outlineLevel="0" collapsed="false">
      <c r="B109" s="14" t="n">
        <f aca="false">_xlfn.NUMBERVALUE(solar!B106)</f>
        <v>0</v>
      </c>
      <c r="C109" s="15" t="n">
        <f aca="false">solar!C106</f>
        <v>0</v>
      </c>
      <c r="D109" s="9" t="n">
        <v>105</v>
      </c>
      <c r="E109" s="20" t="n">
        <f aca="false">IFERROR(INDEX($B$5:$C$173, MATCH($D109, $B$5:$B$175, 0), 2), 0)*investment!$C$3</f>
        <v>0</v>
      </c>
      <c r="F109" s="21" t="n">
        <f aca="false">demand!D107</f>
        <v>0</v>
      </c>
      <c r="G109" s="2" t="n">
        <f aca="false">solgen!D107</f>
        <v>0</v>
      </c>
      <c r="H109" s="2" t="n">
        <f aca="false">import!D107</f>
        <v>0</v>
      </c>
      <c r="I109" s="2" t="n">
        <f aca="false">-export!D107</f>
        <v>-0</v>
      </c>
      <c r="J109" s="2" t="n">
        <f aca="false">-charge!D107</f>
        <v>-0</v>
      </c>
      <c r="K109" s="2" t="n">
        <f aca="false">discharge!D107</f>
        <v>0</v>
      </c>
      <c r="L109" s="2" t="n">
        <f aca="false">soc!D107/investment!$E$3 *100</f>
        <v>34.0244694257725</v>
      </c>
    </row>
    <row r="110" customFormat="false" ht="13.8" hidden="false" customHeight="false" outlineLevel="0" collapsed="false">
      <c r="B110" s="14" t="n">
        <f aca="false">_xlfn.NUMBERVALUE(solar!B107)</f>
        <v>0</v>
      </c>
      <c r="C110" s="15" t="n">
        <f aca="false">solar!C107</f>
        <v>0</v>
      </c>
      <c r="D110" s="9" t="n">
        <v>106</v>
      </c>
      <c r="E110" s="20" t="n">
        <f aca="false">IFERROR(INDEX($B$5:$C$173, MATCH($D110, $B$5:$B$175, 0), 2), 0)*investment!$C$3</f>
        <v>0</v>
      </c>
      <c r="F110" s="21" t="n">
        <f aca="false">demand!D108</f>
        <v>0</v>
      </c>
      <c r="G110" s="2" t="n">
        <f aca="false">solgen!D108</f>
        <v>0</v>
      </c>
      <c r="H110" s="2" t="n">
        <f aca="false">import!D108</f>
        <v>0</v>
      </c>
      <c r="I110" s="2" t="n">
        <f aca="false">-export!D108</f>
        <v>-0</v>
      </c>
      <c r="J110" s="2" t="n">
        <f aca="false">-charge!D108</f>
        <v>-0</v>
      </c>
      <c r="K110" s="2" t="n">
        <f aca="false">discharge!D108</f>
        <v>0</v>
      </c>
      <c r="L110" s="2" t="n">
        <f aca="false">soc!D108/investment!$E$3 *100</f>
        <v>31.7205099753459</v>
      </c>
    </row>
    <row r="111" customFormat="false" ht="13.8" hidden="false" customHeight="false" outlineLevel="0" collapsed="false">
      <c r="B111" s="14" t="n">
        <f aca="false">_xlfn.NUMBERVALUE(solar!B108)</f>
        <v>0</v>
      </c>
      <c r="C111" s="15" t="n">
        <f aca="false">solar!C108</f>
        <v>0</v>
      </c>
      <c r="D111" s="9" t="n">
        <v>107</v>
      </c>
      <c r="E111" s="20" t="n">
        <f aca="false">IFERROR(INDEX($B$5:$C$173, MATCH($D111, $B$5:$B$175, 0), 2), 0)*investment!$C$3</f>
        <v>0</v>
      </c>
      <c r="F111" s="21" t="n">
        <f aca="false">demand!D109</f>
        <v>0</v>
      </c>
      <c r="G111" s="2" t="n">
        <f aca="false">solgen!D109</f>
        <v>0</v>
      </c>
      <c r="H111" s="2" t="n">
        <f aca="false">import!D109</f>
        <v>0</v>
      </c>
      <c r="I111" s="2" t="n">
        <f aca="false">-export!D109</f>
        <v>-0</v>
      </c>
      <c r="J111" s="2" t="n">
        <f aca="false">-charge!D109</f>
        <v>-0</v>
      </c>
      <c r="K111" s="2" t="n">
        <f aca="false">discharge!D109</f>
        <v>0</v>
      </c>
      <c r="L111" s="2" t="n">
        <f aca="false">soc!D109/investment!$E$3 *100</f>
        <v>29.4165735645137</v>
      </c>
    </row>
    <row r="112" customFormat="false" ht="13.8" hidden="false" customHeight="false" outlineLevel="0" collapsed="false">
      <c r="B112" s="14" t="n">
        <f aca="false">_xlfn.NUMBERVALUE(solar!B109)</f>
        <v>0</v>
      </c>
      <c r="C112" s="15" t="n">
        <f aca="false">solar!C109</f>
        <v>0</v>
      </c>
      <c r="D112" s="9" t="n">
        <v>108</v>
      </c>
      <c r="E112" s="20" t="n">
        <f aca="false">IFERROR(INDEX($B$5:$C$173, MATCH($D112, $B$5:$B$175, 0), 2), 0)*investment!$C$3</f>
        <v>0</v>
      </c>
      <c r="F112" s="21" t="n">
        <f aca="false">demand!D110</f>
        <v>0</v>
      </c>
      <c r="G112" s="2" t="n">
        <f aca="false">solgen!D110</f>
        <v>0</v>
      </c>
      <c r="H112" s="2" t="n">
        <f aca="false">import!D110</f>
        <v>0</v>
      </c>
      <c r="I112" s="2" t="n">
        <f aca="false">-export!D110</f>
        <v>-0</v>
      </c>
      <c r="J112" s="2" t="n">
        <f aca="false">-charge!D110</f>
        <v>-0</v>
      </c>
      <c r="K112" s="2" t="n">
        <f aca="false">discharge!D110</f>
        <v>0</v>
      </c>
      <c r="L112" s="2" t="n">
        <f aca="false">soc!D110/investment!$E$3 *100</f>
        <v>27.1126601930457</v>
      </c>
    </row>
    <row r="113" customFormat="false" ht="13.8" hidden="false" customHeight="false" outlineLevel="0" collapsed="false">
      <c r="B113" s="14" t="n">
        <f aca="false">_xlfn.NUMBERVALUE(solar!B110)</f>
        <v>0</v>
      </c>
      <c r="C113" s="15" t="n">
        <f aca="false">solar!C110</f>
        <v>0</v>
      </c>
      <c r="D113" s="9" t="n">
        <v>109</v>
      </c>
      <c r="E113" s="20" t="n">
        <f aca="false">IFERROR(INDEX($B$5:$C$173, MATCH($D113, $B$5:$B$175, 0), 2), 0)*investment!$C$3</f>
        <v>0</v>
      </c>
      <c r="F113" s="21" t="n">
        <f aca="false">demand!D111</f>
        <v>0</v>
      </c>
      <c r="G113" s="2" t="n">
        <f aca="false">solgen!D111</f>
        <v>0</v>
      </c>
      <c r="H113" s="2" t="n">
        <f aca="false">import!D111</f>
        <v>0</v>
      </c>
      <c r="I113" s="2" t="n">
        <f aca="false">-export!D111</f>
        <v>-0</v>
      </c>
      <c r="J113" s="2" t="n">
        <f aca="false">-charge!D111</f>
        <v>-0</v>
      </c>
      <c r="K113" s="2" t="n">
        <f aca="false">discharge!D111</f>
        <v>0</v>
      </c>
      <c r="L113" s="2" t="n">
        <f aca="false">soc!D111/investment!$E$3 *100</f>
        <v>24.8087698607113</v>
      </c>
    </row>
    <row r="114" customFormat="false" ht="13.8" hidden="false" customHeight="false" outlineLevel="0" collapsed="false">
      <c r="B114" s="14" t="n">
        <f aca="false">_xlfn.NUMBERVALUE(solar!B111)</f>
        <v>0</v>
      </c>
      <c r="C114" s="15" t="n">
        <f aca="false">solar!C111</f>
        <v>0</v>
      </c>
      <c r="D114" s="9" t="n">
        <v>110</v>
      </c>
      <c r="E114" s="20" t="n">
        <f aca="false">IFERROR(INDEX($B$5:$C$173, MATCH($D114, $B$5:$B$175, 0), 2), 0)*investment!$C$3</f>
        <v>0</v>
      </c>
      <c r="F114" s="21" t="n">
        <f aca="false">demand!D112</f>
        <v>0</v>
      </c>
      <c r="G114" s="2" t="n">
        <f aca="false">solgen!D112</f>
        <v>0</v>
      </c>
      <c r="H114" s="2" t="n">
        <f aca="false">import!D112</f>
        <v>0</v>
      </c>
      <c r="I114" s="2" t="n">
        <f aca="false">-export!D112</f>
        <v>-0</v>
      </c>
      <c r="J114" s="2" t="n">
        <f aca="false">-charge!D112</f>
        <v>-0</v>
      </c>
      <c r="K114" s="2" t="n">
        <f aca="false">discharge!D112</f>
        <v>0</v>
      </c>
      <c r="L114" s="2" t="n">
        <f aca="false">soc!D112/investment!$E$3 *100</f>
        <v>22.5049025672803</v>
      </c>
    </row>
    <row r="115" customFormat="false" ht="13.8" hidden="false" customHeight="false" outlineLevel="0" collapsed="false">
      <c r="B115" s="14" t="n">
        <f aca="false">_xlfn.NUMBERVALUE(solar!B112)</f>
        <v>0</v>
      </c>
      <c r="C115" s="15" t="n">
        <f aca="false">solar!C112</f>
        <v>0</v>
      </c>
      <c r="D115" s="9" t="n">
        <v>111</v>
      </c>
      <c r="E115" s="20" t="n">
        <f aca="false">IFERROR(INDEX($B$5:$C$173, MATCH($D115, $B$5:$B$175, 0), 2), 0)*investment!$C$3</f>
        <v>0</v>
      </c>
      <c r="F115" s="21" t="n">
        <f aca="false">demand!D113</f>
        <v>0</v>
      </c>
      <c r="G115" s="2" t="n">
        <f aca="false">solgen!D113</f>
        <v>0</v>
      </c>
      <c r="H115" s="2" t="n">
        <f aca="false">import!D113</f>
        <v>0</v>
      </c>
      <c r="I115" s="2" t="n">
        <f aca="false">-export!D113</f>
        <v>-0</v>
      </c>
      <c r="J115" s="2" t="n">
        <f aca="false">-charge!D113</f>
        <v>-0</v>
      </c>
      <c r="K115" s="2" t="n">
        <f aca="false">discharge!D113</f>
        <v>0</v>
      </c>
      <c r="L115" s="2" t="n">
        <f aca="false">soc!D113/investment!$E$3 *100</f>
        <v>20.2010583125222</v>
      </c>
    </row>
    <row r="116" customFormat="false" ht="13.8" hidden="false" customHeight="false" outlineLevel="0" collapsed="false">
      <c r="B116" s="14" t="n">
        <f aca="false">_xlfn.NUMBERVALUE(solar!B113)</f>
        <v>0</v>
      </c>
      <c r="C116" s="15" t="n">
        <f aca="false">solar!C113</f>
        <v>0</v>
      </c>
      <c r="D116" s="9" t="n">
        <v>112</v>
      </c>
      <c r="E116" s="20" t="n">
        <f aca="false">IFERROR(INDEX($B$5:$C$173, MATCH($D116, $B$5:$B$175, 0), 2), 0)*investment!$C$3</f>
        <v>0</v>
      </c>
      <c r="F116" s="21" t="n">
        <f aca="false">demand!D114</f>
        <v>0</v>
      </c>
      <c r="G116" s="2" t="n">
        <f aca="false">solgen!D114</f>
        <v>0</v>
      </c>
      <c r="H116" s="2" t="n">
        <f aca="false">import!D114</f>
        <v>0</v>
      </c>
      <c r="I116" s="2" t="n">
        <f aca="false">-export!D114</f>
        <v>-0</v>
      </c>
      <c r="J116" s="2" t="n">
        <f aca="false">-charge!D114</f>
        <v>-0</v>
      </c>
      <c r="K116" s="2" t="n">
        <f aca="false">discharge!D114</f>
        <v>0</v>
      </c>
      <c r="L116" s="2" t="n">
        <f aca="false">soc!D114/investment!$E$3 *100</f>
        <v>17.8972370962067</v>
      </c>
    </row>
    <row r="117" customFormat="false" ht="13.8" hidden="false" customHeight="false" outlineLevel="0" collapsed="false">
      <c r="B117" s="14" t="n">
        <f aca="false">_xlfn.NUMBERVALUE(solar!B114)</f>
        <v>0</v>
      </c>
      <c r="C117" s="15" t="n">
        <f aca="false">solar!C114</f>
        <v>0</v>
      </c>
      <c r="D117" s="9" t="n">
        <v>113</v>
      </c>
      <c r="E117" s="20" t="n">
        <f aca="false">IFERROR(INDEX($B$5:$C$173, MATCH($D117, $B$5:$B$175, 0), 2), 0)*investment!$C$3</f>
        <v>0</v>
      </c>
      <c r="F117" s="21" t="n">
        <f aca="false">demand!D115</f>
        <v>0</v>
      </c>
      <c r="G117" s="2" t="n">
        <f aca="false">solgen!D115</f>
        <v>0</v>
      </c>
      <c r="H117" s="2" t="n">
        <f aca="false">import!D115</f>
        <v>0</v>
      </c>
      <c r="I117" s="2" t="n">
        <f aca="false">-export!D115</f>
        <v>-0</v>
      </c>
      <c r="J117" s="2" t="n">
        <f aca="false">-charge!D115</f>
        <v>-0</v>
      </c>
      <c r="K117" s="2" t="n">
        <f aca="false">discharge!D115</f>
        <v>0</v>
      </c>
      <c r="L117" s="2" t="n">
        <f aca="false">soc!D115/investment!$E$3 *100</f>
        <v>15.5934389181033</v>
      </c>
    </row>
    <row r="118" customFormat="false" ht="13.8" hidden="false" customHeight="false" outlineLevel="0" collapsed="false">
      <c r="B118" s="14" t="n">
        <f aca="false">_xlfn.NUMBERVALUE(solar!B115)</f>
        <v>0</v>
      </c>
      <c r="C118" s="15" t="n">
        <f aca="false">solar!C115</f>
        <v>0</v>
      </c>
      <c r="D118" s="9" t="n">
        <v>114</v>
      </c>
      <c r="E118" s="20" t="n">
        <f aca="false">IFERROR(INDEX($B$5:$C$173, MATCH($D118, $B$5:$B$175, 0), 2), 0)*investment!$C$3</f>
        <v>0</v>
      </c>
      <c r="F118" s="21" t="n">
        <f aca="false">demand!D116</f>
        <v>0</v>
      </c>
      <c r="G118" s="2" t="n">
        <f aca="false">solgen!D116</f>
        <v>0</v>
      </c>
      <c r="H118" s="2" t="n">
        <f aca="false">import!D116</f>
        <v>0</v>
      </c>
      <c r="I118" s="2" t="n">
        <f aca="false">-export!D116</f>
        <v>-0</v>
      </c>
      <c r="J118" s="2" t="n">
        <f aca="false">-charge!D116</f>
        <v>-0</v>
      </c>
      <c r="K118" s="2" t="n">
        <f aca="false">discharge!D116</f>
        <v>0</v>
      </c>
      <c r="L118" s="2" t="n">
        <f aca="false">soc!D116/investment!$E$3 *100</f>
        <v>13.2896637779817</v>
      </c>
    </row>
    <row r="119" customFormat="false" ht="13.8" hidden="false" customHeight="false" outlineLevel="0" collapsed="false">
      <c r="B119" s="14" t="n">
        <f aca="false">_xlfn.NUMBERVALUE(solar!B116)</f>
        <v>0</v>
      </c>
      <c r="C119" s="15" t="n">
        <f aca="false">solar!C116</f>
        <v>0</v>
      </c>
      <c r="D119" s="9" t="n">
        <v>115</v>
      </c>
      <c r="E119" s="20" t="n">
        <f aca="false">IFERROR(INDEX($B$5:$C$173, MATCH($D119, $B$5:$B$175, 0), 2), 0)*investment!$C$3</f>
        <v>0</v>
      </c>
      <c r="F119" s="21" t="n">
        <f aca="false">demand!D117</f>
        <v>0</v>
      </c>
      <c r="G119" s="2" t="n">
        <f aca="false">solgen!D117</f>
        <v>0</v>
      </c>
      <c r="H119" s="2" t="n">
        <f aca="false">import!D117</f>
        <v>0</v>
      </c>
      <c r="I119" s="2" t="n">
        <f aca="false">-export!D117</f>
        <v>-0</v>
      </c>
      <c r="J119" s="2" t="n">
        <f aca="false">-charge!D117</f>
        <v>-0</v>
      </c>
      <c r="K119" s="2" t="n">
        <f aca="false">discharge!D117</f>
        <v>0</v>
      </c>
      <c r="L119" s="2" t="n">
        <f aca="false">soc!D117/investment!$E$3 *100</f>
        <v>10.9859116756115</v>
      </c>
    </row>
    <row r="120" customFormat="false" ht="13.8" hidden="false" customHeight="false" outlineLevel="0" collapsed="false">
      <c r="B120" s="14" t="n">
        <f aca="false">_xlfn.NUMBERVALUE(solar!B117)</f>
        <v>0</v>
      </c>
      <c r="C120" s="15" t="n">
        <f aca="false">solar!C117</f>
        <v>0</v>
      </c>
      <c r="D120" s="9" t="n">
        <v>116</v>
      </c>
      <c r="E120" s="20" t="n">
        <f aca="false">IFERROR(INDEX($B$5:$C$173, MATCH($D120, $B$5:$B$175, 0), 2), 0)*investment!$C$3</f>
        <v>0</v>
      </c>
      <c r="F120" s="21" t="n">
        <f aca="false">demand!D118</f>
        <v>0</v>
      </c>
      <c r="G120" s="2" t="n">
        <f aca="false">solgen!D118</f>
        <v>0</v>
      </c>
      <c r="H120" s="2" t="n">
        <f aca="false">import!D118</f>
        <v>0</v>
      </c>
      <c r="I120" s="2" t="n">
        <f aca="false">-export!D118</f>
        <v>-0</v>
      </c>
      <c r="J120" s="2" t="n">
        <f aca="false">-charge!D118</f>
        <v>-0</v>
      </c>
      <c r="K120" s="2" t="n">
        <f aca="false">discharge!D118</f>
        <v>0</v>
      </c>
      <c r="L120" s="2" t="n">
        <f aca="false">soc!D118/investment!$E$3 *100</f>
        <v>8.68218261076239</v>
      </c>
    </row>
    <row r="121" customFormat="false" ht="13.8" hidden="false" customHeight="false" outlineLevel="0" collapsed="false">
      <c r="B121" s="14" t="n">
        <f aca="false">_xlfn.NUMBERVALUE(solar!B118)</f>
        <v>0</v>
      </c>
      <c r="C121" s="15" t="n">
        <f aca="false">solar!C118</f>
        <v>0</v>
      </c>
      <c r="D121" s="9" t="n">
        <v>117</v>
      </c>
      <c r="E121" s="20" t="n">
        <f aca="false">IFERROR(INDEX($B$5:$C$173, MATCH($D121, $B$5:$B$175, 0), 2), 0)*investment!$C$3</f>
        <v>0</v>
      </c>
      <c r="F121" s="21" t="n">
        <f aca="false">demand!D119</f>
        <v>0</v>
      </c>
      <c r="G121" s="2" t="n">
        <f aca="false">solgen!D119</f>
        <v>0</v>
      </c>
      <c r="H121" s="2" t="n">
        <f aca="false">import!D119</f>
        <v>0</v>
      </c>
      <c r="I121" s="2" t="n">
        <f aca="false">-export!D119</f>
        <v>-0</v>
      </c>
      <c r="J121" s="2" t="n">
        <f aca="false">-charge!D119</f>
        <v>-0</v>
      </c>
      <c r="K121" s="2" t="n">
        <f aca="false">discharge!D119</f>
        <v>0</v>
      </c>
      <c r="L121" s="2" t="n">
        <f aca="false">soc!D119/investment!$E$3 *100</f>
        <v>6.37847658320387</v>
      </c>
    </row>
    <row r="122" customFormat="false" ht="13.8" hidden="false" customHeight="false" outlineLevel="0" collapsed="false">
      <c r="B122" s="14" t="n">
        <f aca="false">_xlfn.NUMBERVALUE(solar!B119)</f>
        <v>0</v>
      </c>
      <c r="C122" s="15" t="n">
        <f aca="false">solar!C119</f>
        <v>0</v>
      </c>
      <c r="D122" s="9" t="n">
        <v>118</v>
      </c>
      <c r="E122" s="20" t="n">
        <f aca="false">IFERROR(INDEX($B$5:$C$173, MATCH($D122, $B$5:$B$175, 0), 2), 0)*investment!$C$3</f>
        <v>0</v>
      </c>
      <c r="F122" s="21" t="n">
        <f aca="false">demand!D120</f>
        <v>0</v>
      </c>
      <c r="G122" s="2" t="n">
        <f aca="false">solgen!D120</f>
        <v>0</v>
      </c>
      <c r="H122" s="2" t="n">
        <f aca="false">import!D120</f>
        <v>0</v>
      </c>
      <c r="I122" s="2" t="n">
        <f aca="false">-export!D120</f>
        <v>-0</v>
      </c>
      <c r="J122" s="2" t="n">
        <f aca="false">-charge!D120</f>
        <v>-0</v>
      </c>
      <c r="K122" s="2" t="n">
        <f aca="false">discharge!D120</f>
        <v>0</v>
      </c>
      <c r="L122" s="2" t="n">
        <f aca="false">soc!D120/investment!$E$3 *100</f>
        <v>4.16429442985684</v>
      </c>
    </row>
    <row r="123" customFormat="false" ht="13.8" hidden="false" customHeight="false" outlineLevel="0" collapsed="false">
      <c r="B123" s="14" t="n">
        <f aca="false">_xlfn.NUMBERVALUE(solar!B120)</f>
        <v>0</v>
      </c>
      <c r="C123" s="15" t="n">
        <f aca="false">solar!C120</f>
        <v>0</v>
      </c>
      <c r="D123" s="9" t="n">
        <v>119</v>
      </c>
      <c r="E123" s="20" t="n">
        <f aca="false">IFERROR(INDEX($B$5:$C$173, MATCH($D123, $B$5:$B$175, 0), 2), 0)*investment!$C$3</f>
        <v>0</v>
      </c>
      <c r="F123" s="21" t="n">
        <f aca="false">demand!D121</f>
        <v>0</v>
      </c>
      <c r="G123" s="2" t="n">
        <f aca="false">solgen!D121</f>
        <v>0</v>
      </c>
      <c r="H123" s="2" t="n">
        <f aca="false">import!D121</f>
        <v>0</v>
      </c>
      <c r="I123" s="2" t="n">
        <f aca="false">-export!D121</f>
        <v>-0</v>
      </c>
      <c r="J123" s="2" t="n">
        <f aca="false">-charge!D121</f>
        <v>-0</v>
      </c>
      <c r="K123" s="2" t="n">
        <f aca="false">discharge!D121</f>
        <v>0</v>
      </c>
      <c r="L123" s="2" t="n">
        <f aca="false">soc!D121/investment!$E$3 *100</f>
        <v>2.03963525548254</v>
      </c>
    </row>
    <row r="124" customFormat="false" ht="13.8" hidden="false" customHeight="false" outlineLevel="0" collapsed="false">
      <c r="B124" s="14" t="n">
        <f aca="false">_xlfn.NUMBERVALUE(solar!B121)</f>
        <v>0</v>
      </c>
      <c r="C124" s="15" t="n">
        <f aca="false">solar!C121</f>
        <v>0</v>
      </c>
      <c r="D124" s="9" t="n">
        <v>120</v>
      </c>
      <c r="E124" s="20" t="n">
        <f aca="false">IFERROR(INDEX($B$5:$C$173, MATCH($D124, $B$5:$B$175, 0), 2), 0)*investment!$C$3</f>
        <v>0</v>
      </c>
      <c r="F124" s="21" t="n">
        <f aca="false">demand!D122</f>
        <v>0</v>
      </c>
      <c r="G124" s="2" t="n">
        <f aca="false">solgen!D122</f>
        <v>0</v>
      </c>
      <c r="H124" s="2" t="n">
        <f aca="false">import!D122</f>
        <v>0</v>
      </c>
      <c r="I124" s="2" t="n">
        <f aca="false">-export!D122</f>
        <v>-0</v>
      </c>
      <c r="J124" s="2" t="n">
        <f aca="false">-charge!D122</f>
        <v>-0</v>
      </c>
      <c r="K124" s="2" t="n">
        <f aca="false">discharge!D122</f>
        <v>0</v>
      </c>
      <c r="L124" s="2" t="n">
        <f aca="false">soc!D122/investment!$E$3 *100</f>
        <v>0</v>
      </c>
    </row>
    <row r="125" customFormat="false" ht="13.8" hidden="false" customHeight="false" outlineLevel="0" collapsed="false">
      <c r="B125" s="14" t="n">
        <f aca="false">_xlfn.NUMBERVALUE(solar!B122)</f>
        <v>0</v>
      </c>
      <c r="C125" s="15" t="n">
        <f aca="false">solar!C122</f>
        <v>0</v>
      </c>
      <c r="D125" s="9" t="n">
        <v>121</v>
      </c>
      <c r="E125" s="20" t="n">
        <f aca="false">IFERROR(INDEX($B$5:$C$173, MATCH($D125, $B$5:$B$175, 0), 2), 0)*investment!$C$3</f>
        <v>0</v>
      </c>
      <c r="F125" s="21" t="n">
        <f aca="false">demand!D123</f>
        <v>0</v>
      </c>
      <c r="G125" s="2" t="n">
        <f aca="false">solgen!D123</f>
        <v>0</v>
      </c>
      <c r="H125" s="2" t="n">
        <f aca="false">import!D123</f>
        <v>0</v>
      </c>
      <c r="I125" s="2" t="n">
        <f aca="false">-export!D123</f>
        <v>-0</v>
      </c>
      <c r="J125" s="2" t="n">
        <f aca="false">-charge!D123</f>
        <v>-0</v>
      </c>
      <c r="K125" s="2" t="n">
        <f aca="false">discharge!D123</f>
        <v>0</v>
      </c>
      <c r="L125" s="2" t="n">
        <f aca="false">soc!D123/investment!$E$3 *100</f>
        <v>1.76002303324649E-010</v>
      </c>
    </row>
    <row r="126" customFormat="false" ht="13.8" hidden="false" customHeight="false" outlineLevel="0" collapsed="false">
      <c r="B126" s="14" t="n">
        <f aca="false">_xlfn.NUMBERVALUE(solar!B123)</f>
        <v>0</v>
      </c>
      <c r="C126" s="15" t="n">
        <f aca="false">solar!C123</f>
        <v>0</v>
      </c>
      <c r="D126" s="9" t="n">
        <v>122</v>
      </c>
      <c r="E126" s="20" t="n">
        <f aca="false">IFERROR(INDEX($B$5:$C$173, MATCH($D126, $B$5:$B$175, 0), 2), 0)*investment!$C$3</f>
        <v>0</v>
      </c>
      <c r="F126" s="21" t="n">
        <f aca="false">demand!D124</f>
        <v>0</v>
      </c>
      <c r="G126" s="2" t="n">
        <f aca="false">solgen!D124</f>
        <v>0</v>
      </c>
      <c r="H126" s="2" t="n">
        <f aca="false">import!D124</f>
        <v>0</v>
      </c>
      <c r="I126" s="2" t="n">
        <f aca="false">-export!D124</f>
        <v>-0</v>
      </c>
      <c r="J126" s="2" t="n">
        <f aca="false">-charge!D124</f>
        <v>-0</v>
      </c>
      <c r="K126" s="2" t="n">
        <f aca="false">discharge!D124</f>
        <v>0</v>
      </c>
      <c r="L126" s="2" t="n">
        <f aca="false">soc!D124/investment!$E$3 *100</f>
        <v>0</v>
      </c>
    </row>
    <row r="127" customFormat="false" ht="13.8" hidden="false" customHeight="false" outlineLevel="0" collapsed="false">
      <c r="B127" s="14" t="n">
        <f aca="false">_xlfn.NUMBERVALUE(solar!B124)</f>
        <v>0</v>
      </c>
      <c r="C127" s="15" t="n">
        <f aca="false">solar!C124</f>
        <v>0</v>
      </c>
      <c r="D127" s="9" t="n">
        <v>123</v>
      </c>
      <c r="E127" s="20" t="n">
        <f aca="false">IFERROR(INDEX($B$5:$C$173, MATCH($D127, $B$5:$B$175, 0), 2), 0)*investment!$C$3</f>
        <v>0</v>
      </c>
      <c r="F127" s="21" t="n">
        <f aca="false">demand!D125</f>
        <v>0</v>
      </c>
      <c r="G127" s="2" t="n">
        <f aca="false">solgen!D125</f>
        <v>0</v>
      </c>
      <c r="H127" s="2" t="n">
        <f aca="false">import!D125</f>
        <v>0</v>
      </c>
      <c r="I127" s="2" t="n">
        <f aca="false">-export!D125</f>
        <v>-0</v>
      </c>
      <c r="J127" s="2" t="n">
        <f aca="false">-charge!D125</f>
        <v>-0</v>
      </c>
      <c r="K127" s="2" t="n">
        <f aca="false">discharge!D125</f>
        <v>0</v>
      </c>
      <c r="L127" s="2" t="n">
        <f aca="false">soc!D125/investment!$E$3 *100</f>
        <v>0.859374292076612</v>
      </c>
    </row>
    <row r="128" customFormat="false" ht="13.8" hidden="false" customHeight="false" outlineLevel="0" collapsed="false">
      <c r="B128" s="14" t="n">
        <f aca="false">_xlfn.NUMBERVALUE(solar!B125)</f>
        <v>0</v>
      </c>
      <c r="C128" s="15" t="n">
        <f aca="false">solar!C125</f>
        <v>0</v>
      </c>
      <c r="D128" s="9" t="n">
        <v>124</v>
      </c>
      <c r="E128" s="20" t="n">
        <f aca="false">IFERROR(INDEX($B$5:$C$173, MATCH($D128, $B$5:$B$175, 0), 2), 0)*investment!$C$3</f>
        <v>0</v>
      </c>
      <c r="F128" s="21" t="n">
        <f aca="false">demand!D126</f>
        <v>0</v>
      </c>
      <c r="G128" s="2" t="n">
        <f aca="false">solgen!D126</f>
        <v>0</v>
      </c>
      <c r="H128" s="2" t="n">
        <f aca="false">import!D126</f>
        <v>0</v>
      </c>
      <c r="I128" s="2" t="n">
        <f aca="false">-export!D126</f>
        <v>-0</v>
      </c>
      <c r="J128" s="2" t="n">
        <f aca="false">-charge!D126</f>
        <v>-0</v>
      </c>
      <c r="K128" s="2" t="n">
        <f aca="false">discharge!D126</f>
        <v>0</v>
      </c>
      <c r="L128" s="2" t="n">
        <f aca="false">soc!D126/investment!$E$3 *100</f>
        <v>0.859365698333691</v>
      </c>
    </row>
    <row r="129" customFormat="false" ht="13.8" hidden="false" customHeight="false" outlineLevel="0" collapsed="false">
      <c r="B129" s="14" t="n">
        <f aca="false">_xlfn.NUMBERVALUE(solar!B126)</f>
        <v>0</v>
      </c>
      <c r="C129" s="15" t="n">
        <f aca="false">solar!C126</f>
        <v>0</v>
      </c>
      <c r="D129" s="9" t="n">
        <v>125</v>
      </c>
      <c r="E129" s="20" t="n">
        <f aca="false">IFERROR(INDEX($B$5:$C$173, MATCH($D129, $B$5:$B$175, 0), 2), 0)*investment!$C$3</f>
        <v>0</v>
      </c>
      <c r="F129" s="21" t="n">
        <f aca="false">demand!D127</f>
        <v>0</v>
      </c>
      <c r="G129" s="2" t="n">
        <f aca="false">solgen!D127</f>
        <v>0</v>
      </c>
      <c r="H129" s="2" t="n">
        <f aca="false">import!D127</f>
        <v>0</v>
      </c>
      <c r="I129" s="2" t="n">
        <f aca="false">-export!D127</f>
        <v>-0</v>
      </c>
      <c r="J129" s="2" t="n">
        <f aca="false">-charge!D127</f>
        <v>-0</v>
      </c>
      <c r="K129" s="2" t="n">
        <f aca="false">discharge!D127</f>
        <v>0</v>
      </c>
      <c r="L129" s="2" t="n">
        <f aca="false">soc!D127/investment!$E$3 *100</f>
        <v>2.28812297646003</v>
      </c>
    </row>
    <row r="130" customFormat="false" ht="13.8" hidden="false" customHeight="false" outlineLevel="0" collapsed="false">
      <c r="B130" s="14" t="n">
        <f aca="false">_xlfn.NUMBERVALUE(solar!B127)</f>
        <v>0</v>
      </c>
      <c r="C130" s="15" t="n">
        <f aca="false">solar!C127</f>
        <v>0</v>
      </c>
      <c r="D130" s="9" t="n">
        <v>126</v>
      </c>
      <c r="E130" s="20" t="n">
        <f aca="false">IFERROR(INDEX($B$5:$C$173, MATCH($D130, $B$5:$B$175, 0), 2), 0)*investment!$C$3</f>
        <v>0</v>
      </c>
      <c r="F130" s="21" t="n">
        <f aca="false">demand!D128</f>
        <v>0</v>
      </c>
      <c r="G130" s="2" t="n">
        <f aca="false">solgen!D128</f>
        <v>0</v>
      </c>
      <c r="H130" s="2" t="n">
        <f aca="false">import!D128</f>
        <v>0</v>
      </c>
      <c r="I130" s="2" t="n">
        <f aca="false">-export!D128</f>
        <v>-0</v>
      </c>
      <c r="J130" s="2" t="n">
        <f aca="false">-charge!D128</f>
        <v>-0</v>
      </c>
      <c r="K130" s="2" t="n">
        <f aca="false">discharge!D128</f>
        <v>0</v>
      </c>
      <c r="L130" s="2" t="n">
        <f aca="false">soc!D128/investment!$E$3 *100</f>
        <v>4.26042145366773</v>
      </c>
    </row>
    <row r="131" customFormat="false" ht="13.8" hidden="false" customHeight="false" outlineLevel="0" collapsed="false">
      <c r="B131" s="14" t="n">
        <f aca="false">_xlfn.NUMBERVALUE(solar!B128)</f>
        <v>0</v>
      </c>
      <c r="C131" s="15" t="n">
        <f aca="false">solar!C128</f>
        <v>0</v>
      </c>
      <c r="D131" s="9" t="n">
        <v>127</v>
      </c>
      <c r="E131" s="20" t="n">
        <f aca="false">IFERROR(INDEX($B$5:$C$173, MATCH($D131, $B$5:$B$175, 0), 2), 0)*investment!$C$3</f>
        <v>0</v>
      </c>
      <c r="F131" s="21" t="n">
        <f aca="false">demand!D129</f>
        <v>0</v>
      </c>
      <c r="G131" s="2" t="n">
        <f aca="false">solgen!D129</f>
        <v>0</v>
      </c>
      <c r="H131" s="2" t="n">
        <f aca="false">import!D129</f>
        <v>0</v>
      </c>
      <c r="I131" s="2" t="n">
        <f aca="false">-export!D129</f>
        <v>-0</v>
      </c>
      <c r="J131" s="2" t="n">
        <f aca="false">-charge!D129</f>
        <v>-0</v>
      </c>
      <c r="K131" s="2" t="n">
        <f aca="false">discharge!D129</f>
        <v>0</v>
      </c>
      <c r="L131" s="2" t="n">
        <f aca="false">soc!D129/investment!$E$3 *100</f>
        <v>6.77625569454481</v>
      </c>
    </row>
    <row r="132" customFormat="false" ht="13.8" hidden="false" customHeight="false" outlineLevel="0" collapsed="false">
      <c r="B132" s="14" t="n">
        <f aca="false">_xlfn.NUMBERVALUE(solar!B129)</f>
        <v>0</v>
      </c>
      <c r="C132" s="15" t="n">
        <f aca="false">solar!C129</f>
        <v>0</v>
      </c>
      <c r="D132" s="9" t="n">
        <v>128</v>
      </c>
      <c r="E132" s="20" t="n">
        <f aca="false">IFERROR(INDEX($B$5:$C$173, MATCH($D132, $B$5:$B$175, 0), 2), 0)*investment!$C$3</f>
        <v>0</v>
      </c>
      <c r="F132" s="21" t="n">
        <f aca="false">demand!D130</f>
        <v>0</v>
      </c>
      <c r="G132" s="2" t="n">
        <f aca="false">solgen!D130</f>
        <v>0</v>
      </c>
      <c r="H132" s="2" t="n">
        <f aca="false">import!D130</f>
        <v>0</v>
      </c>
      <c r="I132" s="2" t="n">
        <f aca="false">-export!D130</f>
        <v>-0</v>
      </c>
      <c r="J132" s="2" t="n">
        <f aca="false">-charge!D130</f>
        <v>-0</v>
      </c>
      <c r="K132" s="2" t="n">
        <f aca="false">discharge!D130</f>
        <v>0</v>
      </c>
      <c r="L132" s="2" t="n">
        <f aca="false">soc!D130/investment!$E$3 *100</f>
        <v>9.83562026373362</v>
      </c>
    </row>
    <row r="133" customFormat="false" ht="13.8" hidden="false" customHeight="false" outlineLevel="0" collapsed="false">
      <c r="B133" s="14" t="n">
        <f aca="false">_xlfn.NUMBERVALUE(solar!B130)</f>
        <v>0</v>
      </c>
      <c r="C133" s="15" t="n">
        <f aca="false">solar!C130</f>
        <v>0</v>
      </c>
      <c r="D133" s="9" t="n">
        <v>129</v>
      </c>
      <c r="E133" s="20" t="n">
        <f aca="false">IFERROR(INDEX($B$5:$C$173, MATCH($D133, $B$5:$B$175, 0), 2), 0)*investment!$C$3</f>
        <v>0</v>
      </c>
      <c r="F133" s="21" t="n">
        <f aca="false">demand!D131</f>
        <v>0</v>
      </c>
      <c r="G133" s="2" t="n">
        <f aca="false">solgen!D131</f>
        <v>0</v>
      </c>
      <c r="H133" s="2" t="n">
        <f aca="false">import!D131</f>
        <v>0</v>
      </c>
      <c r="I133" s="2" t="n">
        <f aca="false">-export!D131</f>
        <v>-0</v>
      </c>
      <c r="J133" s="2" t="n">
        <f aca="false">-charge!D131</f>
        <v>-0</v>
      </c>
      <c r="K133" s="2" t="n">
        <f aca="false">discharge!D131</f>
        <v>0</v>
      </c>
      <c r="L133" s="2" t="n">
        <f aca="false">soc!D131/investment!$E$3 *100</f>
        <v>13.4385097259309</v>
      </c>
    </row>
    <row r="134" customFormat="false" ht="13.8" hidden="false" customHeight="false" outlineLevel="0" collapsed="false">
      <c r="B134" s="14" t="n">
        <f aca="false">_xlfn.NUMBERVALUE(solar!B131)</f>
        <v>0</v>
      </c>
      <c r="C134" s="15" t="n">
        <f aca="false">solar!C131</f>
        <v>0</v>
      </c>
      <c r="D134" s="9" t="n">
        <v>130</v>
      </c>
      <c r="E134" s="20" t="n">
        <f aca="false">IFERROR(INDEX($B$5:$C$173, MATCH($D134, $B$5:$B$175, 0), 2), 0)*investment!$C$3</f>
        <v>0</v>
      </c>
      <c r="F134" s="21" t="n">
        <f aca="false">demand!D132</f>
        <v>0</v>
      </c>
      <c r="G134" s="2" t="n">
        <f aca="false">solgen!D132</f>
        <v>0</v>
      </c>
      <c r="H134" s="2" t="n">
        <f aca="false">import!D132</f>
        <v>0</v>
      </c>
      <c r="I134" s="2" t="n">
        <f aca="false">-export!D132</f>
        <v>-0</v>
      </c>
      <c r="J134" s="2" t="n">
        <f aca="false">-charge!D132</f>
        <v>-0</v>
      </c>
      <c r="K134" s="2" t="n">
        <f aca="false">discharge!D132</f>
        <v>0</v>
      </c>
      <c r="L134" s="2" t="n">
        <f aca="false">soc!D132/investment!$E$3 *100</f>
        <v>17.4578579372942</v>
      </c>
    </row>
    <row r="135" customFormat="false" ht="13.8" hidden="false" customHeight="false" outlineLevel="0" collapsed="false">
      <c r="B135" s="14" t="n">
        <f aca="false">_xlfn.NUMBERVALUE(solar!B132)</f>
        <v>0</v>
      </c>
      <c r="C135" s="15" t="n">
        <f aca="false">solar!C132</f>
        <v>0</v>
      </c>
      <c r="D135" s="9" t="n">
        <v>131</v>
      </c>
      <c r="E135" s="20" t="n">
        <f aca="false">IFERROR(INDEX($B$5:$C$173, MATCH($D135, $B$5:$B$175, 0), 2), 0)*investment!$C$3</f>
        <v>0</v>
      </c>
      <c r="F135" s="21" t="n">
        <f aca="false">demand!D133</f>
        <v>0</v>
      </c>
      <c r="G135" s="2" t="n">
        <f aca="false">solgen!D133</f>
        <v>0</v>
      </c>
      <c r="H135" s="2" t="n">
        <f aca="false">import!D133</f>
        <v>0</v>
      </c>
      <c r="I135" s="2" t="n">
        <f aca="false">-export!D133</f>
        <v>-0</v>
      </c>
      <c r="J135" s="2" t="n">
        <f aca="false">-charge!D133</f>
        <v>-0</v>
      </c>
      <c r="K135" s="2" t="n">
        <f aca="false">discharge!D133</f>
        <v>0</v>
      </c>
      <c r="L135" s="2" t="n">
        <f aca="false">soc!D133/investment!$E$3 *100</f>
        <v>21.8936607332361</v>
      </c>
    </row>
    <row r="136" customFormat="false" ht="13.8" hidden="false" customHeight="false" outlineLevel="0" collapsed="false">
      <c r="B136" s="14" t="n">
        <f aca="false">_xlfn.NUMBERVALUE(solar!B133)</f>
        <v>0</v>
      </c>
      <c r="C136" s="15" t="n">
        <f aca="false">solar!C133</f>
        <v>0</v>
      </c>
      <c r="D136" s="9" t="n">
        <v>132</v>
      </c>
      <c r="E136" s="20" t="n">
        <f aca="false">IFERROR(INDEX($B$5:$C$173, MATCH($D136, $B$5:$B$175, 0), 2), 0)*investment!$C$3</f>
        <v>0</v>
      </c>
      <c r="F136" s="21" t="n">
        <f aca="false">demand!D134</f>
        <v>0</v>
      </c>
      <c r="G136" s="2" t="n">
        <f aca="false">solgen!D134</f>
        <v>0</v>
      </c>
      <c r="H136" s="2" t="n">
        <f aca="false">import!D134</f>
        <v>0</v>
      </c>
      <c r="I136" s="2" t="n">
        <f aca="false">-export!D134</f>
        <v>-0</v>
      </c>
      <c r="J136" s="2" t="n">
        <f aca="false">-charge!D134</f>
        <v>-0</v>
      </c>
      <c r="K136" s="2" t="n">
        <f aca="false">discharge!D134</f>
        <v>0</v>
      </c>
      <c r="L136" s="2" t="n">
        <f aca="false">soc!D134/investment!$E$3 *100</f>
        <v>26.7459139492108</v>
      </c>
    </row>
    <row r="137" customFormat="false" ht="13.8" hidden="false" customHeight="false" outlineLevel="0" collapsed="false">
      <c r="B137" s="14" t="n">
        <f aca="false">_xlfn.NUMBERVALUE(solar!B134)</f>
        <v>0</v>
      </c>
      <c r="C137" s="15" t="n">
        <f aca="false">solar!C134</f>
        <v>0</v>
      </c>
      <c r="D137" s="9" t="n">
        <v>133</v>
      </c>
      <c r="E137" s="20" t="n">
        <f aca="false">IFERROR(INDEX($B$5:$C$173, MATCH($D137, $B$5:$B$175, 0), 2), 0)*investment!$C$3</f>
        <v>0</v>
      </c>
      <c r="F137" s="21" t="n">
        <f aca="false">demand!D135</f>
        <v>0</v>
      </c>
      <c r="G137" s="2" t="n">
        <f aca="false">solgen!D135</f>
        <v>0</v>
      </c>
      <c r="H137" s="2" t="n">
        <f aca="false">import!D135</f>
        <v>0</v>
      </c>
      <c r="I137" s="2" t="n">
        <f aca="false">-export!D135</f>
        <v>-0</v>
      </c>
      <c r="J137" s="2" t="n">
        <f aca="false">-charge!D135</f>
        <v>-0</v>
      </c>
      <c r="K137" s="2" t="n">
        <f aca="false">discharge!D135</f>
        <v>0</v>
      </c>
      <c r="L137" s="2" t="n">
        <f aca="false">soc!D135/investment!$E$3 *100</f>
        <v>32.014613420714</v>
      </c>
    </row>
    <row r="138" customFormat="false" ht="13.8" hidden="false" customHeight="false" outlineLevel="0" collapsed="false">
      <c r="B138" s="14" t="n">
        <f aca="false">_xlfn.NUMBERVALUE(solar!B135)</f>
        <v>0</v>
      </c>
      <c r="C138" s="15" t="n">
        <f aca="false">solar!C135</f>
        <v>0</v>
      </c>
      <c r="D138" s="9" t="n">
        <v>134</v>
      </c>
      <c r="E138" s="20" t="n">
        <f aca="false">IFERROR(INDEX($B$5:$C$173, MATCH($D138, $B$5:$B$175, 0), 2), 0)*investment!$C$3</f>
        <v>0</v>
      </c>
      <c r="F138" s="21" t="n">
        <f aca="false">demand!D136</f>
        <v>0</v>
      </c>
      <c r="G138" s="2" t="n">
        <f aca="false">solgen!D136</f>
        <v>0</v>
      </c>
      <c r="H138" s="2" t="n">
        <f aca="false">import!D136</f>
        <v>0</v>
      </c>
      <c r="I138" s="2" t="n">
        <f aca="false">-export!D136</f>
        <v>-0</v>
      </c>
      <c r="J138" s="2" t="n">
        <f aca="false">-charge!D136</f>
        <v>-0</v>
      </c>
      <c r="K138" s="2" t="n">
        <f aca="false">discharge!D136</f>
        <v>0</v>
      </c>
      <c r="L138" s="2" t="n">
        <f aca="false">soc!D136/investment!$E$3 *100</f>
        <v>37.5729935344548</v>
      </c>
    </row>
    <row r="139" customFormat="false" ht="13.8" hidden="false" customHeight="false" outlineLevel="0" collapsed="false">
      <c r="B139" s="14" t="n">
        <f aca="false">_xlfn.NUMBERVALUE(solar!B136)</f>
        <v>0</v>
      </c>
      <c r="C139" s="15" t="n">
        <f aca="false">solar!C136</f>
        <v>0</v>
      </c>
      <c r="D139" s="9" t="n">
        <v>135</v>
      </c>
      <c r="E139" s="20" t="n">
        <f aca="false">IFERROR(INDEX($B$5:$C$173, MATCH($D139, $B$5:$B$175, 0), 2), 0)*investment!$C$3</f>
        <v>0</v>
      </c>
      <c r="F139" s="21" t="n">
        <f aca="false">demand!D137</f>
        <v>0</v>
      </c>
      <c r="G139" s="2" t="n">
        <f aca="false">solgen!D137</f>
        <v>0</v>
      </c>
      <c r="H139" s="2" t="n">
        <f aca="false">import!D137</f>
        <v>0</v>
      </c>
      <c r="I139" s="2" t="n">
        <f aca="false">-export!D137</f>
        <v>-0</v>
      </c>
      <c r="J139" s="2" t="n">
        <f aca="false">-charge!D137</f>
        <v>-0</v>
      </c>
      <c r="K139" s="2" t="n">
        <f aca="false">discharge!D137</f>
        <v>0</v>
      </c>
      <c r="L139" s="2" t="n">
        <f aca="false">soc!D137/investment!$E$3 *100</f>
        <v>43.4210513936268</v>
      </c>
    </row>
    <row r="140" customFormat="false" ht="13.8" hidden="false" customHeight="false" outlineLevel="0" collapsed="false">
      <c r="B140" s="14" t="n">
        <f aca="false">_xlfn.NUMBERVALUE(solar!B137)</f>
        <v>0</v>
      </c>
      <c r="C140" s="15" t="n">
        <f aca="false">solar!C137</f>
        <v>0</v>
      </c>
      <c r="D140" s="9" t="n">
        <v>136</v>
      </c>
      <c r="E140" s="20" t="n">
        <f aca="false">IFERROR(INDEX($B$5:$C$173, MATCH($D140, $B$5:$B$175, 0), 2), 0)*investment!$C$3</f>
        <v>0</v>
      </c>
      <c r="F140" s="21" t="n">
        <f aca="false">demand!D138</f>
        <v>0</v>
      </c>
      <c r="G140" s="2" t="n">
        <f aca="false">solgen!D138</f>
        <v>0</v>
      </c>
      <c r="H140" s="2" t="n">
        <f aca="false">import!D138</f>
        <v>0</v>
      </c>
      <c r="I140" s="2" t="n">
        <f aca="false">-export!D138</f>
        <v>-0</v>
      </c>
      <c r="J140" s="2" t="n">
        <f aca="false">-charge!D138</f>
        <v>-0</v>
      </c>
      <c r="K140" s="2" t="n">
        <f aca="false">discharge!D138</f>
        <v>0</v>
      </c>
      <c r="L140" s="2" t="n">
        <f aca="false">soc!D138/investment!$E$3 *100</f>
        <v>49.5587841014525</v>
      </c>
    </row>
    <row r="141" customFormat="false" ht="13.8" hidden="false" customHeight="false" outlineLevel="0" collapsed="false">
      <c r="B141" s="14" t="n">
        <f aca="false">_xlfn.NUMBERVALUE(solar!B138)</f>
        <v>0</v>
      </c>
      <c r="C141" s="15" t="n">
        <f aca="false">solar!C138</f>
        <v>0</v>
      </c>
      <c r="D141" s="9" t="n">
        <v>137</v>
      </c>
      <c r="E141" s="20" t="n">
        <f aca="false">IFERROR(INDEX($B$5:$C$173, MATCH($D141, $B$5:$B$175, 0), 2), 0)*investment!$C$3</f>
        <v>0</v>
      </c>
      <c r="F141" s="21" t="n">
        <f aca="false">demand!D139</f>
        <v>0</v>
      </c>
      <c r="G141" s="2" t="n">
        <f aca="false">solgen!D139</f>
        <v>0</v>
      </c>
      <c r="H141" s="2" t="n">
        <f aca="false">import!D139</f>
        <v>0</v>
      </c>
      <c r="I141" s="2" t="n">
        <f aca="false">-export!D139</f>
        <v>-0</v>
      </c>
      <c r="J141" s="2" t="n">
        <f aca="false">-charge!D139</f>
        <v>-0</v>
      </c>
      <c r="K141" s="2" t="n">
        <f aca="false">discharge!D139</f>
        <v>0</v>
      </c>
      <c r="L141" s="2" t="n">
        <f aca="false">soc!D139/investment!$E$3 *100</f>
        <v>55.9861887611835</v>
      </c>
    </row>
    <row r="142" customFormat="false" ht="13.8" hidden="false" customHeight="false" outlineLevel="0" collapsed="false">
      <c r="B142" s="14" t="n">
        <f aca="false">_xlfn.NUMBERVALUE(solar!B139)</f>
        <v>0</v>
      </c>
      <c r="C142" s="15" t="n">
        <f aca="false">solar!C139</f>
        <v>0</v>
      </c>
      <c r="D142" s="9" t="n">
        <v>138</v>
      </c>
      <c r="E142" s="20" t="n">
        <f aca="false">IFERROR(INDEX($B$5:$C$173, MATCH($D142, $B$5:$B$175, 0), 2), 0)*investment!$C$3</f>
        <v>0</v>
      </c>
      <c r="F142" s="21" t="n">
        <f aca="false">demand!D140</f>
        <v>0</v>
      </c>
      <c r="G142" s="2" t="n">
        <f aca="false">solgen!D140</f>
        <v>0</v>
      </c>
      <c r="H142" s="2" t="n">
        <f aca="false">import!D140</f>
        <v>0</v>
      </c>
      <c r="I142" s="2" t="n">
        <f aca="false">-export!D140</f>
        <v>-0</v>
      </c>
      <c r="J142" s="2" t="n">
        <f aca="false">-charge!D140</f>
        <v>-0</v>
      </c>
      <c r="K142" s="2" t="n">
        <f aca="false">discharge!D140</f>
        <v>0</v>
      </c>
      <c r="L142" s="2" t="n">
        <f aca="false">soc!D140/investment!$E$3 *100</f>
        <v>62.5419115860905</v>
      </c>
    </row>
    <row r="143" customFormat="false" ht="13.8" hidden="false" customHeight="false" outlineLevel="0" collapsed="false">
      <c r="B143" s="14" t="n">
        <f aca="false">_xlfn.NUMBERVALUE(solar!B140)</f>
        <v>0</v>
      </c>
      <c r="C143" s="15" t="n">
        <f aca="false">solar!C140</f>
        <v>0</v>
      </c>
      <c r="D143" s="9" t="n">
        <v>139</v>
      </c>
      <c r="E143" s="20" t="n">
        <f aca="false">IFERROR(INDEX($B$5:$C$173, MATCH($D143, $B$5:$B$175, 0), 2), 0)*investment!$C$3</f>
        <v>0</v>
      </c>
      <c r="F143" s="21" t="n">
        <f aca="false">demand!D141</f>
        <v>0</v>
      </c>
      <c r="G143" s="2" t="n">
        <f aca="false">solgen!D141</f>
        <v>0</v>
      </c>
      <c r="H143" s="2" t="n">
        <f aca="false">import!D141</f>
        <v>0</v>
      </c>
      <c r="I143" s="2" t="n">
        <f aca="false">-export!D141</f>
        <v>-0</v>
      </c>
      <c r="J143" s="2" t="n">
        <f aca="false">-charge!D141</f>
        <v>-0</v>
      </c>
      <c r="K143" s="2" t="n">
        <f aca="false">discharge!D141</f>
        <v>0</v>
      </c>
      <c r="L143" s="2" t="n">
        <f aca="false">soc!D141/investment!$E$3 *100</f>
        <v>69.2259512929918</v>
      </c>
    </row>
    <row r="144" customFormat="false" ht="13.8" hidden="false" customHeight="false" outlineLevel="0" collapsed="false">
      <c r="B144" s="14" t="n">
        <f aca="false">_xlfn.NUMBERVALUE(solar!B141)</f>
        <v>0</v>
      </c>
      <c r="C144" s="15" t="n">
        <f aca="false">solar!C141</f>
        <v>0</v>
      </c>
      <c r="D144" s="9" t="n">
        <v>140</v>
      </c>
      <c r="E144" s="20" t="n">
        <f aca="false">IFERROR(INDEX($B$5:$C$173, MATCH($D144, $B$5:$B$175, 0), 2), 0)*investment!$C$3</f>
        <v>0</v>
      </c>
      <c r="F144" s="21" t="n">
        <f aca="false">demand!D142</f>
        <v>0</v>
      </c>
      <c r="G144" s="2" t="n">
        <f aca="false">solgen!D142</f>
        <v>0</v>
      </c>
      <c r="H144" s="2" t="n">
        <f aca="false">import!D142</f>
        <v>0</v>
      </c>
      <c r="I144" s="2" t="n">
        <f aca="false">-export!D142</f>
        <v>-0</v>
      </c>
      <c r="J144" s="2" t="n">
        <f aca="false">-charge!D142</f>
        <v>-0</v>
      </c>
      <c r="K144" s="2" t="n">
        <f aca="false">discharge!D142</f>
        <v>0</v>
      </c>
      <c r="L144" s="2" t="n">
        <f aca="false">soc!D142/investment!$E$3 *100</f>
        <v>76.0383065987186</v>
      </c>
    </row>
    <row r="145" customFormat="false" ht="13.8" hidden="false" customHeight="false" outlineLevel="0" collapsed="false">
      <c r="B145" s="14" t="n">
        <f aca="false">_xlfn.NUMBERVALUE(solar!B142)</f>
        <v>0</v>
      </c>
      <c r="C145" s="15" t="n">
        <f aca="false">solar!C142</f>
        <v>0</v>
      </c>
      <c r="D145" s="9" t="n">
        <v>141</v>
      </c>
      <c r="E145" s="20" t="n">
        <f aca="false">IFERROR(INDEX($B$5:$C$173, MATCH($D145, $B$5:$B$175, 0), 2), 0)*investment!$C$3</f>
        <v>0</v>
      </c>
      <c r="F145" s="21" t="n">
        <f aca="false">demand!D143</f>
        <v>0</v>
      </c>
      <c r="G145" s="2" t="n">
        <f aca="false">solgen!D143</f>
        <v>0</v>
      </c>
      <c r="H145" s="2" t="n">
        <f aca="false">import!D143</f>
        <v>0</v>
      </c>
      <c r="I145" s="2" t="n">
        <f aca="false">-export!D143</f>
        <v>-0</v>
      </c>
      <c r="J145" s="2" t="n">
        <f aca="false">-charge!D143</f>
        <v>-0</v>
      </c>
      <c r="K145" s="2" t="n">
        <f aca="false">discharge!D143</f>
        <v>0</v>
      </c>
      <c r="L145" s="2" t="n">
        <f aca="false">soc!D143/investment!$E$3 *100</f>
        <v>82.978976220115</v>
      </c>
    </row>
    <row r="146" customFormat="false" ht="13.8" hidden="false" customHeight="false" outlineLevel="0" collapsed="false">
      <c r="B146" s="14" t="n">
        <f aca="false">_xlfn.NUMBERVALUE(solar!B143)</f>
        <v>0</v>
      </c>
      <c r="C146" s="15" t="n">
        <f aca="false">solar!C143</f>
        <v>0</v>
      </c>
      <c r="D146" s="9" t="n">
        <v>142</v>
      </c>
      <c r="E146" s="20" t="n">
        <f aca="false">IFERROR(INDEX($B$5:$C$173, MATCH($D146, $B$5:$B$175, 0), 2), 0)*investment!$C$3</f>
        <v>0</v>
      </c>
      <c r="F146" s="21" t="n">
        <f aca="false">demand!D144</f>
        <v>0</v>
      </c>
      <c r="G146" s="2" t="n">
        <f aca="false">solgen!D144</f>
        <v>0</v>
      </c>
      <c r="H146" s="2" t="n">
        <f aca="false">import!D144</f>
        <v>0</v>
      </c>
      <c r="I146" s="2" t="n">
        <f aca="false">-export!D144</f>
        <v>-0</v>
      </c>
      <c r="J146" s="2" t="n">
        <f aca="false">-charge!D144</f>
        <v>-0</v>
      </c>
      <c r="K146" s="2" t="n">
        <f aca="false">discharge!D144</f>
        <v>0</v>
      </c>
      <c r="L146" s="2" t="n">
        <f aca="false">soc!D144/investment!$E$3 *100</f>
        <v>90.0097284390477</v>
      </c>
    </row>
    <row r="147" customFormat="false" ht="13.8" hidden="false" customHeight="false" outlineLevel="0" collapsed="false">
      <c r="B147" s="14" t="n">
        <f aca="false">_xlfn.NUMBERVALUE(solar!B144)</f>
        <v>0</v>
      </c>
      <c r="C147" s="15" t="n">
        <f aca="false">solar!C144</f>
        <v>0</v>
      </c>
      <c r="D147" s="9" t="n">
        <v>143</v>
      </c>
      <c r="E147" s="20" t="n">
        <f aca="false">IFERROR(INDEX($B$5:$C$173, MATCH($D147, $B$5:$B$175, 0), 2), 0)*investment!$C$3</f>
        <v>0</v>
      </c>
      <c r="F147" s="21" t="n">
        <f aca="false">demand!D145</f>
        <v>0</v>
      </c>
      <c r="G147" s="2" t="n">
        <f aca="false">solgen!D145</f>
        <v>0</v>
      </c>
      <c r="H147" s="2" t="n">
        <f aca="false">import!D145</f>
        <v>0</v>
      </c>
      <c r="I147" s="2" t="n">
        <f aca="false">-export!D145</f>
        <v>-0</v>
      </c>
      <c r="J147" s="2" t="n">
        <f aca="false">-charge!D145</f>
        <v>-0</v>
      </c>
      <c r="K147" s="2" t="n">
        <f aca="false">discharge!D145</f>
        <v>0</v>
      </c>
      <c r="L147" s="2" t="n">
        <f aca="false">soc!D145/investment!$E$3 *100</f>
        <v>97.130562354691</v>
      </c>
    </row>
    <row r="148" customFormat="false" ht="13.8" hidden="false" customHeight="false" outlineLevel="0" collapsed="false">
      <c r="B148" s="14" t="n">
        <f aca="false">_xlfn.NUMBERVALUE(solar!B145)</f>
        <v>0</v>
      </c>
      <c r="C148" s="15" t="n">
        <f aca="false">solar!C145</f>
        <v>0</v>
      </c>
      <c r="D148" s="9" t="n">
        <v>144</v>
      </c>
      <c r="E148" s="20" t="n">
        <f aca="false">IFERROR(INDEX($B$5:$C$173, MATCH($D148, $B$5:$B$175, 0), 2), 0)*investment!$C$3</f>
        <v>0</v>
      </c>
      <c r="F148" s="21" t="n">
        <f aca="false">demand!D146</f>
        <v>0</v>
      </c>
      <c r="G148" s="2" t="n">
        <f aca="false">solgen!D146</f>
        <v>0</v>
      </c>
      <c r="H148" s="2" t="n">
        <f aca="false">import!D146</f>
        <v>0</v>
      </c>
      <c r="I148" s="2" t="n">
        <f aca="false">-export!D146</f>
        <v>-0</v>
      </c>
      <c r="J148" s="2" t="n">
        <f aca="false">-charge!D146</f>
        <v>-0</v>
      </c>
      <c r="K148" s="2" t="n">
        <f aca="false">discharge!D146</f>
        <v>0</v>
      </c>
      <c r="L148" s="2" t="n">
        <f aca="false">soc!D146/investment!$E$3 *100</f>
        <v>97.1295910490675</v>
      </c>
    </row>
    <row r="149" customFormat="false" ht="13.8" hidden="false" customHeight="false" outlineLevel="0" collapsed="false">
      <c r="B149" s="14" t="n">
        <f aca="false">_xlfn.NUMBERVALUE(solar!B146)</f>
        <v>0</v>
      </c>
      <c r="C149" s="15" t="n">
        <f aca="false">solar!C146</f>
        <v>0</v>
      </c>
      <c r="D149" s="9" t="n">
        <v>145</v>
      </c>
      <c r="E149" s="20" t="n">
        <f aca="false">IFERROR(INDEX($B$5:$C$173, MATCH($D149, $B$5:$B$175, 0), 2), 0)*investment!$C$3</f>
        <v>0</v>
      </c>
      <c r="F149" s="21" t="n">
        <f aca="false">demand!D147</f>
        <v>0</v>
      </c>
      <c r="G149" s="2" t="n">
        <f aca="false">solgen!D147</f>
        <v>0</v>
      </c>
      <c r="H149" s="2" t="n">
        <f aca="false">import!D147</f>
        <v>0</v>
      </c>
      <c r="I149" s="2" t="n">
        <f aca="false">-export!D147</f>
        <v>-0</v>
      </c>
      <c r="J149" s="2" t="n">
        <f aca="false">-charge!D147</f>
        <v>-0</v>
      </c>
      <c r="K149" s="2" t="n">
        <f aca="false">discharge!D147</f>
        <v>0</v>
      </c>
      <c r="L149" s="2" t="n">
        <f aca="false">soc!D147/investment!$E$3 *100</f>
        <v>97.128619753157</v>
      </c>
    </row>
    <row r="150" customFormat="false" ht="13.8" hidden="false" customHeight="false" outlineLevel="0" collapsed="false">
      <c r="B150" s="14" t="n">
        <f aca="false">_xlfn.NUMBERVALUE(solar!B147)</f>
        <v>0</v>
      </c>
      <c r="C150" s="15" t="n">
        <f aca="false">solar!C147</f>
        <v>0</v>
      </c>
      <c r="D150" s="9" t="n">
        <v>146</v>
      </c>
      <c r="E150" s="20" t="n">
        <f aca="false">IFERROR(INDEX($B$5:$C$173, MATCH($D150, $B$5:$B$175, 0), 2), 0)*investment!$C$3</f>
        <v>0</v>
      </c>
      <c r="F150" s="21" t="n">
        <f aca="false">demand!D148</f>
        <v>0</v>
      </c>
      <c r="G150" s="2" t="n">
        <f aca="false">solgen!D148</f>
        <v>0</v>
      </c>
      <c r="H150" s="2" t="n">
        <f aca="false">import!D148</f>
        <v>0</v>
      </c>
      <c r="I150" s="2" t="n">
        <f aca="false">-export!D148</f>
        <v>-0</v>
      </c>
      <c r="J150" s="2" t="n">
        <f aca="false">-charge!D148</f>
        <v>-0</v>
      </c>
      <c r="K150" s="2" t="n">
        <f aca="false">discharge!D148</f>
        <v>0</v>
      </c>
      <c r="L150" s="2" t="n">
        <f aca="false">soc!D148/investment!$E$3 *100</f>
        <v>97.1276484669595</v>
      </c>
    </row>
    <row r="151" customFormat="false" ht="13.8" hidden="false" customHeight="false" outlineLevel="0" collapsed="false">
      <c r="B151" s="14" t="n">
        <f aca="false">_xlfn.NUMBERVALUE(solar!B148)</f>
        <v>0</v>
      </c>
      <c r="C151" s="15" t="n">
        <f aca="false">solar!C148</f>
        <v>0</v>
      </c>
      <c r="D151" s="9" t="n">
        <v>147</v>
      </c>
      <c r="E151" s="20" t="n">
        <f aca="false">IFERROR(INDEX($B$5:$C$173, MATCH($D151, $B$5:$B$175, 0), 2), 0)*investment!$C$3</f>
        <v>0</v>
      </c>
      <c r="F151" s="21" t="n">
        <f aca="false">demand!D149</f>
        <v>0</v>
      </c>
      <c r="G151" s="2" t="n">
        <f aca="false">solgen!D149</f>
        <v>0</v>
      </c>
      <c r="H151" s="2" t="n">
        <f aca="false">import!D149</f>
        <v>0</v>
      </c>
      <c r="I151" s="2" t="n">
        <f aca="false">-export!D149</f>
        <v>-0</v>
      </c>
      <c r="J151" s="2" t="n">
        <f aca="false">-charge!D149</f>
        <v>-0</v>
      </c>
      <c r="K151" s="2" t="n">
        <f aca="false">discharge!D149</f>
        <v>0</v>
      </c>
      <c r="L151" s="2" t="n">
        <f aca="false">soc!D149/investment!$E$3 *100</f>
        <v>97.1266771904748</v>
      </c>
    </row>
    <row r="152" customFormat="false" ht="13.8" hidden="false" customHeight="false" outlineLevel="0" collapsed="false">
      <c r="B152" s="14" t="n">
        <f aca="false">_xlfn.NUMBERVALUE(solar!B149)</f>
        <v>0</v>
      </c>
      <c r="C152" s="15" t="n">
        <f aca="false">solar!C149</f>
        <v>0</v>
      </c>
      <c r="D152" s="9" t="n">
        <v>148</v>
      </c>
      <c r="E152" s="20" t="n">
        <f aca="false">IFERROR(INDEX($B$5:$C$173, MATCH($D152, $B$5:$B$175, 0), 2), 0)*investment!$C$3</f>
        <v>0</v>
      </c>
      <c r="F152" s="21" t="n">
        <f aca="false">demand!D150</f>
        <v>0</v>
      </c>
      <c r="G152" s="2" t="n">
        <f aca="false">solgen!D150</f>
        <v>0</v>
      </c>
      <c r="H152" s="2" t="n">
        <f aca="false">import!D150</f>
        <v>0</v>
      </c>
      <c r="I152" s="2" t="n">
        <f aca="false">-export!D150</f>
        <v>-0</v>
      </c>
      <c r="J152" s="2" t="n">
        <f aca="false">-charge!D150</f>
        <v>-0</v>
      </c>
      <c r="K152" s="2" t="n">
        <f aca="false">discharge!D150</f>
        <v>0</v>
      </c>
      <c r="L152" s="2" t="n">
        <f aca="false">soc!D150/investment!$E$3 *100</f>
        <v>97.1257059237029</v>
      </c>
    </row>
    <row r="153" customFormat="false" ht="13.8" hidden="false" customHeight="false" outlineLevel="0" collapsed="false">
      <c r="B153" s="14" t="n">
        <f aca="false">_xlfn.NUMBERVALUE(solar!B150)</f>
        <v>0</v>
      </c>
      <c r="C153" s="15" t="n">
        <f aca="false">solar!C150</f>
        <v>0</v>
      </c>
      <c r="D153" s="9" t="n">
        <v>149</v>
      </c>
      <c r="E153" s="20" t="n">
        <f aca="false">IFERROR(INDEX($B$5:$C$173, MATCH($D153, $B$5:$B$175, 0), 2), 0)*investment!$C$3</f>
        <v>0</v>
      </c>
      <c r="F153" s="21" t="n">
        <f aca="false">demand!D151</f>
        <v>0</v>
      </c>
      <c r="G153" s="2" t="n">
        <f aca="false">solgen!D151</f>
        <v>0</v>
      </c>
      <c r="H153" s="2" t="n">
        <f aca="false">import!D151</f>
        <v>0</v>
      </c>
      <c r="I153" s="2" t="n">
        <f aca="false">-export!D151</f>
        <v>-0</v>
      </c>
      <c r="J153" s="2" t="n">
        <f aca="false">-charge!D151</f>
        <v>-0</v>
      </c>
      <c r="K153" s="2" t="n">
        <f aca="false">discharge!D151</f>
        <v>0</v>
      </c>
      <c r="L153" s="2" t="n">
        <f aca="false">soc!D151/investment!$E$3 *100</f>
        <v>97.1247346666437</v>
      </c>
    </row>
    <row r="154" customFormat="false" ht="13.8" hidden="false" customHeight="false" outlineLevel="0" collapsed="false">
      <c r="B154" s="14" t="n">
        <f aca="false">_xlfn.NUMBERVALUE(solar!B151)</f>
        <v>0</v>
      </c>
      <c r="C154" s="15" t="n">
        <f aca="false">solar!C151</f>
        <v>0</v>
      </c>
      <c r="D154" s="9" t="n">
        <v>150</v>
      </c>
      <c r="E154" s="20" t="n">
        <f aca="false">IFERROR(INDEX($B$5:$C$173, MATCH($D154, $B$5:$B$175, 0), 2), 0)*investment!$C$3</f>
        <v>0</v>
      </c>
      <c r="F154" s="21" t="n">
        <f aca="false">demand!D152</f>
        <v>0</v>
      </c>
      <c r="G154" s="2" t="n">
        <f aca="false">solgen!D152</f>
        <v>0</v>
      </c>
      <c r="H154" s="2" t="n">
        <f aca="false">import!D152</f>
        <v>0</v>
      </c>
      <c r="I154" s="2" t="n">
        <f aca="false">-export!D152</f>
        <v>-0</v>
      </c>
      <c r="J154" s="2" t="n">
        <f aca="false">-charge!D152</f>
        <v>-0</v>
      </c>
      <c r="K154" s="2" t="n">
        <f aca="false">discharge!D152</f>
        <v>0</v>
      </c>
      <c r="L154" s="2" t="n">
        <f aca="false">soc!D152/investment!$E$3 *100</f>
        <v>97.123763419297</v>
      </c>
    </row>
    <row r="155" customFormat="false" ht="13.8" hidden="false" customHeight="false" outlineLevel="0" collapsed="false">
      <c r="B155" s="14" t="n">
        <f aca="false">_xlfn.NUMBERVALUE(solar!B152)</f>
        <v>0</v>
      </c>
      <c r="C155" s="15" t="n">
        <f aca="false">solar!C152</f>
        <v>0</v>
      </c>
      <c r="D155" s="9" t="n">
        <v>151</v>
      </c>
      <c r="E155" s="20" t="n">
        <f aca="false">IFERROR(INDEX($B$5:$C$173, MATCH($D155, $B$5:$B$175, 0), 2), 0)*investment!$C$3</f>
        <v>0</v>
      </c>
      <c r="F155" s="21" t="n">
        <f aca="false">demand!D153</f>
        <v>0</v>
      </c>
      <c r="G155" s="2" t="n">
        <f aca="false">solgen!D153</f>
        <v>0</v>
      </c>
      <c r="H155" s="2" t="n">
        <f aca="false">import!D153</f>
        <v>0</v>
      </c>
      <c r="I155" s="2" t="n">
        <f aca="false">-export!D153</f>
        <v>-0</v>
      </c>
      <c r="J155" s="2" t="n">
        <f aca="false">-charge!D153</f>
        <v>-0</v>
      </c>
      <c r="K155" s="2" t="n">
        <f aca="false">discharge!D153</f>
        <v>0</v>
      </c>
      <c r="L155" s="2" t="n">
        <f aca="false">soc!D153/investment!$E$3 *100</f>
        <v>97.1227921816628</v>
      </c>
    </row>
    <row r="156" customFormat="false" ht="13.8" hidden="false" customHeight="false" outlineLevel="0" collapsed="false">
      <c r="B156" s="14" t="n">
        <f aca="false">_xlfn.NUMBERVALUE(solar!B153)</f>
        <v>0</v>
      </c>
      <c r="C156" s="15" t="n">
        <f aca="false">solar!C153</f>
        <v>0</v>
      </c>
      <c r="D156" s="9" t="n">
        <v>152</v>
      </c>
      <c r="E156" s="20" t="n">
        <f aca="false">IFERROR(INDEX($B$5:$C$173, MATCH($D156, $B$5:$B$175, 0), 2), 0)*investment!$C$3</f>
        <v>0</v>
      </c>
      <c r="F156" s="21" t="n">
        <f aca="false">demand!D154</f>
        <v>0</v>
      </c>
      <c r="G156" s="2" t="n">
        <f aca="false">solgen!D154</f>
        <v>0</v>
      </c>
      <c r="H156" s="2" t="n">
        <f aca="false">import!D154</f>
        <v>0</v>
      </c>
      <c r="I156" s="2" t="n">
        <f aca="false">-export!D154</f>
        <v>-0</v>
      </c>
      <c r="J156" s="2" t="n">
        <f aca="false">-charge!D154</f>
        <v>-0</v>
      </c>
      <c r="K156" s="2" t="n">
        <f aca="false">discharge!D154</f>
        <v>0</v>
      </c>
      <c r="L156" s="2" t="n">
        <f aca="false">soc!D154/investment!$E$3 *100</f>
        <v>97.121820953741</v>
      </c>
    </row>
    <row r="157" customFormat="false" ht="13.8" hidden="false" customHeight="false" outlineLevel="0" collapsed="false">
      <c r="B157" s="14" t="n">
        <f aca="false">_xlfn.NUMBERVALUE(solar!B154)</f>
        <v>0</v>
      </c>
      <c r="C157" s="15" t="n">
        <f aca="false">solar!C154</f>
        <v>0</v>
      </c>
      <c r="D157" s="9" t="n">
        <v>153</v>
      </c>
      <c r="E157" s="20" t="n">
        <f aca="false">IFERROR(INDEX($B$5:$C$173, MATCH($D157, $B$5:$B$175, 0), 2), 0)*investment!$C$3</f>
        <v>0</v>
      </c>
      <c r="F157" s="21" t="n">
        <f aca="false">demand!D155</f>
        <v>0</v>
      </c>
      <c r="G157" s="2" t="n">
        <f aca="false">solgen!D155</f>
        <v>0</v>
      </c>
      <c r="H157" s="2" t="n">
        <f aca="false">import!D155</f>
        <v>0</v>
      </c>
      <c r="I157" s="2" t="n">
        <f aca="false">-export!D155</f>
        <v>-0</v>
      </c>
      <c r="J157" s="2" t="n">
        <f aca="false">-charge!D155</f>
        <v>-0</v>
      </c>
      <c r="K157" s="2" t="n">
        <f aca="false">discharge!D155</f>
        <v>0</v>
      </c>
      <c r="L157" s="2" t="n">
        <f aca="false">soc!D155/investment!$E$3 *100</f>
        <v>97.1208497355315</v>
      </c>
    </row>
    <row r="158" customFormat="false" ht="13.8" hidden="false" customHeight="false" outlineLevel="0" collapsed="false">
      <c r="B158" s="14" t="n">
        <f aca="false">_xlfn.NUMBERVALUE(solar!B155)</f>
        <v>0</v>
      </c>
      <c r="C158" s="15" t="n">
        <f aca="false">solar!C155</f>
        <v>0</v>
      </c>
      <c r="D158" s="9" t="n">
        <v>154</v>
      </c>
      <c r="E158" s="20" t="n">
        <f aca="false">IFERROR(INDEX($B$5:$C$173, MATCH($D158, $B$5:$B$175, 0), 2), 0)*investment!$C$3</f>
        <v>0</v>
      </c>
      <c r="F158" s="21" t="n">
        <f aca="false">demand!D156</f>
        <v>0</v>
      </c>
      <c r="G158" s="2" t="n">
        <f aca="false">solgen!D156</f>
        <v>0</v>
      </c>
      <c r="H158" s="2" t="n">
        <f aca="false">import!D156</f>
        <v>0</v>
      </c>
      <c r="I158" s="2" t="n">
        <f aca="false">-export!D156</f>
        <v>-0</v>
      </c>
      <c r="J158" s="2" t="n">
        <f aca="false">-charge!D156</f>
        <v>-0</v>
      </c>
      <c r="K158" s="2" t="n">
        <f aca="false">discharge!D156</f>
        <v>0</v>
      </c>
      <c r="L158" s="2" t="n">
        <f aca="false">soc!D156/investment!$E$3 *100</f>
        <v>97.1198785270341</v>
      </c>
    </row>
    <row r="159" customFormat="false" ht="13.8" hidden="false" customHeight="false" outlineLevel="0" collapsed="false">
      <c r="B159" s="14" t="n">
        <f aca="false">_xlfn.NUMBERVALUE(solar!B156)</f>
        <v>0</v>
      </c>
      <c r="C159" s="15" t="n">
        <f aca="false">solar!C156</f>
        <v>0</v>
      </c>
      <c r="D159" s="9" t="n">
        <v>155</v>
      </c>
      <c r="E159" s="20" t="n">
        <f aca="false">IFERROR(INDEX($B$5:$C$173, MATCH($D159, $B$5:$B$175, 0), 2), 0)*investment!$C$3</f>
        <v>0</v>
      </c>
      <c r="F159" s="21" t="n">
        <f aca="false">demand!D157</f>
        <v>0</v>
      </c>
      <c r="G159" s="2" t="n">
        <f aca="false">solgen!D157</f>
        <v>0</v>
      </c>
      <c r="H159" s="2" t="n">
        <f aca="false">import!D157</f>
        <v>0</v>
      </c>
      <c r="I159" s="2" t="n">
        <f aca="false">-export!D157</f>
        <v>-0</v>
      </c>
      <c r="J159" s="2" t="n">
        <f aca="false">-charge!D157</f>
        <v>-0</v>
      </c>
      <c r="K159" s="2" t="n">
        <f aca="false">discharge!D157</f>
        <v>0</v>
      </c>
      <c r="L159" s="2" t="n">
        <f aca="false">soc!D157/investment!$E$3 *100</f>
        <v>97.1189073282489</v>
      </c>
    </row>
    <row r="160" customFormat="false" ht="13.8" hidden="false" customHeight="false" outlineLevel="0" collapsed="false">
      <c r="B160" s="14" t="n">
        <f aca="false">_xlfn.NUMBERVALUE(solar!B157)</f>
        <v>0</v>
      </c>
      <c r="C160" s="15" t="n">
        <f aca="false">solar!C157</f>
        <v>0</v>
      </c>
      <c r="D160" s="9" t="n">
        <v>156</v>
      </c>
      <c r="E160" s="20" t="n">
        <f aca="false">IFERROR(INDEX($B$5:$C$173, MATCH($D160, $B$5:$B$175, 0), 2), 0)*investment!$C$3</f>
        <v>0</v>
      </c>
      <c r="F160" s="21" t="n">
        <f aca="false">demand!D158</f>
        <v>0</v>
      </c>
      <c r="G160" s="2" t="n">
        <f aca="false">solgen!D158</f>
        <v>0</v>
      </c>
      <c r="H160" s="2" t="n">
        <f aca="false">import!D158</f>
        <v>0</v>
      </c>
      <c r="I160" s="2" t="n">
        <f aca="false">-export!D158</f>
        <v>-0</v>
      </c>
      <c r="J160" s="2" t="n">
        <f aca="false">-charge!D158</f>
        <v>-0</v>
      </c>
      <c r="K160" s="2" t="n">
        <f aca="false">discharge!D158</f>
        <v>0</v>
      </c>
      <c r="L160" s="2" t="n">
        <f aca="false">soc!D158/investment!$E$3 *100</f>
        <v>97.1179361391756</v>
      </c>
    </row>
    <row r="161" customFormat="false" ht="13.8" hidden="false" customHeight="false" outlineLevel="0" collapsed="false">
      <c r="B161" s="14" t="n">
        <f aca="false">_xlfn.NUMBERVALUE(solar!B158)</f>
        <v>0</v>
      </c>
      <c r="C161" s="15" t="n">
        <f aca="false">solar!C158</f>
        <v>0</v>
      </c>
      <c r="D161" s="9" t="n">
        <v>157</v>
      </c>
      <c r="E161" s="20" t="n">
        <f aca="false">IFERROR(INDEX($B$5:$C$173, MATCH($D161, $B$5:$B$175, 0), 2), 0)*investment!$C$3</f>
        <v>0</v>
      </c>
      <c r="F161" s="21" t="n">
        <f aca="false">demand!D159</f>
        <v>0</v>
      </c>
      <c r="G161" s="2" t="n">
        <f aca="false">solgen!D159</f>
        <v>0</v>
      </c>
      <c r="H161" s="2" t="n">
        <f aca="false">import!D159</f>
        <v>0</v>
      </c>
      <c r="I161" s="2" t="n">
        <f aca="false">-export!D159</f>
        <v>-0</v>
      </c>
      <c r="J161" s="2" t="n">
        <f aca="false">-charge!D159</f>
        <v>-0</v>
      </c>
      <c r="K161" s="2" t="n">
        <f aca="false">discharge!D159</f>
        <v>0</v>
      </c>
      <c r="L161" s="2" t="n">
        <f aca="false">soc!D159/investment!$E$3 *100</f>
        <v>97.1169649598142</v>
      </c>
    </row>
    <row r="162" customFormat="false" ht="13.8" hidden="false" customHeight="false" outlineLevel="0" collapsed="false">
      <c r="B162" s="14" t="n">
        <f aca="false">_xlfn.NUMBERVALUE(solar!B159)</f>
        <v>0</v>
      </c>
      <c r="C162" s="15" t="n">
        <f aca="false">solar!C159</f>
        <v>0</v>
      </c>
      <c r="D162" s="9" t="n">
        <v>158</v>
      </c>
      <c r="E162" s="20" t="n">
        <f aca="false">IFERROR(INDEX($B$5:$C$173, MATCH($D162, $B$5:$B$175, 0), 2), 0)*investment!$C$3</f>
        <v>0</v>
      </c>
      <c r="F162" s="21" t="n">
        <f aca="false">demand!D160</f>
        <v>0</v>
      </c>
      <c r="G162" s="2" t="n">
        <f aca="false">solgen!D160</f>
        <v>0</v>
      </c>
      <c r="H162" s="2" t="n">
        <f aca="false">import!D160</f>
        <v>0</v>
      </c>
      <c r="I162" s="2" t="n">
        <f aca="false">-export!D160</f>
        <v>-0</v>
      </c>
      <c r="J162" s="2" t="n">
        <f aca="false">-charge!D160</f>
        <v>-0</v>
      </c>
      <c r="K162" s="2" t="n">
        <f aca="false">discharge!D160</f>
        <v>0</v>
      </c>
      <c r="L162" s="2" t="n">
        <f aca="false">soc!D160/investment!$E$3 *100</f>
        <v>97.1159937901646</v>
      </c>
    </row>
    <row r="163" customFormat="false" ht="13.8" hidden="false" customHeight="false" outlineLevel="0" collapsed="false">
      <c r="B163" s="14" t="n">
        <f aca="false">_xlfn.NUMBERVALUE(solar!B160)</f>
        <v>0</v>
      </c>
      <c r="C163" s="15" t="n">
        <f aca="false">solar!C160</f>
        <v>0</v>
      </c>
      <c r="D163" s="9" t="n">
        <v>159</v>
      </c>
      <c r="E163" s="20" t="n">
        <f aca="false">IFERROR(INDEX($B$5:$C$173, MATCH($D163, $B$5:$B$175, 0), 2), 0)*investment!$C$3</f>
        <v>0</v>
      </c>
      <c r="F163" s="21" t="n">
        <f aca="false">demand!D161</f>
        <v>0</v>
      </c>
      <c r="G163" s="2" t="n">
        <f aca="false">solgen!D161</f>
        <v>0</v>
      </c>
      <c r="H163" s="2" t="n">
        <f aca="false">import!D161</f>
        <v>0</v>
      </c>
      <c r="I163" s="2" t="n">
        <f aca="false">-export!D161</f>
        <v>-0</v>
      </c>
      <c r="J163" s="2" t="n">
        <f aca="false">-charge!D161</f>
        <v>-0</v>
      </c>
      <c r="K163" s="2" t="n">
        <f aca="false">discharge!D161</f>
        <v>0</v>
      </c>
      <c r="L163" s="2" t="n">
        <f aca="false">soc!D161/investment!$E$3 *100</f>
        <v>97.1150226302267</v>
      </c>
    </row>
    <row r="164" customFormat="false" ht="13.8" hidden="false" customHeight="false" outlineLevel="0" collapsed="false">
      <c r="B164" s="14" t="n">
        <f aca="false">_xlfn.NUMBERVALUE(solar!B161)</f>
        <v>0</v>
      </c>
      <c r="C164" s="15" t="n">
        <f aca="false">solar!C161</f>
        <v>0</v>
      </c>
      <c r="D164" s="9" t="n">
        <v>160</v>
      </c>
      <c r="E164" s="20" t="n">
        <f aca="false">IFERROR(INDEX($B$5:$C$173, MATCH($D164, $B$5:$B$175, 0), 2), 0)*investment!$C$3</f>
        <v>0</v>
      </c>
      <c r="F164" s="21" t="n">
        <f aca="false">demand!D162</f>
        <v>0</v>
      </c>
      <c r="G164" s="2" t="n">
        <f aca="false">solgen!D162</f>
        <v>0</v>
      </c>
      <c r="H164" s="2" t="n">
        <f aca="false">import!D162</f>
        <v>0</v>
      </c>
      <c r="I164" s="2" t="n">
        <f aca="false">-export!D162</f>
        <v>-0</v>
      </c>
      <c r="J164" s="2" t="n">
        <f aca="false">-charge!D162</f>
        <v>-0</v>
      </c>
      <c r="K164" s="2" t="n">
        <f aca="false">discharge!D162</f>
        <v>0</v>
      </c>
      <c r="L164" s="2" t="n">
        <f aca="false">soc!D162/investment!$E$3 *100</f>
        <v>97.1140514800004</v>
      </c>
    </row>
    <row r="165" customFormat="false" ht="13.8" hidden="false" customHeight="false" outlineLevel="0" collapsed="false">
      <c r="B165" s="14" t="n">
        <f aca="false">_xlfn.NUMBERVALUE(solar!B162)</f>
        <v>0</v>
      </c>
      <c r="C165" s="15" t="n">
        <f aca="false">solar!C162</f>
        <v>0</v>
      </c>
      <c r="D165" s="9" t="n">
        <v>161</v>
      </c>
      <c r="E165" s="20" t="n">
        <f aca="false">IFERROR(INDEX($B$5:$C$173, MATCH($D165, $B$5:$B$175, 0), 2), 0)*investment!$C$3</f>
        <v>0</v>
      </c>
      <c r="F165" s="21" t="n">
        <f aca="false">demand!D163</f>
        <v>0</v>
      </c>
      <c r="G165" s="2" t="n">
        <f aca="false">solgen!D163</f>
        <v>0</v>
      </c>
      <c r="H165" s="2" t="n">
        <f aca="false">import!D163</f>
        <v>0</v>
      </c>
      <c r="I165" s="2" t="n">
        <f aca="false">-export!D163</f>
        <v>-0</v>
      </c>
      <c r="J165" s="2" t="n">
        <f aca="false">-charge!D163</f>
        <v>-0</v>
      </c>
      <c r="K165" s="2" t="n">
        <f aca="false">discharge!D163</f>
        <v>0</v>
      </c>
      <c r="L165" s="2" t="n">
        <f aca="false">soc!D163/investment!$E$3 *100</f>
        <v>97.1130803394856</v>
      </c>
    </row>
    <row r="166" customFormat="false" ht="13.8" hidden="false" customHeight="false" outlineLevel="0" collapsed="false">
      <c r="B166" s="14" t="n">
        <f aca="false">_xlfn.NUMBERVALUE(solar!B163)</f>
        <v>0</v>
      </c>
      <c r="C166" s="15" t="n">
        <f aca="false">solar!C163</f>
        <v>0</v>
      </c>
      <c r="D166" s="9" t="n">
        <v>162</v>
      </c>
      <c r="E166" s="20" t="n">
        <f aca="false">IFERROR(INDEX($B$5:$C$173, MATCH($D166, $B$5:$B$175, 0), 2), 0)*investment!$C$3</f>
        <v>0</v>
      </c>
      <c r="F166" s="21" t="n">
        <f aca="false">demand!D164</f>
        <v>0</v>
      </c>
      <c r="G166" s="2" t="n">
        <f aca="false">solgen!D164</f>
        <v>0</v>
      </c>
      <c r="H166" s="2" t="n">
        <f aca="false">import!D164</f>
        <v>0</v>
      </c>
      <c r="I166" s="2" t="n">
        <f aca="false">-export!D164</f>
        <v>-0</v>
      </c>
      <c r="J166" s="2" t="n">
        <f aca="false">-charge!D164</f>
        <v>-0</v>
      </c>
      <c r="K166" s="2" t="n">
        <f aca="false">discharge!D164</f>
        <v>0</v>
      </c>
      <c r="L166" s="2" t="n">
        <f aca="false">soc!D164/investment!$E$3 *100</f>
        <v>97.1121092086822</v>
      </c>
    </row>
    <row r="167" customFormat="false" ht="13.8" hidden="false" customHeight="false" outlineLevel="0" collapsed="false">
      <c r="B167" s="14" t="n">
        <f aca="false">_xlfn.NUMBERVALUE(solar!B164)</f>
        <v>0</v>
      </c>
      <c r="C167" s="15" t="n">
        <f aca="false">solar!C164</f>
        <v>0</v>
      </c>
      <c r="D167" s="9" t="n">
        <v>163</v>
      </c>
      <c r="E167" s="20" t="n">
        <f aca="false">IFERROR(INDEX($B$5:$C$173, MATCH($D167, $B$5:$B$175, 0), 2), 0)*investment!$C$3</f>
        <v>0</v>
      </c>
      <c r="F167" s="21" t="n">
        <f aca="false">demand!D165</f>
        <v>0</v>
      </c>
      <c r="G167" s="2" t="n">
        <f aca="false">solgen!D165</f>
        <v>0</v>
      </c>
      <c r="H167" s="2" t="n">
        <f aca="false">import!D165</f>
        <v>0</v>
      </c>
      <c r="I167" s="2" t="n">
        <f aca="false">-export!D165</f>
        <v>-0</v>
      </c>
      <c r="J167" s="2" t="n">
        <f aca="false">-charge!D165</f>
        <v>-0</v>
      </c>
      <c r="K167" s="2" t="n">
        <f aca="false">discharge!D165</f>
        <v>0</v>
      </c>
      <c r="L167" s="2" t="n">
        <f aca="false">soc!D165/investment!$E$3 *100</f>
        <v>97.1111380875901</v>
      </c>
    </row>
    <row r="168" customFormat="false" ht="13.8" hidden="false" customHeight="false" outlineLevel="0" collapsed="false">
      <c r="B168" s="14" t="n">
        <f aca="false">_xlfn.NUMBERVALUE(solar!B165)</f>
        <v>0</v>
      </c>
      <c r="C168" s="15" t="n">
        <f aca="false">solar!C165</f>
        <v>0</v>
      </c>
      <c r="D168" s="9" t="n">
        <v>164</v>
      </c>
      <c r="E168" s="20" t="n">
        <f aca="false">IFERROR(INDEX($B$5:$C$173, MATCH($D168, $B$5:$B$175, 0), 2), 0)*investment!$C$3</f>
        <v>0</v>
      </c>
      <c r="F168" s="21" t="n">
        <f aca="false">demand!D166</f>
        <v>0</v>
      </c>
      <c r="G168" s="2" t="n">
        <f aca="false">solgen!D166</f>
        <v>0</v>
      </c>
      <c r="H168" s="2" t="n">
        <f aca="false">import!D166</f>
        <v>0</v>
      </c>
      <c r="I168" s="2" t="n">
        <f aca="false">-export!D166</f>
        <v>-0</v>
      </c>
      <c r="J168" s="2" t="n">
        <f aca="false">-charge!D166</f>
        <v>-0</v>
      </c>
      <c r="K168" s="2" t="n">
        <f aca="false">discharge!D166</f>
        <v>0</v>
      </c>
      <c r="L168" s="2" t="n">
        <f aca="false">soc!D166/investment!$E$3 *100</f>
        <v>97.1101669762093</v>
      </c>
    </row>
    <row r="169" customFormat="false" ht="13.8" hidden="false" customHeight="false" outlineLevel="0" collapsed="false">
      <c r="B169" s="14" t="n">
        <f aca="false">_xlfn.NUMBERVALUE(solar!B166)</f>
        <v>0</v>
      </c>
      <c r="C169" s="15" t="n">
        <f aca="false">solar!C166</f>
        <v>0</v>
      </c>
      <c r="D169" s="9" t="n">
        <v>165</v>
      </c>
      <c r="E169" s="20" t="n">
        <f aca="false">IFERROR(INDEX($B$5:$C$173, MATCH($D169, $B$5:$B$175, 0), 2), 0)*investment!$C$3</f>
        <v>0</v>
      </c>
      <c r="F169" s="21" t="n">
        <f aca="false">demand!D167</f>
        <v>0</v>
      </c>
      <c r="G169" s="2" t="n">
        <f aca="false">solgen!D167</f>
        <v>0</v>
      </c>
      <c r="H169" s="2" t="n">
        <f aca="false">import!D167</f>
        <v>0</v>
      </c>
      <c r="I169" s="2" t="n">
        <f aca="false">-export!D167</f>
        <v>-0</v>
      </c>
      <c r="J169" s="2" t="n">
        <f aca="false">-charge!D167</f>
        <v>-0</v>
      </c>
      <c r="K169" s="2" t="n">
        <f aca="false">discharge!D167</f>
        <v>0</v>
      </c>
      <c r="L169" s="2" t="n">
        <f aca="false">soc!D167/investment!$E$3 *100</f>
        <v>97.5700390855243</v>
      </c>
    </row>
    <row r="170" customFormat="false" ht="13.8" hidden="false" customHeight="false" outlineLevel="0" collapsed="false">
      <c r="B170" s="14" t="n">
        <f aca="false">_xlfn.NUMBERVALUE(solar!B167)</f>
        <v>0</v>
      </c>
      <c r="C170" s="15" t="n">
        <f aca="false">solar!C167</f>
        <v>0</v>
      </c>
      <c r="D170" s="9" t="n">
        <v>166</v>
      </c>
      <c r="E170" s="20" t="n">
        <f aca="false">IFERROR(INDEX($B$5:$C$173, MATCH($D170, $B$5:$B$175, 0), 2), 0)*investment!$C$3</f>
        <v>0</v>
      </c>
      <c r="F170" s="21" t="n">
        <f aca="false">demand!D168</f>
        <v>0</v>
      </c>
      <c r="G170" s="2" t="n">
        <f aca="false">solgen!D168</f>
        <v>0</v>
      </c>
      <c r="H170" s="2" t="n">
        <f aca="false">import!D168</f>
        <v>0</v>
      </c>
      <c r="I170" s="2" t="n">
        <f aca="false">-export!D168</f>
        <v>-0</v>
      </c>
      <c r="J170" s="2" t="n">
        <f aca="false">-charge!D168</f>
        <v>-0</v>
      </c>
      <c r="K170" s="2" t="n">
        <f aca="false">discharge!D168</f>
        <v>0</v>
      </c>
      <c r="L170" s="2" t="n">
        <f aca="false">soc!D168/investment!$E$3 *100</f>
        <v>97.5690633851334</v>
      </c>
    </row>
    <row r="171" customFormat="false" ht="13.8" hidden="false" customHeight="false" outlineLevel="0" collapsed="false">
      <c r="B171" s="14" t="n">
        <f aca="false">_xlfn.NUMBERVALUE(solar!B168)</f>
        <v>0</v>
      </c>
      <c r="C171" s="15" t="n">
        <f aca="false">solar!C168</f>
        <v>0</v>
      </c>
      <c r="D171" s="9" t="n">
        <v>167</v>
      </c>
      <c r="E171" s="20" t="n">
        <f aca="false">IFERROR(INDEX($B$5:$C$173, MATCH($D171, $B$5:$B$175, 0), 2), 0)*investment!$C$3</f>
        <v>0</v>
      </c>
      <c r="F171" s="21" t="n">
        <f aca="false">demand!D169</f>
        <v>0</v>
      </c>
      <c r="G171" s="2" t="n">
        <f aca="false">solgen!D169</f>
        <v>0</v>
      </c>
      <c r="H171" s="2" t="n">
        <f aca="false">import!D169</f>
        <v>0</v>
      </c>
      <c r="I171" s="2" t="n">
        <f aca="false">-export!D169</f>
        <v>-0</v>
      </c>
      <c r="J171" s="2" t="n">
        <f aca="false">-charge!D169</f>
        <v>-0</v>
      </c>
      <c r="K171" s="2" t="n">
        <f aca="false">discharge!D169</f>
        <v>0</v>
      </c>
      <c r="L171" s="2" t="n">
        <f aca="false">soc!D169/investment!$E$3 *100</f>
        <v>97.5680876944996</v>
      </c>
    </row>
    <row r="172" customFormat="false" ht="13.8" hidden="false" customHeight="false" outlineLevel="0" collapsed="false">
      <c r="B172" s="14" t="n">
        <f aca="false">_xlfn.NUMBERVALUE(solar!B169)</f>
        <v>0</v>
      </c>
      <c r="C172" s="15" t="n">
        <f aca="false">solar!C169</f>
        <v>0</v>
      </c>
      <c r="D172" s="9" t="n">
        <v>168</v>
      </c>
      <c r="E172" s="20" t="n">
        <f aca="false">IFERROR(INDEX($B$5:$C$173, MATCH($D172, $B$5:$B$175, 0), 2), 0)*investment!$C$3</f>
        <v>0</v>
      </c>
      <c r="F172" s="21" t="n">
        <f aca="false">demand!D170</f>
        <v>0</v>
      </c>
      <c r="G172" s="2" t="n">
        <f aca="false">solgen!D170</f>
        <v>0</v>
      </c>
      <c r="H172" s="2" t="n">
        <f aca="false">import!D170</f>
        <v>0</v>
      </c>
      <c r="I172" s="2" t="n">
        <f aca="false">-export!D170</f>
        <v>-0</v>
      </c>
      <c r="J172" s="2" t="n">
        <f aca="false">-charge!D170</f>
        <v>-0</v>
      </c>
      <c r="K172" s="2" t="n">
        <f aca="false">discharge!D170</f>
        <v>0</v>
      </c>
      <c r="L172" s="2" t="n">
        <f aca="false">soc!D170/investment!$E$3 *100</f>
        <v>97.5671120136227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1" sqref="I2:I4 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9" width="8.85"/>
    <col collapsed="false" customWidth="true" hidden="false" outlineLevel="0" max="4" min="4" style="9" width="8.85"/>
    <col collapsed="false" customWidth="true" hidden="false" outlineLevel="0" max="5" min="5" style="10" width="8.85"/>
    <col collapsed="false" customWidth="true" hidden="false" outlineLevel="0" max="6" min="6" style="2" width="9.43"/>
  </cols>
  <sheetData>
    <row r="2" customFormat="false" ht="13.8" hidden="false" customHeight="false" outlineLevel="0" collapsed="false">
      <c r="B2" s="11" t="s">
        <v>3</v>
      </c>
      <c r="C2" s="12" t="n">
        <v>3</v>
      </c>
      <c r="D2" s="13" t="s">
        <v>18</v>
      </c>
    </row>
    <row r="4" customFormat="false" ht="13.8" hidden="false" customHeight="false" outlineLevel="0" collapsed="false">
      <c r="B4" s="14" t="s">
        <v>5</v>
      </c>
      <c r="C4" s="15"/>
      <c r="D4" s="16" t="s">
        <v>7</v>
      </c>
      <c r="E4" s="17" t="s">
        <v>8</v>
      </c>
      <c r="F4" s="18" t="s">
        <v>9</v>
      </c>
      <c r="G4" s="18" t="s">
        <v>10</v>
      </c>
      <c r="H4" s="18" t="s">
        <v>11</v>
      </c>
      <c r="I4" s="18" t="s">
        <v>12</v>
      </c>
      <c r="J4" s="18" t="s">
        <v>13</v>
      </c>
      <c r="K4" s="18" t="s">
        <v>14</v>
      </c>
      <c r="L4" s="18" t="s">
        <v>15</v>
      </c>
    </row>
    <row r="5" customFormat="false" ht="13.8" hidden="false" customHeight="false" outlineLevel="0" collapsed="false">
      <c r="B5" s="14" t="n">
        <f aca="false">_xlfn.NUMBERVALUE(solar!B2)</f>
        <v>8</v>
      </c>
      <c r="C5" s="15" t="n">
        <f aca="false">solar!C2</f>
        <v>0</v>
      </c>
      <c r="D5" s="9" t="n">
        <v>1</v>
      </c>
      <c r="E5" s="20" t="n">
        <f aca="false">IFERROR(INDEX($B$5:$C$173, MATCH($D5, $B$5:$B$175, 0), 2), 0)*investment!$C$4</f>
        <v>0</v>
      </c>
      <c r="F5" s="21" t="n">
        <f aca="false">demand!E3</f>
        <v>0</v>
      </c>
      <c r="G5" s="2" t="n">
        <f aca="false">solgen!E3</f>
        <v>0</v>
      </c>
      <c r="H5" s="2" t="n">
        <f aca="false">import!E3</f>
        <v>0</v>
      </c>
      <c r="I5" s="2" t="n">
        <f aca="false">-export!E3</f>
        <v>-0</v>
      </c>
      <c r="J5" s="2" t="n">
        <f aca="false">-charge!E3</f>
        <v>-0</v>
      </c>
      <c r="K5" s="2" t="n">
        <f aca="false">discharge!E3</f>
        <v>0</v>
      </c>
      <c r="L5" s="2" t="n">
        <f aca="false">soc!E3/investment!$E$4 *100</f>
        <v>68.5528730457784</v>
      </c>
    </row>
    <row r="6" customFormat="false" ht="13.8" hidden="false" customHeight="false" outlineLevel="0" collapsed="false">
      <c r="B6" s="14" t="n">
        <f aca="false">_xlfn.NUMBERVALUE(solar!B3)</f>
        <v>9</v>
      </c>
      <c r="C6" s="15" t="n">
        <f aca="false">solar!C3</f>
        <v>0</v>
      </c>
      <c r="D6" s="9" t="n">
        <v>2</v>
      </c>
      <c r="E6" s="20" t="n">
        <f aca="false">IFERROR(INDEX($B$5:$C$173, MATCH($D6, $B$5:$B$175, 0), 2), 0)*investment!$C$4</f>
        <v>0</v>
      </c>
      <c r="F6" s="21" t="n">
        <f aca="false">demand!E4</f>
        <v>0</v>
      </c>
      <c r="G6" s="2" t="n">
        <f aca="false">solgen!E4</f>
        <v>0</v>
      </c>
      <c r="H6" s="2" t="n">
        <f aca="false">import!E4</f>
        <v>0</v>
      </c>
      <c r="I6" s="2" t="n">
        <f aca="false">-export!E4</f>
        <v>-0</v>
      </c>
      <c r="J6" s="2" t="n">
        <f aca="false">-charge!E4</f>
        <v>-0</v>
      </c>
      <c r="K6" s="2" t="n">
        <f aca="false">discharge!E4</f>
        <v>0</v>
      </c>
      <c r="L6" s="2" t="n">
        <f aca="false">soc!E4/investment!$E$4 *100</f>
        <v>67.869974422704</v>
      </c>
    </row>
    <row r="7" customFormat="false" ht="13.8" hidden="false" customHeight="false" outlineLevel="0" collapsed="false">
      <c r="B7" s="14" t="n">
        <f aca="false">_xlfn.NUMBERVALUE(solar!B4)</f>
        <v>10</v>
      </c>
      <c r="C7" s="15" t="n">
        <f aca="false">solar!C4</f>
        <v>0</v>
      </c>
      <c r="D7" s="9" t="n">
        <v>3</v>
      </c>
      <c r="E7" s="20" t="n">
        <f aca="false">IFERROR(INDEX($B$5:$C$173, MATCH($D7, $B$5:$B$175, 0), 2), 0)*investment!$C$4</f>
        <v>0</v>
      </c>
      <c r="F7" s="21" t="n">
        <f aca="false">demand!E5</f>
        <v>0</v>
      </c>
      <c r="G7" s="2" t="n">
        <f aca="false">solgen!E5</f>
        <v>0</v>
      </c>
      <c r="H7" s="2" t="n">
        <f aca="false">import!E5</f>
        <v>0</v>
      </c>
      <c r="I7" s="2" t="n">
        <f aca="false">-export!E5</f>
        <v>-0</v>
      </c>
      <c r="J7" s="2" t="n">
        <f aca="false">-charge!E5</f>
        <v>-0</v>
      </c>
      <c r="K7" s="2" t="n">
        <f aca="false">discharge!E5</f>
        <v>0</v>
      </c>
      <c r="L7" s="2" t="n">
        <f aca="false">soc!E5/investment!$E$4 *100</f>
        <v>67.001021411008</v>
      </c>
    </row>
    <row r="8" customFormat="false" ht="13.8" hidden="false" customHeight="false" outlineLevel="0" collapsed="false">
      <c r="B8" s="14" t="n">
        <f aca="false">_xlfn.NUMBERVALUE(solar!B5)</f>
        <v>11</v>
      </c>
      <c r="C8" s="15" t="n">
        <f aca="false">solar!C5</f>
        <v>0</v>
      </c>
      <c r="D8" s="9" t="n">
        <v>4</v>
      </c>
      <c r="E8" s="20" t="n">
        <f aca="false">IFERROR(INDEX($B$5:$C$173, MATCH($D8, $B$5:$B$175, 0), 2), 0)*investment!$C$4</f>
        <v>0</v>
      </c>
      <c r="F8" s="21" t="n">
        <f aca="false">demand!E6</f>
        <v>0</v>
      </c>
      <c r="G8" s="2" t="n">
        <f aca="false">solgen!E6</f>
        <v>0</v>
      </c>
      <c r="H8" s="2" t="n">
        <f aca="false">import!E6</f>
        <v>0</v>
      </c>
      <c r="I8" s="2" t="n">
        <f aca="false">-export!E6</f>
        <v>-0</v>
      </c>
      <c r="J8" s="2" t="n">
        <f aca="false">-charge!E6</f>
        <v>-0</v>
      </c>
      <c r="K8" s="2" t="n">
        <f aca="false">discharge!E6</f>
        <v>0</v>
      </c>
      <c r="L8" s="2" t="n">
        <f aca="false">soc!E6/investment!$E$4 *100</f>
        <v>66.3801452747886</v>
      </c>
    </row>
    <row r="9" customFormat="false" ht="13.8" hidden="false" customHeight="false" outlineLevel="0" collapsed="false">
      <c r="B9" s="14" t="n">
        <f aca="false">_xlfn.NUMBERVALUE(solar!B6)</f>
        <v>12</v>
      </c>
      <c r="C9" s="15" t="n">
        <f aca="false">solar!C6</f>
        <v>0</v>
      </c>
      <c r="D9" s="9" t="n">
        <v>5</v>
      </c>
      <c r="E9" s="20" t="n">
        <f aca="false">IFERROR(INDEX($B$5:$C$173, MATCH($D9, $B$5:$B$175, 0), 2), 0)*investment!$C$4</f>
        <v>0</v>
      </c>
      <c r="F9" s="21" t="n">
        <f aca="false">demand!E7</f>
        <v>0</v>
      </c>
      <c r="G9" s="2" t="n">
        <f aca="false">solgen!E7</f>
        <v>0</v>
      </c>
      <c r="H9" s="2" t="n">
        <f aca="false">import!E7</f>
        <v>0</v>
      </c>
      <c r="I9" s="2" t="n">
        <f aca="false">-export!E7</f>
        <v>-0</v>
      </c>
      <c r="J9" s="2" t="n">
        <f aca="false">-charge!E7</f>
        <v>-0</v>
      </c>
      <c r="K9" s="2" t="n">
        <f aca="false">discharge!E7</f>
        <v>0</v>
      </c>
      <c r="L9" s="2" t="n">
        <f aca="false">soc!E7/investment!$E$4 *100</f>
        <v>64.8910165402219</v>
      </c>
    </row>
    <row r="10" customFormat="false" ht="13.8" hidden="false" customHeight="false" outlineLevel="0" collapsed="false">
      <c r="B10" s="14" t="n">
        <f aca="false">_xlfn.NUMBERVALUE(solar!B7)</f>
        <v>13</v>
      </c>
      <c r="C10" s="15" t="n">
        <f aca="false">solar!C7</f>
        <v>0</v>
      </c>
      <c r="D10" s="9" t="n">
        <v>6</v>
      </c>
      <c r="E10" s="20" t="n">
        <f aca="false">IFERROR(INDEX($B$5:$C$173, MATCH($D10, $B$5:$B$175, 0), 2), 0)*investment!$C$4</f>
        <v>0</v>
      </c>
      <c r="F10" s="21" t="n">
        <f aca="false">demand!E8</f>
        <v>0</v>
      </c>
      <c r="G10" s="2" t="n">
        <f aca="false">solgen!E8</f>
        <v>0</v>
      </c>
      <c r="H10" s="2" t="n">
        <f aca="false">import!E8</f>
        <v>0</v>
      </c>
      <c r="I10" s="2" t="n">
        <f aca="false">-export!E8</f>
        <v>-0</v>
      </c>
      <c r="J10" s="2" t="n">
        <f aca="false">-charge!E8</f>
        <v>-0</v>
      </c>
      <c r="K10" s="2" t="n">
        <f aca="false">discharge!E8</f>
        <v>0</v>
      </c>
      <c r="L10" s="2" t="n">
        <f aca="false">soc!E8/investment!$E$4 *100</f>
        <v>64.2081545357126</v>
      </c>
    </row>
    <row r="11" customFormat="false" ht="13.8" hidden="false" customHeight="false" outlineLevel="0" collapsed="false">
      <c r="B11" s="14" t="n">
        <f aca="false">_xlfn.NUMBERVALUE(solar!B8)</f>
        <v>14</v>
      </c>
      <c r="C11" s="15" t="n">
        <f aca="false">solar!C8</f>
        <v>0</v>
      </c>
      <c r="D11" s="9" t="n">
        <v>7</v>
      </c>
      <c r="E11" s="20" t="n">
        <f aca="false">IFERROR(INDEX($B$5:$C$173, MATCH($D11, $B$5:$B$175, 0), 2), 0)*investment!$C$4</f>
        <v>0</v>
      </c>
      <c r="F11" s="21" t="n">
        <f aca="false">demand!E9</f>
        <v>0</v>
      </c>
      <c r="G11" s="2" t="n">
        <f aca="false">solgen!E9</f>
        <v>0</v>
      </c>
      <c r="H11" s="2" t="n">
        <f aca="false">import!E9</f>
        <v>0</v>
      </c>
      <c r="I11" s="2" t="n">
        <f aca="false">-export!E9</f>
        <v>-0</v>
      </c>
      <c r="J11" s="2" t="n">
        <f aca="false">-charge!E9</f>
        <v>-0</v>
      </c>
      <c r="K11" s="2" t="n">
        <f aca="false">discharge!E9</f>
        <v>0</v>
      </c>
      <c r="L11" s="2" t="n">
        <f aca="false">soc!E9/investment!$E$4 *100</f>
        <v>62.7190475210532</v>
      </c>
    </row>
    <row r="12" customFormat="false" ht="13.8" hidden="false" customHeight="false" outlineLevel="0" collapsed="false">
      <c r="B12" s="14" t="n">
        <f aca="false">_xlfn.NUMBERVALUE(solar!B9)</f>
        <v>15</v>
      </c>
      <c r="C12" s="15" t="n">
        <f aca="false">solar!C9</f>
        <v>0</v>
      </c>
      <c r="D12" s="9" t="n">
        <v>8</v>
      </c>
      <c r="E12" s="20" t="n">
        <f aca="false">IFERROR(INDEX($B$5:$C$173, MATCH($D12, $B$5:$B$175, 0), 2), 0)*investment!$C$4</f>
        <v>0</v>
      </c>
      <c r="F12" s="21" t="n">
        <f aca="false">demand!E10</f>
        <v>0</v>
      </c>
      <c r="G12" s="2" t="n">
        <f aca="false">solgen!E10</f>
        <v>0</v>
      </c>
      <c r="H12" s="2" t="n">
        <f aca="false">import!E10</f>
        <v>0</v>
      </c>
      <c r="I12" s="2" t="n">
        <f aca="false">-export!E10</f>
        <v>-0</v>
      </c>
      <c r="J12" s="2" t="n">
        <f aca="false">-charge!E10</f>
        <v>-0</v>
      </c>
      <c r="K12" s="2" t="n">
        <f aca="false">discharge!E10</f>
        <v>0</v>
      </c>
      <c r="L12" s="2" t="n">
        <f aca="false">soc!E10/investment!$E$4 *100</f>
        <v>62.0362072362341</v>
      </c>
    </row>
    <row r="13" customFormat="false" ht="13.8" hidden="false" customHeight="false" outlineLevel="0" collapsed="false">
      <c r="B13" s="14" t="n">
        <f aca="false">_xlfn.NUMBERVALUE(solar!B10)</f>
        <v>16</v>
      </c>
      <c r="C13" s="15" t="n">
        <f aca="false">solar!C10</f>
        <v>0</v>
      </c>
      <c r="D13" s="9" t="n">
        <v>9</v>
      </c>
      <c r="E13" s="20" t="n">
        <f aca="false">IFERROR(INDEX($B$5:$C$173, MATCH($D13, $B$5:$B$175, 0), 2), 0)*investment!$C$4</f>
        <v>0</v>
      </c>
      <c r="F13" s="21" t="n">
        <f aca="false">demand!E11</f>
        <v>0</v>
      </c>
      <c r="G13" s="2" t="n">
        <f aca="false">solgen!E11</f>
        <v>0</v>
      </c>
      <c r="H13" s="2" t="n">
        <f aca="false">import!E11</f>
        <v>0</v>
      </c>
      <c r="I13" s="2" t="n">
        <f aca="false">-export!E11</f>
        <v>-0</v>
      </c>
      <c r="J13" s="2" t="n">
        <f aca="false">-charge!E11</f>
        <v>-0</v>
      </c>
      <c r="K13" s="2" t="n">
        <f aca="false">discharge!E11</f>
        <v>0</v>
      </c>
      <c r="L13" s="2" t="n">
        <f aca="false">soc!E11/investment!$E$4 *100</f>
        <v>60.5471219410477</v>
      </c>
    </row>
    <row r="14" customFormat="false" ht="13.8" hidden="false" customHeight="false" outlineLevel="0" collapsed="false">
      <c r="B14" s="14" t="n">
        <f aca="false">_xlfn.NUMBERVALUE(solar!B11)</f>
        <v>17</v>
      </c>
      <c r="C14" s="15" t="n">
        <f aca="false">solar!C11</f>
        <v>0</v>
      </c>
      <c r="D14" s="9" t="n">
        <v>10</v>
      </c>
      <c r="E14" s="20" t="n">
        <f aca="false">IFERROR(INDEX($B$5:$C$173, MATCH($D14, $B$5:$B$175, 0), 2), 0)*investment!$C$4</f>
        <v>0</v>
      </c>
      <c r="F14" s="21" t="n">
        <f aca="false">demand!E12</f>
        <v>0</v>
      </c>
      <c r="G14" s="2" t="n">
        <f aca="false">solgen!E12</f>
        <v>0</v>
      </c>
      <c r="H14" s="2" t="n">
        <f aca="false">import!E12</f>
        <v>0</v>
      </c>
      <c r="I14" s="2" t="n">
        <f aca="false">-export!E12</f>
        <v>-0</v>
      </c>
      <c r="J14" s="2" t="n">
        <f aca="false">-charge!E12</f>
        <v>-0</v>
      </c>
      <c r="K14" s="2" t="n">
        <f aca="false">discharge!E12</f>
        <v>0</v>
      </c>
      <c r="L14" s="2" t="n">
        <f aca="false">soc!E12/investment!$E$4 *100</f>
        <v>59.8643033754844</v>
      </c>
    </row>
    <row r="15" customFormat="false" ht="13.8" hidden="false" customHeight="false" outlineLevel="0" collapsed="false">
      <c r="B15" s="14" t="n">
        <f aca="false">_xlfn.NUMBERVALUE(solar!B12)</f>
        <v>18</v>
      </c>
      <c r="C15" s="15" t="n">
        <f aca="false">solar!C12</f>
        <v>0</v>
      </c>
      <c r="D15" s="9" t="n">
        <v>11</v>
      </c>
      <c r="E15" s="20" t="n">
        <f aca="false">IFERROR(INDEX($B$5:$C$173, MATCH($D15, $B$5:$B$175, 0), 2), 0)*investment!$C$4</f>
        <v>0</v>
      </c>
      <c r="F15" s="21" t="n">
        <f aca="false">demand!E13</f>
        <v>0</v>
      </c>
      <c r="G15" s="2" t="n">
        <f aca="false">solgen!E13</f>
        <v>0</v>
      </c>
      <c r="H15" s="2" t="n">
        <f aca="false">import!E13</f>
        <v>0</v>
      </c>
      <c r="I15" s="2" t="n">
        <f aca="false">-export!E13</f>
        <v>-0</v>
      </c>
      <c r="J15" s="2" t="n">
        <f aca="false">-charge!E13</f>
        <v>-0</v>
      </c>
      <c r="K15" s="2" t="n">
        <f aca="false">discharge!E13</f>
        <v>0</v>
      </c>
      <c r="L15" s="2" t="n">
        <f aca="false">soc!E13/investment!$E$4 *100</f>
        <v>59.0367683993913</v>
      </c>
    </row>
    <row r="16" customFormat="false" ht="13.8" hidden="false" customHeight="false" outlineLevel="0" collapsed="false">
      <c r="B16" s="14" t="n">
        <f aca="false">_xlfn.NUMBERVALUE(solar!B13)</f>
        <v>19</v>
      </c>
      <c r="C16" s="15" t="n">
        <f aca="false">solar!C13</f>
        <v>0</v>
      </c>
      <c r="D16" s="9" t="n">
        <v>12</v>
      </c>
      <c r="E16" s="20" t="n">
        <f aca="false">IFERROR(INDEX($B$5:$C$173, MATCH($D16, $B$5:$B$175, 0), 2), 0)*investment!$C$4</f>
        <v>0</v>
      </c>
      <c r="F16" s="21" t="n">
        <f aca="false">demand!E14</f>
        <v>0</v>
      </c>
      <c r="G16" s="2" t="n">
        <f aca="false">solgen!E14</f>
        <v>0</v>
      </c>
      <c r="H16" s="2" t="n">
        <f aca="false">import!E14</f>
        <v>0</v>
      </c>
      <c r="I16" s="2" t="n">
        <f aca="false">-export!E14</f>
        <v>-0</v>
      </c>
      <c r="J16" s="2" t="n">
        <f aca="false">-charge!E14</f>
        <v>-0</v>
      </c>
      <c r="K16" s="2" t="n">
        <f aca="false">discharge!E14</f>
        <v>0</v>
      </c>
      <c r="L16" s="2" t="n">
        <f aca="false">soc!E14/investment!$E$4 *100</f>
        <v>58.0025114915938</v>
      </c>
    </row>
    <row r="17" customFormat="false" ht="13.8" hidden="false" customHeight="false" outlineLevel="0" collapsed="false">
      <c r="B17" s="14" t="n">
        <f aca="false">_xlfn.NUMBERVALUE(solar!B14)</f>
        <v>32</v>
      </c>
      <c r="C17" s="15" t="n">
        <f aca="false">solar!C14</f>
        <v>0</v>
      </c>
      <c r="D17" s="9" t="n">
        <v>13</v>
      </c>
      <c r="E17" s="20" t="n">
        <f aca="false">IFERROR(INDEX($B$5:$C$173, MATCH($D17, $B$5:$B$175, 0), 2), 0)*investment!$C$4</f>
        <v>0</v>
      </c>
      <c r="F17" s="21" t="n">
        <f aca="false">demand!E15</f>
        <v>0</v>
      </c>
      <c r="G17" s="2" t="n">
        <f aca="false">solgen!E15</f>
        <v>0</v>
      </c>
      <c r="H17" s="2" t="n">
        <f aca="false">import!E15</f>
        <v>0</v>
      </c>
      <c r="I17" s="2" t="n">
        <f aca="false">-export!E15</f>
        <v>-0</v>
      </c>
      <c r="J17" s="2" t="n">
        <f aca="false">-charge!E15</f>
        <v>-0</v>
      </c>
      <c r="K17" s="2" t="n">
        <f aca="false">discharge!E15</f>
        <v>0</v>
      </c>
      <c r="L17" s="2" t="n">
        <f aca="false">soc!E15/investment!$E$4 *100</f>
        <v>56.91659245275</v>
      </c>
    </row>
    <row r="18" customFormat="false" ht="13.8" hidden="false" customHeight="false" outlineLevel="0" collapsed="false">
      <c r="B18" s="14" t="n">
        <f aca="false">_xlfn.NUMBERVALUE(solar!B15)</f>
        <v>33</v>
      </c>
      <c r="C18" s="15" t="n">
        <f aca="false">solar!C15</f>
        <v>0</v>
      </c>
      <c r="D18" s="9" t="n">
        <v>14</v>
      </c>
      <c r="E18" s="20" t="n">
        <f aca="false">IFERROR(INDEX($B$5:$C$173, MATCH($D18, $B$5:$B$175, 0), 2), 0)*investment!$C$4</f>
        <v>0</v>
      </c>
      <c r="F18" s="21" t="n">
        <f aca="false">demand!E16</f>
        <v>0</v>
      </c>
      <c r="G18" s="2" t="n">
        <f aca="false">solgen!E16</f>
        <v>0</v>
      </c>
      <c r="H18" s="2" t="n">
        <f aca="false">import!E16</f>
        <v>0</v>
      </c>
      <c r="I18" s="2" t="n">
        <f aca="false">-export!E16</f>
        <v>-0</v>
      </c>
      <c r="J18" s="2" t="n">
        <f aca="false">-charge!E16</f>
        <v>-0</v>
      </c>
      <c r="K18" s="2" t="n">
        <f aca="false">discharge!E16</f>
        <v>0</v>
      </c>
      <c r="L18" s="2" t="n">
        <f aca="false">soc!E16/investment!$E$4 *100</f>
        <v>56.0374144801505</v>
      </c>
    </row>
    <row r="19" customFormat="false" ht="13.8" hidden="false" customHeight="false" outlineLevel="0" collapsed="false">
      <c r="B19" s="14" t="n">
        <f aca="false">_xlfn.NUMBERVALUE(solar!B16)</f>
        <v>34</v>
      </c>
      <c r="C19" s="15" t="n">
        <f aca="false">solar!C16</f>
        <v>0</v>
      </c>
      <c r="D19" s="9" t="n">
        <v>15</v>
      </c>
      <c r="E19" s="20" t="n">
        <f aca="false">IFERROR(INDEX($B$5:$C$173, MATCH($D19, $B$5:$B$175, 0), 2), 0)*investment!$C$4</f>
        <v>0</v>
      </c>
      <c r="F19" s="21" t="n">
        <f aca="false">demand!E17</f>
        <v>0</v>
      </c>
      <c r="G19" s="2" t="n">
        <f aca="false">solgen!E17</f>
        <v>0</v>
      </c>
      <c r="H19" s="2" t="n">
        <f aca="false">import!E17</f>
        <v>0</v>
      </c>
      <c r="I19" s="2" t="n">
        <f aca="false">-export!E17</f>
        <v>-0</v>
      </c>
      <c r="J19" s="2" t="n">
        <f aca="false">-charge!E17</f>
        <v>-0</v>
      </c>
      <c r="K19" s="2" t="n">
        <f aca="false">discharge!E17</f>
        <v>0</v>
      </c>
      <c r="L19" s="2" t="n">
        <f aca="false">soc!E17/investment!$E$4 *100</f>
        <v>54.7499521325842</v>
      </c>
    </row>
    <row r="20" customFormat="false" ht="13.8" hidden="false" customHeight="false" outlineLevel="0" collapsed="false">
      <c r="B20" s="14" t="n">
        <f aca="false">_xlfn.NUMBERVALUE(solar!B17)</f>
        <v>35</v>
      </c>
      <c r="C20" s="15" t="n">
        <f aca="false">solar!C17</f>
        <v>0</v>
      </c>
      <c r="D20" s="9" t="n">
        <v>16</v>
      </c>
      <c r="E20" s="20" t="n">
        <f aca="false">IFERROR(INDEX($B$5:$C$173, MATCH($D20, $B$5:$B$175, 0), 2), 0)*investment!$C$4</f>
        <v>0</v>
      </c>
      <c r="F20" s="21" t="n">
        <f aca="false">demand!E18</f>
        <v>0</v>
      </c>
      <c r="G20" s="2" t="n">
        <f aca="false">solgen!E18</f>
        <v>0</v>
      </c>
      <c r="H20" s="2" t="n">
        <f aca="false">import!E18</f>
        <v>0</v>
      </c>
      <c r="I20" s="2" t="n">
        <f aca="false">-export!E18</f>
        <v>-0</v>
      </c>
      <c r="J20" s="2" t="n">
        <f aca="false">-charge!E18</f>
        <v>-0</v>
      </c>
      <c r="K20" s="2" t="n">
        <f aca="false">discharge!E18</f>
        <v>0</v>
      </c>
      <c r="L20" s="2" t="n">
        <f aca="false">soc!E18/investment!$E$4 *100</f>
        <v>54.2790889931346</v>
      </c>
    </row>
    <row r="21" customFormat="false" ht="13.8" hidden="false" customHeight="false" outlineLevel="0" collapsed="false">
      <c r="B21" s="14" t="n">
        <f aca="false">_xlfn.NUMBERVALUE(solar!B18)</f>
        <v>36</v>
      </c>
      <c r="C21" s="15" t="n">
        <f aca="false">solar!C18</f>
        <v>0</v>
      </c>
      <c r="D21" s="9" t="n">
        <v>17</v>
      </c>
      <c r="E21" s="20" t="n">
        <f aca="false">IFERROR(INDEX($B$5:$C$173, MATCH($D21, $B$5:$B$175, 0), 2), 0)*investment!$C$4</f>
        <v>0</v>
      </c>
      <c r="F21" s="21" t="n">
        <f aca="false">demand!E19</f>
        <v>0</v>
      </c>
      <c r="G21" s="2" t="n">
        <f aca="false">solgen!E19</f>
        <v>0</v>
      </c>
      <c r="H21" s="2" t="n">
        <f aca="false">import!E19</f>
        <v>0</v>
      </c>
      <c r="I21" s="2" t="n">
        <f aca="false">-export!E19</f>
        <v>-0</v>
      </c>
      <c r="J21" s="2" t="n">
        <f aca="false">-charge!E19</f>
        <v>-0</v>
      </c>
      <c r="K21" s="2" t="n">
        <f aca="false">discharge!E19</f>
        <v>0</v>
      </c>
      <c r="L21" s="2" t="n">
        <f aca="false">soc!E19/investment!$E$4 *100</f>
        <v>54.2785306974016</v>
      </c>
    </row>
    <row r="22" customFormat="false" ht="13.8" hidden="false" customHeight="false" outlineLevel="0" collapsed="false">
      <c r="B22" s="14" t="n">
        <f aca="false">_xlfn.NUMBERVALUE(solar!B19)</f>
        <v>37</v>
      </c>
      <c r="C22" s="15" t="n">
        <f aca="false">solar!C19</f>
        <v>0</v>
      </c>
      <c r="D22" s="9" t="n">
        <v>18</v>
      </c>
      <c r="E22" s="20" t="n">
        <f aca="false">IFERROR(INDEX($B$5:$C$173, MATCH($D22, $B$5:$B$175, 0), 2), 0)*investment!$C$4</f>
        <v>0</v>
      </c>
      <c r="F22" s="21" t="n">
        <f aca="false">demand!E20</f>
        <v>0</v>
      </c>
      <c r="G22" s="2" t="n">
        <f aca="false">solgen!E20</f>
        <v>0</v>
      </c>
      <c r="H22" s="2" t="n">
        <f aca="false">import!E20</f>
        <v>0</v>
      </c>
      <c r="I22" s="2" t="n">
        <f aca="false">-export!E20</f>
        <v>-0</v>
      </c>
      <c r="J22" s="2" t="n">
        <f aca="false">-charge!E20</f>
        <v>-0</v>
      </c>
      <c r="K22" s="2" t="n">
        <f aca="false">discharge!E20</f>
        <v>0</v>
      </c>
      <c r="L22" s="2" t="n">
        <f aca="false">soc!E20/investment!$E$4 *100</f>
        <v>52.1848340999031</v>
      </c>
    </row>
    <row r="23" customFormat="false" ht="13.8" hidden="false" customHeight="false" outlineLevel="0" collapsed="false">
      <c r="B23" s="14" t="n">
        <f aca="false">_xlfn.NUMBERVALUE(solar!B20)</f>
        <v>38</v>
      </c>
      <c r="C23" s="15" t="n">
        <f aca="false">solar!C20</f>
        <v>0</v>
      </c>
      <c r="D23" s="9" t="n">
        <v>19</v>
      </c>
      <c r="E23" s="20" t="n">
        <f aca="false">IFERROR(INDEX($B$5:$C$173, MATCH($D23, $B$5:$B$175, 0), 2), 0)*investment!$C$4</f>
        <v>0</v>
      </c>
      <c r="F23" s="21" t="n">
        <f aca="false">demand!E21</f>
        <v>0</v>
      </c>
      <c r="G23" s="2" t="n">
        <f aca="false">solgen!E21</f>
        <v>0</v>
      </c>
      <c r="H23" s="2" t="n">
        <f aca="false">import!E21</f>
        <v>0</v>
      </c>
      <c r="I23" s="2" t="n">
        <f aca="false">-export!E21</f>
        <v>-0</v>
      </c>
      <c r="J23" s="2" t="n">
        <f aca="false">-charge!E21</f>
        <v>-0</v>
      </c>
      <c r="K23" s="2" t="n">
        <f aca="false">discharge!E21</f>
        <v>0</v>
      </c>
      <c r="L23" s="2" t="n">
        <f aca="false">soc!E21/investment!$E$4 *100</f>
        <v>52.1067880362957</v>
      </c>
    </row>
    <row r="24" customFormat="false" ht="13.8" hidden="false" customHeight="false" outlineLevel="0" collapsed="false">
      <c r="B24" s="14" t="n">
        <f aca="false">_xlfn.NUMBERVALUE(solar!B21)</f>
        <v>39</v>
      </c>
      <c r="C24" s="15" t="n">
        <f aca="false">solar!C21</f>
        <v>0</v>
      </c>
      <c r="D24" s="9" t="n">
        <v>20</v>
      </c>
      <c r="E24" s="20" t="n">
        <f aca="false">IFERROR(INDEX($B$5:$C$173, MATCH($D24, $B$5:$B$175, 0), 2), 0)*investment!$C$4</f>
        <v>0</v>
      </c>
      <c r="F24" s="21" t="n">
        <f aca="false">demand!E22</f>
        <v>0</v>
      </c>
      <c r="G24" s="2" t="n">
        <f aca="false">solgen!E22</f>
        <v>0</v>
      </c>
      <c r="H24" s="2" t="n">
        <f aca="false">import!E22</f>
        <v>0</v>
      </c>
      <c r="I24" s="2" t="n">
        <f aca="false">-export!E22</f>
        <v>-0</v>
      </c>
      <c r="J24" s="2" t="n">
        <f aca="false">-charge!E22</f>
        <v>-0</v>
      </c>
      <c r="K24" s="2" t="n">
        <f aca="false">discharge!E22</f>
        <v>0</v>
      </c>
      <c r="L24" s="2" t="n">
        <f aca="false">soc!E22/investment!$E$4 *100</f>
        <v>50.4524098071397</v>
      </c>
    </row>
    <row r="25" customFormat="false" ht="13.8" hidden="false" customHeight="false" outlineLevel="0" collapsed="false">
      <c r="B25" s="14" t="n">
        <f aca="false">_xlfn.NUMBERVALUE(solar!B22)</f>
        <v>40</v>
      </c>
      <c r="C25" s="15" t="n">
        <f aca="false">solar!C22</f>
        <v>0</v>
      </c>
      <c r="D25" s="9" t="n">
        <v>21</v>
      </c>
      <c r="E25" s="20" t="n">
        <f aca="false">IFERROR(INDEX($B$5:$C$173, MATCH($D25, $B$5:$B$175, 0), 2), 0)*investment!$C$4</f>
        <v>0</v>
      </c>
      <c r="F25" s="21" t="n">
        <f aca="false">demand!E23</f>
        <v>0</v>
      </c>
      <c r="G25" s="2" t="n">
        <f aca="false">solgen!E23</f>
        <v>0</v>
      </c>
      <c r="H25" s="2" t="n">
        <f aca="false">import!E23</f>
        <v>0</v>
      </c>
      <c r="I25" s="2" t="n">
        <f aca="false">-export!E23</f>
        <v>-0</v>
      </c>
      <c r="J25" s="2" t="n">
        <f aca="false">-charge!E23</f>
        <v>-0</v>
      </c>
      <c r="K25" s="2" t="n">
        <f aca="false">discharge!E23</f>
        <v>0</v>
      </c>
      <c r="L25" s="2" t="n">
        <f aca="false">soc!E23/investment!$E$4 *100</f>
        <v>49.7696921886977</v>
      </c>
    </row>
    <row r="26" customFormat="false" ht="13.8" hidden="false" customHeight="false" outlineLevel="0" collapsed="false">
      <c r="B26" s="14" t="n">
        <f aca="false">_xlfn.NUMBERVALUE(solar!B23)</f>
        <v>41</v>
      </c>
      <c r="C26" s="15" t="n">
        <f aca="false">solar!C23</f>
        <v>0</v>
      </c>
      <c r="D26" s="9" t="n">
        <v>22</v>
      </c>
      <c r="E26" s="20" t="n">
        <f aca="false">IFERROR(INDEX($B$5:$C$173, MATCH($D26, $B$5:$B$175, 0), 2), 0)*investment!$C$4</f>
        <v>0</v>
      </c>
      <c r="F26" s="21" t="n">
        <f aca="false">demand!E24</f>
        <v>0</v>
      </c>
      <c r="G26" s="2" t="n">
        <f aca="false">solgen!E24</f>
        <v>0</v>
      </c>
      <c r="H26" s="2" t="n">
        <f aca="false">import!E24</f>
        <v>0</v>
      </c>
      <c r="I26" s="2" t="n">
        <f aca="false">-export!E24</f>
        <v>-0</v>
      </c>
      <c r="J26" s="2" t="n">
        <f aca="false">-charge!E24</f>
        <v>-0</v>
      </c>
      <c r="K26" s="2" t="n">
        <f aca="false">discharge!E24</f>
        <v>0</v>
      </c>
      <c r="L26" s="2" t="n">
        <f aca="false">soc!E24/investment!$E$4 *100</f>
        <v>48.2957834045354</v>
      </c>
    </row>
    <row r="27" customFormat="false" ht="13.8" hidden="false" customHeight="false" outlineLevel="0" collapsed="false">
      <c r="B27" s="14" t="n">
        <f aca="false">_xlfn.NUMBERVALUE(solar!B24)</f>
        <v>42</v>
      </c>
      <c r="C27" s="15" t="n">
        <f aca="false">solar!C24</f>
        <v>0</v>
      </c>
      <c r="D27" s="9" t="n">
        <v>23</v>
      </c>
      <c r="E27" s="20" t="n">
        <f aca="false">IFERROR(INDEX($B$5:$C$173, MATCH($D27, $B$5:$B$175, 0), 2), 0)*investment!$C$4</f>
        <v>0</v>
      </c>
      <c r="F27" s="21" t="n">
        <f aca="false">demand!E25</f>
        <v>0</v>
      </c>
      <c r="G27" s="2" t="n">
        <f aca="false">solgen!E25</f>
        <v>0</v>
      </c>
      <c r="H27" s="2" t="n">
        <f aca="false">import!E25</f>
        <v>0</v>
      </c>
      <c r="I27" s="2" t="n">
        <f aca="false">-export!E25</f>
        <v>-0</v>
      </c>
      <c r="J27" s="2" t="n">
        <f aca="false">-charge!E25</f>
        <v>-0</v>
      </c>
      <c r="K27" s="2" t="n">
        <f aca="false">discharge!E25</f>
        <v>0</v>
      </c>
      <c r="L27" s="2" t="n">
        <f aca="false">soc!E25/investment!$E$4 *100</f>
        <v>47.6431950441046</v>
      </c>
    </row>
    <row r="28" customFormat="false" ht="13.8" hidden="false" customHeight="false" outlineLevel="0" collapsed="false">
      <c r="B28" s="14" t="n">
        <f aca="false">_xlfn.NUMBERVALUE(solar!B25)</f>
        <v>43</v>
      </c>
      <c r="C28" s="15" t="n">
        <f aca="false">solar!C25</f>
        <v>0</v>
      </c>
      <c r="D28" s="9" t="n">
        <v>24</v>
      </c>
      <c r="E28" s="20" t="n">
        <f aca="false">IFERROR(INDEX($B$5:$C$173, MATCH($D28, $B$5:$B$175, 0), 2), 0)*investment!$C$4</f>
        <v>0</v>
      </c>
      <c r="F28" s="21" t="n">
        <f aca="false">demand!E26</f>
        <v>0</v>
      </c>
      <c r="G28" s="2" t="n">
        <f aca="false">solgen!E26</f>
        <v>0</v>
      </c>
      <c r="H28" s="2" t="n">
        <f aca="false">import!E26</f>
        <v>0</v>
      </c>
      <c r="I28" s="2" t="n">
        <f aca="false">-export!E26</f>
        <v>-0</v>
      </c>
      <c r="J28" s="2" t="n">
        <f aca="false">-charge!E26</f>
        <v>-0</v>
      </c>
      <c r="K28" s="2" t="n">
        <f aca="false">discharge!E26</f>
        <v>0</v>
      </c>
      <c r="L28" s="2" t="n">
        <f aca="false">soc!E26/investment!$E$4 *100</f>
        <v>46.8196058378231</v>
      </c>
    </row>
    <row r="29" customFormat="false" ht="13.8" hidden="false" customHeight="false" outlineLevel="0" collapsed="false">
      <c r="B29" s="14" t="n">
        <f aca="false">_xlfn.NUMBERVALUE(solar!B26)</f>
        <v>56</v>
      </c>
      <c r="C29" s="15" t="n">
        <f aca="false">solar!C26</f>
        <v>0</v>
      </c>
      <c r="D29" s="9" t="n">
        <v>25</v>
      </c>
      <c r="E29" s="20" t="n">
        <f aca="false">IFERROR(INDEX($B$5:$C$173, MATCH($D29, $B$5:$B$175, 0), 2), 0)*investment!$C$4</f>
        <v>0</v>
      </c>
      <c r="F29" s="21" t="n">
        <f aca="false">demand!E27</f>
        <v>0</v>
      </c>
      <c r="G29" s="2" t="n">
        <f aca="false">solgen!E27</f>
        <v>0</v>
      </c>
      <c r="H29" s="2" t="n">
        <f aca="false">import!E27</f>
        <v>0</v>
      </c>
      <c r="I29" s="2" t="n">
        <f aca="false">-export!E27</f>
        <v>-0</v>
      </c>
      <c r="J29" s="2" t="n">
        <f aca="false">-charge!E27</f>
        <v>-0</v>
      </c>
      <c r="K29" s="2" t="n">
        <f aca="false">discharge!E27</f>
        <v>0</v>
      </c>
      <c r="L29" s="2" t="n">
        <f aca="false">soc!E27/investment!$E$4 *100</f>
        <v>45.1893251324525</v>
      </c>
    </row>
    <row r="30" customFormat="false" ht="13.8" hidden="false" customHeight="false" outlineLevel="0" collapsed="false">
      <c r="B30" s="14" t="n">
        <f aca="false">_xlfn.NUMBERVALUE(solar!B27)</f>
        <v>57</v>
      </c>
      <c r="C30" s="15" t="n">
        <f aca="false">solar!C27</f>
        <v>0</v>
      </c>
      <c r="D30" s="9" t="n">
        <v>26</v>
      </c>
      <c r="E30" s="20" t="n">
        <f aca="false">IFERROR(INDEX($B$5:$C$173, MATCH($D30, $B$5:$B$175, 0), 2), 0)*investment!$C$4</f>
        <v>0</v>
      </c>
      <c r="F30" s="21" t="n">
        <f aca="false">demand!E28</f>
        <v>0</v>
      </c>
      <c r="G30" s="2" t="n">
        <f aca="false">solgen!E28</f>
        <v>0</v>
      </c>
      <c r="H30" s="2" t="n">
        <f aca="false">import!E28</f>
        <v>0</v>
      </c>
      <c r="I30" s="2" t="n">
        <f aca="false">-export!E28</f>
        <v>-0</v>
      </c>
      <c r="J30" s="2" t="n">
        <f aca="false">-charge!E28</f>
        <v>-0</v>
      </c>
      <c r="K30" s="2" t="n">
        <f aca="false">discharge!E28</f>
        <v>0</v>
      </c>
      <c r="L30" s="2" t="n">
        <f aca="false">soc!E28/investment!$E$4 *100</f>
        <v>45.1888732392012</v>
      </c>
    </row>
    <row r="31" customFormat="false" ht="13.8" hidden="false" customHeight="false" outlineLevel="0" collapsed="false">
      <c r="B31" s="14" t="n">
        <f aca="false">_xlfn.NUMBERVALUE(solar!B28)</f>
        <v>58</v>
      </c>
      <c r="C31" s="15" t="n">
        <f aca="false">solar!C28</f>
        <v>0</v>
      </c>
      <c r="D31" s="9" t="n">
        <v>27</v>
      </c>
      <c r="E31" s="20" t="n">
        <f aca="false">IFERROR(INDEX($B$5:$C$173, MATCH($D31, $B$5:$B$175, 0), 2), 0)*investment!$C$4</f>
        <v>0</v>
      </c>
      <c r="F31" s="21" t="n">
        <f aca="false">demand!E29</f>
        <v>0</v>
      </c>
      <c r="G31" s="2" t="n">
        <f aca="false">solgen!E29</f>
        <v>0</v>
      </c>
      <c r="H31" s="2" t="n">
        <f aca="false">import!E29</f>
        <v>0</v>
      </c>
      <c r="I31" s="2" t="n">
        <f aca="false">-export!E29</f>
        <v>-0</v>
      </c>
      <c r="J31" s="2" t="n">
        <f aca="false">-charge!E29</f>
        <v>-0</v>
      </c>
      <c r="K31" s="2" t="n">
        <f aca="false">discharge!E29</f>
        <v>0</v>
      </c>
      <c r="L31" s="2" t="n">
        <f aca="false">soc!E29/investment!$E$4 *100</f>
        <v>44.5299091575214</v>
      </c>
    </row>
    <row r="32" customFormat="false" ht="13.8" hidden="false" customHeight="false" outlineLevel="0" collapsed="false">
      <c r="B32" s="14" t="n">
        <f aca="false">_xlfn.NUMBERVALUE(solar!B29)</f>
        <v>59</v>
      </c>
      <c r="C32" s="15" t="n">
        <f aca="false">solar!C29</f>
        <v>0</v>
      </c>
      <c r="D32" s="9" t="n">
        <v>28</v>
      </c>
      <c r="E32" s="20" t="n">
        <f aca="false">IFERROR(INDEX($B$5:$C$173, MATCH($D32, $B$5:$B$175, 0), 2), 0)*investment!$C$4</f>
        <v>0</v>
      </c>
      <c r="F32" s="21" t="n">
        <f aca="false">demand!E30</f>
        <v>0</v>
      </c>
      <c r="G32" s="2" t="n">
        <f aca="false">solgen!E30</f>
        <v>0</v>
      </c>
      <c r="H32" s="2" t="n">
        <f aca="false">import!E30</f>
        <v>0</v>
      </c>
      <c r="I32" s="2" t="n">
        <f aca="false">-export!E30</f>
        <v>-0</v>
      </c>
      <c r="J32" s="2" t="n">
        <f aca="false">-charge!E30</f>
        <v>-0</v>
      </c>
      <c r="K32" s="2" t="n">
        <f aca="false">discharge!E30</f>
        <v>0</v>
      </c>
      <c r="L32" s="2" t="n">
        <f aca="false">soc!E30/investment!$E$4 *100</f>
        <v>44.5294638584299</v>
      </c>
    </row>
    <row r="33" customFormat="false" ht="13.8" hidden="false" customHeight="false" outlineLevel="0" collapsed="false">
      <c r="B33" s="14" t="n">
        <f aca="false">_xlfn.NUMBERVALUE(solar!B30)</f>
        <v>60</v>
      </c>
      <c r="C33" s="15" t="n">
        <f aca="false">solar!C30</f>
        <v>0</v>
      </c>
      <c r="D33" s="9" t="n">
        <v>29</v>
      </c>
      <c r="E33" s="20" t="n">
        <f aca="false">IFERROR(INDEX($B$5:$C$173, MATCH($D33, $B$5:$B$175, 0), 2), 0)*investment!$C$4</f>
        <v>0</v>
      </c>
      <c r="F33" s="21" t="n">
        <f aca="false">demand!E31</f>
        <v>0</v>
      </c>
      <c r="G33" s="2" t="n">
        <f aca="false">solgen!E31</f>
        <v>0</v>
      </c>
      <c r="H33" s="2" t="n">
        <f aca="false">import!E31</f>
        <v>0</v>
      </c>
      <c r="I33" s="2" t="n">
        <f aca="false">-export!E31</f>
        <v>-0</v>
      </c>
      <c r="J33" s="2" t="n">
        <f aca="false">-charge!E31</f>
        <v>-0</v>
      </c>
      <c r="K33" s="2" t="n">
        <f aca="false">discharge!E31</f>
        <v>0</v>
      </c>
      <c r="L33" s="2" t="n">
        <f aca="false">soc!E31/investment!$E$4 *100</f>
        <v>44.5290185637913</v>
      </c>
    </row>
    <row r="34" customFormat="false" ht="13.8" hidden="false" customHeight="false" outlineLevel="0" collapsed="false">
      <c r="B34" s="14" t="n">
        <f aca="false">_xlfn.NUMBERVALUE(solar!B31)</f>
        <v>61</v>
      </c>
      <c r="C34" s="15" t="n">
        <f aca="false">solar!C31</f>
        <v>0</v>
      </c>
      <c r="D34" s="9" t="n">
        <v>30</v>
      </c>
      <c r="E34" s="20" t="n">
        <f aca="false">IFERROR(INDEX($B$5:$C$173, MATCH($D34, $B$5:$B$175, 0), 2), 0)*investment!$C$4</f>
        <v>0</v>
      </c>
      <c r="F34" s="21" t="n">
        <f aca="false">demand!E32</f>
        <v>0</v>
      </c>
      <c r="G34" s="2" t="n">
        <f aca="false">solgen!E32</f>
        <v>0</v>
      </c>
      <c r="H34" s="2" t="n">
        <f aca="false">import!E32</f>
        <v>0</v>
      </c>
      <c r="I34" s="2" t="n">
        <f aca="false">-export!E32</f>
        <v>-0</v>
      </c>
      <c r="J34" s="2" t="n">
        <f aca="false">-charge!E32</f>
        <v>-0</v>
      </c>
      <c r="K34" s="2" t="n">
        <f aca="false">discharge!E32</f>
        <v>0</v>
      </c>
      <c r="L34" s="2" t="n">
        <f aca="false">soc!E32/investment!$E$4 *100</f>
        <v>44.5285732736056</v>
      </c>
    </row>
    <row r="35" customFormat="false" ht="13.8" hidden="false" customHeight="false" outlineLevel="0" collapsed="false">
      <c r="B35" s="14" t="n">
        <f aca="false">_xlfn.NUMBERVALUE(solar!B32)</f>
        <v>62</v>
      </c>
      <c r="C35" s="15" t="n">
        <f aca="false">solar!C32</f>
        <v>0</v>
      </c>
      <c r="D35" s="9" t="n">
        <v>31</v>
      </c>
      <c r="E35" s="20" t="n">
        <f aca="false">IFERROR(INDEX($B$5:$C$173, MATCH($D35, $B$5:$B$175, 0), 2), 0)*investment!$C$4</f>
        <v>0</v>
      </c>
      <c r="F35" s="21" t="n">
        <f aca="false">demand!E33</f>
        <v>0</v>
      </c>
      <c r="G35" s="2" t="n">
        <f aca="false">solgen!E33</f>
        <v>0</v>
      </c>
      <c r="H35" s="2" t="n">
        <f aca="false">import!E33</f>
        <v>0</v>
      </c>
      <c r="I35" s="2" t="n">
        <f aca="false">-export!E33</f>
        <v>-0</v>
      </c>
      <c r="J35" s="2" t="n">
        <f aca="false">-charge!E33</f>
        <v>-0</v>
      </c>
      <c r="K35" s="2" t="n">
        <f aca="false">discharge!E33</f>
        <v>0</v>
      </c>
      <c r="L35" s="2" t="n">
        <f aca="false">soc!E33/investment!$E$4 *100</f>
        <v>44.5281279878729</v>
      </c>
    </row>
    <row r="36" customFormat="false" ht="13.8" hidden="false" customHeight="false" outlineLevel="0" collapsed="false">
      <c r="B36" s="14" t="n">
        <f aca="false">_xlfn.NUMBERVALUE(solar!B33)</f>
        <v>63</v>
      </c>
      <c r="C36" s="15" t="n">
        <f aca="false">solar!C33</f>
        <v>0</v>
      </c>
      <c r="D36" s="9" t="n">
        <v>32</v>
      </c>
      <c r="E36" s="20" t="n">
        <f aca="false">IFERROR(INDEX($B$5:$C$173, MATCH($D36, $B$5:$B$175, 0), 2), 0)*investment!$C$4</f>
        <v>0</v>
      </c>
      <c r="F36" s="21" t="n">
        <f aca="false">demand!E34</f>
        <v>0</v>
      </c>
      <c r="G36" s="2" t="n">
        <f aca="false">solgen!E34</f>
        <v>0</v>
      </c>
      <c r="H36" s="2" t="n">
        <f aca="false">import!E34</f>
        <v>0</v>
      </c>
      <c r="I36" s="2" t="n">
        <f aca="false">-export!E34</f>
        <v>-0</v>
      </c>
      <c r="J36" s="2" t="n">
        <f aca="false">-charge!E34</f>
        <v>-0</v>
      </c>
      <c r="K36" s="2" t="n">
        <f aca="false">discharge!E34</f>
        <v>0</v>
      </c>
      <c r="L36" s="2" t="n">
        <f aca="false">soc!E34/investment!$E$4 *100</f>
        <v>46.6160152902513</v>
      </c>
    </row>
    <row r="37" customFormat="false" ht="13.8" hidden="false" customHeight="false" outlineLevel="0" collapsed="false">
      <c r="B37" s="14" t="n">
        <f aca="false">_xlfn.NUMBERVALUE(solar!B34)</f>
        <v>64</v>
      </c>
      <c r="C37" s="15" t="n">
        <f aca="false">solar!C34</f>
        <v>0</v>
      </c>
      <c r="D37" s="9" t="n">
        <v>33</v>
      </c>
      <c r="E37" s="20" t="n">
        <f aca="false">IFERROR(INDEX($B$5:$C$173, MATCH($D37, $B$5:$B$175, 0), 2), 0)*investment!$C$4</f>
        <v>0</v>
      </c>
      <c r="F37" s="21" t="n">
        <f aca="false">demand!E35</f>
        <v>0</v>
      </c>
      <c r="G37" s="2" t="n">
        <f aca="false">solgen!E35</f>
        <v>0</v>
      </c>
      <c r="H37" s="2" t="n">
        <f aca="false">import!E35</f>
        <v>0</v>
      </c>
      <c r="I37" s="2" t="n">
        <f aca="false">-export!E35</f>
        <v>-0</v>
      </c>
      <c r="J37" s="2" t="n">
        <f aca="false">-charge!E35</f>
        <v>-0</v>
      </c>
      <c r="K37" s="2" t="n">
        <f aca="false">discharge!E35</f>
        <v>0</v>
      </c>
      <c r="L37" s="2" t="n">
        <f aca="false">soc!E35/investment!$E$4 *100</f>
        <v>48.3518318994352</v>
      </c>
    </row>
    <row r="38" customFormat="false" ht="13.8" hidden="false" customHeight="false" outlineLevel="0" collapsed="false">
      <c r="B38" s="14" t="n">
        <f aca="false">_xlfn.NUMBERVALUE(solar!B35)</f>
        <v>65</v>
      </c>
      <c r="C38" s="15" t="n">
        <f aca="false">solar!C35</f>
        <v>0</v>
      </c>
      <c r="D38" s="9" t="n">
        <v>34</v>
      </c>
      <c r="E38" s="20" t="n">
        <f aca="false">IFERROR(INDEX($B$5:$C$173, MATCH($D38, $B$5:$B$175, 0), 2), 0)*investment!$C$4</f>
        <v>0</v>
      </c>
      <c r="F38" s="21" t="n">
        <f aca="false">demand!E36</f>
        <v>0</v>
      </c>
      <c r="G38" s="2" t="n">
        <f aca="false">solgen!E36</f>
        <v>0</v>
      </c>
      <c r="H38" s="2" t="n">
        <f aca="false">import!E36</f>
        <v>0</v>
      </c>
      <c r="I38" s="2" t="n">
        <f aca="false">-export!E36</f>
        <v>-0</v>
      </c>
      <c r="J38" s="2" t="n">
        <f aca="false">-charge!E36</f>
        <v>-0</v>
      </c>
      <c r="K38" s="2" t="n">
        <f aca="false">discharge!E36</f>
        <v>0</v>
      </c>
      <c r="L38" s="2" t="n">
        <f aca="false">soc!E36/investment!$E$4 *100</f>
        <v>51.2599712357888</v>
      </c>
    </row>
    <row r="39" customFormat="false" ht="13.8" hidden="false" customHeight="false" outlineLevel="0" collapsed="false">
      <c r="B39" s="14" t="n">
        <f aca="false">_xlfn.NUMBERVALUE(solar!B36)</f>
        <v>66</v>
      </c>
      <c r="C39" s="15" t="n">
        <f aca="false">solar!C36</f>
        <v>0</v>
      </c>
      <c r="D39" s="9" t="n">
        <v>35</v>
      </c>
      <c r="E39" s="20" t="n">
        <f aca="false">IFERROR(INDEX($B$5:$C$173, MATCH($D39, $B$5:$B$175, 0), 2), 0)*investment!$C$4</f>
        <v>0</v>
      </c>
      <c r="F39" s="21" t="n">
        <f aca="false">demand!E37</f>
        <v>0</v>
      </c>
      <c r="G39" s="2" t="n">
        <f aca="false">solgen!E37</f>
        <v>0</v>
      </c>
      <c r="H39" s="2" t="n">
        <f aca="false">import!E37</f>
        <v>0</v>
      </c>
      <c r="I39" s="2" t="n">
        <f aca="false">-export!E37</f>
        <v>-0</v>
      </c>
      <c r="J39" s="2" t="n">
        <f aca="false">-charge!E37</f>
        <v>-0</v>
      </c>
      <c r="K39" s="2" t="n">
        <f aca="false">discharge!E37</f>
        <v>0</v>
      </c>
      <c r="L39" s="2" t="n">
        <f aca="false">soc!E37/investment!$E$4 *100</f>
        <v>53.3812296078735</v>
      </c>
    </row>
    <row r="40" customFormat="false" ht="13.8" hidden="false" customHeight="false" outlineLevel="0" collapsed="false">
      <c r="B40" s="14" t="n">
        <f aca="false">_xlfn.NUMBERVALUE(solar!B37)</f>
        <v>67</v>
      </c>
      <c r="C40" s="15" t="n">
        <f aca="false">solar!C37</f>
        <v>0</v>
      </c>
      <c r="D40" s="9" t="n">
        <v>36</v>
      </c>
      <c r="E40" s="20" t="n">
        <f aca="false">IFERROR(INDEX($B$5:$C$173, MATCH($D40, $B$5:$B$175, 0), 2), 0)*investment!$C$4</f>
        <v>0</v>
      </c>
      <c r="F40" s="21" t="n">
        <f aca="false">demand!E38</f>
        <v>0</v>
      </c>
      <c r="G40" s="2" t="n">
        <f aca="false">solgen!E38</f>
        <v>0</v>
      </c>
      <c r="H40" s="2" t="n">
        <f aca="false">import!E38</f>
        <v>0</v>
      </c>
      <c r="I40" s="2" t="n">
        <f aca="false">-export!E38</f>
        <v>-0</v>
      </c>
      <c r="J40" s="2" t="n">
        <f aca="false">-charge!E38</f>
        <v>-0</v>
      </c>
      <c r="K40" s="2" t="n">
        <f aca="false">discharge!E38</f>
        <v>0</v>
      </c>
      <c r="L40" s="2" t="n">
        <f aca="false">soc!E38/investment!$E$4 *100</f>
        <v>56.6748068527103</v>
      </c>
    </row>
    <row r="41" customFormat="false" ht="13.8" hidden="false" customHeight="false" outlineLevel="0" collapsed="false">
      <c r="B41" s="14" t="n">
        <f aca="false">_xlfn.NUMBERVALUE(solar!B38)</f>
        <v>80</v>
      </c>
      <c r="C41" s="15" t="n">
        <f aca="false">solar!C38</f>
        <v>0</v>
      </c>
      <c r="D41" s="9" t="n">
        <v>37</v>
      </c>
      <c r="E41" s="20" t="n">
        <f aca="false">IFERROR(INDEX($B$5:$C$173, MATCH($D41, $B$5:$B$175, 0), 2), 0)*investment!$C$4</f>
        <v>0</v>
      </c>
      <c r="F41" s="21" t="n">
        <f aca="false">demand!E39</f>
        <v>0</v>
      </c>
      <c r="G41" s="2" t="n">
        <f aca="false">solgen!E39</f>
        <v>0</v>
      </c>
      <c r="H41" s="2" t="n">
        <f aca="false">import!E39</f>
        <v>0</v>
      </c>
      <c r="I41" s="2" t="n">
        <f aca="false">-export!E39</f>
        <v>-0</v>
      </c>
      <c r="J41" s="2" t="n">
        <f aca="false">-charge!E39</f>
        <v>-0</v>
      </c>
      <c r="K41" s="2" t="n">
        <f aca="false">discharge!E39</f>
        <v>0</v>
      </c>
      <c r="L41" s="2" t="n">
        <f aca="false">soc!E39/investment!$E$4 *100</f>
        <v>59.1814992788992</v>
      </c>
    </row>
    <row r="42" customFormat="false" ht="13.8" hidden="false" customHeight="false" outlineLevel="0" collapsed="false">
      <c r="B42" s="14" t="n">
        <f aca="false">_xlfn.NUMBERVALUE(solar!B39)</f>
        <v>81</v>
      </c>
      <c r="C42" s="15" t="n">
        <f aca="false">solar!C39</f>
        <v>0</v>
      </c>
      <c r="D42" s="9" t="n">
        <v>38</v>
      </c>
      <c r="E42" s="20" t="n">
        <f aca="false">IFERROR(INDEX($B$5:$C$173, MATCH($D42, $B$5:$B$175, 0), 2), 0)*investment!$C$4</f>
        <v>0</v>
      </c>
      <c r="F42" s="21" t="n">
        <f aca="false">demand!E40</f>
        <v>0</v>
      </c>
      <c r="G42" s="2" t="n">
        <f aca="false">solgen!E40</f>
        <v>0</v>
      </c>
      <c r="H42" s="2" t="n">
        <f aca="false">import!E40</f>
        <v>0</v>
      </c>
      <c r="I42" s="2" t="n">
        <f aca="false">-export!E40</f>
        <v>-0</v>
      </c>
      <c r="J42" s="2" t="n">
        <f aca="false">-charge!E40</f>
        <v>-0</v>
      </c>
      <c r="K42" s="2" t="n">
        <f aca="false">discharge!E40</f>
        <v>0</v>
      </c>
      <c r="L42" s="2" t="n">
        <f aca="false">soc!E40/investment!$E$4 *100</f>
        <v>64.3828315591033</v>
      </c>
    </row>
    <row r="43" customFormat="false" ht="13.8" hidden="false" customHeight="false" outlineLevel="0" collapsed="false">
      <c r="B43" s="14" t="n">
        <f aca="false">_xlfn.NUMBERVALUE(solar!B40)</f>
        <v>82</v>
      </c>
      <c r="C43" s="15" t="n">
        <f aca="false">solar!C40</f>
        <v>0</v>
      </c>
      <c r="D43" s="9" t="n">
        <v>39</v>
      </c>
      <c r="E43" s="20" t="n">
        <f aca="false">IFERROR(INDEX($B$5:$C$173, MATCH($D43, $B$5:$B$175, 0), 2), 0)*investment!$C$4</f>
        <v>0</v>
      </c>
      <c r="F43" s="21" t="n">
        <f aca="false">demand!E41</f>
        <v>0</v>
      </c>
      <c r="G43" s="2" t="n">
        <f aca="false">solgen!E41</f>
        <v>0</v>
      </c>
      <c r="H43" s="2" t="n">
        <f aca="false">import!E41</f>
        <v>0</v>
      </c>
      <c r="I43" s="2" t="n">
        <f aca="false">-export!E41</f>
        <v>-0</v>
      </c>
      <c r="J43" s="2" t="n">
        <f aca="false">-charge!E41</f>
        <v>-0</v>
      </c>
      <c r="K43" s="2" t="n">
        <f aca="false">discharge!E41</f>
        <v>0</v>
      </c>
      <c r="L43" s="2" t="n">
        <f aca="false">soc!E41/investment!$E$4 *100</f>
        <v>70.1981986028361</v>
      </c>
    </row>
    <row r="44" customFormat="false" ht="13.8" hidden="false" customHeight="false" outlineLevel="0" collapsed="false">
      <c r="B44" s="14" t="n">
        <f aca="false">_xlfn.NUMBERVALUE(solar!B41)</f>
        <v>83</v>
      </c>
      <c r="C44" s="15" t="n">
        <f aca="false">solar!C41</f>
        <v>0</v>
      </c>
      <c r="D44" s="9" t="n">
        <v>40</v>
      </c>
      <c r="E44" s="20" t="n">
        <f aca="false">IFERROR(INDEX($B$5:$C$173, MATCH($D44, $B$5:$B$175, 0), 2), 0)*investment!$C$4</f>
        <v>0</v>
      </c>
      <c r="F44" s="21" t="n">
        <f aca="false">demand!E42</f>
        <v>0</v>
      </c>
      <c r="G44" s="2" t="n">
        <f aca="false">solgen!E42</f>
        <v>0</v>
      </c>
      <c r="H44" s="2" t="n">
        <f aca="false">import!E42</f>
        <v>0</v>
      </c>
      <c r="I44" s="2" t="n">
        <f aca="false">-export!E42</f>
        <v>-0</v>
      </c>
      <c r="J44" s="2" t="n">
        <f aca="false">-charge!E42</f>
        <v>-0</v>
      </c>
      <c r="K44" s="2" t="n">
        <f aca="false">discharge!E42</f>
        <v>0</v>
      </c>
      <c r="L44" s="2" t="n">
        <f aca="false">soc!E42/investment!$E$4 *100</f>
        <v>75.5324570324728</v>
      </c>
    </row>
    <row r="45" customFormat="false" ht="13.8" hidden="false" customHeight="false" outlineLevel="0" collapsed="false">
      <c r="B45" s="14" t="n">
        <f aca="false">_xlfn.NUMBERVALUE(solar!B42)</f>
        <v>84</v>
      </c>
      <c r="C45" s="15" t="n">
        <f aca="false">solar!C42</f>
        <v>0</v>
      </c>
      <c r="D45" s="9" t="n">
        <v>41</v>
      </c>
      <c r="E45" s="20" t="n">
        <f aca="false">IFERROR(INDEX($B$5:$C$173, MATCH($D45, $B$5:$B$175, 0), 2), 0)*investment!$C$4</f>
        <v>0</v>
      </c>
      <c r="F45" s="21" t="n">
        <f aca="false">demand!E43</f>
        <v>0</v>
      </c>
      <c r="G45" s="2" t="n">
        <f aca="false">solgen!E43</f>
        <v>0</v>
      </c>
      <c r="H45" s="2" t="n">
        <f aca="false">import!E43</f>
        <v>0</v>
      </c>
      <c r="I45" s="2" t="n">
        <f aca="false">-export!E43</f>
        <v>-0</v>
      </c>
      <c r="J45" s="2" t="n">
        <f aca="false">-charge!E43</f>
        <v>-0</v>
      </c>
      <c r="K45" s="2" t="n">
        <f aca="false">discharge!E43</f>
        <v>0</v>
      </c>
      <c r="L45" s="2" t="n">
        <f aca="false">soc!E43/investment!$E$4 *100</f>
        <v>83.7815527766146</v>
      </c>
    </row>
    <row r="46" customFormat="false" ht="13.8" hidden="false" customHeight="false" outlineLevel="0" collapsed="false">
      <c r="B46" s="14" t="n">
        <f aca="false">_xlfn.NUMBERVALUE(solar!B43)</f>
        <v>85</v>
      </c>
      <c r="C46" s="15" t="n">
        <f aca="false">solar!C43</f>
        <v>0</v>
      </c>
      <c r="D46" s="9" t="n">
        <v>42</v>
      </c>
      <c r="E46" s="20" t="n">
        <f aca="false">IFERROR(INDEX($B$5:$C$173, MATCH($D46, $B$5:$B$175, 0), 2), 0)*investment!$C$4</f>
        <v>0</v>
      </c>
      <c r="F46" s="21" t="n">
        <f aca="false">demand!E44</f>
        <v>0</v>
      </c>
      <c r="G46" s="2" t="n">
        <f aca="false">solgen!E44</f>
        <v>0</v>
      </c>
      <c r="H46" s="2" t="n">
        <f aca="false">import!E44</f>
        <v>0</v>
      </c>
      <c r="I46" s="2" t="n">
        <f aca="false">-export!E44</f>
        <v>-0</v>
      </c>
      <c r="J46" s="2" t="n">
        <f aca="false">-charge!E44</f>
        <v>-0</v>
      </c>
      <c r="K46" s="2" t="n">
        <f aca="false">discharge!E44</f>
        <v>0</v>
      </c>
      <c r="L46" s="2" t="n">
        <f aca="false">soc!E44/investment!$E$4 *100</f>
        <v>90.5951686757467</v>
      </c>
    </row>
    <row r="47" customFormat="false" ht="13.8" hidden="false" customHeight="false" outlineLevel="0" collapsed="false">
      <c r="B47" s="14" t="n">
        <f aca="false">_xlfn.NUMBERVALUE(solar!B44)</f>
        <v>86</v>
      </c>
      <c r="C47" s="15" t="n">
        <f aca="false">solar!C44</f>
        <v>0</v>
      </c>
      <c r="D47" s="9" t="n">
        <v>43</v>
      </c>
      <c r="E47" s="20" t="n">
        <f aca="false">IFERROR(INDEX($B$5:$C$173, MATCH($D47, $B$5:$B$175, 0), 2), 0)*investment!$C$4</f>
        <v>0</v>
      </c>
      <c r="F47" s="21" t="n">
        <f aca="false">demand!E45</f>
        <v>0</v>
      </c>
      <c r="G47" s="2" t="n">
        <f aca="false">solgen!E45</f>
        <v>0</v>
      </c>
      <c r="H47" s="2" t="n">
        <f aca="false">import!E45</f>
        <v>0</v>
      </c>
      <c r="I47" s="2" t="n">
        <f aca="false">-export!E45</f>
        <v>-0</v>
      </c>
      <c r="J47" s="2" t="n">
        <f aca="false">-charge!E45</f>
        <v>-0</v>
      </c>
      <c r="K47" s="2" t="n">
        <f aca="false">discharge!E45</f>
        <v>0</v>
      </c>
      <c r="L47" s="2" t="n">
        <f aca="false">soc!E45/investment!$E$4 *100</f>
        <v>98.2707605226214</v>
      </c>
    </row>
    <row r="48" customFormat="false" ht="13.8" hidden="false" customHeight="false" outlineLevel="0" collapsed="false">
      <c r="B48" s="14" t="n">
        <f aca="false">_xlfn.NUMBERVALUE(solar!B45)</f>
        <v>87</v>
      </c>
      <c r="C48" s="15" t="n">
        <f aca="false">solar!C45</f>
        <v>0</v>
      </c>
      <c r="D48" s="9" t="n">
        <v>44</v>
      </c>
      <c r="E48" s="20" t="n">
        <f aca="false">IFERROR(INDEX($B$5:$C$173, MATCH($D48, $B$5:$B$175, 0), 2), 0)*investment!$C$4</f>
        <v>0</v>
      </c>
      <c r="F48" s="21" t="n">
        <f aca="false">demand!E46</f>
        <v>0</v>
      </c>
      <c r="G48" s="2" t="n">
        <f aca="false">solgen!E46</f>
        <v>0</v>
      </c>
      <c r="H48" s="2" t="n">
        <f aca="false">import!E46</f>
        <v>0</v>
      </c>
      <c r="I48" s="2" t="n">
        <f aca="false">-export!E46</f>
        <v>-0</v>
      </c>
      <c r="J48" s="2" t="n">
        <f aca="false">-charge!E46</f>
        <v>-0</v>
      </c>
      <c r="K48" s="2" t="n">
        <f aca="false">discharge!E46</f>
        <v>0</v>
      </c>
      <c r="L48" s="2" t="n">
        <f aca="false">soc!E46/investment!$E$4 *100</f>
        <v>100</v>
      </c>
    </row>
    <row r="49" customFormat="false" ht="13.8" hidden="false" customHeight="false" outlineLevel="0" collapsed="false">
      <c r="B49" s="14" t="n">
        <f aca="false">_xlfn.NUMBERVALUE(solar!B46)</f>
        <v>88</v>
      </c>
      <c r="C49" s="15" t="n">
        <f aca="false">solar!C46</f>
        <v>0</v>
      </c>
      <c r="D49" s="9" t="n">
        <v>45</v>
      </c>
      <c r="E49" s="20" t="n">
        <f aca="false">IFERROR(INDEX($B$5:$C$173, MATCH($D49, $B$5:$B$175, 0), 2), 0)*investment!$C$4</f>
        <v>0</v>
      </c>
      <c r="F49" s="21" t="n">
        <f aca="false">demand!E47</f>
        <v>0</v>
      </c>
      <c r="G49" s="2" t="n">
        <f aca="false">solgen!E47</f>
        <v>0</v>
      </c>
      <c r="H49" s="2" t="n">
        <f aca="false">import!E47</f>
        <v>0</v>
      </c>
      <c r="I49" s="2" t="n">
        <f aca="false">-export!E47</f>
        <v>-0</v>
      </c>
      <c r="J49" s="2" t="n">
        <f aca="false">-charge!E47</f>
        <v>-0</v>
      </c>
      <c r="K49" s="2" t="n">
        <f aca="false">discharge!E47</f>
        <v>0</v>
      </c>
      <c r="L49" s="2" t="n">
        <f aca="false">soc!E47/investment!$E$4 *100</f>
        <v>100</v>
      </c>
    </row>
    <row r="50" customFormat="false" ht="13.8" hidden="false" customHeight="false" outlineLevel="0" collapsed="false">
      <c r="B50" s="14" t="n">
        <f aca="false">_xlfn.NUMBERVALUE(solar!B47)</f>
        <v>89</v>
      </c>
      <c r="C50" s="15" t="n">
        <f aca="false">solar!C47</f>
        <v>0</v>
      </c>
      <c r="D50" s="9" t="n">
        <v>46</v>
      </c>
      <c r="E50" s="20" t="n">
        <f aca="false">IFERROR(INDEX($B$5:$C$173, MATCH($D50, $B$5:$B$175, 0), 2), 0)*investment!$C$4</f>
        <v>0</v>
      </c>
      <c r="F50" s="21" t="n">
        <f aca="false">demand!E48</f>
        <v>0</v>
      </c>
      <c r="G50" s="2" t="n">
        <f aca="false">solgen!E48</f>
        <v>0</v>
      </c>
      <c r="H50" s="2" t="n">
        <f aca="false">import!E48</f>
        <v>0</v>
      </c>
      <c r="I50" s="2" t="n">
        <f aca="false">-export!E48</f>
        <v>-0</v>
      </c>
      <c r="J50" s="2" t="n">
        <f aca="false">-charge!E48</f>
        <v>-0</v>
      </c>
      <c r="K50" s="2" t="n">
        <f aca="false">discharge!E48</f>
        <v>0</v>
      </c>
      <c r="L50" s="2" t="n">
        <f aca="false">soc!E48/investment!$E$4 *100</f>
        <v>100</v>
      </c>
    </row>
    <row r="51" customFormat="false" ht="13.8" hidden="false" customHeight="false" outlineLevel="0" collapsed="false">
      <c r="B51" s="14" t="n">
        <f aca="false">_xlfn.NUMBERVALUE(solar!B48)</f>
        <v>90</v>
      </c>
      <c r="C51" s="15" t="n">
        <f aca="false">solar!C48</f>
        <v>0</v>
      </c>
      <c r="D51" s="9" t="n">
        <v>47</v>
      </c>
      <c r="E51" s="20" t="n">
        <f aca="false">IFERROR(INDEX($B$5:$C$173, MATCH($D51, $B$5:$B$175, 0), 2), 0)*investment!$C$4</f>
        <v>0</v>
      </c>
      <c r="F51" s="21" t="n">
        <f aca="false">demand!E49</f>
        <v>0</v>
      </c>
      <c r="G51" s="2" t="n">
        <f aca="false">solgen!E49</f>
        <v>0</v>
      </c>
      <c r="H51" s="2" t="n">
        <f aca="false">import!E49</f>
        <v>0</v>
      </c>
      <c r="I51" s="2" t="n">
        <f aca="false">-export!E49</f>
        <v>-0</v>
      </c>
      <c r="J51" s="2" t="n">
        <f aca="false">-charge!E49</f>
        <v>-0</v>
      </c>
      <c r="K51" s="2" t="n">
        <f aca="false">discharge!E49</f>
        <v>0</v>
      </c>
      <c r="L51" s="2" t="n">
        <f aca="false">soc!E49/investment!$E$4 *100</f>
        <v>99.999</v>
      </c>
    </row>
    <row r="52" customFormat="false" ht="13.8" hidden="false" customHeight="false" outlineLevel="0" collapsed="false">
      <c r="B52" s="14" t="n">
        <f aca="false">_xlfn.NUMBERVALUE(solar!B49)</f>
        <v>91</v>
      </c>
      <c r="C52" s="15" t="n">
        <f aca="false">solar!C49</f>
        <v>0</v>
      </c>
      <c r="D52" s="9" t="n">
        <v>48</v>
      </c>
      <c r="E52" s="20" t="n">
        <f aca="false">IFERROR(INDEX($B$5:$C$173, MATCH($D52, $B$5:$B$175, 0), 2), 0)*investment!$C$4</f>
        <v>0</v>
      </c>
      <c r="F52" s="21" t="n">
        <f aca="false">demand!E50</f>
        <v>0</v>
      </c>
      <c r="G52" s="2" t="n">
        <f aca="false">solgen!E50</f>
        <v>0</v>
      </c>
      <c r="H52" s="2" t="n">
        <f aca="false">import!E50</f>
        <v>0</v>
      </c>
      <c r="I52" s="2" t="n">
        <f aca="false">-export!E50</f>
        <v>-0</v>
      </c>
      <c r="J52" s="2" t="n">
        <f aca="false">-charge!E50</f>
        <v>-0</v>
      </c>
      <c r="K52" s="2" t="n">
        <f aca="false">discharge!E50</f>
        <v>0</v>
      </c>
      <c r="L52" s="2" t="n">
        <f aca="false">soc!E50/investment!$E$4 *100</f>
        <v>100</v>
      </c>
    </row>
    <row r="53" customFormat="false" ht="13.8" hidden="false" customHeight="false" outlineLevel="0" collapsed="false">
      <c r="B53" s="14" t="n">
        <f aca="false">_xlfn.NUMBERVALUE(solar!B50)</f>
        <v>104</v>
      </c>
      <c r="C53" s="15" t="n">
        <f aca="false">solar!C50</f>
        <v>0</v>
      </c>
      <c r="D53" s="9" t="n">
        <v>49</v>
      </c>
      <c r="E53" s="20" t="n">
        <f aca="false">IFERROR(INDEX($B$5:$C$173, MATCH($D53, $B$5:$B$175, 0), 2), 0)*investment!$C$4</f>
        <v>0</v>
      </c>
      <c r="F53" s="21" t="n">
        <f aca="false">demand!E51</f>
        <v>0</v>
      </c>
      <c r="G53" s="2" t="n">
        <f aca="false">solgen!E51</f>
        <v>0</v>
      </c>
      <c r="H53" s="2" t="n">
        <f aca="false">import!E51</f>
        <v>0</v>
      </c>
      <c r="I53" s="2" t="n">
        <f aca="false">-export!E51</f>
        <v>-0</v>
      </c>
      <c r="J53" s="2" t="n">
        <f aca="false">-charge!E51</f>
        <v>-0</v>
      </c>
      <c r="K53" s="2" t="n">
        <f aca="false">discharge!E51</f>
        <v>0</v>
      </c>
      <c r="L53" s="2" t="n">
        <f aca="false">soc!E51/investment!$E$4 *100</f>
        <v>100</v>
      </c>
    </row>
    <row r="54" customFormat="false" ht="13.8" hidden="false" customHeight="false" outlineLevel="0" collapsed="false">
      <c r="B54" s="14" t="n">
        <f aca="false">_xlfn.NUMBERVALUE(solar!B51)</f>
        <v>105</v>
      </c>
      <c r="C54" s="15" t="n">
        <f aca="false">solar!C51</f>
        <v>0</v>
      </c>
      <c r="D54" s="9" t="n">
        <v>50</v>
      </c>
      <c r="E54" s="20" t="n">
        <f aca="false">IFERROR(INDEX($B$5:$C$173, MATCH($D54, $B$5:$B$175, 0), 2), 0)*investment!$C$4</f>
        <v>0</v>
      </c>
      <c r="F54" s="21" t="n">
        <f aca="false">demand!E52</f>
        <v>0</v>
      </c>
      <c r="G54" s="2" t="n">
        <f aca="false">solgen!E52</f>
        <v>0</v>
      </c>
      <c r="H54" s="2" t="n">
        <f aca="false">import!E52</f>
        <v>0</v>
      </c>
      <c r="I54" s="2" t="n">
        <f aca="false">-export!E52</f>
        <v>-0</v>
      </c>
      <c r="J54" s="2" t="n">
        <f aca="false">-charge!E52</f>
        <v>-0</v>
      </c>
      <c r="K54" s="2" t="n">
        <f aca="false">discharge!E52</f>
        <v>0</v>
      </c>
      <c r="L54" s="2" t="n">
        <f aca="false">soc!E52/investment!$E$4 *100</f>
        <v>100</v>
      </c>
    </row>
    <row r="55" customFormat="false" ht="13.8" hidden="false" customHeight="false" outlineLevel="0" collapsed="false">
      <c r="B55" s="14" t="n">
        <f aca="false">_xlfn.NUMBERVALUE(solar!B52)</f>
        <v>106</v>
      </c>
      <c r="C55" s="15" t="n">
        <f aca="false">solar!C52</f>
        <v>0</v>
      </c>
      <c r="D55" s="9" t="n">
        <v>51</v>
      </c>
      <c r="E55" s="20" t="n">
        <f aca="false">IFERROR(INDEX($B$5:$C$173, MATCH($D55, $B$5:$B$175, 0), 2), 0)*investment!$C$4</f>
        <v>0</v>
      </c>
      <c r="F55" s="21" t="n">
        <f aca="false">demand!E53</f>
        <v>0</v>
      </c>
      <c r="G55" s="2" t="n">
        <f aca="false">solgen!E53</f>
        <v>0</v>
      </c>
      <c r="H55" s="2" t="n">
        <f aca="false">import!E53</f>
        <v>0</v>
      </c>
      <c r="I55" s="2" t="n">
        <f aca="false">-export!E53</f>
        <v>-0</v>
      </c>
      <c r="J55" s="2" t="n">
        <f aca="false">-charge!E53</f>
        <v>-0</v>
      </c>
      <c r="K55" s="2" t="n">
        <f aca="false">discharge!E53</f>
        <v>0</v>
      </c>
      <c r="L55" s="2" t="n">
        <f aca="false">soc!E53/investment!$E$4 *100</f>
        <v>99.999</v>
      </c>
    </row>
    <row r="56" customFormat="false" ht="13.8" hidden="false" customHeight="false" outlineLevel="0" collapsed="false">
      <c r="B56" s="14" t="n">
        <f aca="false">_xlfn.NUMBERVALUE(solar!B53)</f>
        <v>107</v>
      </c>
      <c r="C56" s="15" t="n">
        <f aca="false">solar!C53</f>
        <v>0</v>
      </c>
      <c r="D56" s="9" t="n">
        <v>52</v>
      </c>
      <c r="E56" s="20" t="n">
        <f aca="false">IFERROR(INDEX($B$5:$C$173, MATCH($D56, $B$5:$B$175, 0), 2), 0)*investment!$C$4</f>
        <v>0</v>
      </c>
      <c r="F56" s="21" t="n">
        <f aca="false">demand!E54</f>
        <v>0</v>
      </c>
      <c r="G56" s="2" t="n">
        <f aca="false">solgen!E54</f>
        <v>0</v>
      </c>
      <c r="H56" s="2" t="n">
        <f aca="false">import!E54</f>
        <v>0</v>
      </c>
      <c r="I56" s="2" t="n">
        <f aca="false">-export!E54</f>
        <v>-0</v>
      </c>
      <c r="J56" s="2" t="n">
        <f aca="false">-charge!E54</f>
        <v>-0</v>
      </c>
      <c r="K56" s="2" t="n">
        <f aca="false">discharge!E54</f>
        <v>0</v>
      </c>
      <c r="L56" s="2" t="n">
        <f aca="false">soc!E54/investment!$E$4 *100</f>
        <v>99.99800001</v>
      </c>
    </row>
    <row r="57" customFormat="false" ht="13.8" hidden="false" customHeight="false" outlineLevel="0" collapsed="false">
      <c r="B57" s="14" t="n">
        <f aca="false">_xlfn.NUMBERVALUE(solar!B54)</f>
        <v>108</v>
      </c>
      <c r="C57" s="15" t="n">
        <f aca="false">solar!C54</f>
        <v>0</v>
      </c>
      <c r="D57" s="9" t="n">
        <v>53</v>
      </c>
      <c r="E57" s="20" t="n">
        <f aca="false">IFERROR(INDEX($B$5:$C$173, MATCH($D57, $B$5:$B$175, 0), 2), 0)*investment!$C$4</f>
        <v>0</v>
      </c>
      <c r="F57" s="21" t="n">
        <f aca="false">demand!E55</f>
        <v>0</v>
      </c>
      <c r="G57" s="2" t="n">
        <f aca="false">solgen!E55</f>
        <v>0</v>
      </c>
      <c r="H57" s="2" t="n">
        <f aca="false">import!E55</f>
        <v>0</v>
      </c>
      <c r="I57" s="2" t="n">
        <f aca="false">-export!E55</f>
        <v>-0</v>
      </c>
      <c r="J57" s="2" t="n">
        <f aca="false">-charge!E55</f>
        <v>-0</v>
      </c>
      <c r="K57" s="2" t="n">
        <f aca="false">discharge!E55</f>
        <v>0</v>
      </c>
      <c r="L57" s="2" t="n">
        <f aca="false">soc!E55/investment!$E$4 *100</f>
        <v>99.9970000299999</v>
      </c>
    </row>
    <row r="58" customFormat="false" ht="13.8" hidden="false" customHeight="false" outlineLevel="0" collapsed="false">
      <c r="B58" s="14" t="n">
        <f aca="false">_xlfn.NUMBERVALUE(solar!B55)</f>
        <v>109</v>
      </c>
      <c r="C58" s="15" t="n">
        <f aca="false">solar!C55</f>
        <v>0</v>
      </c>
      <c r="D58" s="9" t="n">
        <v>54</v>
      </c>
      <c r="E58" s="20" t="n">
        <f aca="false">IFERROR(INDEX($B$5:$C$173, MATCH($D58, $B$5:$B$175, 0), 2), 0)*investment!$C$4</f>
        <v>0</v>
      </c>
      <c r="F58" s="21" t="n">
        <f aca="false">demand!E56</f>
        <v>0</v>
      </c>
      <c r="G58" s="2" t="n">
        <f aca="false">solgen!E56</f>
        <v>0</v>
      </c>
      <c r="H58" s="2" t="n">
        <f aca="false">import!E56</f>
        <v>0</v>
      </c>
      <c r="I58" s="2" t="n">
        <f aca="false">-export!E56</f>
        <v>-0</v>
      </c>
      <c r="J58" s="2" t="n">
        <f aca="false">-charge!E56</f>
        <v>-0</v>
      </c>
      <c r="K58" s="2" t="n">
        <f aca="false">discharge!E56</f>
        <v>0</v>
      </c>
      <c r="L58" s="2" t="n">
        <f aca="false">soc!E56/investment!$E$4 *100</f>
        <v>99.9960000599996</v>
      </c>
    </row>
    <row r="59" customFormat="false" ht="13.8" hidden="false" customHeight="false" outlineLevel="0" collapsed="false">
      <c r="B59" s="14" t="n">
        <f aca="false">_xlfn.NUMBERVALUE(solar!B56)</f>
        <v>110</v>
      </c>
      <c r="C59" s="15" t="n">
        <f aca="false">solar!C56</f>
        <v>0</v>
      </c>
      <c r="D59" s="9" t="n">
        <v>55</v>
      </c>
      <c r="E59" s="20" t="n">
        <f aca="false">IFERROR(INDEX($B$5:$C$173, MATCH($D59, $B$5:$B$175, 0), 2), 0)*investment!$C$4</f>
        <v>0</v>
      </c>
      <c r="F59" s="21" t="n">
        <f aca="false">demand!E57</f>
        <v>0</v>
      </c>
      <c r="G59" s="2" t="n">
        <f aca="false">solgen!E57</f>
        <v>0</v>
      </c>
      <c r="H59" s="2" t="n">
        <f aca="false">import!E57</f>
        <v>0</v>
      </c>
      <c r="I59" s="2" t="n">
        <f aca="false">-export!E57</f>
        <v>-0</v>
      </c>
      <c r="J59" s="2" t="n">
        <f aca="false">-charge!E57</f>
        <v>-0</v>
      </c>
      <c r="K59" s="2" t="n">
        <f aca="false">discharge!E57</f>
        <v>0</v>
      </c>
      <c r="L59" s="2" t="n">
        <f aca="false">soc!E57/investment!$E$4 *100</f>
        <v>99.995000099999</v>
      </c>
    </row>
    <row r="60" customFormat="false" ht="13.8" hidden="false" customHeight="false" outlineLevel="0" collapsed="false">
      <c r="B60" s="14" t="n">
        <f aca="false">_xlfn.NUMBERVALUE(solar!B57)</f>
        <v>111</v>
      </c>
      <c r="C60" s="15" t="n">
        <f aca="false">solar!C57</f>
        <v>0</v>
      </c>
      <c r="D60" s="9" t="n">
        <v>56</v>
      </c>
      <c r="E60" s="20" t="n">
        <f aca="false">IFERROR(INDEX($B$5:$C$173, MATCH($D60, $B$5:$B$175, 0), 2), 0)*investment!$C$4</f>
        <v>0</v>
      </c>
      <c r="F60" s="21" t="n">
        <f aca="false">demand!E58</f>
        <v>0</v>
      </c>
      <c r="G60" s="2" t="n">
        <f aca="false">solgen!E58</f>
        <v>0</v>
      </c>
      <c r="H60" s="2" t="n">
        <f aca="false">import!E58</f>
        <v>0</v>
      </c>
      <c r="I60" s="2" t="n">
        <f aca="false">-export!E58</f>
        <v>-0</v>
      </c>
      <c r="J60" s="2" t="n">
        <f aca="false">-charge!E58</f>
        <v>-0</v>
      </c>
      <c r="K60" s="2" t="n">
        <f aca="false">discharge!E58</f>
        <v>0</v>
      </c>
      <c r="L60" s="2" t="n">
        <f aca="false">soc!E58/investment!$E$4 *100</f>
        <v>99.994000149998</v>
      </c>
    </row>
    <row r="61" customFormat="false" ht="13.8" hidden="false" customHeight="false" outlineLevel="0" collapsed="false">
      <c r="B61" s="14" t="n">
        <f aca="false">_xlfn.NUMBERVALUE(solar!B58)</f>
        <v>112</v>
      </c>
      <c r="C61" s="15" t="n">
        <f aca="false">solar!C58</f>
        <v>0</v>
      </c>
      <c r="D61" s="9" t="n">
        <v>57</v>
      </c>
      <c r="E61" s="20" t="n">
        <f aca="false">IFERROR(INDEX($B$5:$C$173, MATCH($D61, $B$5:$B$175, 0), 2), 0)*investment!$C$4</f>
        <v>0</v>
      </c>
      <c r="F61" s="21" t="n">
        <f aca="false">demand!E59</f>
        <v>0</v>
      </c>
      <c r="G61" s="2" t="n">
        <f aca="false">solgen!E59</f>
        <v>0</v>
      </c>
      <c r="H61" s="2" t="n">
        <f aca="false">import!E59</f>
        <v>0</v>
      </c>
      <c r="I61" s="2" t="n">
        <f aca="false">-export!E59</f>
        <v>-0</v>
      </c>
      <c r="J61" s="2" t="n">
        <f aca="false">-charge!E59</f>
        <v>-0</v>
      </c>
      <c r="K61" s="2" t="n">
        <f aca="false">discharge!E59</f>
        <v>0</v>
      </c>
      <c r="L61" s="2" t="n">
        <f aca="false">soc!E59/investment!$E$4 *100</f>
        <v>99.9930002099965</v>
      </c>
    </row>
    <row r="62" customFormat="false" ht="13.8" hidden="false" customHeight="false" outlineLevel="0" collapsed="false">
      <c r="B62" s="14" t="n">
        <f aca="false">_xlfn.NUMBERVALUE(solar!B59)</f>
        <v>113</v>
      </c>
      <c r="C62" s="15" t="n">
        <f aca="false">solar!C59</f>
        <v>0</v>
      </c>
      <c r="D62" s="9" t="n">
        <v>58</v>
      </c>
      <c r="E62" s="20" t="n">
        <f aca="false">IFERROR(INDEX($B$5:$C$173, MATCH($D62, $B$5:$B$175, 0), 2), 0)*investment!$C$4</f>
        <v>0</v>
      </c>
      <c r="F62" s="21" t="n">
        <f aca="false">demand!E60</f>
        <v>0</v>
      </c>
      <c r="G62" s="2" t="n">
        <f aca="false">solgen!E60</f>
        <v>0</v>
      </c>
      <c r="H62" s="2" t="n">
        <f aca="false">import!E60</f>
        <v>0</v>
      </c>
      <c r="I62" s="2" t="n">
        <f aca="false">-export!E60</f>
        <v>-0</v>
      </c>
      <c r="J62" s="2" t="n">
        <f aca="false">-charge!E60</f>
        <v>-0</v>
      </c>
      <c r="K62" s="2" t="n">
        <f aca="false">discharge!E60</f>
        <v>0</v>
      </c>
      <c r="L62" s="2" t="n">
        <f aca="false">soc!E60/investment!$E$4 *100</f>
        <v>99.9920002799945</v>
      </c>
    </row>
    <row r="63" customFormat="false" ht="13.8" hidden="false" customHeight="false" outlineLevel="0" collapsed="false">
      <c r="B63" s="14" t="n">
        <f aca="false">_xlfn.NUMBERVALUE(solar!B60)</f>
        <v>114</v>
      </c>
      <c r="C63" s="15" t="n">
        <f aca="false">solar!C60</f>
        <v>0</v>
      </c>
      <c r="D63" s="9" t="n">
        <v>59</v>
      </c>
      <c r="E63" s="20" t="n">
        <f aca="false">IFERROR(INDEX($B$5:$C$173, MATCH($D63, $B$5:$B$175, 0), 2), 0)*investment!$C$4</f>
        <v>0</v>
      </c>
      <c r="F63" s="21" t="n">
        <f aca="false">demand!E61</f>
        <v>0</v>
      </c>
      <c r="G63" s="2" t="n">
        <f aca="false">solgen!E61</f>
        <v>0</v>
      </c>
      <c r="H63" s="2" t="n">
        <f aca="false">import!E61</f>
        <v>0</v>
      </c>
      <c r="I63" s="2" t="n">
        <f aca="false">-export!E61</f>
        <v>-0</v>
      </c>
      <c r="J63" s="2" t="n">
        <f aca="false">-charge!E61</f>
        <v>-0</v>
      </c>
      <c r="K63" s="2" t="n">
        <f aca="false">discharge!E61</f>
        <v>0</v>
      </c>
      <c r="L63" s="2" t="n">
        <f aca="false">soc!E61/investment!$E$4 *100</f>
        <v>99.9910003599917</v>
      </c>
    </row>
    <row r="64" customFormat="false" ht="13.8" hidden="false" customHeight="false" outlineLevel="0" collapsed="false">
      <c r="B64" s="14" t="n">
        <f aca="false">_xlfn.NUMBERVALUE(solar!B61)</f>
        <v>115</v>
      </c>
      <c r="C64" s="15" t="n">
        <f aca="false">solar!C61</f>
        <v>0</v>
      </c>
      <c r="D64" s="9" t="n">
        <v>60</v>
      </c>
      <c r="E64" s="20" t="n">
        <f aca="false">IFERROR(INDEX($B$5:$C$173, MATCH($D64, $B$5:$B$175, 0), 2), 0)*investment!$C$4</f>
        <v>0</v>
      </c>
      <c r="F64" s="21" t="n">
        <f aca="false">demand!E62</f>
        <v>0</v>
      </c>
      <c r="G64" s="2" t="n">
        <f aca="false">solgen!E62</f>
        <v>0</v>
      </c>
      <c r="H64" s="2" t="n">
        <f aca="false">import!E62</f>
        <v>0</v>
      </c>
      <c r="I64" s="2" t="n">
        <f aca="false">-export!E62</f>
        <v>-0</v>
      </c>
      <c r="J64" s="2" t="n">
        <f aca="false">-charge!E62</f>
        <v>-0</v>
      </c>
      <c r="K64" s="2" t="n">
        <f aca="false">discharge!E62</f>
        <v>0</v>
      </c>
      <c r="L64" s="2" t="n">
        <f aca="false">soc!E62/investment!$E$4 *100</f>
        <v>99.9900004499881</v>
      </c>
    </row>
    <row r="65" customFormat="false" ht="13.8" hidden="false" customHeight="false" outlineLevel="0" collapsed="false">
      <c r="B65" s="14" t="n">
        <f aca="false">_xlfn.NUMBERVALUE(solar!B62)</f>
        <v>128</v>
      </c>
      <c r="C65" s="15" t="n">
        <f aca="false">solar!C62</f>
        <v>0</v>
      </c>
      <c r="D65" s="9" t="n">
        <v>61</v>
      </c>
      <c r="E65" s="20" t="n">
        <f aca="false">IFERROR(INDEX($B$5:$C$173, MATCH($D65, $B$5:$B$175, 0), 2), 0)*investment!$C$4</f>
        <v>0</v>
      </c>
      <c r="F65" s="21" t="n">
        <f aca="false">demand!E63</f>
        <v>0</v>
      </c>
      <c r="G65" s="2" t="n">
        <f aca="false">solgen!E63</f>
        <v>0</v>
      </c>
      <c r="H65" s="2" t="n">
        <f aca="false">import!E63</f>
        <v>0</v>
      </c>
      <c r="I65" s="2" t="n">
        <f aca="false">-export!E63</f>
        <v>-0</v>
      </c>
      <c r="J65" s="2" t="n">
        <f aca="false">-charge!E63</f>
        <v>-0</v>
      </c>
      <c r="K65" s="2" t="n">
        <f aca="false">discharge!E63</f>
        <v>0</v>
      </c>
      <c r="L65" s="2" t="n">
        <f aca="false">soc!E63/investment!$E$4 *100</f>
        <v>99.9890005499836</v>
      </c>
    </row>
    <row r="66" customFormat="false" ht="13.8" hidden="false" customHeight="false" outlineLevel="0" collapsed="false">
      <c r="B66" s="14" t="n">
        <f aca="false">_xlfn.NUMBERVALUE(solar!B63)</f>
        <v>129</v>
      </c>
      <c r="C66" s="15" t="n">
        <f aca="false">solar!C63</f>
        <v>0</v>
      </c>
      <c r="D66" s="9" t="n">
        <v>62</v>
      </c>
      <c r="E66" s="20" t="n">
        <f aca="false">IFERROR(INDEX($B$5:$C$173, MATCH($D66, $B$5:$B$175, 0), 2), 0)*investment!$C$4</f>
        <v>0</v>
      </c>
      <c r="F66" s="21" t="n">
        <f aca="false">demand!E64</f>
        <v>0</v>
      </c>
      <c r="G66" s="2" t="n">
        <f aca="false">solgen!E64</f>
        <v>0</v>
      </c>
      <c r="H66" s="2" t="n">
        <f aca="false">import!E64</f>
        <v>0</v>
      </c>
      <c r="I66" s="2" t="n">
        <f aca="false">-export!E64</f>
        <v>-0</v>
      </c>
      <c r="J66" s="2" t="n">
        <f aca="false">-charge!E64</f>
        <v>-0</v>
      </c>
      <c r="K66" s="2" t="n">
        <f aca="false">discharge!E64</f>
        <v>0</v>
      </c>
      <c r="L66" s="2" t="n">
        <f aca="false">soc!E64/investment!$E$4 *100</f>
        <v>99.9880006599781</v>
      </c>
    </row>
    <row r="67" customFormat="false" ht="13.8" hidden="false" customHeight="false" outlineLevel="0" collapsed="false">
      <c r="B67" s="14" t="n">
        <f aca="false">_xlfn.NUMBERVALUE(solar!B64)</f>
        <v>130</v>
      </c>
      <c r="C67" s="15" t="n">
        <f aca="false">solar!C64</f>
        <v>0</v>
      </c>
      <c r="D67" s="9" t="n">
        <v>63</v>
      </c>
      <c r="E67" s="20" t="n">
        <f aca="false">IFERROR(INDEX($B$5:$C$173, MATCH($D67, $B$5:$B$175, 0), 2), 0)*investment!$C$4</f>
        <v>0</v>
      </c>
      <c r="F67" s="21" t="n">
        <f aca="false">demand!E65</f>
        <v>0</v>
      </c>
      <c r="G67" s="2" t="n">
        <f aca="false">solgen!E65</f>
        <v>0</v>
      </c>
      <c r="H67" s="2" t="n">
        <f aca="false">import!E65</f>
        <v>0</v>
      </c>
      <c r="I67" s="2" t="n">
        <f aca="false">-export!E65</f>
        <v>-0</v>
      </c>
      <c r="J67" s="2" t="n">
        <f aca="false">-charge!E65</f>
        <v>-0</v>
      </c>
      <c r="K67" s="2" t="n">
        <f aca="false">discharge!E65</f>
        <v>0</v>
      </c>
      <c r="L67" s="2" t="n">
        <f aca="false">soc!E65/investment!$E$4 *100</f>
        <v>99.9870007799715</v>
      </c>
    </row>
    <row r="68" customFormat="false" ht="13.8" hidden="false" customHeight="false" outlineLevel="0" collapsed="false">
      <c r="B68" s="14" t="n">
        <f aca="false">_xlfn.NUMBERVALUE(solar!B65)</f>
        <v>131</v>
      </c>
      <c r="C68" s="15" t="n">
        <f aca="false">solar!C65</f>
        <v>0</v>
      </c>
      <c r="D68" s="9" t="n">
        <v>64</v>
      </c>
      <c r="E68" s="20" t="n">
        <f aca="false">IFERROR(INDEX($B$5:$C$173, MATCH($D68, $B$5:$B$175, 0), 2), 0)*investment!$C$4</f>
        <v>0</v>
      </c>
      <c r="F68" s="21" t="n">
        <f aca="false">demand!E66</f>
        <v>0</v>
      </c>
      <c r="G68" s="2" t="n">
        <f aca="false">solgen!E66</f>
        <v>0</v>
      </c>
      <c r="H68" s="2" t="n">
        <f aca="false">import!E66</f>
        <v>0</v>
      </c>
      <c r="I68" s="2" t="n">
        <f aca="false">-export!E66</f>
        <v>-0</v>
      </c>
      <c r="J68" s="2" t="n">
        <f aca="false">-charge!E66</f>
        <v>-0</v>
      </c>
      <c r="K68" s="2" t="n">
        <f aca="false">discharge!E66</f>
        <v>0</v>
      </c>
      <c r="L68" s="2" t="n">
        <f aca="false">soc!E66/investment!$E$4 *100</f>
        <v>99.9860009099637</v>
      </c>
    </row>
    <row r="69" customFormat="false" ht="13.8" hidden="false" customHeight="false" outlineLevel="0" collapsed="false">
      <c r="B69" s="14" t="n">
        <f aca="false">_xlfn.NUMBERVALUE(solar!B66)</f>
        <v>132</v>
      </c>
      <c r="C69" s="15" t="n">
        <f aca="false">solar!C66</f>
        <v>0</v>
      </c>
      <c r="D69" s="9" t="n">
        <v>65</v>
      </c>
      <c r="E69" s="20" t="n">
        <f aca="false">IFERROR(INDEX($B$5:$C$173, MATCH($D69, $B$5:$B$175, 0), 2), 0)*investment!$C$4</f>
        <v>0</v>
      </c>
      <c r="F69" s="21" t="n">
        <f aca="false">demand!E67</f>
        <v>0</v>
      </c>
      <c r="G69" s="2" t="n">
        <f aca="false">solgen!E67</f>
        <v>0</v>
      </c>
      <c r="H69" s="2" t="n">
        <f aca="false">import!E67</f>
        <v>0</v>
      </c>
      <c r="I69" s="2" t="n">
        <f aca="false">-export!E67</f>
        <v>-0</v>
      </c>
      <c r="J69" s="2" t="n">
        <f aca="false">-charge!E67</f>
        <v>-0</v>
      </c>
      <c r="K69" s="2" t="n">
        <f aca="false">discharge!E67</f>
        <v>0</v>
      </c>
      <c r="L69" s="2" t="n">
        <f aca="false">soc!E67/investment!$E$4 *100</f>
        <v>99.9850010499546</v>
      </c>
    </row>
    <row r="70" customFormat="false" ht="13.8" hidden="false" customHeight="false" outlineLevel="0" collapsed="false">
      <c r="B70" s="14" t="n">
        <f aca="false">_xlfn.NUMBERVALUE(solar!B67)</f>
        <v>133</v>
      </c>
      <c r="C70" s="15" t="n">
        <f aca="false">solar!C67</f>
        <v>0</v>
      </c>
      <c r="D70" s="9" t="n">
        <v>66</v>
      </c>
      <c r="E70" s="20" t="n">
        <f aca="false">IFERROR(INDEX($B$5:$C$173, MATCH($D70, $B$5:$B$175, 0), 2), 0)*investment!$C$4</f>
        <v>0</v>
      </c>
      <c r="F70" s="21" t="n">
        <f aca="false">demand!E68</f>
        <v>0</v>
      </c>
      <c r="G70" s="2" t="n">
        <f aca="false">solgen!E68</f>
        <v>0</v>
      </c>
      <c r="H70" s="2" t="n">
        <f aca="false">import!E68</f>
        <v>0</v>
      </c>
      <c r="I70" s="2" t="n">
        <f aca="false">-export!E68</f>
        <v>-0</v>
      </c>
      <c r="J70" s="2" t="n">
        <f aca="false">-charge!E68</f>
        <v>-0</v>
      </c>
      <c r="K70" s="2" t="n">
        <f aca="false">discharge!E68</f>
        <v>0</v>
      </c>
      <c r="L70" s="2" t="n">
        <f aca="false">soc!E68/investment!$E$4 *100</f>
        <v>99.9840011999441</v>
      </c>
    </row>
    <row r="71" customFormat="false" ht="13.8" hidden="false" customHeight="false" outlineLevel="0" collapsed="false">
      <c r="B71" s="14" t="n">
        <f aca="false">_xlfn.NUMBERVALUE(solar!B68)</f>
        <v>134</v>
      </c>
      <c r="C71" s="15" t="n">
        <f aca="false">solar!C68</f>
        <v>0</v>
      </c>
      <c r="D71" s="9" t="n">
        <v>67</v>
      </c>
      <c r="E71" s="20" t="n">
        <f aca="false">IFERROR(INDEX($B$5:$C$173, MATCH($D71, $B$5:$B$175, 0), 2), 0)*investment!$C$4</f>
        <v>0</v>
      </c>
      <c r="F71" s="21" t="n">
        <f aca="false">demand!E69</f>
        <v>0</v>
      </c>
      <c r="G71" s="2" t="n">
        <f aca="false">solgen!E69</f>
        <v>0</v>
      </c>
      <c r="H71" s="2" t="n">
        <f aca="false">import!E69</f>
        <v>0</v>
      </c>
      <c r="I71" s="2" t="n">
        <f aca="false">-export!E69</f>
        <v>-0</v>
      </c>
      <c r="J71" s="2" t="n">
        <f aca="false">-charge!E69</f>
        <v>-0</v>
      </c>
      <c r="K71" s="2" t="n">
        <f aca="false">discharge!E69</f>
        <v>0</v>
      </c>
      <c r="L71" s="2" t="n">
        <f aca="false">soc!E69/investment!$E$4 *100</f>
        <v>100</v>
      </c>
    </row>
    <row r="72" customFormat="false" ht="13.8" hidden="false" customHeight="false" outlineLevel="0" collapsed="false">
      <c r="B72" s="14" t="n">
        <f aca="false">_xlfn.NUMBERVALUE(solar!B69)</f>
        <v>135</v>
      </c>
      <c r="C72" s="15" t="n">
        <f aca="false">solar!C69</f>
        <v>0</v>
      </c>
      <c r="D72" s="9" t="n">
        <v>68</v>
      </c>
      <c r="E72" s="20" t="n">
        <f aca="false">IFERROR(INDEX($B$5:$C$173, MATCH($D72, $B$5:$B$175, 0), 2), 0)*investment!$C$4</f>
        <v>0</v>
      </c>
      <c r="F72" s="21" t="n">
        <f aca="false">demand!E70</f>
        <v>0</v>
      </c>
      <c r="G72" s="2" t="n">
        <f aca="false">solgen!E70</f>
        <v>0</v>
      </c>
      <c r="H72" s="2" t="n">
        <f aca="false">import!E70</f>
        <v>0</v>
      </c>
      <c r="I72" s="2" t="n">
        <f aca="false">-export!E70</f>
        <v>-0</v>
      </c>
      <c r="J72" s="2" t="n">
        <f aca="false">-charge!E70</f>
        <v>-0</v>
      </c>
      <c r="K72" s="2" t="n">
        <f aca="false">discharge!E70</f>
        <v>0</v>
      </c>
      <c r="L72" s="2" t="n">
        <f aca="false">soc!E70/investment!$E$4 *100</f>
        <v>99.999</v>
      </c>
    </row>
    <row r="73" customFormat="false" ht="13.8" hidden="false" customHeight="false" outlineLevel="0" collapsed="false">
      <c r="B73" s="14" t="n">
        <f aca="false">_xlfn.NUMBERVALUE(solar!B70)</f>
        <v>136</v>
      </c>
      <c r="C73" s="15" t="n">
        <f aca="false">solar!C70</f>
        <v>0</v>
      </c>
      <c r="D73" s="9" t="n">
        <v>69</v>
      </c>
      <c r="E73" s="20" t="n">
        <f aca="false">IFERROR(INDEX($B$5:$C$173, MATCH($D73, $B$5:$B$175, 0), 2), 0)*investment!$C$4</f>
        <v>0</v>
      </c>
      <c r="F73" s="21" t="n">
        <f aca="false">demand!E71</f>
        <v>0</v>
      </c>
      <c r="G73" s="2" t="n">
        <f aca="false">solgen!E71</f>
        <v>0</v>
      </c>
      <c r="H73" s="2" t="n">
        <f aca="false">import!E71</f>
        <v>0</v>
      </c>
      <c r="I73" s="2" t="n">
        <f aca="false">-export!E71</f>
        <v>-0</v>
      </c>
      <c r="J73" s="2" t="n">
        <f aca="false">-charge!E71</f>
        <v>-0</v>
      </c>
      <c r="K73" s="2" t="n">
        <f aca="false">discharge!E71</f>
        <v>0</v>
      </c>
      <c r="L73" s="2" t="n">
        <f aca="false">soc!E71/investment!$E$4 *100</f>
        <v>98.9799396822768</v>
      </c>
    </row>
    <row r="74" customFormat="false" ht="13.8" hidden="false" customHeight="false" outlineLevel="0" collapsed="false">
      <c r="B74" s="14" t="n">
        <f aca="false">_xlfn.NUMBERVALUE(solar!B71)</f>
        <v>137</v>
      </c>
      <c r="C74" s="15" t="n">
        <f aca="false">solar!C71</f>
        <v>0</v>
      </c>
      <c r="D74" s="9" t="n">
        <v>70</v>
      </c>
      <c r="E74" s="20" t="n">
        <f aca="false">IFERROR(INDEX($B$5:$C$173, MATCH($D74, $B$5:$B$175, 0), 2), 0)*investment!$C$4</f>
        <v>0</v>
      </c>
      <c r="F74" s="21" t="n">
        <f aca="false">demand!E72</f>
        <v>0</v>
      </c>
      <c r="G74" s="2" t="n">
        <f aca="false">solgen!E72</f>
        <v>0</v>
      </c>
      <c r="H74" s="2" t="n">
        <f aca="false">import!E72</f>
        <v>0</v>
      </c>
      <c r="I74" s="2" t="n">
        <f aca="false">-export!E72</f>
        <v>-0</v>
      </c>
      <c r="J74" s="2" t="n">
        <f aca="false">-charge!E72</f>
        <v>-0</v>
      </c>
      <c r="K74" s="2" t="n">
        <f aca="false">discharge!E72</f>
        <v>0</v>
      </c>
      <c r="L74" s="2" t="n">
        <f aca="false">soc!E72/investment!$E$4 *100</f>
        <v>94.9976279655651</v>
      </c>
    </row>
    <row r="75" customFormat="false" ht="13.8" hidden="false" customHeight="false" outlineLevel="0" collapsed="false">
      <c r="B75" s="14" t="n">
        <f aca="false">_xlfn.NUMBERVALUE(solar!B72)</f>
        <v>138</v>
      </c>
      <c r="C75" s="15" t="n">
        <f aca="false">solar!C72</f>
        <v>0</v>
      </c>
      <c r="D75" s="9" t="n">
        <v>71</v>
      </c>
      <c r="E75" s="20" t="n">
        <f aca="false">IFERROR(INDEX($B$5:$C$173, MATCH($D75, $B$5:$B$175, 0), 2), 0)*investment!$C$4</f>
        <v>0</v>
      </c>
      <c r="F75" s="21" t="n">
        <f aca="false">demand!E73</f>
        <v>0</v>
      </c>
      <c r="G75" s="2" t="n">
        <f aca="false">solgen!E73</f>
        <v>0</v>
      </c>
      <c r="H75" s="2" t="n">
        <f aca="false">import!E73</f>
        <v>0</v>
      </c>
      <c r="I75" s="2" t="n">
        <f aca="false">-export!E73</f>
        <v>-0</v>
      </c>
      <c r="J75" s="2" t="n">
        <f aca="false">-charge!E73</f>
        <v>-0</v>
      </c>
      <c r="K75" s="2" t="n">
        <f aca="false">discharge!E73</f>
        <v>0</v>
      </c>
      <c r="L75" s="2" t="n">
        <f aca="false">soc!E73/investment!$E$4 *100</f>
        <v>88.8800593033609</v>
      </c>
    </row>
    <row r="76" customFormat="false" ht="13.8" hidden="false" customHeight="false" outlineLevel="0" collapsed="false">
      <c r="B76" s="14" t="n">
        <f aca="false">_xlfn.NUMBERVALUE(solar!B73)</f>
        <v>139</v>
      </c>
      <c r="C76" s="15" t="n">
        <f aca="false">solar!C73</f>
        <v>0</v>
      </c>
      <c r="D76" s="9" t="n">
        <v>72</v>
      </c>
      <c r="E76" s="20" t="n">
        <f aca="false">IFERROR(INDEX($B$5:$C$173, MATCH($D76, $B$5:$B$175, 0), 2), 0)*investment!$C$4</f>
        <v>0</v>
      </c>
      <c r="F76" s="21" t="n">
        <f aca="false">demand!E74</f>
        <v>0</v>
      </c>
      <c r="G76" s="2" t="n">
        <f aca="false">solgen!E74</f>
        <v>0</v>
      </c>
      <c r="H76" s="2" t="n">
        <f aca="false">import!E74</f>
        <v>0</v>
      </c>
      <c r="I76" s="2" t="n">
        <f aca="false">-export!E74</f>
        <v>-0</v>
      </c>
      <c r="J76" s="2" t="n">
        <f aca="false">-charge!E74</f>
        <v>-0</v>
      </c>
      <c r="K76" s="2" t="n">
        <f aca="false">discharge!E74</f>
        <v>0</v>
      </c>
      <c r="L76" s="2" t="n">
        <f aca="false">soc!E74/investment!$E$4 *100</f>
        <v>81.7291160227199</v>
      </c>
    </row>
    <row r="77" customFormat="false" ht="13.8" hidden="false" customHeight="false" outlineLevel="0" collapsed="false">
      <c r="B77" s="14" t="n">
        <f aca="false">_xlfn.NUMBERVALUE(solar!B74)</f>
        <v>152</v>
      </c>
      <c r="C77" s="15" t="n">
        <f aca="false">solar!C74</f>
        <v>0</v>
      </c>
      <c r="D77" s="9" t="n">
        <v>73</v>
      </c>
      <c r="E77" s="20" t="n">
        <f aca="false">IFERROR(INDEX($B$5:$C$173, MATCH($D77, $B$5:$B$175, 0), 2), 0)*investment!$C$4</f>
        <v>0</v>
      </c>
      <c r="F77" s="21" t="n">
        <f aca="false">demand!E75</f>
        <v>0</v>
      </c>
      <c r="G77" s="2" t="n">
        <f aca="false">solgen!E75</f>
        <v>0</v>
      </c>
      <c r="H77" s="2" t="n">
        <f aca="false">import!E75</f>
        <v>0</v>
      </c>
      <c r="I77" s="2" t="n">
        <f aca="false">-export!E75</f>
        <v>-0</v>
      </c>
      <c r="J77" s="2" t="n">
        <f aca="false">-charge!E75</f>
        <v>-0</v>
      </c>
      <c r="K77" s="2" t="n">
        <f aca="false">discharge!E75</f>
        <v>0</v>
      </c>
      <c r="L77" s="2" t="n">
        <f aca="false">soc!E75/investment!$E$4 *100</f>
        <v>74.6477247948589</v>
      </c>
    </row>
    <row r="78" customFormat="false" ht="13.8" hidden="false" customHeight="false" outlineLevel="0" collapsed="false">
      <c r="B78" s="14" t="n">
        <f aca="false">_xlfn.NUMBERVALUE(solar!B75)</f>
        <v>153</v>
      </c>
      <c r="C78" s="15" t="n">
        <f aca="false">solar!C75</f>
        <v>0</v>
      </c>
      <c r="D78" s="9" t="n">
        <v>74</v>
      </c>
      <c r="E78" s="20" t="n">
        <f aca="false">IFERROR(INDEX($B$5:$C$173, MATCH($D78, $B$5:$B$175, 0), 2), 0)*investment!$C$4</f>
        <v>0</v>
      </c>
      <c r="F78" s="21" t="n">
        <f aca="false">demand!E76</f>
        <v>0</v>
      </c>
      <c r="G78" s="2" t="n">
        <f aca="false">solgen!E76</f>
        <v>0</v>
      </c>
      <c r="H78" s="2" t="n">
        <f aca="false">import!E76</f>
        <v>0</v>
      </c>
      <c r="I78" s="2" t="n">
        <f aca="false">-export!E76</f>
        <v>-0</v>
      </c>
      <c r="J78" s="2" t="n">
        <f aca="false">-charge!E76</f>
        <v>-0</v>
      </c>
      <c r="K78" s="2" t="n">
        <f aca="false">discharge!E76</f>
        <v>0</v>
      </c>
      <c r="L78" s="2" t="n">
        <f aca="false">soc!E76/investment!$E$4 *100</f>
        <v>67.7007993268397</v>
      </c>
    </row>
    <row r="79" customFormat="false" ht="13.8" hidden="false" customHeight="false" outlineLevel="0" collapsed="false">
      <c r="B79" s="14" t="n">
        <f aca="false">_xlfn.NUMBERVALUE(solar!B76)</f>
        <v>154</v>
      </c>
      <c r="C79" s="15" t="n">
        <f aca="false">solar!C76</f>
        <v>0</v>
      </c>
      <c r="D79" s="9" t="n">
        <v>75</v>
      </c>
      <c r="E79" s="20" t="n">
        <f aca="false">IFERROR(INDEX($B$5:$C$173, MATCH($D79, $B$5:$B$175, 0), 2), 0)*investment!$C$4</f>
        <v>0</v>
      </c>
      <c r="F79" s="21" t="n">
        <f aca="false">demand!E77</f>
        <v>0</v>
      </c>
      <c r="G79" s="2" t="n">
        <f aca="false">solgen!E77</f>
        <v>0</v>
      </c>
      <c r="H79" s="2" t="n">
        <f aca="false">import!E77</f>
        <v>0</v>
      </c>
      <c r="I79" s="2" t="n">
        <f aca="false">-export!E77</f>
        <v>-0</v>
      </c>
      <c r="J79" s="2" t="n">
        <f aca="false">-charge!E77</f>
        <v>-0</v>
      </c>
      <c r="K79" s="2" t="n">
        <f aca="false">discharge!E77</f>
        <v>0</v>
      </c>
      <c r="L79" s="2" t="n">
        <f aca="false">soc!E77/investment!$E$4 *100</f>
        <v>61.1570785503661</v>
      </c>
    </row>
    <row r="80" customFormat="false" ht="13.8" hidden="false" customHeight="false" outlineLevel="0" collapsed="false">
      <c r="B80" s="14" t="n">
        <f aca="false">_xlfn.NUMBERVALUE(solar!B77)</f>
        <v>155</v>
      </c>
      <c r="C80" s="15" t="n">
        <f aca="false">solar!C77</f>
        <v>0</v>
      </c>
      <c r="D80" s="9" t="n">
        <v>76</v>
      </c>
      <c r="E80" s="20" t="n">
        <f aca="false">IFERROR(INDEX($B$5:$C$173, MATCH($D80, $B$5:$B$175, 0), 2), 0)*investment!$C$4</f>
        <v>0</v>
      </c>
      <c r="F80" s="21" t="n">
        <f aca="false">demand!E78</f>
        <v>0</v>
      </c>
      <c r="G80" s="2" t="n">
        <f aca="false">solgen!E78</f>
        <v>0</v>
      </c>
      <c r="H80" s="2" t="n">
        <f aca="false">import!E78</f>
        <v>0</v>
      </c>
      <c r="I80" s="2" t="n">
        <f aca="false">-export!E78</f>
        <v>-0</v>
      </c>
      <c r="J80" s="2" t="n">
        <f aca="false">-charge!E78</f>
        <v>-0</v>
      </c>
      <c r="K80" s="2" t="n">
        <f aca="false">discharge!E78</f>
        <v>0</v>
      </c>
      <c r="L80" s="2" t="n">
        <f aca="false">soc!E78/investment!$E$4 *100</f>
        <v>55.450680601352</v>
      </c>
    </row>
    <row r="81" customFormat="false" ht="13.8" hidden="false" customHeight="false" outlineLevel="0" collapsed="false">
      <c r="B81" s="14" t="n">
        <f aca="false">_xlfn.NUMBERVALUE(solar!B78)</f>
        <v>156</v>
      </c>
      <c r="C81" s="15" t="n">
        <f aca="false">solar!C78</f>
        <v>0</v>
      </c>
      <c r="D81" s="9" t="n">
        <v>77</v>
      </c>
      <c r="E81" s="20" t="n">
        <f aca="false">IFERROR(INDEX($B$5:$C$173, MATCH($D81, $B$5:$B$175, 0), 2), 0)*investment!$C$4</f>
        <v>0</v>
      </c>
      <c r="F81" s="21" t="n">
        <f aca="false">demand!E79</f>
        <v>0</v>
      </c>
      <c r="G81" s="2" t="n">
        <f aca="false">solgen!E79</f>
        <v>0</v>
      </c>
      <c r="H81" s="2" t="n">
        <f aca="false">import!E79</f>
        <v>0</v>
      </c>
      <c r="I81" s="2" t="n">
        <f aca="false">-export!E79</f>
        <v>-0</v>
      </c>
      <c r="J81" s="2" t="n">
        <f aca="false">-charge!E79</f>
        <v>-0</v>
      </c>
      <c r="K81" s="2" t="n">
        <f aca="false">discharge!E79</f>
        <v>0</v>
      </c>
      <c r="L81" s="2" t="n">
        <f aca="false">soc!E79/investment!$E$4 *100</f>
        <v>52.0080488694075</v>
      </c>
    </row>
    <row r="82" customFormat="false" ht="13.8" hidden="false" customHeight="false" outlineLevel="0" collapsed="false">
      <c r="B82" s="14" t="n">
        <f aca="false">_xlfn.NUMBERVALUE(solar!B79)</f>
        <v>157</v>
      </c>
      <c r="C82" s="15" t="n">
        <f aca="false">solar!C79</f>
        <v>0</v>
      </c>
      <c r="D82" s="9" t="n">
        <v>78</v>
      </c>
      <c r="E82" s="20" t="n">
        <f aca="false">IFERROR(INDEX($B$5:$C$173, MATCH($D82, $B$5:$B$175, 0), 2), 0)*investment!$C$4</f>
        <v>0</v>
      </c>
      <c r="F82" s="21" t="n">
        <f aca="false">demand!E80</f>
        <v>0</v>
      </c>
      <c r="G82" s="2" t="n">
        <f aca="false">solgen!E80</f>
        <v>0</v>
      </c>
      <c r="H82" s="2" t="n">
        <f aca="false">import!E80</f>
        <v>0</v>
      </c>
      <c r="I82" s="2" t="n">
        <f aca="false">-export!E80</f>
        <v>-0</v>
      </c>
      <c r="J82" s="2" t="n">
        <f aca="false">-charge!E80</f>
        <v>-0</v>
      </c>
      <c r="K82" s="2" t="n">
        <f aca="false">discharge!E80</f>
        <v>0</v>
      </c>
      <c r="L82" s="2" t="n">
        <f aca="false">soc!E80/investment!$E$4 *100</f>
        <v>49.7128120170347</v>
      </c>
    </row>
    <row r="83" customFormat="false" ht="13.8" hidden="false" customHeight="false" outlineLevel="0" collapsed="false">
      <c r="B83" s="14" t="n">
        <f aca="false">_xlfn.NUMBERVALUE(solar!B80)</f>
        <v>158</v>
      </c>
      <c r="C83" s="15" t="n">
        <f aca="false">solar!C80</f>
        <v>0</v>
      </c>
      <c r="D83" s="9" t="n">
        <v>79</v>
      </c>
      <c r="E83" s="20" t="n">
        <f aca="false">IFERROR(INDEX($B$5:$C$173, MATCH($D83, $B$5:$B$175, 0), 2), 0)*investment!$C$4</f>
        <v>0</v>
      </c>
      <c r="F83" s="21" t="n">
        <f aca="false">demand!E81</f>
        <v>0</v>
      </c>
      <c r="G83" s="2" t="n">
        <f aca="false">solgen!E81</f>
        <v>0</v>
      </c>
      <c r="H83" s="2" t="n">
        <f aca="false">import!E81</f>
        <v>0</v>
      </c>
      <c r="I83" s="2" t="n">
        <f aca="false">-export!E81</f>
        <v>-0</v>
      </c>
      <c r="J83" s="2" t="n">
        <f aca="false">-charge!E81</f>
        <v>-0</v>
      </c>
      <c r="K83" s="2" t="n">
        <f aca="false">discharge!E81</f>
        <v>0</v>
      </c>
      <c r="L83" s="2" t="n">
        <f aca="false">soc!E81/investment!$E$4 *100</f>
        <v>47.8207240364154</v>
      </c>
    </row>
    <row r="84" customFormat="false" ht="13.8" hidden="false" customHeight="false" outlineLevel="0" collapsed="false">
      <c r="B84" s="14" t="n">
        <f aca="false">_xlfn.NUMBERVALUE(solar!B81)</f>
        <v>159</v>
      </c>
      <c r="C84" s="15" t="n">
        <f aca="false">solar!C81</f>
        <v>0</v>
      </c>
      <c r="D84" s="9" t="n">
        <v>80</v>
      </c>
      <c r="E84" s="20" t="n">
        <f aca="false">IFERROR(INDEX($B$5:$C$173, MATCH($D84, $B$5:$B$175, 0), 2), 0)*investment!$C$4</f>
        <v>0</v>
      </c>
      <c r="F84" s="21" t="n">
        <f aca="false">demand!E82</f>
        <v>0</v>
      </c>
      <c r="G84" s="2" t="n">
        <f aca="false">solgen!E82</f>
        <v>0</v>
      </c>
      <c r="H84" s="2" t="n">
        <f aca="false">import!E82</f>
        <v>0</v>
      </c>
      <c r="I84" s="2" t="n">
        <f aca="false">-export!E82</f>
        <v>-0</v>
      </c>
      <c r="J84" s="2" t="n">
        <f aca="false">-charge!E82</f>
        <v>-0</v>
      </c>
      <c r="K84" s="2" t="n">
        <f aca="false">discharge!E82</f>
        <v>0</v>
      </c>
      <c r="L84" s="2" t="n">
        <f aca="false">soc!E82/investment!$E$4 *100</f>
        <v>45.525529057291</v>
      </c>
    </row>
    <row r="85" customFormat="false" ht="13.8" hidden="false" customHeight="false" outlineLevel="0" collapsed="false">
      <c r="B85" s="14" t="n">
        <f aca="false">_xlfn.NUMBERVALUE(solar!B82)</f>
        <v>160</v>
      </c>
      <c r="C85" s="15" t="n">
        <f aca="false">solar!C82</f>
        <v>0</v>
      </c>
      <c r="D85" s="9" t="n">
        <v>81</v>
      </c>
      <c r="E85" s="20" t="n">
        <f aca="false">IFERROR(INDEX($B$5:$C$173, MATCH($D85, $B$5:$B$175, 0), 2), 0)*investment!$C$4</f>
        <v>0</v>
      </c>
      <c r="F85" s="21" t="n">
        <f aca="false">demand!E83</f>
        <v>0</v>
      </c>
      <c r="G85" s="2" t="n">
        <f aca="false">solgen!E83</f>
        <v>0</v>
      </c>
      <c r="H85" s="2" t="n">
        <f aca="false">import!E83</f>
        <v>0</v>
      </c>
      <c r="I85" s="2" t="n">
        <f aca="false">-export!E83</f>
        <v>-0</v>
      </c>
      <c r="J85" s="2" t="n">
        <f aca="false">-charge!E83</f>
        <v>-0</v>
      </c>
      <c r="K85" s="2" t="n">
        <f aca="false">discharge!E83</f>
        <v>0</v>
      </c>
      <c r="L85" s="2" t="n">
        <f aca="false">soc!E83/investment!$E$4 *100</f>
        <v>43.6334829495013</v>
      </c>
    </row>
    <row r="86" customFormat="false" ht="13.8" hidden="false" customHeight="false" outlineLevel="0" collapsed="false">
      <c r="B86" s="14" t="n">
        <f aca="false">_xlfn.NUMBERVALUE(solar!B83)</f>
        <v>161</v>
      </c>
      <c r="C86" s="15" t="n">
        <f aca="false">solar!C83</f>
        <v>0</v>
      </c>
      <c r="D86" s="9" t="n">
        <v>82</v>
      </c>
      <c r="E86" s="20" t="n">
        <f aca="false">IFERROR(INDEX($B$5:$C$173, MATCH($D86, $B$5:$B$175, 0), 2), 0)*investment!$C$4</f>
        <v>0</v>
      </c>
      <c r="F86" s="21" t="n">
        <f aca="false">demand!E84</f>
        <v>0</v>
      </c>
      <c r="G86" s="2" t="n">
        <f aca="false">solgen!E84</f>
        <v>0</v>
      </c>
      <c r="H86" s="2" t="n">
        <f aca="false">import!E84</f>
        <v>0</v>
      </c>
      <c r="I86" s="2" t="n">
        <f aca="false">-export!E84</f>
        <v>-0</v>
      </c>
      <c r="J86" s="2" t="n">
        <f aca="false">-charge!E84</f>
        <v>-0</v>
      </c>
      <c r="K86" s="2" t="n">
        <f aca="false">discharge!E84</f>
        <v>0</v>
      </c>
      <c r="L86" s="2" t="n">
        <f aca="false">soc!E84/investment!$E$4 *100</f>
        <v>41.3383298427877</v>
      </c>
    </row>
    <row r="87" customFormat="false" ht="13.8" hidden="false" customHeight="false" outlineLevel="0" collapsed="false">
      <c r="B87" s="14" t="n">
        <f aca="false">_xlfn.NUMBERVALUE(solar!B84)</f>
        <v>162</v>
      </c>
      <c r="C87" s="15" t="n">
        <f aca="false">solar!C84</f>
        <v>0</v>
      </c>
      <c r="D87" s="9" t="n">
        <v>83</v>
      </c>
      <c r="E87" s="20" t="n">
        <f aca="false">IFERROR(INDEX($B$5:$C$173, MATCH($D87, $B$5:$B$175, 0), 2), 0)*investment!$C$4</f>
        <v>0</v>
      </c>
      <c r="F87" s="21" t="n">
        <f aca="false">demand!E85</f>
        <v>0</v>
      </c>
      <c r="G87" s="2" t="n">
        <f aca="false">solgen!E85</f>
        <v>0</v>
      </c>
      <c r="H87" s="2" t="n">
        <f aca="false">import!E85</f>
        <v>0</v>
      </c>
      <c r="I87" s="2" t="n">
        <f aca="false">-export!E85</f>
        <v>-0</v>
      </c>
      <c r="J87" s="2" t="n">
        <f aca="false">-charge!E85</f>
        <v>-0</v>
      </c>
      <c r="K87" s="2" t="n">
        <f aca="false">discharge!E85</f>
        <v>0</v>
      </c>
      <c r="L87" s="2" t="n">
        <f aca="false">soc!E85/investment!$E$4 *100</f>
        <v>39.4463256069902</v>
      </c>
    </row>
    <row r="88" customFormat="false" ht="13.8" hidden="false" customHeight="false" outlineLevel="0" collapsed="false">
      <c r="B88" s="14" t="n">
        <f aca="false">_xlfn.NUMBERVALUE(solar!B85)</f>
        <v>163</v>
      </c>
      <c r="C88" s="15" t="n">
        <f aca="false">solar!C85</f>
        <v>0</v>
      </c>
      <c r="D88" s="9" t="n">
        <v>84</v>
      </c>
      <c r="E88" s="20" t="n">
        <f aca="false">IFERROR(INDEX($B$5:$C$173, MATCH($D88, $B$5:$B$175, 0), 2), 0)*investment!$C$4</f>
        <v>0</v>
      </c>
      <c r="F88" s="21" t="n">
        <f aca="false">demand!E86</f>
        <v>0</v>
      </c>
      <c r="G88" s="2" t="n">
        <f aca="false">solgen!E86</f>
        <v>0</v>
      </c>
      <c r="H88" s="2" t="n">
        <f aca="false">import!E86</f>
        <v>0</v>
      </c>
      <c r="I88" s="2" t="n">
        <f aca="false">-export!E86</f>
        <v>-0</v>
      </c>
      <c r="J88" s="2" t="n">
        <f aca="false">-charge!E86</f>
        <v>-0</v>
      </c>
      <c r="K88" s="2" t="n">
        <f aca="false">discharge!E86</f>
        <v>0</v>
      </c>
      <c r="L88" s="2" t="n">
        <f aca="false">soc!E86/investment!$E$4 *100</f>
        <v>37.15121437185</v>
      </c>
    </row>
    <row r="89" customFormat="false" ht="13.8" hidden="false" customHeight="false" outlineLevel="0" collapsed="false">
      <c r="B89" s="14" t="n">
        <f aca="false">_xlfn.NUMBERVALUE(solar!B86)</f>
        <v>0</v>
      </c>
      <c r="C89" s="15" t="n">
        <f aca="false">solar!C86</f>
        <v>0</v>
      </c>
      <c r="D89" s="9" t="n">
        <v>85</v>
      </c>
      <c r="E89" s="20" t="n">
        <f aca="false">IFERROR(INDEX($B$5:$C$173, MATCH($D89, $B$5:$B$175, 0), 2), 0)*investment!$C$4</f>
        <v>0</v>
      </c>
      <c r="F89" s="21" t="n">
        <f aca="false">demand!E87</f>
        <v>0</v>
      </c>
      <c r="G89" s="2" t="n">
        <f aca="false">solgen!E87</f>
        <v>0</v>
      </c>
      <c r="H89" s="2" t="n">
        <f aca="false">import!E87</f>
        <v>0</v>
      </c>
      <c r="I89" s="2" t="n">
        <f aca="false">-export!E87</f>
        <v>-0</v>
      </c>
      <c r="J89" s="2" t="n">
        <f aca="false">-charge!E87</f>
        <v>-0</v>
      </c>
      <c r="K89" s="2" t="n">
        <f aca="false">discharge!E87</f>
        <v>0</v>
      </c>
      <c r="L89" s="2" t="n">
        <f aca="false">soc!E87/investment!$E$4 *100</f>
        <v>35.2592520072073</v>
      </c>
    </row>
    <row r="90" customFormat="false" ht="13.8" hidden="false" customHeight="false" outlineLevel="0" collapsed="false">
      <c r="B90" s="14" t="n">
        <f aca="false">_xlfn.NUMBERVALUE(solar!B87)</f>
        <v>0</v>
      </c>
      <c r="C90" s="15" t="n">
        <f aca="false">solar!C87</f>
        <v>0</v>
      </c>
      <c r="D90" s="9" t="n">
        <v>86</v>
      </c>
      <c r="E90" s="20" t="n">
        <f aca="false">IFERROR(INDEX($B$5:$C$173, MATCH($D90, $B$5:$B$175, 0), 2), 0)*investment!$C$4</f>
        <v>0</v>
      </c>
      <c r="F90" s="21" t="n">
        <f aca="false">demand!E88</f>
        <v>0</v>
      </c>
      <c r="G90" s="2" t="n">
        <f aca="false">solgen!E88</f>
        <v>0</v>
      </c>
      <c r="H90" s="2" t="n">
        <f aca="false">import!E88</f>
        <v>0</v>
      </c>
      <c r="I90" s="2" t="n">
        <f aca="false">-export!E88</f>
        <v>-0</v>
      </c>
      <c r="J90" s="2" t="n">
        <f aca="false">-charge!E88</f>
        <v>-0</v>
      </c>
      <c r="K90" s="2" t="n">
        <f aca="false">discharge!E88</f>
        <v>0</v>
      </c>
      <c r="L90" s="2" t="n">
        <f aca="false">soc!E88/investment!$E$4 *100</f>
        <v>32.9641826428031</v>
      </c>
    </row>
    <row r="91" customFormat="false" ht="13.8" hidden="false" customHeight="false" outlineLevel="0" collapsed="false">
      <c r="B91" s="14" t="n">
        <f aca="false">_xlfn.NUMBERVALUE(solar!B88)</f>
        <v>0</v>
      </c>
      <c r="C91" s="15" t="n">
        <f aca="false">solar!C88</f>
        <v>0</v>
      </c>
      <c r="D91" s="9" t="n">
        <v>87</v>
      </c>
      <c r="E91" s="20" t="n">
        <f aca="false">IFERROR(INDEX($B$5:$C$173, MATCH($D91, $B$5:$B$175, 0), 2), 0)*investment!$C$4</f>
        <v>0</v>
      </c>
      <c r="F91" s="21" t="n">
        <f aca="false">demand!E89</f>
        <v>0</v>
      </c>
      <c r="G91" s="2" t="n">
        <f aca="false">solgen!E89</f>
        <v>0</v>
      </c>
      <c r="H91" s="2" t="n">
        <f aca="false">import!E89</f>
        <v>0</v>
      </c>
      <c r="I91" s="2" t="n">
        <f aca="false">-export!E89</f>
        <v>-0</v>
      </c>
      <c r="J91" s="2" t="n">
        <f aca="false">-charge!E89</f>
        <v>-0</v>
      </c>
      <c r="K91" s="2" t="n">
        <f aca="false">discharge!E89</f>
        <v>0</v>
      </c>
      <c r="L91" s="2" t="n">
        <f aca="false">soc!E89/investment!$E$4 *100</f>
        <v>31.0722621484776</v>
      </c>
    </row>
    <row r="92" customFormat="false" ht="13.8" hidden="false" customHeight="false" outlineLevel="0" collapsed="false">
      <c r="B92" s="14" t="n">
        <f aca="false">_xlfn.NUMBERVALUE(solar!B89)</f>
        <v>0</v>
      </c>
      <c r="C92" s="15" t="n">
        <f aca="false">solar!C89</f>
        <v>0</v>
      </c>
      <c r="D92" s="9" t="n">
        <v>88</v>
      </c>
      <c r="E92" s="20" t="n">
        <f aca="false">IFERROR(INDEX($B$5:$C$173, MATCH($D92, $B$5:$B$175, 0), 2), 0)*investment!$C$4</f>
        <v>0</v>
      </c>
      <c r="F92" s="21" t="n">
        <f aca="false">demand!E90</f>
        <v>0</v>
      </c>
      <c r="G92" s="2" t="n">
        <f aca="false">solgen!E90</f>
        <v>0</v>
      </c>
      <c r="H92" s="2" t="n">
        <f aca="false">import!E90</f>
        <v>0</v>
      </c>
      <c r="I92" s="2" t="n">
        <f aca="false">-export!E90</f>
        <v>-0</v>
      </c>
      <c r="J92" s="2" t="n">
        <f aca="false">-charge!E90</f>
        <v>-0</v>
      </c>
      <c r="K92" s="2" t="n">
        <f aca="false">discharge!E90</f>
        <v>0</v>
      </c>
      <c r="L92" s="2" t="n">
        <f aca="false">soc!E90/investment!$E$4 *100</f>
        <v>28.777234653972</v>
      </c>
    </row>
    <row r="93" customFormat="false" ht="13.8" hidden="false" customHeight="false" outlineLevel="0" collapsed="false">
      <c r="B93" s="14" t="n">
        <f aca="false">_xlfn.NUMBERVALUE(solar!B90)</f>
        <v>0</v>
      </c>
      <c r="C93" s="15" t="n">
        <f aca="false">solar!C90</f>
        <v>0</v>
      </c>
      <c r="D93" s="9" t="n">
        <v>89</v>
      </c>
      <c r="E93" s="20" t="n">
        <f aca="false">IFERROR(INDEX($B$5:$C$173, MATCH($D93, $B$5:$B$175, 0), 2), 0)*investment!$C$4</f>
        <v>0</v>
      </c>
      <c r="F93" s="21" t="n">
        <f aca="false">demand!E91</f>
        <v>0</v>
      </c>
      <c r="G93" s="2" t="n">
        <f aca="false">solgen!E91</f>
        <v>0</v>
      </c>
      <c r="H93" s="2" t="n">
        <f aca="false">import!E91</f>
        <v>0</v>
      </c>
      <c r="I93" s="2" t="n">
        <f aca="false">-export!E91</f>
        <v>-0</v>
      </c>
      <c r="J93" s="2" t="n">
        <f aca="false">-charge!E91</f>
        <v>-0</v>
      </c>
      <c r="K93" s="2" t="n">
        <f aca="false">discharge!E91</f>
        <v>0</v>
      </c>
      <c r="L93" s="2" t="n">
        <f aca="false">soc!E91/investment!$E$4 *100</f>
        <v>27.7329458467889</v>
      </c>
    </row>
    <row r="94" customFormat="false" ht="13.8" hidden="false" customHeight="false" outlineLevel="0" collapsed="false">
      <c r="B94" s="14" t="n">
        <f aca="false">_xlfn.NUMBERVALUE(solar!B91)</f>
        <v>0</v>
      </c>
      <c r="C94" s="15" t="n">
        <f aca="false">solar!C91</f>
        <v>0</v>
      </c>
      <c r="D94" s="9" t="n">
        <v>90</v>
      </c>
      <c r="E94" s="20" t="n">
        <f aca="false">IFERROR(INDEX($B$5:$C$173, MATCH($D94, $B$5:$B$175, 0), 2), 0)*investment!$C$4</f>
        <v>0</v>
      </c>
      <c r="F94" s="21" t="n">
        <f aca="false">demand!E92</f>
        <v>0</v>
      </c>
      <c r="G94" s="2" t="n">
        <f aca="false">solgen!E92</f>
        <v>0</v>
      </c>
      <c r="H94" s="2" t="n">
        <f aca="false">import!E92</f>
        <v>0</v>
      </c>
      <c r="I94" s="2" t="n">
        <f aca="false">-export!E92</f>
        <v>-0</v>
      </c>
      <c r="J94" s="2" t="n">
        <f aca="false">-charge!E92</f>
        <v>-0</v>
      </c>
      <c r="K94" s="2" t="n">
        <f aca="false">discharge!E92</f>
        <v>0</v>
      </c>
      <c r="L94" s="2" t="n">
        <f aca="false">soc!E92/investment!$E$4 *100</f>
        <v>26.6473295036015</v>
      </c>
    </row>
    <row r="95" customFormat="false" ht="13.8" hidden="false" customHeight="false" outlineLevel="0" collapsed="false">
      <c r="B95" s="14" t="n">
        <f aca="false">_xlfn.NUMBERVALUE(solar!B92)</f>
        <v>0</v>
      </c>
      <c r="C95" s="15" t="n">
        <f aca="false">solar!C92</f>
        <v>0</v>
      </c>
      <c r="D95" s="9" t="n">
        <v>91</v>
      </c>
      <c r="E95" s="20" t="n">
        <f aca="false">IFERROR(INDEX($B$5:$C$173, MATCH($D95, $B$5:$B$175, 0), 2), 0)*investment!$C$4</f>
        <v>0</v>
      </c>
      <c r="F95" s="21" t="n">
        <f aca="false">demand!E93</f>
        <v>0</v>
      </c>
      <c r="G95" s="2" t="n">
        <f aca="false">solgen!E93</f>
        <v>0</v>
      </c>
      <c r="H95" s="2" t="n">
        <f aca="false">import!E93</f>
        <v>0</v>
      </c>
      <c r="I95" s="2" t="n">
        <f aca="false">-export!E93</f>
        <v>-0</v>
      </c>
      <c r="J95" s="2" t="n">
        <f aca="false">-charge!E93</f>
        <v>-0</v>
      </c>
      <c r="K95" s="2" t="n">
        <f aca="false">discharge!E93</f>
        <v>0</v>
      </c>
      <c r="L95" s="2" t="n">
        <f aca="false">soc!E93/investment!$E$4 *100</f>
        <v>25.5617240165775</v>
      </c>
    </row>
    <row r="96" customFormat="false" ht="13.8" hidden="false" customHeight="false" outlineLevel="0" collapsed="false">
      <c r="B96" s="14" t="n">
        <f aca="false">_xlfn.NUMBERVALUE(solar!B93)</f>
        <v>0</v>
      </c>
      <c r="C96" s="15" t="n">
        <f aca="false">solar!C93</f>
        <v>0</v>
      </c>
      <c r="D96" s="9" t="n">
        <v>92</v>
      </c>
      <c r="E96" s="20" t="n">
        <f aca="false">IFERROR(INDEX($B$5:$C$173, MATCH($D96, $B$5:$B$175, 0), 2), 0)*investment!$C$4</f>
        <v>0</v>
      </c>
      <c r="F96" s="21" t="n">
        <f aca="false">demand!E94</f>
        <v>0</v>
      </c>
      <c r="G96" s="2" t="n">
        <f aca="false">solgen!E94</f>
        <v>0</v>
      </c>
      <c r="H96" s="2" t="n">
        <f aca="false">import!E94</f>
        <v>0</v>
      </c>
      <c r="I96" s="2" t="n">
        <f aca="false">-export!E94</f>
        <v>-0</v>
      </c>
      <c r="J96" s="2" t="n">
        <f aca="false">-charge!E94</f>
        <v>-0</v>
      </c>
      <c r="K96" s="2" t="n">
        <f aca="false">discharge!E94</f>
        <v>0</v>
      </c>
      <c r="L96" s="2" t="n">
        <f aca="false">soc!E94/investment!$E$4 *100</f>
        <v>24.4761293856084</v>
      </c>
    </row>
    <row r="97" customFormat="false" ht="13.8" hidden="false" customHeight="false" outlineLevel="0" collapsed="false">
      <c r="B97" s="14" t="n">
        <f aca="false">_xlfn.NUMBERVALUE(solar!B94)</f>
        <v>0</v>
      </c>
      <c r="C97" s="15" t="n">
        <f aca="false">solar!C94</f>
        <v>0</v>
      </c>
      <c r="D97" s="9" t="n">
        <v>93</v>
      </c>
      <c r="E97" s="20" t="n">
        <f aca="false">IFERROR(INDEX($B$5:$C$173, MATCH($D97, $B$5:$B$175, 0), 2), 0)*investment!$C$4</f>
        <v>0</v>
      </c>
      <c r="F97" s="21" t="n">
        <f aca="false">demand!E95</f>
        <v>0</v>
      </c>
      <c r="G97" s="2" t="n">
        <f aca="false">solgen!E95</f>
        <v>0</v>
      </c>
      <c r="H97" s="2" t="n">
        <f aca="false">import!E95</f>
        <v>0</v>
      </c>
      <c r="I97" s="2" t="n">
        <f aca="false">-export!E95</f>
        <v>-0</v>
      </c>
      <c r="J97" s="2" t="n">
        <f aca="false">-charge!E95</f>
        <v>-0</v>
      </c>
      <c r="K97" s="2" t="n">
        <f aca="false">discharge!E95</f>
        <v>0</v>
      </c>
      <c r="L97" s="2" t="n">
        <f aca="false">soc!E95/investment!$E$4 *100</f>
        <v>24.4448656353021</v>
      </c>
    </row>
    <row r="98" customFormat="false" ht="13.8" hidden="false" customHeight="false" outlineLevel="0" collapsed="false">
      <c r="B98" s="14" t="n">
        <f aca="false">_xlfn.NUMBERVALUE(solar!B95)</f>
        <v>0</v>
      </c>
      <c r="C98" s="15" t="n">
        <f aca="false">solar!C95</f>
        <v>0</v>
      </c>
      <c r="D98" s="9" t="n">
        <v>94</v>
      </c>
      <c r="E98" s="20" t="n">
        <f aca="false">IFERROR(INDEX($B$5:$C$173, MATCH($D98, $B$5:$B$175, 0), 2), 0)*investment!$C$4</f>
        <v>0</v>
      </c>
      <c r="F98" s="21" t="n">
        <f aca="false">demand!E96</f>
        <v>0</v>
      </c>
      <c r="G98" s="2" t="n">
        <f aca="false">solgen!E96</f>
        <v>0</v>
      </c>
      <c r="H98" s="2" t="n">
        <f aca="false">import!E96</f>
        <v>0</v>
      </c>
      <c r="I98" s="2" t="n">
        <f aca="false">-export!E96</f>
        <v>-0</v>
      </c>
      <c r="J98" s="2" t="n">
        <f aca="false">-charge!E96</f>
        <v>-0</v>
      </c>
      <c r="K98" s="2" t="n">
        <f aca="false">discharge!E96</f>
        <v>0</v>
      </c>
      <c r="L98" s="2" t="n">
        <f aca="false">soc!E96/investment!$E$4 *100</f>
        <v>22.3721363639004</v>
      </c>
    </row>
    <row r="99" customFormat="false" ht="13.8" hidden="false" customHeight="false" outlineLevel="0" collapsed="false">
      <c r="B99" s="14" t="n">
        <f aca="false">_xlfn.NUMBERVALUE(solar!B96)</f>
        <v>0</v>
      </c>
      <c r="C99" s="15" t="n">
        <f aca="false">solar!C96</f>
        <v>0</v>
      </c>
      <c r="D99" s="9" t="n">
        <v>95</v>
      </c>
      <c r="E99" s="20" t="n">
        <f aca="false">IFERROR(INDEX($B$5:$C$173, MATCH($D99, $B$5:$B$175, 0), 2), 0)*investment!$C$4</f>
        <v>0</v>
      </c>
      <c r="F99" s="21" t="n">
        <f aca="false">demand!E97</f>
        <v>0</v>
      </c>
      <c r="G99" s="2" t="n">
        <f aca="false">solgen!E97</f>
        <v>0</v>
      </c>
      <c r="H99" s="2" t="n">
        <f aca="false">import!E97</f>
        <v>0</v>
      </c>
      <c r="I99" s="2" t="n">
        <f aca="false">-export!E97</f>
        <v>-0</v>
      </c>
      <c r="J99" s="2" t="n">
        <f aca="false">-charge!E97</f>
        <v>-0</v>
      </c>
      <c r="K99" s="2" t="n">
        <f aca="false">discharge!E97</f>
        <v>0</v>
      </c>
      <c r="L99" s="2" t="n">
        <f aca="false">soc!E97/investment!$E$4 *100</f>
        <v>22.2943884272704</v>
      </c>
    </row>
    <row r="100" customFormat="false" ht="13.8" hidden="false" customHeight="false" outlineLevel="0" collapsed="false">
      <c r="B100" s="14" t="n">
        <f aca="false">_xlfn.NUMBERVALUE(solar!B97)</f>
        <v>0</v>
      </c>
      <c r="C100" s="15" t="n">
        <f aca="false">solar!C97</f>
        <v>0</v>
      </c>
      <c r="D100" s="9" t="n">
        <v>96</v>
      </c>
      <c r="E100" s="20" t="n">
        <f aca="false">IFERROR(INDEX($B$5:$C$173, MATCH($D100, $B$5:$B$175, 0), 2), 0)*investment!$C$4</f>
        <v>0</v>
      </c>
      <c r="F100" s="21" t="n">
        <f aca="false">demand!E98</f>
        <v>0</v>
      </c>
      <c r="G100" s="2" t="n">
        <f aca="false">solgen!E98</f>
        <v>0</v>
      </c>
      <c r="H100" s="2" t="n">
        <f aca="false">import!E98</f>
        <v>0</v>
      </c>
      <c r="I100" s="2" t="n">
        <f aca="false">-export!E98</f>
        <v>-0</v>
      </c>
      <c r="J100" s="2" t="n">
        <f aca="false">-charge!E98</f>
        <v>-0</v>
      </c>
      <c r="K100" s="2" t="n">
        <f aca="false">discharge!E98</f>
        <v>0</v>
      </c>
      <c r="L100" s="2" t="n">
        <f aca="false">soc!E98/investment!$E$4 *100</f>
        <v>22.2734809890969</v>
      </c>
    </row>
    <row r="101" customFormat="false" ht="13.8" hidden="false" customHeight="false" outlineLevel="0" collapsed="false">
      <c r="B101" s="14" t="n">
        <f aca="false">_xlfn.NUMBERVALUE(solar!B98)</f>
        <v>0</v>
      </c>
      <c r="C101" s="15" t="n">
        <f aca="false">solar!C98</f>
        <v>0</v>
      </c>
      <c r="D101" s="9" t="n">
        <v>97</v>
      </c>
      <c r="E101" s="20" t="n">
        <f aca="false">IFERROR(INDEX($B$5:$C$173, MATCH($D101, $B$5:$B$175, 0), 2), 0)*investment!$C$4</f>
        <v>0</v>
      </c>
      <c r="F101" s="21" t="n">
        <f aca="false">demand!E99</f>
        <v>0</v>
      </c>
      <c r="G101" s="2" t="n">
        <f aca="false">solgen!E99</f>
        <v>0</v>
      </c>
      <c r="H101" s="2" t="n">
        <f aca="false">import!E99</f>
        <v>0</v>
      </c>
      <c r="I101" s="2" t="n">
        <f aca="false">-export!E99</f>
        <v>-0</v>
      </c>
      <c r="J101" s="2" t="n">
        <f aca="false">-charge!E99</f>
        <v>-0</v>
      </c>
      <c r="K101" s="2" t="n">
        <f aca="false">discharge!E99</f>
        <v>0</v>
      </c>
      <c r="L101" s="2" t="n">
        <f aca="false">soc!E99/investment!$E$4 *100</f>
        <v>21.4463219212276</v>
      </c>
    </row>
    <row r="102" customFormat="false" ht="13.8" hidden="false" customHeight="false" outlineLevel="0" collapsed="false">
      <c r="B102" s="14" t="n">
        <f aca="false">_xlfn.NUMBERVALUE(solar!B99)</f>
        <v>0</v>
      </c>
      <c r="C102" s="15" t="n">
        <f aca="false">solar!C99</f>
        <v>0</v>
      </c>
      <c r="D102" s="9" t="n">
        <v>98</v>
      </c>
      <c r="E102" s="20" t="n">
        <f aca="false">IFERROR(INDEX($B$5:$C$173, MATCH($D102, $B$5:$B$175, 0), 2), 0)*investment!$C$4</f>
        <v>0</v>
      </c>
      <c r="F102" s="21" t="n">
        <f aca="false">demand!E100</f>
        <v>0</v>
      </c>
      <c r="G102" s="2" t="n">
        <f aca="false">solgen!E100</f>
        <v>0</v>
      </c>
      <c r="H102" s="2" t="n">
        <f aca="false">import!E100</f>
        <v>0</v>
      </c>
      <c r="I102" s="2" t="n">
        <f aca="false">-export!E100</f>
        <v>-0</v>
      </c>
      <c r="J102" s="2" t="n">
        <f aca="false">-charge!E100</f>
        <v>-0</v>
      </c>
      <c r="K102" s="2" t="n">
        <f aca="false">discharge!E100</f>
        <v>0</v>
      </c>
      <c r="L102" s="2" t="n">
        <f aca="false">soc!E100/investment!$E$4 *100</f>
        <v>20.1592054845869</v>
      </c>
    </row>
    <row r="103" customFormat="false" ht="13.8" hidden="false" customHeight="false" outlineLevel="0" collapsed="false">
      <c r="B103" s="14" t="n">
        <f aca="false">_xlfn.NUMBERVALUE(solar!B100)</f>
        <v>0</v>
      </c>
      <c r="C103" s="15" t="n">
        <f aca="false">solar!C100</f>
        <v>0</v>
      </c>
      <c r="D103" s="9" t="n">
        <v>99</v>
      </c>
      <c r="E103" s="20" t="n">
        <f aca="false">IFERROR(INDEX($B$5:$C$173, MATCH($D103, $B$5:$B$175, 0), 2), 0)*investment!$C$4</f>
        <v>0</v>
      </c>
      <c r="F103" s="21" t="n">
        <f aca="false">demand!E101</f>
        <v>0</v>
      </c>
      <c r="G103" s="2" t="n">
        <f aca="false">solgen!E101</f>
        <v>0</v>
      </c>
      <c r="H103" s="2" t="n">
        <f aca="false">import!E101</f>
        <v>0</v>
      </c>
      <c r="I103" s="2" t="n">
        <f aca="false">-export!E101</f>
        <v>-0</v>
      </c>
      <c r="J103" s="2" t="n">
        <f aca="false">-charge!E101</f>
        <v>-0</v>
      </c>
      <c r="K103" s="2" t="n">
        <f aca="false">discharge!E101</f>
        <v>0</v>
      </c>
      <c r="L103" s="2" t="n">
        <f aca="false">soc!E101/investment!$E$4 *100</f>
        <v>19.2752278384956</v>
      </c>
    </row>
    <row r="104" customFormat="false" ht="13.8" hidden="false" customHeight="false" outlineLevel="0" collapsed="false">
      <c r="B104" s="14" t="n">
        <f aca="false">_xlfn.NUMBERVALUE(solar!B101)</f>
        <v>0</v>
      </c>
      <c r="C104" s="15" t="n">
        <f aca="false">solar!C101</f>
        <v>0</v>
      </c>
      <c r="D104" s="9" t="n">
        <v>100</v>
      </c>
      <c r="E104" s="20" t="n">
        <f aca="false">IFERROR(INDEX($B$5:$C$173, MATCH($D104, $B$5:$B$175, 0), 2), 0)*investment!$C$4</f>
        <v>0</v>
      </c>
      <c r="F104" s="21" t="n">
        <f aca="false">demand!E102</f>
        <v>0</v>
      </c>
      <c r="G104" s="2" t="n">
        <f aca="false">solgen!E102</f>
        <v>0</v>
      </c>
      <c r="H104" s="2" t="n">
        <f aca="false">import!E102</f>
        <v>0</v>
      </c>
      <c r="I104" s="2" t="n">
        <f aca="false">-export!E102</f>
        <v>-0</v>
      </c>
      <c r="J104" s="2" t="n">
        <f aca="false">-charge!E102</f>
        <v>-0</v>
      </c>
      <c r="K104" s="2" t="n">
        <f aca="false">discharge!E102</f>
        <v>0</v>
      </c>
      <c r="L104" s="2" t="n">
        <f aca="false">soc!E102/investment!$E$4 *100</f>
        <v>16.7890898493637</v>
      </c>
    </row>
    <row r="105" customFormat="false" ht="13.8" hidden="false" customHeight="false" outlineLevel="0" collapsed="false">
      <c r="B105" s="14" t="n">
        <f aca="false">_xlfn.NUMBERVALUE(solar!B102)</f>
        <v>0</v>
      </c>
      <c r="C105" s="15" t="n">
        <f aca="false">solar!C102</f>
        <v>0</v>
      </c>
      <c r="D105" s="9" t="n">
        <v>101</v>
      </c>
      <c r="E105" s="20" t="n">
        <f aca="false">IFERROR(INDEX($B$5:$C$173, MATCH($D105, $B$5:$B$175, 0), 2), 0)*investment!$C$4</f>
        <v>0</v>
      </c>
      <c r="F105" s="21" t="n">
        <f aca="false">demand!E103</f>
        <v>0</v>
      </c>
      <c r="G105" s="2" t="n">
        <f aca="false">solgen!E103</f>
        <v>0</v>
      </c>
      <c r="H105" s="2" t="n">
        <f aca="false">import!E103</f>
        <v>0</v>
      </c>
      <c r="I105" s="2" t="n">
        <f aca="false">-export!E103</f>
        <v>-0</v>
      </c>
      <c r="J105" s="2" t="n">
        <f aca="false">-charge!E103</f>
        <v>-0</v>
      </c>
      <c r="K105" s="2" t="n">
        <f aca="false">discharge!E103</f>
        <v>0</v>
      </c>
      <c r="L105" s="2" t="n">
        <f aca="false">soc!E103/investment!$E$4 *100</f>
        <v>16.7113977431989</v>
      </c>
    </row>
    <row r="106" customFormat="false" ht="13.8" hidden="false" customHeight="false" outlineLevel="0" collapsed="false">
      <c r="B106" s="14" t="n">
        <f aca="false">_xlfn.NUMBERVALUE(solar!B103)</f>
        <v>0</v>
      </c>
      <c r="C106" s="15" t="n">
        <f aca="false">solar!C103</f>
        <v>0</v>
      </c>
      <c r="D106" s="9" t="n">
        <v>102</v>
      </c>
      <c r="E106" s="20" t="n">
        <f aca="false">IFERROR(INDEX($B$5:$C$173, MATCH($D106, $B$5:$B$175, 0), 2), 0)*investment!$C$4</f>
        <v>0</v>
      </c>
      <c r="F106" s="21" t="n">
        <f aca="false">demand!E104</f>
        <v>0</v>
      </c>
      <c r="G106" s="2" t="n">
        <f aca="false">solgen!E104</f>
        <v>0</v>
      </c>
      <c r="H106" s="2" t="n">
        <f aca="false">import!E104</f>
        <v>0</v>
      </c>
      <c r="I106" s="2" t="n">
        <f aca="false">-export!E104</f>
        <v>-0</v>
      </c>
      <c r="J106" s="2" t="n">
        <f aca="false">-charge!E104</f>
        <v>-0</v>
      </c>
      <c r="K106" s="2" t="n">
        <f aca="false">discharge!E104</f>
        <v>0</v>
      </c>
      <c r="L106" s="2" t="n">
        <f aca="false">soc!E104/investment!$E$4 *100</f>
        <v>14.8299742714455</v>
      </c>
    </row>
    <row r="107" customFormat="false" ht="13.8" hidden="false" customHeight="false" outlineLevel="0" collapsed="false">
      <c r="B107" s="14" t="n">
        <f aca="false">_xlfn.NUMBERVALUE(solar!B104)</f>
        <v>0</v>
      </c>
      <c r="C107" s="15" t="n">
        <f aca="false">solar!C104</f>
        <v>0</v>
      </c>
      <c r="D107" s="9" t="n">
        <v>103</v>
      </c>
      <c r="E107" s="20" t="n">
        <f aca="false">IFERROR(INDEX($B$5:$C$173, MATCH($D107, $B$5:$B$175, 0), 2), 0)*investment!$C$4</f>
        <v>0</v>
      </c>
      <c r="F107" s="21" t="n">
        <f aca="false">demand!E105</f>
        <v>0</v>
      </c>
      <c r="G107" s="2" t="n">
        <f aca="false">solgen!E105</f>
        <v>0</v>
      </c>
      <c r="H107" s="2" t="n">
        <f aca="false">import!E105</f>
        <v>0</v>
      </c>
      <c r="I107" s="2" t="n">
        <f aca="false">-export!E105</f>
        <v>-0</v>
      </c>
      <c r="J107" s="2" t="n">
        <f aca="false">-charge!E105</f>
        <v>-0</v>
      </c>
      <c r="K107" s="2" t="n">
        <f aca="false">discharge!E105</f>
        <v>0</v>
      </c>
      <c r="L107" s="2" t="n">
        <f aca="false">soc!E105/investment!$E$4 *100</f>
        <v>14.5507387967439</v>
      </c>
    </row>
    <row r="108" customFormat="false" ht="13.8" hidden="false" customHeight="false" outlineLevel="0" collapsed="false">
      <c r="B108" s="14" t="n">
        <f aca="false">_xlfn.NUMBERVALUE(solar!B105)</f>
        <v>0</v>
      </c>
      <c r="C108" s="15" t="n">
        <f aca="false">solar!C105</f>
        <v>0</v>
      </c>
      <c r="D108" s="9" t="n">
        <v>104</v>
      </c>
      <c r="E108" s="20" t="n">
        <f aca="false">IFERROR(INDEX($B$5:$C$173, MATCH($D108, $B$5:$B$175, 0), 2), 0)*investment!$C$4</f>
        <v>0</v>
      </c>
      <c r="F108" s="21" t="n">
        <f aca="false">demand!E106</f>
        <v>0</v>
      </c>
      <c r="G108" s="2" t="n">
        <f aca="false">solgen!E106</f>
        <v>0</v>
      </c>
      <c r="H108" s="2" t="n">
        <f aca="false">import!E106</f>
        <v>0</v>
      </c>
      <c r="I108" s="2" t="n">
        <f aca="false">-export!E106</f>
        <v>-0</v>
      </c>
      <c r="J108" s="2" t="n">
        <f aca="false">-charge!E106</f>
        <v>-0</v>
      </c>
      <c r="K108" s="2" t="n">
        <f aca="false">discharge!E106</f>
        <v>0</v>
      </c>
      <c r="L108" s="2" t="n">
        <f aca="false">soc!E106/investment!$E$4 *100</f>
        <v>12.6590024368569</v>
      </c>
    </row>
    <row r="109" customFormat="false" ht="13.8" hidden="false" customHeight="false" outlineLevel="0" collapsed="false">
      <c r="B109" s="14" t="n">
        <f aca="false">_xlfn.NUMBERVALUE(solar!B106)</f>
        <v>0</v>
      </c>
      <c r="C109" s="15" t="n">
        <f aca="false">solar!C106</f>
        <v>0</v>
      </c>
      <c r="D109" s="9" t="n">
        <v>105</v>
      </c>
      <c r="E109" s="20" t="n">
        <f aca="false">IFERROR(INDEX($B$5:$C$173, MATCH($D109, $B$5:$B$175, 0), 2), 0)*investment!$C$4</f>
        <v>0</v>
      </c>
      <c r="F109" s="21" t="n">
        <f aca="false">demand!E107</f>
        <v>0</v>
      </c>
      <c r="G109" s="2" t="n">
        <f aca="false">solgen!E107</f>
        <v>0</v>
      </c>
      <c r="H109" s="2" t="n">
        <f aca="false">import!E107</f>
        <v>0</v>
      </c>
      <c r="I109" s="2" t="n">
        <f aca="false">-export!E107</f>
        <v>-0</v>
      </c>
      <c r="J109" s="2" t="n">
        <f aca="false">-charge!E107</f>
        <v>-0</v>
      </c>
      <c r="K109" s="2" t="n">
        <f aca="false">discharge!E107</f>
        <v>0</v>
      </c>
      <c r="L109" s="2" t="n">
        <f aca="false">soc!E107/investment!$E$4 *100</f>
        <v>12.3797886718736</v>
      </c>
    </row>
    <row r="110" customFormat="false" ht="13.8" hidden="false" customHeight="false" outlineLevel="0" collapsed="false">
      <c r="B110" s="14" t="n">
        <f aca="false">_xlfn.NUMBERVALUE(solar!B107)</f>
        <v>0</v>
      </c>
      <c r="C110" s="15" t="n">
        <f aca="false">solar!C107</f>
        <v>0</v>
      </c>
      <c r="D110" s="9" t="n">
        <v>106</v>
      </c>
      <c r="E110" s="20" t="n">
        <f aca="false">IFERROR(INDEX($B$5:$C$173, MATCH($D110, $B$5:$B$175, 0), 2), 0)*investment!$C$4</f>
        <v>0</v>
      </c>
      <c r="F110" s="21" t="n">
        <f aca="false">demand!E108</f>
        <v>0</v>
      </c>
      <c r="G110" s="2" t="n">
        <f aca="false">solgen!E108</f>
        <v>0</v>
      </c>
      <c r="H110" s="2" t="n">
        <f aca="false">import!E108</f>
        <v>0</v>
      </c>
      <c r="I110" s="2" t="n">
        <f aca="false">-export!E108</f>
        <v>-0</v>
      </c>
      <c r="J110" s="2" t="n">
        <f aca="false">-charge!E108</f>
        <v>-0</v>
      </c>
      <c r="K110" s="2" t="n">
        <f aca="false">discharge!E108</f>
        <v>0</v>
      </c>
      <c r="L110" s="2" t="n">
        <f aca="false">soc!E108/investment!$E$4 *100</f>
        <v>10.4880740214878</v>
      </c>
    </row>
    <row r="111" customFormat="false" ht="13.8" hidden="false" customHeight="false" outlineLevel="0" collapsed="false">
      <c r="B111" s="14" t="n">
        <f aca="false">_xlfn.NUMBERVALUE(solar!B108)</f>
        <v>0</v>
      </c>
      <c r="C111" s="15" t="n">
        <f aca="false">solar!C108</f>
        <v>0</v>
      </c>
      <c r="D111" s="9" t="n">
        <v>107</v>
      </c>
      <c r="E111" s="20" t="n">
        <f aca="false">IFERROR(INDEX($B$5:$C$173, MATCH($D111, $B$5:$B$175, 0), 2), 0)*investment!$C$4</f>
        <v>0</v>
      </c>
      <c r="F111" s="21" t="n">
        <f aca="false">demand!E109</f>
        <v>0</v>
      </c>
      <c r="G111" s="2" t="n">
        <f aca="false">solgen!E109</f>
        <v>0</v>
      </c>
      <c r="H111" s="2" t="n">
        <f aca="false">import!E109</f>
        <v>0</v>
      </c>
      <c r="I111" s="2" t="n">
        <f aca="false">-export!E109</f>
        <v>-0</v>
      </c>
      <c r="J111" s="2" t="n">
        <f aca="false">-charge!E109</f>
        <v>-0</v>
      </c>
      <c r="K111" s="2" t="n">
        <f aca="false">discharge!E109</f>
        <v>0</v>
      </c>
      <c r="L111" s="2" t="n">
        <f aca="false">soc!E109/investment!$E$4 *100</f>
        <v>10.2088819657888</v>
      </c>
    </row>
    <row r="112" customFormat="false" ht="13.8" hidden="false" customHeight="false" outlineLevel="0" collapsed="false">
      <c r="B112" s="14" t="n">
        <f aca="false">_xlfn.NUMBERVALUE(solar!B109)</f>
        <v>0</v>
      </c>
      <c r="C112" s="15" t="n">
        <f aca="false">solar!C109</f>
        <v>0</v>
      </c>
      <c r="D112" s="9" t="n">
        <v>108</v>
      </c>
      <c r="E112" s="20" t="n">
        <f aca="false">IFERROR(INDEX($B$5:$C$173, MATCH($D112, $B$5:$B$175, 0), 2), 0)*investment!$C$4</f>
        <v>0</v>
      </c>
      <c r="F112" s="21" t="n">
        <f aca="false">demand!E110</f>
        <v>0</v>
      </c>
      <c r="G112" s="2" t="n">
        <f aca="false">solgen!E110</f>
        <v>0</v>
      </c>
      <c r="H112" s="2" t="n">
        <f aca="false">import!E110</f>
        <v>0</v>
      </c>
      <c r="I112" s="2" t="n">
        <f aca="false">-export!E110</f>
        <v>-0</v>
      </c>
      <c r="J112" s="2" t="n">
        <f aca="false">-charge!E110</f>
        <v>-0</v>
      </c>
      <c r="K112" s="2" t="n">
        <f aca="false">discharge!E110</f>
        <v>0</v>
      </c>
      <c r="L112" s="2" t="n">
        <f aca="false">soc!E110/investment!$E$4 *100</f>
        <v>8.31718902447003</v>
      </c>
    </row>
    <row r="113" customFormat="false" ht="13.8" hidden="false" customHeight="false" outlineLevel="0" collapsed="false">
      <c r="B113" s="14" t="n">
        <f aca="false">_xlfn.NUMBERVALUE(solar!B110)</f>
        <v>0</v>
      </c>
      <c r="C113" s="15" t="n">
        <f aca="false">solar!C110</f>
        <v>0</v>
      </c>
      <c r="D113" s="9" t="n">
        <v>109</v>
      </c>
      <c r="E113" s="20" t="n">
        <f aca="false">IFERROR(INDEX($B$5:$C$173, MATCH($D113, $B$5:$B$175, 0), 2), 0)*investment!$C$4</f>
        <v>0</v>
      </c>
      <c r="F113" s="21" t="n">
        <f aca="false">demand!E111</f>
        <v>0</v>
      </c>
      <c r="G113" s="2" t="n">
        <f aca="false">solgen!E111</f>
        <v>0</v>
      </c>
      <c r="H113" s="2" t="n">
        <f aca="false">import!E111</f>
        <v>0</v>
      </c>
      <c r="I113" s="2" t="n">
        <f aca="false">-export!E111</f>
        <v>-0</v>
      </c>
      <c r="J113" s="2" t="n">
        <f aca="false">-charge!E111</f>
        <v>-0</v>
      </c>
      <c r="K113" s="2" t="n">
        <f aca="false">discharge!E111</f>
        <v>0</v>
      </c>
      <c r="L113" s="2" t="n">
        <f aca="false">soc!E111/investment!$E$4 *100</f>
        <v>8.03801867762091</v>
      </c>
    </row>
    <row r="114" customFormat="false" ht="13.8" hidden="false" customHeight="false" outlineLevel="0" collapsed="false">
      <c r="B114" s="14" t="n">
        <f aca="false">_xlfn.NUMBERVALUE(solar!B111)</f>
        <v>0</v>
      </c>
      <c r="C114" s="15" t="n">
        <f aca="false">solar!C111</f>
        <v>0</v>
      </c>
      <c r="D114" s="9" t="n">
        <v>110</v>
      </c>
      <c r="E114" s="20" t="n">
        <f aca="false">IFERROR(INDEX($B$5:$C$173, MATCH($D114, $B$5:$B$175, 0), 2), 0)*investment!$C$4</f>
        <v>0</v>
      </c>
      <c r="F114" s="21" t="n">
        <f aca="false">demand!E112</f>
        <v>0</v>
      </c>
      <c r="G114" s="2" t="n">
        <f aca="false">solgen!E112</f>
        <v>0</v>
      </c>
      <c r="H114" s="2" t="n">
        <f aca="false">import!E112</f>
        <v>0</v>
      </c>
      <c r="I114" s="2" t="n">
        <f aca="false">-export!E112</f>
        <v>-0</v>
      </c>
      <c r="J114" s="2" t="n">
        <f aca="false">-charge!E112</f>
        <v>-0</v>
      </c>
      <c r="K114" s="2" t="n">
        <f aca="false">discharge!E112</f>
        <v>0</v>
      </c>
      <c r="L114" s="2" t="n">
        <f aca="false">soc!E112/investment!$E$4 *100</f>
        <v>6.14634744493507</v>
      </c>
    </row>
    <row r="115" customFormat="false" ht="13.8" hidden="false" customHeight="false" outlineLevel="0" collapsed="false">
      <c r="B115" s="14" t="n">
        <f aca="false">_xlfn.NUMBERVALUE(solar!B112)</f>
        <v>0</v>
      </c>
      <c r="C115" s="15" t="n">
        <f aca="false">solar!C112</f>
        <v>0</v>
      </c>
      <c r="D115" s="9" t="n">
        <v>111</v>
      </c>
      <c r="E115" s="20" t="n">
        <f aca="false">IFERROR(INDEX($B$5:$C$173, MATCH($D115, $B$5:$B$175, 0), 2), 0)*investment!$C$4</f>
        <v>0</v>
      </c>
      <c r="F115" s="21" t="n">
        <f aca="false">demand!E113</f>
        <v>0</v>
      </c>
      <c r="G115" s="2" t="n">
        <f aca="false">solgen!E113</f>
        <v>0</v>
      </c>
      <c r="H115" s="2" t="n">
        <f aca="false">import!E113</f>
        <v>0</v>
      </c>
      <c r="I115" s="2" t="n">
        <f aca="false">-export!E113</f>
        <v>-0</v>
      </c>
      <c r="J115" s="2" t="n">
        <f aca="false">-charge!E113</f>
        <v>-0</v>
      </c>
      <c r="K115" s="2" t="n">
        <f aca="false">discharge!E113</f>
        <v>0</v>
      </c>
      <c r="L115" s="2" t="n">
        <f aca="false">soc!E113/investment!$E$4 *100</f>
        <v>5.86719880650174</v>
      </c>
    </row>
    <row r="116" customFormat="false" ht="13.8" hidden="false" customHeight="false" outlineLevel="0" collapsed="false">
      <c r="B116" s="14" t="n">
        <f aca="false">_xlfn.NUMBERVALUE(solar!B113)</f>
        <v>0</v>
      </c>
      <c r="C116" s="15" t="n">
        <f aca="false">solar!C113</f>
        <v>0</v>
      </c>
      <c r="D116" s="9" t="n">
        <v>112</v>
      </c>
      <c r="E116" s="20" t="n">
        <f aca="false">IFERROR(INDEX($B$5:$C$173, MATCH($D116, $B$5:$B$175, 0), 2), 0)*investment!$C$4</f>
        <v>0</v>
      </c>
      <c r="F116" s="21" t="n">
        <f aca="false">demand!E114</f>
        <v>0</v>
      </c>
      <c r="G116" s="2" t="n">
        <f aca="false">solgen!E114</f>
        <v>0</v>
      </c>
      <c r="H116" s="2" t="n">
        <f aca="false">import!E114</f>
        <v>0</v>
      </c>
      <c r="I116" s="2" t="n">
        <f aca="false">-export!E114</f>
        <v>-0</v>
      </c>
      <c r="J116" s="2" t="n">
        <f aca="false">-charge!E114</f>
        <v>-0</v>
      </c>
      <c r="K116" s="2" t="n">
        <f aca="false">discharge!E114</f>
        <v>0</v>
      </c>
      <c r="L116" s="2" t="n">
        <f aca="false">soc!E114/investment!$E$4 *100</f>
        <v>3.97554928201462</v>
      </c>
    </row>
    <row r="117" customFormat="false" ht="13.8" hidden="false" customHeight="false" outlineLevel="0" collapsed="false">
      <c r="B117" s="14" t="n">
        <f aca="false">_xlfn.NUMBERVALUE(solar!B114)</f>
        <v>0</v>
      </c>
      <c r="C117" s="15" t="n">
        <f aca="false">solar!C114</f>
        <v>0</v>
      </c>
      <c r="D117" s="9" t="n">
        <v>113</v>
      </c>
      <c r="E117" s="20" t="n">
        <f aca="false">IFERROR(INDEX($B$5:$C$173, MATCH($D117, $B$5:$B$175, 0), 2), 0)*investment!$C$4</f>
        <v>0</v>
      </c>
      <c r="F117" s="21" t="n">
        <f aca="false">demand!E115</f>
        <v>0</v>
      </c>
      <c r="G117" s="2" t="n">
        <f aca="false">solgen!E115</f>
        <v>0</v>
      </c>
      <c r="H117" s="2" t="n">
        <f aca="false">import!E115</f>
        <v>0</v>
      </c>
      <c r="I117" s="2" t="n">
        <f aca="false">-export!E115</f>
        <v>-0</v>
      </c>
      <c r="J117" s="2" t="n">
        <f aca="false">-charge!E115</f>
        <v>-0</v>
      </c>
      <c r="K117" s="2" t="n">
        <f aca="false">discharge!E115</f>
        <v>0</v>
      </c>
      <c r="L117" s="2" t="n">
        <f aca="false">soc!E115/investment!$E$4 *100</f>
        <v>3.69642235156292</v>
      </c>
    </row>
    <row r="118" customFormat="false" ht="13.8" hidden="false" customHeight="false" outlineLevel="0" collapsed="false">
      <c r="B118" s="14" t="n">
        <f aca="false">_xlfn.NUMBERVALUE(solar!B115)</f>
        <v>0</v>
      </c>
      <c r="C118" s="15" t="n">
        <f aca="false">solar!C115</f>
        <v>0</v>
      </c>
      <c r="D118" s="9" t="n">
        <v>114</v>
      </c>
      <c r="E118" s="20" t="n">
        <f aca="false">IFERROR(INDEX($B$5:$C$173, MATCH($D118, $B$5:$B$175, 0), 2), 0)*investment!$C$4</f>
        <v>0</v>
      </c>
      <c r="F118" s="21" t="n">
        <f aca="false">demand!E116</f>
        <v>0</v>
      </c>
      <c r="G118" s="2" t="n">
        <f aca="false">solgen!E116</f>
        <v>0</v>
      </c>
      <c r="H118" s="2" t="n">
        <f aca="false">import!E116</f>
        <v>0</v>
      </c>
      <c r="I118" s="2" t="n">
        <f aca="false">-export!E116</f>
        <v>-0</v>
      </c>
      <c r="J118" s="2" t="n">
        <f aca="false">-charge!E116</f>
        <v>-0</v>
      </c>
      <c r="K118" s="2" t="n">
        <f aca="false">discharge!E116</f>
        <v>0</v>
      </c>
      <c r="L118" s="2" t="n">
        <f aca="false">soc!E116/investment!$E$4 *100</f>
        <v>1.80479453484034</v>
      </c>
    </row>
    <row r="119" customFormat="false" ht="13.8" hidden="false" customHeight="false" outlineLevel="0" collapsed="false">
      <c r="B119" s="14" t="n">
        <f aca="false">_xlfn.NUMBERVALUE(solar!B116)</f>
        <v>0</v>
      </c>
      <c r="C119" s="15" t="n">
        <f aca="false">solar!C116</f>
        <v>0</v>
      </c>
      <c r="D119" s="9" t="n">
        <v>115</v>
      </c>
      <c r="E119" s="20" t="n">
        <f aca="false">IFERROR(INDEX($B$5:$C$173, MATCH($D119, $B$5:$B$175, 0), 2), 0)*investment!$C$4</f>
        <v>0</v>
      </c>
      <c r="F119" s="21" t="n">
        <f aca="false">demand!E117</f>
        <v>0</v>
      </c>
      <c r="G119" s="2" t="n">
        <f aca="false">solgen!E117</f>
        <v>0</v>
      </c>
      <c r="H119" s="2" t="n">
        <f aca="false">import!E117</f>
        <v>0</v>
      </c>
      <c r="I119" s="2" t="n">
        <f aca="false">-export!E117</f>
        <v>-0</v>
      </c>
      <c r="J119" s="2" t="n">
        <f aca="false">-charge!E117</f>
        <v>-0</v>
      </c>
      <c r="K119" s="2" t="n">
        <f aca="false">discharge!E117</f>
        <v>0</v>
      </c>
      <c r="L119" s="2" t="n">
        <f aca="false">soc!E117/investment!$E$4 *100</f>
        <v>1.52568931193612</v>
      </c>
    </row>
    <row r="120" customFormat="false" ht="13.8" hidden="false" customHeight="false" outlineLevel="0" collapsed="false">
      <c r="B120" s="14" t="n">
        <f aca="false">_xlfn.NUMBERVALUE(solar!B117)</f>
        <v>0</v>
      </c>
      <c r="C120" s="15" t="n">
        <f aca="false">solar!C117</f>
        <v>0</v>
      </c>
      <c r="D120" s="9" t="n">
        <v>116</v>
      </c>
      <c r="E120" s="20" t="n">
        <f aca="false">IFERROR(INDEX($B$5:$C$173, MATCH($D120, $B$5:$B$175, 0), 2), 0)*investment!$C$4</f>
        <v>0</v>
      </c>
      <c r="F120" s="21" t="n">
        <f aca="false">demand!E118</f>
        <v>0</v>
      </c>
      <c r="G120" s="2" t="n">
        <f aca="false">solgen!E118</f>
        <v>0</v>
      </c>
      <c r="H120" s="2" t="n">
        <f aca="false">import!E118</f>
        <v>0</v>
      </c>
      <c r="I120" s="2" t="n">
        <f aca="false">-export!E118</f>
        <v>-0</v>
      </c>
      <c r="J120" s="2" t="n">
        <f aca="false">-charge!E118</f>
        <v>-0</v>
      </c>
      <c r="K120" s="2" t="n">
        <f aca="false">discharge!E118</f>
        <v>0</v>
      </c>
      <c r="L120" s="2" t="n">
        <f aca="false">soc!E118/investment!$E$4 *100</f>
        <v>1.30859384842276</v>
      </c>
    </row>
    <row r="121" customFormat="false" ht="13.8" hidden="false" customHeight="false" outlineLevel="0" collapsed="false">
      <c r="B121" s="14" t="n">
        <f aca="false">_xlfn.NUMBERVALUE(solar!B118)</f>
        <v>0</v>
      </c>
      <c r="C121" s="15" t="n">
        <f aca="false">solar!C118</f>
        <v>0</v>
      </c>
      <c r="D121" s="9" t="n">
        <v>117</v>
      </c>
      <c r="E121" s="20" t="n">
        <f aca="false">IFERROR(INDEX($B$5:$C$173, MATCH($D121, $B$5:$B$175, 0), 2), 0)*investment!$C$4</f>
        <v>0</v>
      </c>
      <c r="F121" s="21" t="n">
        <f aca="false">demand!E119</f>
        <v>0</v>
      </c>
      <c r="G121" s="2" t="n">
        <f aca="false">solgen!E119</f>
        <v>0</v>
      </c>
      <c r="H121" s="2" t="n">
        <f aca="false">import!E119</f>
        <v>0</v>
      </c>
      <c r="I121" s="2" t="n">
        <f aca="false">-export!E119</f>
        <v>-0</v>
      </c>
      <c r="J121" s="2" t="n">
        <f aca="false">-charge!E119</f>
        <v>-0</v>
      </c>
      <c r="K121" s="2" t="n">
        <f aca="false">discharge!E119</f>
        <v>0</v>
      </c>
      <c r="L121" s="2" t="n">
        <f aca="false">soc!E119/investment!$E$4 *100</f>
        <v>1.3307913539833E-017</v>
      </c>
    </row>
    <row r="122" customFormat="false" ht="13.8" hidden="false" customHeight="false" outlineLevel="0" collapsed="false">
      <c r="B122" s="14" t="n">
        <f aca="false">_xlfn.NUMBERVALUE(solar!B119)</f>
        <v>0</v>
      </c>
      <c r="C122" s="15" t="n">
        <f aca="false">solar!C119</f>
        <v>0</v>
      </c>
      <c r="D122" s="9" t="n">
        <v>118</v>
      </c>
      <c r="E122" s="20" t="n">
        <f aca="false">IFERROR(INDEX($B$5:$C$173, MATCH($D122, $B$5:$B$175, 0), 2), 0)*investment!$C$4</f>
        <v>0</v>
      </c>
      <c r="F122" s="21" t="n">
        <f aca="false">demand!E120</f>
        <v>0</v>
      </c>
      <c r="G122" s="2" t="n">
        <f aca="false">solgen!E120</f>
        <v>0</v>
      </c>
      <c r="H122" s="2" t="n">
        <f aca="false">import!E120</f>
        <v>0</v>
      </c>
      <c r="I122" s="2" t="n">
        <f aca="false">-export!E120</f>
        <v>-0</v>
      </c>
      <c r="J122" s="2" t="n">
        <f aca="false">-charge!E120</f>
        <v>-0</v>
      </c>
      <c r="K122" s="2" t="n">
        <f aca="false">discharge!E120</f>
        <v>0</v>
      </c>
      <c r="L122" s="2" t="n">
        <f aca="false">soc!E120/investment!$E$4 *100</f>
        <v>0</v>
      </c>
    </row>
    <row r="123" customFormat="false" ht="13.8" hidden="false" customHeight="false" outlineLevel="0" collapsed="false">
      <c r="B123" s="14" t="n">
        <f aca="false">_xlfn.NUMBERVALUE(solar!B120)</f>
        <v>0</v>
      </c>
      <c r="C123" s="15" t="n">
        <f aca="false">solar!C120</f>
        <v>0</v>
      </c>
      <c r="D123" s="9" t="n">
        <v>119</v>
      </c>
      <c r="E123" s="20" t="n">
        <f aca="false">IFERROR(INDEX($B$5:$C$173, MATCH($D123, $B$5:$B$175, 0), 2), 0)*investment!$C$4</f>
        <v>0</v>
      </c>
      <c r="F123" s="21" t="n">
        <f aca="false">demand!E121</f>
        <v>0</v>
      </c>
      <c r="G123" s="2" t="n">
        <f aca="false">solgen!E121</f>
        <v>0</v>
      </c>
      <c r="H123" s="2" t="n">
        <f aca="false">import!E121</f>
        <v>0</v>
      </c>
      <c r="I123" s="2" t="n">
        <f aca="false">-export!E121</f>
        <v>-0</v>
      </c>
      <c r="J123" s="2" t="n">
        <f aca="false">-charge!E121</f>
        <v>-0</v>
      </c>
      <c r="K123" s="2" t="n">
        <f aca="false">discharge!E121</f>
        <v>0</v>
      </c>
      <c r="L123" s="2" t="n">
        <f aca="false">soc!E121/investment!$E$4 *100</f>
        <v>0</v>
      </c>
    </row>
    <row r="124" customFormat="false" ht="13.8" hidden="false" customHeight="false" outlineLevel="0" collapsed="false">
      <c r="B124" s="14" t="n">
        <f aca="false">_xlfn.NUMBERVALUE(solar!B121)</f>
        <v>0</v>
      </c>
      <c r="C124" s="15" t="n">
        <f aca="false">solar!C121</f>
        <v>0</v>
      </c>
      <c r="D124" s="9" t="n">
        <v>120</v>
      </c>
      <c r="E124" s="20" t="n">
        <f aca="false">IFERROR(INDEX($B$5:$C$173, MATCH($D124, $B$5:$B$175, 0), 2), 0)*investment!$C$4</f>
        <v>0</v>
      </c>
      <c r="F124" s="21" t="n">
        <f aca="false">demand!E122</f>
        <v>0</v>
      </c>
      <c r="G124" s="2" t="n">
        <f aca="false">solgen!E122</f>
        <v>0</v>
      </c>
      <c r="H124" s="2" t="n">
        <f aca="false">import!E122</f>
        <v>0</v>
      </c>
      <c r="I124" s="2" t="n">
        <f aca="false">-export!E122</f>
        <v>-0</v>
      </c>
      <c r="J124" s="2" t="n">
        <f aca="false">-charge!E122</f>
        <v>-0</v>
      </c>
      <c r="K124" s="2" t="n">
        <f aca="false">discharge!E122</f>
        <v>0</v>
      </c>
      <c r="L124" s="2" t="n">
        <f aca="false">soc!E122/investment!$E$4 *100</f>
        <v>0</v>
      </c>
    </row>
    <row r="125" customFormat="false" ht="13.8" hidden="false" customHeight="false" outlineLevel="0" collapsed="false">
      <c r="B125" s="14" t="n">
        <f aca="false">_xlfn.NUMBERVALUE(solar!B122)</f>
        <v>0</v>
      </c>
      <c r="C125" s="15" t="n">
        <f aca="false">solar!C122</f>
        <v>0</v>
      </c>
      <c r="D125" s="9" t="n">
        <v>121</v>
      </c>
      <c r="E125" s="20" t="n">
        <f aca="false">IFERROR(INDEX($B$5:$C$173, MATCH($D125, $B$5:$B$175, 0), 2), 0)*investment!$C$4</f>
        <v>0</v>
      </c>
      <c r="F125" s="21" t="n">
        <f aca="false">demand!E123</f>
        <v>0</v>
      </c>
      <c r="G125" s="2" t="n">
        <f aca="false">solgen!E123</f>
        <v>0</v>
      </c>
      <c r="H125" s="2" t="n">
        <f aca="false">import!E123</f>
        <v>0</v>
      </c>
      <c r="I125" s="2" t="n">
        <f aca="false">-export!E123</f>
        <v>-0</v>
      </c>
      <c r="J125" s="2" t="n">
        <f aca="false">-charge!E123</f>
        <v>-0</v>
      </c>
      <c r="K125" s="2" t="n">
        <f aca="false">discharge!E123</f>
        <v>0</v>
      </c>
      <c r="L125" s="2" t="n">
        <f aca="false">soc!E123/investment!$E$4 *100</f>
        <v>0</v>
      </c>
    </row>
    <row r="126" customFormat="false" ht="13.8" hidden="false" customHeight="false" outlineLevel="0" collapsed="false">
      <c r="B126" s="14" t="n">
        <f aca="false">_xlfn.NUMBERVALUE(solar!B123)</f>
        <v>0</v>
      </c>
      <c r="C126" s="15" t="n">
        <f aca="false">solar!C123</f>
        <v>0</v>
      </c>
      <c r="D126" s="9" t="n">
        <v>122</v>
      </c>
      <c r="E126" s="20" t="n">
        <f aca="false">IFERROR(INDEX($B$5:$C$173, MATCH($D126, $B$5:$B$175, 0), 2), 0)*investment!$C$4</f>
        <v>0</v>
      </c>
      <c r="F126" s="21" t="n">
        <f aca="false">demand!E124</f>
        <v>0</v>
      </c>
      <c r="G126" s="2" t="n">
        <f aca="false">solgen!E124</f>
        <v>0</v>
      </c>
      <c r="H126" s="2" t="n">
        <f aca="false">import!E124</f>
        <v>0</v>
      </c>
      <c r="I126" s="2" t="n">
        <f aca="false">-export!E124</f>
        <v>-0</v>
      </c>
      <c r="J126" s="2" t="n">
        <f aca="false">-charge!E124</f>
        <v>-0</v>
      </c>
      <c r="K126" s="2" t="n">
        <f aca="false">discharge!E124</f>
        <v>0</v>
      </c>
      <c r="L126" s="2" t="n">
        <f aca="false">soc!E124/investment!$E$4 *100</f>
        <v>0</v>
      </c>
    </row>
    <row r="127" customFormat="false" ht="13.8" hidden="false" customHeight="false" outlineLevel="0" collapsed="false">
      <c r="B127" s="14" t="n">
        <f aca="false">_xlfn.NUMBERVALUE(solar!B124)</f>
        <v>0</v>
      </c>
      <c r="C127" s="15" t="n">
        <f aca="false">solar!C124</f>
        <v>0</v>
      </c>
      <c r="D127" s="9" t="n">
        <v>123</v>
      </c>
      <c r="E127" s="20" t="n">
        <f aca="false">IFERROR(INDEX($B$5:$C$173, MATCH($D127, $B$5:$B$175, 0), 2), 0)*investment!$C$4</f>
        <v>0</v>
      </c>
      <c r="F127" s="21" t="n">
        <f aca="false">demand!E125</f>
        <v>0</v>
      </c>
      <c r="G127" s="2" t="n">
        <f aca="false">solgen!E125</f>
        <v>0</v>
      </c>
      <c r="H127" s="2" t="n">
        <f aca="false">import!E125</f>
        <v>0</v>
      </c>
      <c r="I127" s="2" t="n">
        <f aca="false">-export!E125</f>
        <v>-0</v>
      </c>
      <c r="J127" s="2" t="n">
        <f aca="false">-charge!E125</f>
        <v>-0</v>
      </c>
      <c r="K127" s="2" t="n">
        <f aca="false">discharge!E125</f>
        <v>0</v>
      </c>
      <c r="L127" s="2" t="n">
        <f aca="false">soc!E125/investment!$E$4 *100</f>
        <v>0</v>
      </c>
    </row>
    <row r="128" customFormat="false" ht="13.8" hidden="false" customHeight="false" outlineLevel="0" collapsed="false">
      <c r="B128" s="14" t="n">
        <f aca="false">_xlfn.NUMBERVALUE(solar!B125)</f>
        <v>0</v>
      </c>
      <c r="C128" s="15" t="n">
        <f aca="false">solar!C125</f>
        <v>0</v>
      </c>
      <c r="D128" s="9" t="n">
        <v>124</v>
      </c>
      <c r="E128" s="20" t="n">
        <f aca="false">IFERROR(INDEX($B$5:$C$173, MATCH($D128, $B$5:$B$175, 0), 2), 0)*investment!$C$4</f>
        <v>0</v>
      </c>
      <c r="F128" s="21" t="n">
        <f aca="false">demand!E126</f>
        <v>0</v>
      </c>
      <c r="G128" s="2" t="n">
        <f aca="false">solgen!E126</f>
        <v>0</v>
      </c>
      <c r="H128" s="2" t="n">
        <f aca="false">import!E126</f>
        <v>0</v>
      </c>
      <c r="I128" s="2" t="n">
        <f aca="false">-export!E126</f>
        <v>-0</v>
      </c>
      <c r="J128" s="2" t="n">
        <f aca="false">-charge!E126</f>
        <v>-0</v>
      </c>
      <c r="K128" s="2" t="n">
        <f aca="false">discharge!E126</f>
        <v>0</v>
      </c>
      <c r="L128" s="2" t="n">
        <f aca="false">soc!E126/investment!$E$4 *100</f>
        <v>0</v>
      </c>
    </row>
    <row r="129" customFormat="false" ht="13.8" hidden="false" customHeight="false" outlineLevel="0" collapsed="false">
      <c r="B129" s="14" t="n">
        <f aca="false">_xlfn.NUMBERVALUE(solar!B126)</f>
        <v>0</v>
      </c>
      <c r="C129" s="15" t="n">
        <f aca="false">solar!C126</f>
        <v>0</v>
      </c>
      <c r="D129" s="9" t="n">
        <v>125</v>
      </c>
      <c r="E129" s="20" t="n">
        <f aca="false">IFERROR(INDEX($B$5:$C$173, MATCH($D129, $B$5:$B$175, 0), 2), 0)*investment!$C$4</f>
        <v>0</v>
      </c>
      <c r="F129" s="21" t="n">
        <f aca="false">demand!E127</f>
        <v>0</v>
      </c>
      <c r="G129" s="2" t="n">
        <f aca="false">solgen!E127</f>
        <v>0</v>
      </c>
      <c r="H129" s="2" t="n">
        <f aca="false">import!E127</f>
        <v>0</v>
      </c>
      <c r="I129" s="2" t="n">
        <f aca="false">-export!E127</f>
        <v>-0</v>
      </c>
      <c r="J129" s="2" t="n">
        <f aca="false">-charge!E127</f>
        <v>-0</v>
      </c>
      <c r="K129" s="2" t="n">
        <f aca="false">discharge!E127</f>
        <v>0</v>
      </c>
      <c r="L129" s="2" t="n">
        <f aca="false">soc!E127/investment!$E$4 *100</f>
        <v>8.25618536497342E-008</v>
      </c>
    </row>
    <row r="130" customFormat="false" ht="13.8" hidden="false" customHeight="false" outlineLevel="0" collapsed="false">
      <c r="B130" s="14" t="n">
        <f aca="false">_xlfn.NUMBERVALUE(solar!B127)</f>
        <v>0</v>
      </c>
      <c r="C130" s="15" t="n">
        <f aca="false">solar!C127</f>
        <v>0</v>
      </c>
      <c r="D130" s="9" t="n">
        <v>126</v>
      </c>
      <c r="E130" s="20" t="n">
        <f aca="false">IFERROR(INDEX($B$5:$C$173, MATCH($D130, $B$5:$B$175, 0), 2), 0)*investment!$C$4</f>
        <v>0</v>
      </c>
      <c r="F130" s="21" t="n">
        <f aca="false">demand!E128</f>
        <v>0</v>
      </c>
      <c r="G130" s="2" t="n">
        <f aca="false">solgen!E128</f>
        <v>0</v>
      </c>
      <c r="H130" s="2" t="n">
        <f aca="false">import!E128</f>
        <v>0</v>
      </c>
      <c r="I130" s="2" t="n">
        <f aca="false">-export!E128</f>
        <v>-0</v>
      </c>
      <c r="J130" s="2" t="n">
        <f aca="false">-charge!E128</f>
        <v>-0</v>
      </c>
      <c r="K130" s="2" t="n">
        <f aca="false">discharge!E128</f>
        <v>0</v>
      </c>
      <c r="L130" s="2" t="n">
        <f aca="false">soc!E128/investment!$E$4 *100</f>
        <v>1.87851304128372</v>
      </c>
    </row>
    <row r="131" customFormat="false" ht="13.8" hidden="false" customHeight="false" outlineLevel="0" collapsed="false">
      <c r="B131" s="14" t="n">
        <f aca="false">_xlfn.NUMBERVALUE(solar!B128)</f>
        <v>0</v>
      </c>
      <c r="C131" s="15" t="n">
        <f aca="false">solar!C128</f>
        <v>0</v>
      </c>
      <c r="D131" s="9" t="n">
        <v>127</v>
      </c>
      <c r="E131" s="20" t="n">
        <f aca="false">IFERROR(INDEX($B$5:$C$173, MATCH($D131, $B$5:$B$175, 0), 2), 0)*investment!$C$4</f>
        <v>0</v>
      </c>
      <c r="F131" s="21" t="n">
        <f aca="false">demand!E129</f>
        <v>0</v>
      </c>
      <c r="G131" s="2" t="n">
        <f aca="false">solgen!E129</f>
        <v>0</v>
      </c>
      <c r="H131" s="2" t="n">
        <f aca="false">import!E129</f>
        <v>0</v>
      </c>
      <c r="I131" s="2" t="n">
        <f aca="false">-export!E129</f>
        <v>-0</v>
      </c>
      <c r="J131" s="2" t="n">
        <f aca="false">-charge!E129</f>
        <v>-0</v>
      </c>
      <c r="K131" s="2" t="n">
        <f aca="false">discharge!E129</f>
        <v>0</v>
      </c>
      <c r="L131" s="2" t="n">
        <f aca="false">soc!E129/investment!$E$4 *100</f>
        <v>1.87849425615331</v>
      </c>
    </row>
    <row r="132" customFormat="false" ht="13.8" hidden="false" customHeight="false" outlineLevel="0" collapsed="false">
      <c r="B132" s="14" t="n">
        <f aca="false">_xlfn.NUMBERVALUE(solar!B129)</f>
        <v>0</v>
      </c>
      <c r="C132" s="15" t="n">
        <f aca="false">solar!C129</f>
        <v>0</v>
      </c>
      <c r="D132" s="9" t="n">
        <v>128</v>
      </c>
      <c r="E132" s="20" t="n">
        <f aca="false">IFERROR(INDEX($B$5:$C$173, MATCH($D132, $B$5:$B$175, 0), 2), 0)*investment!$C$4</f>
        <v>0</v>
      </c>
      <c r="F132" s="21" t="n">
        <f aca="false">demand!E130</f>
        <v>0</v>
      </c>
      <c r="G132" s="2" t="n">
        <f aca="false">solgen!E130</f>
        <v>0</v>
      </c>
      <c r="H132" s="2" t="n">
        <f aca="false">import!E130</f>
        <v>0</v>
      </c>
      <c r="I132" s="2" t="n">
        <f aca="false">-export!E130</f>
        <v>-0</v>
      </c>
      <c r="J132" s="2" t="n">
        <f aca="false">-charge!E130</f>
        <v>-0</v>
      </c>
      <c r="K132" s="2" t="n">
        <f aca="false">discharge!E130</f>
        <v>0</v>
      </c>
      <c r="L132" s="2" t="n">
        <f aca="false">soc!E130/investment!$E$4 *100</f>
        <v>1.87847547121074</v>
      </c>
    </row>
    <row r="133" customFormat="false" ht="13.8" hidden="false" customHeight="false" outlineLevel="0" collapsed="false">
      <c r="B133" s="14" t="n">
        <f aca="false">_xlfn.NUMBERVALUE(solar!B130)</f>
        <v>0</v>
      </c>
      <c r="C133" s="15" t="n">
        <f aca="false">solar!C130</f>
        <v>0</v>
      </c>
      <c r="D133" s="9" t="n">
        <v>129</v>
      </c>
      <c r="E133" s="20" t="n">
        <f aca="false">IFERROR(INDEX($B$5:$C$173, MATCH($D133, $B$5:$B$175, 0), 2), 0)*investment!$C$4</f>
        <v>0</v>
      </c>
      <c r="F133" s="21" t="n">
        <f aca="false">demand!E131</f>
        <v>0</v>
      </c>
      <c r="G133" s="2" t="n">
        <f aca="false">solgen!E131</f>
        <v>0</v>
      </c>
      <c r="H133" s="2" t="n">
        <f aca="false">import!E131</f>
        <v>0</v>
      </c>
      <c r="I133" s="2" t="n">
        <f aca="false">-export!E131</f>
        <v>-0</v>
      </c>
      <c r="J133" s="2" t="n">
        <f aca="false">-charge!E131</f>
        <v>-0</v>
      </c>
      <c r="K133" s="2" t="n">
        <f aca="false">discharge!E131</f>
        <v>0</v>
      </c>
      <c r="L133" s="2" t="n">
        <f aca="false">soc!E131/investment!$E$4 *100</f>
        <v>1.87845668645603</v>
      </c>
    </row>
    <row r="134" customFormat="false" ht="13.8" hidden="false" customHeight="false" outlineLevel="0" collapsed="false">
      <c r="B134" s="14" t="n">
        <f aca="false">_xlfn.NUMBERVALUE(solar!B131)</f>
        <v>0</v>
      </c>
      <c r="C134" s="15" t="n">
        <f aca="false">solar!C131</f>
        <v>0</v>
      </c>
      <c r="D134" s="9" t="n">
        <v>130</v>
      </c>
      <c r="E134" s="20" t="n">
        <f aca="false">IFERROR(INDEX($B$5:$C$173, MATCH($D134, $B$5:$B$175, 0), 2), 0)*investment!$C$4</f>
        <v>0</v>
      </c>
      <c r="F134" s="21" t="n">
        <f aca="false">demand!E132</f>
        <v>0</v>
      </c>
      <c r="G134" s="2" t="n">
        <f aca="false">solgen!E132</f>
        <v>0</v>
      </c>
      <c r="H134" s="2" t="n">
        <f aca="false">import!E132</f>
        <v>0</v>
      </c>
      <c r="I134" s="2" t="n">
        <f aca="false">-export!E132</f>
        <v>-0</v>
      </c>
      <c r="J134" s="2" t="n">
        <f aca="false">-charge!E132</f>
        <v>-0</v>
      </c>
      <c r="K134" s="2" t="n">
        <f aca="false">discharge!E132</f>
        <v>0</v>
      </c>
      <c r="L134" s="2" t="n">
        <f aca="false">soc!E132/investment!$E$4 *100</f>
        <v>1.87843790188917</v>
      </c>
    </row>
    <row r="135" customFormat="false" ht="13.8" hidden="false" customHeight="false" outlineLevel="0" collapsed="false">
      <c r="B135" s="14" t="n">
        <f aca="false">_xlfn.NUMBERVALUE(solar!B132)</f>
        <v>0</v>
      </c>
      <c r="C135" s="15" t="n">
        <f aca="false">solar!C132</f>
        <v>0</v>
      </c>
      <c r="D135" s="9" t="n">
        <v>131</v>
      </c>
      <c r="E135" s="20" t="n">
        <f aca="false">IFERROR(INDEX($B$5:$C$173, MATCH($D135, $B$5:$B$175, 0), 2), 0)*investment!$C$4</f>
        <v>0</v>
      </c>
      <c r="F135" s="21" t="n">
        <f aca="false">demand!E133</f>
        <v>0</v>
      </c>
      <c r="G135" s="2" t="n">
        <f aca="false">solgen!E133</f>
        <v>0</v>
      </c>
      <c r="H135" s="2" t="n">
        <f aca="false">import!E133</f>
        <v>0</v>
      </c>
      <c r="I135" s="2" t="n">
        <f aca="false">-export!E133</f>
        <v>-0</v>
      </c>
      <c r="J135" s="2" t="n">
        <f aca="false">-charge!E133</f>
        <v>-0</v>
      </c>
      <c r="K135" s="2" t="n">
        <f aca="false">discharge!E133</f>
        <v>0</v>
      </c>
      <c r="L135" s="2" t="n">
        <f aca="false">soc!E133/investment!$E$4 *100</f>
        <v>1.87841911751015</v>
      </c>
    </row>
    <row r="136" customFormat="false" ht="13.8" hidden="false" customHeight="false" outlineLevel="0" collapsed="false">
      <c r="B136" s="14" t="n">
        <f aca="false">_xlfn.NUMBERVALUE(solar!B133)</f>
        <v>0</v>
      </c>
      <c r="C136" s="15" t="n">
        <f aca="false">solar!C133</f>
        <v>0</v>
      </c>
      <c r="D136" s="9" t="n">
        <v>132</v>
      </c>
      <c r="E136" s="20" t="n">
        <f aca="false">IFERROR(INDEX($B$5:$C$173, MATCH($D136, $B$5:$B$175, 0), 2), 0)*investment!$C$4</f>
        <v>0</v>
      </c>
      <c r="F136" s="21" t="n">
        <f aca="false">demand!E134</f>
        <v>0</v>
      </c>
      <c r="G136" s="2" t="n">
        <f aca="false">solgen!E134</f>
        <v>0</v>
      </c>
      <c r="H136" s="2" t="n">
        <f aca="false">import!E134</f>
        <v>0</v>
      </c>
      <c r="I136" s="2" t="n">
        <f aca="false">-export!E134</f>
        <v>-0</v>
      </c>
      <c r="J136" s="2" t="n">
        <f aca="false">-charge!E134</f>
        <v>-0</v>
      </c>
      <c r="K136" s="2" t="n">
        <f aca="false">discharge!E134</f>
        <v>0</v>
      </c>
      <c r="L136" s="2" t="n">
        <f aca="false">soc!E134/investment!$E$4 *100</f>
        <v>1.87840033331897</v>
      </c>
    </row>
    <row r="137" customFormat="false" ht="13.8" hidden="false" customHeight="false" outlineLevel="0" collapsed="false">
      <c r="B137" s="14" t="n">
        <f aca="false">_xlfn.NUMBERVALUE(solar!B134)</f>
        <v>0</v>
      </c>
      <c r="C137" s="15" t="n">
        <f aca="false">solar!C134</f>
        <v>0</v>
      </c>
      <c r="D137" s="9" t="n">
        <v>133</v>
      </c>
      <c r="E137" s="20" t="n">
        <f aca="false">IFERROR(INDEX($B$5:$C$173, MATCH($D137, $B$5:$B$175, 0), 2), 0)*investment!$C$4</f>
        <v>0</v>
      </c>
      <c r="F137" s="21" t="n">
        <f aca="false">demand!E135</f>
        <v>0</v>
      </c>
      <c r="G137" s="2" t="n">
        <f aca="false">solgen!E135</f>
        <v>0</v>
      </c>
      <c r="H137" s="2" t="n">
        <f aca="false">import!E135</f>
        <v>0</v>
      </c>
      <c r="I137" s="2" t="n">
        <f aca="false">-export!E135</f>
        <v>-0</v>
      </c>
      <c r="J137" s="2" t="n">
        <f aca="false">-charge!E135</f>
        <v>-0</v>
      </c>
      <c r="K137" s="2" t="n">
        <f aca="false">discharge!E135</f>
        <v>0</v>
      </c>
      <c r="L137" s="2" t="n">
        <f aca="false">soc!E135/investment!$E$4 *100</f>
        <v>1.87838154931564</v>
      </c>
    </row>
    <row r="138" customFormat="false" ht="13.8" hidden="false" customHeight="false" outlineLevel="0" collapsed="false">
      <c r="B138" s="14" t="n">
        <f aca="false">_xlfn.NUMBERVALUE(solar!B135)</f>
        <v>0</v>
      </c>
      <c r="C138" s="15" t="n">
        <f aca="false">solar!C135</f>
        <v>0</v>
      </c>
      <c r="D138" s="9" t="n">
        <v>134</v>
      </c>
      <c r="E138" s="20" t="n">
        <f aca="false">IFERROR(INDEX($B$5:$C$173, MATCH($D138, $B$5:$B$175, 0), 2), 0)*investment!$C$4</f>
        <v>0</v>
      </c>
      <c r="F138" s="21" t="n">
        <f aca="false">demand!E136</f>
        <v>0</v>
      </c>
      <c r="G138" s="2" t="n">
        <f aca="false">solgen!E136</f>
        <v>0</v>
      </c>
      <c r="H138" s="2" t="n">
        <f aca="false">import!E136</f>
        <v>0</v>
      </c>
      <c r="I138" s="2" t="n">
        <f aca="false">-export!E136</f>
        <v>-0</v>
      </c>
      <c r="J138" s="2" t="n">
        <f aca="false">-charge!E136</f>
        <v>-0</v>
      </c>
      <c r="K138" s="2" t="n">
        <f aca="false">discharge!E136</f>
        <v>0</v>
      </c>
      <c r="L138" s="2" t="n">
        <f aca="false">soc!E136/investment!$E$4 *100</f>
        <v>1.87836276550015</v>
      </c>
    </row>
    <row r="139" customFormat="false" ht="13.8" hidden="false" customHeight="false" outlineLevel="0" collapsed="false">
      <c r="B139" s="14" t="n">
        <f aca="false">_xlfn.NUMBERVALUE(solar!B136)</f>
        <v>0</v>
      </c>
      <c r="C139" s="15" t="n">
        <f aca="false">solar!C136</f>
        <v>0</v>
      </c>
      <c r="D139" s="9" t="n">
        <v>135</v>
      </c>
      <c r="E139" s="20" t="n">
        <f aca="false">IFERROR(INDEX($B$5:$C$173, MATCH($D139, $B$5:$B$175, 0), 2), 0)*investment!$C$4</f>
        <v>0</v>
      </c>
      <c r="F139" s="21" t="n">
        <f aca="false">demand!E137</f>
        <v>0</v>
      </c>
      <c r="G139" s="2" t="n">
        <f aca="false">solgen!E137</f>
        <v>0</v>
      </c>
      <c r="H139" s="2" t="n">
        <f aca="false">import!E137</f>
        <v>0</v>
      </c>
      <c r="I139" s="2" t="n">
        <f aca="false">-export!E137</f>
        <v>-0</v>
      </c>
      <c r="J139" s="2" t="n">
        <f aca="false">-charge!E137</f>
        <v>-0</v>
      </c>
      <c r="K139" s="2" t="n">
        <f aca="false">discharge!E137</f>
        <v>0</v>
      </c>
      <c r="L139" s="2" t="n">
        <f aca="false">soc!E137/investment!$E$4 *100</f>
        <v>1.87834398187249</v>
      </c>
    </row>
    <row r="140" customFormat="false" ht="13.8" hidden="false" customHeight="false" outlineLevel="0" collapsed="false">
      <c r="B140" s="14" t="n">
        <f aca="false">_xlfn.NUMBERVALUE(solar!B137)</f>
        <v>0</v>
      </c>
      <c r="C140" s="15" t="n">
        <f aca="false">solar!C137</f>
        <v>0</v>
      </c>
      <c r="D140" s="9" t="n">
        <v>136</v>
      </c>
      <c r="E140" s="20" t="n">
        <f aca="false">IFERROR(INDEX($B$5:$C$173, MATCH($D140, $B$5:$B$175, 0), 2), 0)*investment!$C$4</f>
        <v>0</v>
      </c>
      <c r="F140" s="21" t="n">
        <f aca="false">demand!E138</f>
        <v>0</v>
      </c>
      <c r="G140" s="2" t="n">
        <f aca="false">solgen!E138</f>
        <v>0</v>
      </c>
      <c r="H140" s="2" t="n">
        <f aca="false">import!E138</f>
        <v>0</v>
      </c>
      <c r="I140" s="2" t="n">
        <f aca="false">-export!E138</f>
        <v>-0</v>
      </c>
      <c r="J140" s="2" t="n">
        <f aca="false">-charge!E138</f>
        <v>-0</v>
      </c>
      <c r="K140" s="2" t="n">
        <f aca="false">discharge!E138</f>
        <v>0</v>
      </c>
      <c r="L140" s="2" t="n">
        <f aca="false">soc!E138/investment!$E$4 *100</f>
        <v>1.87832519843267</v>
      </c>
    </row>
    <row r="141" customFormat="false" ht="13.8" hidden="false" customHeight="false" outlineLevel="0" collapsed="false">
      <c r="B141" s="14" t="n">
        <f aca="false">_xlfn.NUMBERVALUE(solar!B138)</f>
        <v>0</v>
      </c>
      <c r="C141" s="15" t="n">
        <f aca="false">solar!C138</f>
        <v>0</v>
      </c>
      <c r="D141" s="9" t="n">
        <v>137</v>
      </c>
      <c r="E141" s="20" t="n">
        <f aca="false">IFERROR(INDEX($B$5:$C$173, MATCH($D141, $B$5:$B$175, 0), 2), 0)*investment!$C$4</f>
        <v>0</v>
      </c>
      <c r="F141" s="21" t="n">
        <f aca="false">demand!E139</f>
        <v>0</v>
      </c>
      <c r="G141" s="2" t="n">
        <f aca="false">solgen!E139</f>
        <v>0</v>
      </c>
      <c r="H141" s="2" t="n">
        <f aca="false">import!E139</f>
        <v>0</v>
      </c>
      <c r="I141" s="2" t="n">
        <f aca="false">-export!E139</f>
        <v>-0</v>
      </c>
      <c r="J141" s="2" t="n">
        <f aca="false">-charge!E139</f>
        <v>-0</v>
      </c>
      <c r="K141" s="2" t="n">
        <f aca="false">discharge!E139</f>
        <v>0</v>
      </c>
      <c r="L141" s="2" t="n">
        <f aca="false">soc!E139/investment!$E$4 *100</f>
        <v>1.87830641518069</v>
      </c>
    </row>
    <row r="142" customFormat="false" ht="13.8" hidden="false" customHeight="false" outlineLevel="0" collapsed="false">
      <c r="B142" s="14" t="n">
        <f aca="false">_xlfn.NUMBERVALUE(solar!B139)</f>
        <v>0</v>
      </c>
      <c r="C142" s="15" t="n">
        <f aca="false">solar!C139</f>
        <v>0</v>
      </c>
      <c r="D142" s="9" t="n">
        <v>138</v>
      </c>
      <c r="E142" s="20" t="n">
        <f aca="false">IFERROR(INDEX($B$5:$C$173, MATCH($D142, $B$5:$B$175, 0), 2), 0)*investment!$C$4</f>
        <v>0</v>
      </c>
      <c r="F142" s="21" t="n">
        <f aca="false">demand!E140</f>
        <v>0</v>
      </c>
      <c r="G142" s="2" t="n">
        <f aca="false">solgen!E140</f>
        <v>0</v>
      </c>
      <c r="H142" s="2" t="n">
        <f aca="false">import!E140</f>
        <v>0</v>
      </c>
      <c r="I142" s="2" t="n">
        <f aca="false">-export!E140</f>
        <v>-0</v>
      </c>
      <c r="J142" s="2" t="n">
        <f aca="false">-charge!E140</f>
        <v>-0</v>
      </c>
      <c r="K142" s="2" t="n">
        <f aca="false">discharge!E140</f>
        <v>0</v>
      </c>
      <c r="L142" s="2" t="n">
        <f aca="false">soc!E140/investment!$E$4 *100</f>
        <v>1.87828763211654</v>
      </c>
    </row>
    <row r="143" customFormat="false" ht="13.8" hidden="false" customHeight="false" outlineLevel="0" collapsed="false">
      <c r="B143" s="14" t="n">
        <f aca="false">_xlfn.NUMBERVALUE(solar!B140)</f>
        <v>0</v>
      </c>
      <c r="C143" s="15" t="n">
        <f aca="false">solar!C140</f>
        <v>0</v>
      </c>
      <c r="D143" s="9" t="n">
        <v>139</v>
      </c>
      <c r="E143" s="20" t="n">
        <f aca="false">IFERROR(INDEX($B$5:$C$173, MATCH($D143, $B$5:$B$175, 0), 2), 0)*investment!$C$4</f>
        <v>0</v>
      </c>
      <c r="F143" s="21" t="n">
        <f aca="false">demand!E141</f>
        <v>0</v>
      </c>
      <c r="G143" s="2" t="n">
        <f aca="false">solgen!E141</f>
        <v>0</v>
      </c>
      <c r="H143" s="2" t="n">
        <f aca="false">import!E141</f>
        <v>0</v>
      </c>
      <c r="I143" s="2" t="n">
        <f aca="false">-export!E141</f>
        <v>-0</v>
      </c>
      <c r="J143" s="2" t="n">
        <f aca="false">-charge!E141</f>
        <v>-0</v>
      </c>
      <c r="K143" s="2" t="n">
        <f aca="false">discharge!E141</f>
        <v>0</v>
      </c>
      <c r="L143" s="2" t="n">
        <f aca="false">soc!E141/investment!$E$4 *100</f>
        <v>1.87826884924022</v>
      </c>
    </row>
    <row r="144" customFormat="false" ht="13.8" hidden="false" customHeight="false" outlineLevel="0" collapsed="false">
      <c r="B144" s="14" t="n">
        <f aca="false">_xlfn.NUMBERVALUE(solar!B141)</f>
        <v>0</v>
      </c>
      <c r="C144" s="15" t="n">
        <f aca="false">solar!C141</f>
        <v>0</v>
      </c>
      <c r="D144" s="9" t="n">
        <v>140</v>
      </c>
      <c r="E144" s="20" t="n">
        <f aca="false">IFERROR(INDEX($B$5:$C$173, MATCH($D144, $B$5:$B$175, 0), 2), 0)*investment!$C$4</f>
        <v>0</v>
      </c>
      <c r="F144" s="21" t="n">
        <f aca="false">demand!E142</f>
        <v>0</v>
      </c>
      <c r="G144" s="2" t="n">
        <f aca="false">solgen!E142</f>
        <v>0</v>
      </c>
      <c r="H144" s="2" t="n">
        <f aca="false">import!E142</f>
        <v>0</v>
      </c>
      <c r="I144" s="2" t="n">
        <f aca="false">-export!E142</f>
        <v>-0</v>
      </c>
      <c r="J144" s="2" t="n">
        <f aca="false">-charge!E142</f>
        <v>-0</v>
      </c>
      <c r="K144" s="2" t="n">
        <f aca="false">discharge!E142</f>
        <v>0</v>
      </c>
      <c r="L144" s="2" t="n">
        <f aca="false">soc!E142/investment!$E$4 *100</f>
        <v>1.87825006655172</v>
      </c>
    </row>
    <row r="145" customFormat="false" ht="13.8" hidden="false" customHeight="false" outlineLevel="0" collapsed="false">
      <c r="B145" s="14" t="n">
        <f aca="false">_xlfn.NUMBERVALUE(solar!B142)</f>
        <v>0</v>
      </c>
      <c r="C145" s="15" t="n">
        <f aca="false">solar!C142</f>
        <v>0</v>
      </c>
      <c r="D145" s="9" t="n">
        <v>141</v>
      </c>
      <c r="E145" s="20" t="n">
        <f aca="false">IFERROR(INDEX($B$5:$C$173, MATCH($D145, $B$5:$B$175, 0), 2), 0)*investment!$C$4</f>
        <v>0</v>
      </c>
      <c r="F145" s="21" t="n">
        <f aca="false">demand!E143</f>
        <v>0</v>
      </c>
      <c r="G145" s="2" t="n">
        <f aca="false">solgen!E143</f>
        <v>0</v>
      </c>
      <c r="H145" s="2" t="n">
        <f aca="false">import!E143</f>
        <v>0</v>
      </c>
      <c r="I145" s="2" t="n">
        <f aca="false">-export!E143</f>
        <v>-0</v>
      </c>
      <c r="J145" s="2" t="n">
        <f aca="false">-charge!E143</f>
        <v>-0</v>
      </c>
      <c r="K145" s="2" t="n">
        <f aca="false">discharge!E143</f>
        <v>0</v>
      </c>
      <c r="L145" s="2" t="n">
        <f aca="false">soc!E143/investment!$E$4 *100</f>
        <v>1.87823128405106</v>
      </c>
    </row>
    <row r="146" customFormat="false" ht="13.8" hidden="false" customHeight="false" outlineLevel="0" collapsed="false">
      <c r="B146" s="14" t="n">
        <f aca="false">_xlfn.NUMBERVALUE(solar!B143)</f>
        <v>0</v>
      </c>
      <c r="C146" s="15" t="n">
        <f aca="false">solar!C143</f>
        <v>0</v>
      </c>
      <c r="D146" s="9" t="n">
        <v>142</v>
      </c>
      <c r="E146" s="20" t="n">
        <f aca="false">IFERROR(INDEX($B$5:$C$173, MATCH($D146, $B$5:$B$175, 0), 2), 0)*investment!$C$4</f>
        <v>0</v>
      </c>
      <c r="F146" s="21" t="n">
        <f aca="false">demand!E144</f>
        <v>0</v>
      </c>
      <c r="G146" s="2" t="n">
        <f aca="false">solgen!E144</f>
        <v>0</v>
      </c>
      <c r="H146" s="2" t="n">
        <f aca="false">import!E144</f>
        <v>0</v>
      </c>
      <c r="I146" s="2" t="n">
        <f aca="false">-export!E144</f>
        <v>-0</v>
      </c>
      <c r="J146" s="2" t="n">
        <f aca="false">-charge!E144</f>
        <v>-0</v>
      </c>
      <c r="K146" s="2" t="n">
        <f aca="false">discharge!E144</f>
        <v>0</v>
      </c>
      <c r="L146" s="2" t="n">
        <f aca="false">soc!E144/investment!$E$4 *100</f>
        <v>1.87821250173822</v>
      </c>
    </row>
    <row r="147" customFormat="false" ht="13.8" hidden="false" customHeight="false" outlineLevel="0" collapsed="false">
      <c r="B147" s="14" t="n">
        <f aca="false">_xlfn.NUMBERVALUE(solar!B144)</f>
        <v>0</v>
      </c>
      <c r="C147" s="15" t="n">
        <f aca="false">solar!C144</f>
        <v>0</v>
      </c>
      <c r="D147" s="9" t="n">
        <v>143</v>
      </c>
      <c r="E147" s="20" t="n">
        <f aca="false">IFERROR(INDEX($B$5:$C$173, MATCH($D147, $B$5:$B$175, 0), 2), 0)*investment!$C$4</f>
        <v>0</v>
      </c>
      <c r="F147" s="21" t="n">
        <f aca="false">demand!E145</f>
        <v>0</v>
      </c>
      <c r="G147" s="2" t="n">
        <f aca="false">solgen!E145</f>
        <v>0</v>
      </c>
      <c r="H147" s="2" t="n">
        <f aca="false">import!E145</f>
        <v>0</v>
      </c>
      <c r="I147" s="2" t="n">
        <f aca="false">-export!E145</f>
        <v>-0</v>
      </c>
      <c r="J147" s="2" t="n">
        <f aca="false">-charge!E145</f>
        <v>-0</v>
      </c>
      <c r="K147" s="2" t="n">
        <f aca="false">discharge!E145</f>
        <v>0</v>
      </c>
      <c r="L147" s="2" t="n">
        <f aca="false">soc!E145/investment!$E$4 *100</f>
        <v>1.8781937196132</v>
      </c>
    </row>
    <row r="148" customFormat="false" ht="13.8" hidden="false" customHeight="false" outlineLevel="0" collapsed="false">
      <c r="B148" s="14" t="n">
        <f aca="false">_xlfn.NUMBERVALUE(solar!B145)</f>
        <v>0</v>
      </c>
      <c r="C148" s="15" t="n">
        <f aca="false">solar!C145</f>
        <v>0</v>
      </c>
      <c r="D148" s="9" t="n">
        <v>144</v>
      </c>
      <c r="E148" s="20" t="n">
        <f aca="false">IFERROR(INDEX($B$5:$C$173, MATCH($D148, $B$5:$B$175, 0), 2), 0)*investment!$C$4</f>
        <v>0</v>
      </c>
      <c r="F148" s="21" t="n">
        <f aca="false">demand!E146</f>
        <v>0</v>
      </c>
      <c r="G148" s="2" t="n">
        <f aca="false">solgen!E146</f>
        <v>0</v>
      </c>
      <c r="H148" s="2" t="n">
        <f aca="false">import!E146</f>
        <v>0</v>
      </c>
      <c r="I148" s="2" t="n">
        <f aca="false">-export!E146</f>
        <v>-0</v>
      </c>
      <c r="J148" s="2" t="n">
        <f aca="false">-charge!E146</f>
        <v>-0</v>
      </c>
      <c r="K148" s="2" t="n">
        <f aca="false">discharge!E146</f>
        <v>0</v>
      </c>
      <c r="L148" s="2" t="n">
        <f aca="false">soc!E146/investment!$E$4 *100</f>
        <v>1.878174937676</v>
      </c>
    </row>
    <row r="149" customFormat="false" ht="13.8" hidden="false" customHeight="false" outlineLevel="0" collapsed="false">
      <c r="B149" s="14" t="n">
        <f aca="false">_xlfn.NUMBERVALUE(solar!B146)</f>
        <v>0</v>
      </c>
      <c r="C149" s="15" t="n">
        <f aca="false">solar!C146</f>
        <v>0</v>
      </c>
      <c r="D149" s="9" t="n">
        <v>145</v>
      </c>
      <c r="E149" s="20" t="n">
        <f aca="false">IFERROR(INDEX($B$5:$C$173, MATCH($D149, $B$5:$B$175, 0), 2), 0)*investment!$C$4</f>
        <v>0</v>
      </c>
      <c r="F149" s="21" t="n">
        <f aca="false">demand!E147</f>
        <v>0</v>
      </c>
      <c r="G149" s="2" t="n">
        <f aca="false">solgen!E147</f>
        <v>0</v>
      </c>
      <c r="H149" s="2" t="n">
        <f aca="false">import!E147</f>
        <v>0</v>
      </c>
      <c r="I149" s="2" t="n">
        <f aca="false">-export!E147</f>
        <v>-0</v>
      </c>
      <c r="J149" s="2" t="n">
        <f aca="false">-charge!E147</f>
        <v>-0</v>
      </c>
      <c r="K149" s="2" t="n">
        <f aca="false">discharge!E147</f>
        <v>0</v>
      </c>
      <c r="L149" s="2" t="n">
        <f aca="false">soc!E147/investment!$E$4 *100</f>
        <v>1.87815615592663</v>
      </c>
    </row>
    <row r="150" customFormat="false" ht="13.8" hidden="false" customHeight="false" outlineLevel="0" collapsed="false">
      <c r="B150" s="14" t="n">
        <f aca="false">_xlfn.NUMBERVALUE(solar!B147)</f>
        <v>0</v>
      </c>
      <c r="C150" s="15" t="n">
        <f aca="false">solar!C147</f>
        <v>0</v>
      </c>
      <c r="D150" s="9" t="n">
        <v>146</v>
      </c>
      <c r="E150" s="20" t="n">
        <f aca="false">IFERROR(INDEX($B$5:$C$173, MATCH($D150, $B$5:$B$175, 0), 2), 0)*investment!$C$4</f>
        <v>0</v>
      </c>
      <c r="F150" s="21" t="n">
        <f aca="false">demand!E148</f>
        <v>0</v>
      </c>
      <c r="G150" s="2" t="n">
        <f aca="false">solgen!E148</f>
        <v>0</v>
      </c>
      <c r="H150" s="2" t="n">
        <f aca="false">import!E148</f>
        <v>0</v>
      </c>
      <c r="I150" s="2" t="n">
        <f aca="false">-export!E148</f>
        <v>-0</v>
      </c>
      <c r="J150" s="2" t="n">
        <f aca="false">-charge!E148</f>
        <v>-0</v>
      </c>
      <c r="K150" s="2" t="n">
        <f aca="false">discharge!E148</f>
        <v>0</v>
      </c>
      <c r="L150" s="2" t="n">
        <f aca="false">soc!E148/investment!$E$4 *100</f>
        <v>8.53802953725944</v>
      </c>
    </row>
    <row r="151" customFormat="false" ht="13.8" hidden="false" customHeight="false" outlineLevel="0" collapsed="false">
      <c r="B151" s="14" t="n">
        <f aca="false">_xlfn.NUMBERVALUE(solar!B148)</f>
        <v>0</v>
      </c>
      <c r="C151" s="15" t="n">
        <f aca="false">solar!C148</f>
        <v>0</v>
      </c>
      <c r="D151" s="9" t="n">
        <v>147</v>
      </c>
      <c r="E151" s="20" t="n">
        <f aca="false">IFERROR(INDEX($B$5:$C$173, MATCH($D151, $B$5:$B$175, 0), 2), 0)*investment!$C$4</f>
        <v>0</v>
      </c>
      <c r="F151" s="21" t="n">
        <f aca="false">demand!E149</f>
        <v>0</v>
      </c>
      <c r="G151" s="2" t="n">
        <f aca="false">solgen!E149</f>
        <v>0</v>
      </c>
      <c r="H151" s="2" t="n">
        <f aca="false">import!E149</f>
        <v>0</v>
      </c>
      <c r="I151" s="2" t="n">
        <f aca="false">-export!E149</f>
        <v>-0</v>
      </c>
      <c r="J151" s="2" t="n">
        <f aca="false">-charge!E149</f>
        <v>-0</v>
      </c>
      <c r="K151" s="2" t="n">
        <f aca="false">discharge!E149</f>
        <v>0</v>
      </c>
      <c r="L151" s="2" t="n">
        <f aca="false">soc!E149/investment!$E$4 *100</f>
        <v>11.8693751194213</v>
      </c>
    </row>
    <row r="152" customFormat="false" ht="13.8" hidden="false" customHeight="false" outlineLevel="0" collapsed="false">
      <c r="B152" s="14" t="n">
        <f aca="false">_xlfn.NUMBERVALUE(solar!B149)</f>
        <v>0</v>
      </c>
      <c r="C152" s="15" t="n">
        <f aca="false">solar!C149</f>
        <v>0</v>
      </c>
      <c r="D152" s="9" t="n">
        <v>148</v>
      </c>
      <c r="E152" s="20" t="n">
        <f aca="false">IFERROR(INDEX($B$5:$C$173, MATCH($D152, $B$5:$B$175, 0), 2), 0)*investment!$C$4</f>
        <v>0</v>
      </c>
      <c r="F152" s="21" t="n">
        <f aca="false">demand!E150</f>
        <v>0</v>
      </c>
      <c r="G152" s="2" t="n">
        <f aca="false">solgen!E150</f>
        <v>0</v>
      </c>
      <c r="H152" s="2" t="n">
        <f aca="false">import!E150</f>
        <v>0</v>
      </c>
      <c r="I152" s="2" t="n">
        <f aca="false">-export!E150</f>
        <v>-0</v>
      </c>
      <c r="J152" s="2" t="n">
        <f aca="false">-charge!E150</f>
        <v>-0</v>
      </c>
      <c r="K152" s="2" t="n">
        <f aca="false">discharge!E150</f>
        <v>0</v>
      </c>
      <c r="L152" s="2" t="n">
        <f aca="false">soc!E150/investment!$E$4 *100</f>
        <v>14.8126735923494</v>
      </c>
    </row>
    <row r="153" customFormat="false" ht="13.8" hidden="false" customHeight="false" outlineLevel="0" collapsed="false">
      <c r="B153" s="14" t="n">
        <f aca="false">_xlfn.NUMBERVALUE(solar!B150)</f>
        <v>0</v>
      </c>
      <c r="C153" s="15" t="n">
        <f aca="false">solar!C150</f>
        <v>0</v>
      </c>
      <c r="D153" s="9" t="n">
        <v>149</v>
      </c>
      <c r="E153" s="20" t="n">
        <f aca="false">IFERROR(INDEX($B$5:$C$173, MATCH($D153, $B$5:$B$175, 0), 2), 0)*investment!$C$4</f>
        <v>0</v>
      </c>
      <c r="F153" s="21" t="n">
        <f aca="false">demand!E151</f>
        <v>0</v>
      </c>
      <c r="G153" s="2" t="n">
        <f aca="false">solgen!E151</f>
        <v>0</v>
      </c>
      <c r="H153" s="2" t="n">
        <f aca="false">import!E151</f>
        <v>0</v>
      </c>
      <c r="I153" s="2" t="n">
        <f aca="false">-export!E151</f>
        <v>-0</v>
      </c>
      <c r="J153" s="2" t="n">
        <f aca="false">-charge!E151</f>
        <v>-0</v>
      </c>
      <c r="K153" s="2" t="n">
        <f aca="false">discharge!E151</f>
        <v>0</v>
      </c>
      <c r="L153" s="2" t="n">
        <f aca="false">soc!E151/investment!$E$4 *100</f>
        <v>24.0827595679334</v>
      </c>
    </row>
    <row r="154" customFormat="false" ht="13.8" hidden="false" customHeight="false" outlineLevel="0" collapsed="false">
      <c r="B154" s="14" t="n">
        <f aca="false">_xlfn.NUMBERVALUE(solar!B151)</f>
        <v>0</v>
      </c>
      <c r="C154" s="15" t="n">
        <f aca="false">solar!C151</f>
        <v>0</v>
      </c>
      <c r="D154" s="9" t="n">
        <v>150</v>
      </c>
      <c r="E154" s="20" t="n">
        <f aca="false">IFERROR(INDEX($B$5:$C$173, MATCH($D154, $B$5:$B$175, 0), 2), 0)*investment!$C$4</f>
        <v>0</v>
      </c>
      <c r="F154" s="21" t="n">
        <f aca="false">demand!E152</f>
        <v>0</v>
      </c>
      <c r="G154" s="2" t="n">
        <f aca="false">solgen!E152</f>
        <v>0</v>
      </c>
      <c r="H154" s="2" t="n">
        <f aca="false">import!E152</f>
        <v>0</v>
      </c>
      <c r="I154" s="2" t="n">
        <f aca="false">-export!E152</f>
        <v>-0</v>
      </c>
      <c r="J154" s="2" t="n">
        <f aca="false">-charge!E152</f>
        <v>-0</v>
      </c>
      <c r="K154" s="2" t="n">
        <f aca="false">discharge!E152</f>
        <v>0</v>
      </c>
      <c r="L154" s="2" t="n">
        <f aca="false">soc!E152/investment!$E$4 *100</f>
        <v>32.3103098701117</v>
      </c>
    </row>
    <row r="155" customFormat="false" ht="13.8" hidden="false" customHeight="false" outlineLevel="0" collapsed="false">
      <c r="B155" s="14" t="n">
        <f aca="false">_xlfn.NUMBERVALUE(solar!B152)</f>
        <v>0</v>
      </c>
      <c r="C155" s="15" t="n">
        <f aca="false">solar!C152</f>
        <v>0</v>
      </c>
      <c r="D155" s="9" t="n">
        <v>151</v>
      </c>
      <c r="E155" s="20" t="n">
        <f aca="false">IFERROR(INDEX($B$5:$C$173, MATCH($D155, $B$5:$B$175, 0), 2), 0)*investment!$C$4</f>
        <v>0</v>
      </c>
      <c r="F155" s="21" t="n">
        <f aca="false">demand!E153</f>
        <v>0</v>
      </c>
      <c r="G155" s="2" t="n">
        <f aca="false">solgen!E153</f>
        <v>0</v>
      </c>
      <c r="H155" s="2" t="n">
        <f aca="false">import!E153</f>
        <v>0</v>
      </c>
      <c r="I155" s="2" t="n">
        <f aca="false">-export!E153</f>
        <v>-0</v>
      </c>
      <c r="J155" s="2" t="n">
        <f aca="false">-charge!E153</f>
        <v>-0</v>
      </c>
      <c r="K155" s="2" t="n">
        <f aca="false">discharge!E153</f>
        <v>0</v>
      </c>
      <c r="L155" s="2" t="n">
        <f aca="false">soc!E153/investment!$E$4 *100</f>
        <v>40.8014595540024</v>
      </c>
    </row>
    <row r="156" customFormat="false" ht="13.8" hidden="false" customHeight="false" outlineLevel="0" collapsed="false">
      <c r="B156" s="14" t="n">
        <f aca="false">_xlfn.NUMBERVALUE(solar!B153)</f>
        <v>0</v>
      </c>
      <c r="C156" s="15" t="n">
        <f aca="false">solar!C153</f>
        <v>0</v>
      </c>
      <c r="D156" s="9" t="n">
        <v>152</v>
      </c>
      <c r="E156" s="20" t="n">
        <f aca="false">IFERROR(INDEX($B$5:$C$173, MATCH($D156, $B$5:$B$175, 0), 2), 0)*investment!$C$4</f>
        <v>0</v>
      </c>
      <c r="F156" s="21" t="n">
        <f aca="false">demand!E154</f>
        <v>0</v>
      </c>
      <c r="G156" s="2" t="n">
        <f aca="false">solgen!E154</f>
        <v>0</v>
      </c>
      <c r="H156" s="2" t="n">
        <f aca="false">import!E154</f>
        <v>0</v>
      </c>
      <c r="I156" s="2" t="n">
        <f aca="false">-export!E154</f>
        <v>-0</v>
      </c>
      <c r="J156" s="2" t="n">
        <f aca="false">-charge!E154</f>
        <v>-0</v>
      </c>
      <c r="K156" s="2" t="n">
        <f aca="false">discharge!E154</f>
        <v>0</v>
      </c>
      <c r="L156" s="2" t="n">
        <f aca="false">soc!E154/investment!$E$4 *100</f>
        <v>40.8010515394069</v>
      </c>
    </row>
    <row r="157" customFormat="false" ht="13.8" hidden="false" customHeight="false" outlineLevel="0" collapsed="false">
      <c r="B157" s="14" t="n">
        <f aca="false">_xlfn.NUMBERVALUE(solar!B154)</f>
        <v>0</v>
      </c>
      <c r="C157" s="15" t="n">
        <f aca="false">solar!C154</f>
        <v>0</v>
      </c>
      <c r="D157" s="9" t="n">
        <v>153</v>
      </c>
      <c r="E157" s="20" t="n">
        <f aca="false">IFERROR(INDEX($B$5:$C$173, MATCH($D157, $B$5:$B$175, 0), 2), 0)*investment!$C$4</f>
        <v>0</v>
      </c>
      <c r="F157" s="21" t="n">
        <f aca="false">demand!E155</f>
        <v>0</v>
      </c>
      <c r="G157" s="2" t="n">
        <f aca="false">solgen!E155</f>
        <v>0</v>
      </c>
      <c r="H157" s="2" t="n">
        <f aca="false">import!E155</f>
        <v>0</v>
      </c>
      <c r="I157" s="2" t="n">
        <f aca="false">-export!E155</f>
        <v>-0</v>
      </c>
      <c r="J157" s="2" t="n">
        <f aca="false">-charge!E155</f>
        <v>-0</v>
      </c>
      <c r="K157" s="2" t="n">
        <f aca="false">discharge!E155</f>
        <v>0</v>
      </c>
      <c r="L157" s="2" t="n">
        <f aca="false">soc!E155/investment!$E$4 *100</f>
        <v>40.8006435288915</v>
      </c>
    </row>
    <row r="158" customFormat="false" ht="13.8" hidden="false" customHeight="false" outlineLevel="0" collapsed="false">
      <c r="B158" s="14" t="n">
        <f aca="false">_xlfn.NUMBERVALUE(solar!B155)</f>
        <v>0</v>
      </c>
      <c r="C158" s="15" t="n">
        <f aca="false">solar!C155</f>
        <v>0</v>
      </c>
      <c r="D158" s="9" t="n">
        <v>154</v>
      </c>
      <c r="E158" s="20" t="n">
        <f aca="false">IFERROR(INDEX($B$5:$C$173, MATCH($D158, $B$5:$B$175, 0), 2), 0)*investment!$C$4</f>
        <v>0</v>
      </c>
      <c r="F158" s="21" t="n">
        <f aca="false">demand!E156</f>
        <v>0</v>
      </c>
      <c r="G158" s="2" t="n">
        <f aca="false">solgen!E156</f>
        <v>0</v>
      </c>
      <c r="H158" s="2" t="n">
        <f aca="false">import!E156</f>
        <v>0</v>
      </c>
      <c r="I158" s="2" t="n">
        <f aca="false">-export!E156</f>
        <v>-0</v>
      </c>
      <c r="J158" s="2" t="n">
        <f aca="false">-charge!E156</f>
        <v>-0</v>
      </c>
      <c r="K158" s="2" t="n">
        <f aca="false">discharge!E156</f>
        <v>0</v>
      </c>
      <c r="L158" s="2" t="n">
        <f aca="false">soc!E156/investment!$E$4 *100</f>
        <v>40.8002355224562</v>
      </c>
    </row>
    <row r="159" customFormat="false" ht="13.8" hidden="false" customHeight="false" outlineLevel="0" collapsed="false">
      <c r="B159" s="14" t="n">
        <f aca="false">_xlfn.NUMBERVALUE(solar!B156)</f>
        <v>0</v>
      </c>
      <c r="C159" s="15" t="n">
        <f aca="false">solar!C156</f>
        <v>0</v>
      </c>
      <c r="D159" s="9" t="n">
        <v>155</v>
      </c>
      <c r="E159" s="20" t="n">
        <f aca="false">IFERROR(INDEX($B$5:$C$173, MATCH($D159, $B$5:$B$175, 0), 2), 0)*investment!$C$4</f>
        <v>0</v>
      </c>
      <c r="F159" s="21" t="n">
        <f aca="false">demand!E157</f>
        <v>0</v>
      </c>
      <c r="G159" s="2" t="n">
        <f aca="false">solgen!E157</f>
        <v>0</v>
      </c>
      <c r="H159" s="2" t="n">
        <f aca="false">import!E157</f>
        <v>0</v>
      </c>
      <c r="I159" s="2" t="n">
        <f aca="false">-export!E157</f>
        <v>-0</v>
      </c>
      <c r="J159" s="2" t="n">
        <f aca="false">-charge!E157</f>
        <v>-0</v>
      </c>
      <c r="K159" s="2" t="n">
        <f aca="false">discharge!E157</f>
        <v>0</v>
      </c>
      <c r="L159" s="2" t="n">
        <f aca="false">soc!E157/investment!$E$4 *100</f>
        <v>40.799827520101</v>
      </c>
    </row>
    <row r="160" customFormat="false" ht="13.8" hidden="false" customHeight="false" outlineLevel="0" collapsed="false">
      <c r="B160" s="14" t="n">
        <f aca="false">_xlfn.NUMBERVALUE(solar!B157)</f>
        <v>0</v>
      </c>
      <c r="C160" s="15" t="n">
        <f aca="false">solar!C157</f>
        <v>0</v>
      </c>
      <c r="D160" s="9" t="n">
        <v>156</v>
      </c>
      <c r="E160" s="20" t="n">
        <f aca="false">IFERROR(INDEX($B$5:$C$173, MATCH($D160, $B$5:$B$175, 0), 2), 0)*investment!$C$4</f>
        <v>0</v>
      </c>
      <c r="F160" s="21" t="n">
        <f aca="false">demand!E158</f>
        <v>0</v>
      </c>
      <c r="G160" s="2" t="n">
        <f aca="false">solgen!E158</f>
        <v>0</v>
      </c>
      <c r="H160" s="2" t="n">
        <f aca="false">import!E158</f>
        <v>0</v>
      </c>
      <c r="I160" s="2" t="n">
        <f aca="false">-export!E158</f>
        <v>-0</v>
      </c>
      <c r="J160" s="2" t="n">
        <f aca="false">-charge!E158</f>
        <v>-0</v>
      </c>
      <c r="K160" s="2" t="n">
        <f aca="false">discharge!E158</f>
        <v>0</v>
      </c>
      <c r="L160" s="2" t="n">
        <f aca="false">soc!E158/investment!$E$4 *100</f>
        <v>40.7994195218258</v>
      </c>
    </row>
    <row r="161" customFormat="false" ht="13.8" hidden="false" customHeight="false" outlineLevel="0" collapsed="false">
      <c r="B161" s="14" t="n">
        <f aca="false">_xlfn.NUMBERVALUE(solar!B158)</f>
        <v>0</v>
      </c>
      <c r="C161" s="15" t="n">
        <f aca="false">solar!C158</f>
        <v>0</v>
      </c>
      <c r="D161" s="9" t="n">
        <v>157</v>
      </c>
      <c r="E161" s="20" t="n">
        <f aca="false">IFERROR(INDEX($B$5:$C$173, MATCH($D161, $B$5:$B$175, 0), 2), 0)*investment!$C$4</f>
        <v>0</v>
      </c>
      <c r="F161" s="21" t="n">
        <f aca="false">demand!E159</f>
        <v>0</v>
      </c>
      <c r="G161" s="2" t="n">
        <f aca="false">solgen!E159</f>
        <v>0</v>
      </c>
      <c r="H161" s="2" t="n">
        <f aca="false">import!E159</f>
        <v>0</v>
      </c>
      <c r="I161" s="2" t="n">
        <f aca="false">-export!E159</f>
        <v>-0</v>
      </c>
      <c r="J161" s="2" t="n">
        <f aca="false">-charge!E159</f>
        <v>-0</v>
      </c>
      <c r="K161" s="2" t="n">
        <f aca="false">discharge!E159</f>
        <v>0</v>
      </c>
      <c r="L161" s="2" t="n">
        <f aca="false">soc!E159/investment!$E$4 *100</f>
        <v>41.3826658322579</v>
      </c>
    </row>
    <row r="162" customFormat="false" ht="13.8" hidden="false" customHeight="false" outlineLevel="0" collapsed="false">
      <c r="B162" s="14" t="n">
        <f aca="false">_xlfn.NUMBERVALUE(solar!B159)</f>
        <v>0</v>
      </c>
      <c r="C162" s="15" t="n">
        <f aca="false">solar!C159</f>
        <v>0</v>
      </c>
      <c r="D162" s="9" t="n">
        <v>158</v>
      </c>
      <c r="E162" s="20" t="n">
        <f aca="false">IFERROR(INDEX($B$5:$C$173, MATCH($D162, $B$5:$B$175, 0), 2), 0)*investment!$C$4</f>
        <v>0</v>
      </c>
      <c r="F162" s="21" t="n">
        <f aca="false">demand!E160</f>
        <v>0</v>
      </c>
      <c r="G162" s="2" t="n">
        <f aca="false">solgen!E160</f>
        <v>0</v>
      </c>
      <c r="H162" s="2" t="n">
        <f aca="false">import!E160</f>
        <v>0</v>
      </c>
      <c r="I162" s="2" t="n">
        <f aca="false">-export!E160</f>
        <v>-0</v>
      </c>
      <c r="J162" s="2" t="n">
        <f aca="false">-charge!E160</f>
        <v>-0</v>
      </c>
      <c r="K162" s="2" t="n">
        <f aca="false">discharge!E160</f>
        <v>0</v>
      </c>
      <c r="L162" s="2" t="n">
        <f aca="false">soc!E160/investment!$E$4 *100</f>
        <v>46.5734138440094</v>
      </c>
    </row>
    <row r="163" customFormat="false" ht="13.8" hidden="false" customHeight="false" outlineLevel="0" collapsed="false">
      <c r="B163" s="14" t="n">
        <f aca="false">_xlfn.NUMBERVALUE(solar!B160)</f>
        <v>0</v>
      </c>
      <c r="C163" s="15" t="n">
        <f aca="false">solar!C160</f>
        <v>0</v>
      </c>
      <c r="D163" s="9" t="n">
        <v>159</v>
      </c>
      <c r="E163" s="20" t="n">
        <f aca="false">IFERROR(INDEX($B$5:$C$173, MATCH($D163, $B$5:$B$175, 0), 2), 0)*investment!$C$4</f>
        <v>0</v>
      </c>
      <c r="F163" s="21" t="n">
        <f aca="false">demand!E161</f>
        <v>0</v>
      </c>
      <c r="G163" s="2" t="n">
        <f aca="false">solgen!E161</f>
        <v>0</v>
      </c>
      <c r="H163" s="2" t="n">
        <f aca="false">import!E161</f>
        <v>0</v>
      </c>
      <c r="I163" s="2" t="n">
        <f aca="false">-export!E161</f>
        <v>-0</v>
      </c>
      <c r="J163" s="2" t="n">
        <f aca="false">-charge!E161</f>
        <v>-0</v>
      </c>
      <c r="K163" s="2" t="n">
        <f aca="false">discharge!E161</f>
        <v>0</v>
      </c>
      <c r="L163" s="2" t="n">
        <f aca="false">soc!E161/investment!$E$4 *100</f>
        <v>51.6829836447613</v>
      </c>
    </row>
    <row r="164" customFormat="false" ht="13.8" hidden="false" customHeight="false" outlineLevel="0" collapsed="false">
      <c r="B164" s="14" t="n">
        <f aca="false">_xlfn.NUMBERVALUE(solar!B161)</f>
        <v>0</v>
      </c>
      <c r="C164" s="15" t="n">
        <f aca="false">solar!C161</f>
        <v>0</v>
      </c>
      <c r="D164" s="9" t="n">
        <v>160</v>
      </c>
      <c r="E164" s="20" t="n">
        <f aca="false">IFERROR(INDEX($B$5:$C$173, MATCH($D164, $B$5:$B$175, 0), 2), 0)*investment!$C$4</f>
        <v>0</v>
      </c>
      <c r="F164" s="21" t="n">
        <f aca="false">demand!E162</f>
        <v>0</v>
      </c>
      <c r="G164" s="2" t="n">
        <f aca="false">solgen!E162</f>
        <v>0</v>
      </c>
      <c r="H164" s="2" t="n">
        <f aca="false">import!E162</f>
        <v>0</v>
      </c>
      <c r="I164" s="2" t="n">
        <f aca="false">-export!E162</f>
        <v>-0</v>
      </c>
      <c r="J164" s="2" t="n">
        <f aca="false">-charge!E162</f>
        <v>-0</v>
      </c>
      <c r="K164" s="2" t="n">
        <f aca="false">discharge!E162</f>
        <v>0</v>
      </c>
      <c r="L164" s="2" t="n">
        <f aca="false">soc!E162/investment!$E$4 *100</f>
        <v>54.0380117190261</v>
      </c>
    </row>
    <row r="165" customFormat="false" ht="13.8" hidden="false" customHeight="false" outlineLevel="0" collapsed="false">
      <c r="B165" s="14" t="n">
        <f aca="false">_xlfn.NUMBERVALUE(solar!B162)</f>
        <v>0</v>
      </c>
      <c r="C165" s="15" t="n">
        <f aca="false">solar!C162</f>
        <v>0</v>
      </c>
      <c r="D165" s="9" t="n">
        <v>161</v>
      </c>
      <c r="E165" s="20" t="n">
        <f aca="false">IFERROR(INDEX($B$5:$C$173, MATCH($D165, $B$5:$B$175, 0), 2), 0)*investment!$C$4</f>
        <v>0</v>
      </c>
      <c r="F165" s="21" t="n">
        <f aca="false">demand!E163</f>
        <v>0</v>
      </c>
      <c r="G165" s="2" t="n">
        <f aca="false">solgen!E163</f>
        <v>0</v>
      </c>
      <c r="H165" s="2" t="n">
        <f aca="false">import!E163</f>
        <v>0</v>
      </c>
      <c r="I165" s="2" t="n">
        <f aca="false">-export!E163</f>
        <v>-0</v>
      </c>
      <c r="J165" s="2" t="n">
        <f aca="false">-charge!E163</f>
        <v>-0</v>
      </c>
      <c r="K165" s="2" t="n">
        <f aca="false">discharge!E163</f>
        <v>0</v>
      </c>
      <c r="L165" s="2" t="n">
        <f aca="false">soc!E163/investment!$E$4 *100</f>
        <v>56.0180061206898</v>
      </c>
    </row>
    <row r="166" customFormat="false" ht="13.8" hidden="false" customHeight="false" outlineLevel="0" collapsed="false">
      <c r="B166" s="14" t="n">
        <f aca="false">_xlfn.NUMBERVALUE(solar!B163)</f>
        <v>0</v>
      </c>
      <c r="C166" s="15" t="n">
        <f aca="false">solar!C163</f>
        <v>0</v>
      </c>
      <c r="D166" s="9" t="n">
        <v>162</v>
      </c>
      <c r="E166" s="20" t="n">
        <f aca="false">IFERROR(INDEX($B$5:$C$173, MATCH($D166, $B$5:$B$175, 0), 2), 0)*investment!$C$4</f>
        <v>0</v>
      </c>
      <c r="F166" s="21" t="n">
        <f aca="false">demand!E164</f>
        <v>0</v>
      </c>
      <c r="G166" s="2" t="n">
        <f aca="false">solgen!E164</f>
        <v>0</v>
      </c>
      <c r="H166" s="2" t="n">
        <f aca="false">import!E164</f>
        <v>0</v>
      </c>
      <c r="I166" s="2" t="n">
        <f aca="false">-export!E164</f>
        <v>-0</v>
      </c>
      <c r="J166" s="2" t="n">
        <f aca="false">-charge!E164</f>
        <v>-0</v>
      </c>
      <c r="K166" s="2" t="n">
        <f aca="false">discharge!E164</f>
        <v>0</v>
      </c>
      <c r="L166" s="2" t="n">
        <f aca="false">soc!E164/investment!$E$4 *100</f>
        <v>56.0174459406286</v>
      </c>
    </row>
    <row r="167" customFormat="false" ht="13.8" hidden="false" customHeight="false" outlineLevel="0" collapsed="false">
      <c r="B167" s="14" t="n">
        <f aca="false">_xlfn.NUMBERVALUE(solar!B164)</f>
        <v>0</v>
      </c>
      <c r="C167" s="15" t="n">
        <f aca="false">solar!C164</f>
        <v>0</v>
      </c>
      <c r="D167" s="9" t="n">
        <v>163</v>
      </c>
      <c r="E167" s="20" t="n">
        <f aca="false">IFERROR(INDEX($B$5:$C$173, MATCH($D167, $B$5:$B$175, 0), 2), 0)*investment!$C$4</f>
        <v>0</v>
      </c>
      <c r="F167" s="21" t="n">
        <f aca="false">demand!E165</f>
        <v>0</v>
      </c>
      <c r="G167" s="2" t="n">
        <f aca="false">solgen!E165</f>
        <v>0</v>
      </c>
      <c r="H167" s="2" t="n">
        <f aca="false">import!E165</f>
        <v>0</v>
      </c>
      <c r="I167" s="2" t="n">
        <f aca="false">-export!E165</f>
        <v>-0</v>
      </c>
      <c r="J167" s="2" t="n">
        <f aca="false">-charge!E165</f>
        <v>-0</v>
      </c>
      <c r="K167" s="2" t="n">
        <f aca="false">discharge!E165</f>
        <v>0</v>
      </c>
      <c r="L167" s="2" t="n">
        <f aca="false">soc!E165/investment!$E$4 *100</f>
        <v>56.0168857661692</v>
      </c>
    </row>
    <row r="168" customFormat="false" ht="13.8" hidden="false" customHeight="false" outlineLevel="0" collapsed="false">
      <c r="B168" s="14" t="n">
        <f aca="false">_xlfn.NUMBERVALUE(solar!B165)</f>
        <v>0</v>
      </c>
      <c r="C168" s="15" t="n">
        <f aca="false">solar!C165</f>
        <v>0</v>
      </c>
      <c r="D168" s="9" t="n">
        <v>164</v>
      </c>
      <c r="E168" s="20" t="n">
        <f aca="false">IFERROR(INDEX($B$5:$C$173, MATCH($D168, $B$5:$B$175, 0), 2), 0)*investment!$C$4</f>
        <v>0</v>
      </c>
      <c r="F168" s="21" t="n">
        <f aca="false">demand!E166</f>
        <v>0</v>
      </c>
      <c r="G168" s="2" t="n">
        <f aca="false">solgen!E166</f>
        <v>0</v>
      </c>
      <c r="H168" s="2" t="n">
        <f aca="false">import!E166</f>
        <v>0</v>
      </c>
      <c r="I168" s="2" t="n">
        <f aca="false">-export!E166</f>
        <v>-0</v>
      </c>
      <c r="J168" s="2" t="n">
        <f aca="false">-charge!E166</f>
        <v>-0</v>
      </c>
      <c r="K168" s="2" t="n">
        <f aca="false">discharge!E166</f>
        <v>0</v>
      </c>
      <c r="L168" s="2" t="n">
        <f aca="false">soc!E166/investment!$E$4 *100</f>
        <v>54.3577434453674</v>
      </c>
    </row>
    <row r="169" customFormat="false" ht="13.8" hidden="false" customHeight="false" outlineLevel="0" collapsed="false">
      <c r="B169" s="14" t="n">
        <f aca="false">_xlfn.NUMBERVALUE(solar!B166)</f>
        <v>0</v>
      </c>
      <c r="C169" s="15" t="n">
        <f aca="false">solar!C166</f>
        <v>0</v>
      </c>
      <c r="D169" s="9" t="n">
        <v>165</v>
      </c>
      <c r="E169" s="20" t="n">
        <f aca="false">IFERROR(INDEX($B$5:$C$173, MATCH($D169, $B$5:$B$175, 0), 2), 0)*investment!$C$4</f>
        <v>0</v>
      </c>
      <c r="F169" s="21" t="n">
        <f aca="false">demand!E167</f>
        <v>0</v>
      </c>
      <c r="G169" s="2" t="n">
        <f aca="false">solgen!E167</f>
        <v>0</v>
      </c>
      <c r="H169" s="2" t="n">
        <f aca="false">import!E167</f>
        <v>0</v>
      </c>
      <c r="I169" s="2" t="n">
        <f aca="false">-export!E167</f>
        <v>-0</v>
      </c>
      <c r="J169" s="2" t="n">
        <f aca="false">-charge!E167</f>
        <v>-0</v>
      </c>
      <c r="K169" s="2" t="n">
        <f aca="false">discharge!E167</f>
        <v>0</v>
      </c>
      <c r="L169" s="2" t="n">
        <f aca="false">soc!E167/investment!$E$4 *100</f>
        <v>54.3571998679329</v>
      </c>
    </row>
    <row r="170" customFormat="false" ht="13.8" hidden="false" customHeight="false" outlineLevel="0" collapsed="false">
      <c r="B170" s="14" t="n">
        <f aca="false">_xlfn.NUMBERVALUE(solar!B167)</f>
        <v>0</v>
      </c>
      <c r="C170" s="15" t="n">
        <f aca="false">solar!C167</f>
        <v>0</v>
      </c>
      <c r="D170" s="9" t="n">
        <v>166</v>
      </c>
      <c r="E170" s="20" t="n">
        <f aca="false">IFERROR(INDEX($B$5:$C$173, MATCH($D170, $B$5:$B$175, 0), 2), 0)*investment!$C$4</f>
        <v>0</v>
      </c>
      <c r="F170" s="21" t="n">
        <f aca="false">demand!E168</f>
        <v>0</v>
      </c>
      <c r="G170" s="2" t="n">
        <f aca="false">solgen!E168</f>
        <v>0</v>
      </c>
      <c r="H170" s="2" t="n">
        <f aca="false">import!E168</f>
        <v>0</v>
      </c>
      <c r="I170" s="2" t="n">
        <f aca="false">-export!E168</f>
        <v>-0</v>
      </c>
      <c r="J170" s="2" t="n">
        <f aca="false">-charge!E168</f>
        <v>-0</v>
      </c>
      <c r="K170" s="2" t="n">
        <f aca="false">discharge!E168</f>
        <v>0</v>
      </c>
      <c r="L170" s="2" t="n">
        <f aca="false">soc!E168/investment!$E$4 *100</f>
        <v>54.3566562959343</v>
      </c>
    </row>
    <row r="171" customFormat="false" ht="13.8" hidden="false" customHeight="false" outlineLevel="0" collapsed="false">
      <c r="B171" s="14" t="n">
        <f aca="false">_xlfn.NUMBERVALUE(solar!B168)</f>
        <v>0</v>
      </c>
      <c r="C171" s="15" t="n">
        <f aca="false">solar!C168</f>
        <v>0</v>
      </c>
      <c r="D171" s="9" t="n">
        <v>167</v>
      </c>
      <c r="E171" s="20" t="n">
        <f aca="false">IFERROR(INDEX($B$5:$C$173, MATCH($D171, $B$5:$B$175, 0), 2), 0)*investment!$C$4</f>
        <v>0</v>
      </c>
      <c r="F171" s="21" t="n">
        <f aca="false">demand!E169</f>
        <v>0</v>
      </c>
      <c r="G171" s="2" t="n">
        <f aca="false">solgen!E169</f>
        <v>0</v>
      </c>
      <c r="H171" s="2" t="n">
        <f aca="false">import!E169</f>
        <v>0</v>
      </c>
      <c r="I171" s="2" t="n">
        <f aca="false">-export!E169</f>
        <v>-0</v>
      </c>
      <c r="J171" s="2" t="n">
        <f aca="false">-charge!E169</f>
        <v>-0</v>
      </c>
      <c r="K171" s="2" t="n">
        <f aca="false">discharge!E169</f>
        <v>0</v>
      </c>
      <c r="L171" s="2" t="n">
        <f aca="false">soc!E169/investment!$E$4 *100</f>
        <v>54.3561127293713</v>
      </c>
    </row>
    <row r="172" customFormat="false" ht="13.8" hidden="false" customHeight="false" outlineLevel="0" collapsed="false">
      <c r="B172" s="14" t="n">
        <f aca="false">_xlfn.NUMBERVALUE(solar!B169)</f>
        <v>0</v>
      </c>
      <c r="C172" s="15" t="n">
        <f aca="false">solar!C169</f>
        <v>0</v>
      </c>
      <c r="D172" s="9" t="n">
        <v>168</v>
      </c>
      <c r="E172" s="20" t="n">
        <f aca="false">IFERROR(INDEX($B$5:$C$173, MATCH($D172, $B$5:$B$175, 0), 2), 0)*investment!$C$4</f>
        <v>0</v>
      </c>
      <c r="F172" s="21" t="n">
        <f aca="false">demand!E170</f>
        <v>0</v>
      </c>
      <c r="G172" s="2" t="n">
        <f aca="false">solgen!E170</f>
        <v>0</v>
      </c>
      <c r="H172" s="2" t="n">
        <f aca="false">import!E170</f>
        <v>0</v>
      </c>
      <c r="I172" s="2" t="n">
        <f aca="false">-export!E170</f>
        <v>-0</v>
      </c>
      <c r="J172" s="2" t="n">
        <f aca="false">-charge!E170</f>
        <v>-0</v>
      </c>
      <c r="K172" s="2" t="n">
        <f aca="false">discharge!E170</f>
        <v>0</v>
      </c>
      <c r="L172" s="2" t="n">
        <f aca="false">soc!E170/investment!$E$4 *100</f>
        <v>52.7701621612812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1" sqref="I2:I4 AH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2" t="s">
        <v>19</v>
      </c>
    </row>
    <row r="3" customFormat="false" ht="13.8" hidden="false" customHeight="false" outlineLevel="0" collapsed="false">
      <c r="B3" s="22" t="s">
        <v>20</v>
      </c>
    </row>
    <row r="4" customFormat="false" ht="13.8" hidden="false" customHeight="false" outlineLevel="0" collapsed="false">
      <c r="B4" s="23" t="s">
        <v>21</v>
      </c>
    </row>
    <row r="5" customFormat="false" ht="13.8" hidden="false" customHeight="false" outlineLevel="0" collapsed="false">
      <c r="B5" s="24" t="s">
        <v>22</v>
      </c>
    </row>
    <row r="6" customFormat="false" ht="13.8" hidden="false" customHeight="false" outlineLevel="0" collapsed="false">
      <c r="B6" s="24" t="s">
        <v>23</v>
      </c>
    </row>
    <row r="7" customFormat="false" ht="13.8" hidden="false" customHeight="false" outlineLevel="0" collapsed="false">
      <c r="B7" s="24" t="s">
        <v>24</v>
      </c>
    </row>
    <row r="8" customFormat="false" ht="13.8" hidden="false" customHeight="false" outlineLevel="0" collapsed="false">
      <c r="B8" s="22" t="s">
        <v>25</v>
      </c>
    </row>
    <row r="9" customFormat="false" ht="13.8" hidden="false" customHeight="false" outlineLevel="0" collapsed="false">
      <c r="B9" s="22" t="s">
        <v>26</v>
      </c>
    </row>
    <row r="10" customFormat="false" ht="13.8" hidden="false" customHeight="false" outlineLevel="0" collapsed="false">
      <c r="B10" s="23" t="s">
        <v>27</v>
      </c>
    </row>
    <row r="11" customFormat="false" ht="13.8" hidden="false" customHeight="false" outlineLevel="0" collapsed="false">
      <c r="B11" s="24" t="s">
        <v>28</v>
      </c>
    </row>
    <row r="12" customFormat="false" ht="13.8" hidden="false" customHeight="false" outlineLevel="0" collapsed="false">
      <c r="B12" s="24" t="s">
        <v>29</v>
      </c>
    </row>
    <row r="13" customFormat="false" ht="13.8" hidden="false" customHeight="false" outlineLevel="0" collapsed="false">
      <c r="B13" s="24" t="s">
        <v>24</v>
      </c>
    </row>
    <row r="14" customFormat="false" ht="13.8" hidden="false" customHeight="false" outlineLevel="0" collapsed="false">
      <c r="B14" s="23" t="s">
        <v>30</v>
      </c>
    </row>
    <row r="15" customFormat="false" ht="13.8" hidden="false" customHeight="false" outlineLevel="0" collapsed="false">
      <c r="B15" s="23" t="s">
        <v>31</v>
      </c>
    </row>
    <row r="16" customFormat="false" ht="13.8" hidden="false" customHeight="false" outlineLevel="0" collapsed="false">
      <c r="B16" s="23" t="s">
        <v>32</v>
      </c>
    </row>
    <row r="17" customFormat="false" ht="13.8" hidden="false" customHeight="false" outlineLevel="0" collapsed="false">
      <c r="B17" s="23" t="s">
        <v>33</v>
      </c>
    </row>
    <row r="18" customFormat="false" ht="13.8" hidden="false" customHeight="false" outlineLevel="0" collapsed="false">
      <c r="B18" s="23" t="s">
        <v>34</v>
      </c>
    </row>
    <row r="19" customFormat="false" ht="13.8" hidden="false" customHeight="false" outlineLevel="0" collapsed="false">
      <c r="B19" s="23" t="s">
        <v>35</v>
      </c>
    </row>
    <row r="20" customFormat="false" ht="13.8" hidden="false" customHeight="false" outlineLevel="0" collapsed="false">
      <c r="B20" s="23" t="s">
        <v>36</v>
      </c>
    </row>
    <row r="21" customFormat="false" ht="13.8" hidden="false" customHeight="false" outlineLevel="0" collapsed="false">
      <c r="B21" s="22" t="s">
        <v>37</v>
      </c>
    </row>
    <row r="22" customFormat="false" ht="13.8" hidden="false" customHeight="false" outlineLevel="0" collapsed="false">
      <c r="B22" s="23" t="s">
        <v>38</v>
      </c>
    </row>
    <row r="23" customFormat="false" ht="13.8" hidden="false" customHeight="false" outlineLevel="0" collapsed="false">
      <c r="B23" s="23" t="s">
        <v>39</v>
      </c>
    </row>
    <row r="24" customFormat="false" ht="13.8" hidden="false" customHeight="false" outlineLevel="0" collapsed="false">
      <c r="B24" s="23" t="s">
        <v>40</v>
      </c>
    </row>
    <row r="25" customFormat="false" ht="13.8" hidden="false" customHeight="false" outlineLevel="0" collapsed="false">
      <c r="B25" s="23" t="s">
        <v>41</v>
      </c>
    </row>
    <row r="26" customFormat="false" ht="13.8" hidden="false" customHeight="false" outlineLevel="0" collapsed="false">
      <c r="B26" s="23" t="s">
        <v>42</v>
      </c>
    </row>
    <row r="27" customFormat="false" ht="13.8" hidden="false" customHeight="false" outlineLevel="0" collapsed="false">
      <c r="B27" s="25"/>
    </row>
    <row r="28" customFormat="false" ht="13.8" hidden="false" customHeight="false" outlineLevel="0" collapsed="false">
      <c r="B28" s="23" t="s">
        <v>43</v>
      </c>
    </row>
    <row r="29" customFormat="false" ht="13.8" hidden="false" customHeight="false" outlineLevel="0" collapsed="false">
      <c r="B29" s="24" t="s">
        <v>24</v>
      </c>
    </row>
    <row r="30" customFormat="false" ht="13.8" hidden="false" customHeight="false" outlineLevel="0" collapsed="false">
      <c r="B30" s="26" t="s">
        <v>44</v>
      </c>
    </row>
    <row r="31" customFormat="false" ht="13.8" hidden="false" customHeight="false" outlineLevel="0" collapsed="false">
      <c r="B31" s="26" t="s">
        <v>45</v>
      </c>
    </row>
    <row r="32" customFormat="false" ht="13.8" hidden="false" customHeight="false" outlineLevel="0" collapsed="false">
      <c r="B32" s="22" t="s">
        <v>46</v>
      </c>
    </row>
    <row r="33" customFormat="false" ht="13.8" hidden="false" customHeight="false" outlineLevel="0" collapsed="false">
      <c r="B33" s="22" t="s">
        <v>47</v>
      </c>
    </row>
    <row r="34" customFormat="false" ht="13.8" hidden="false" customHeight="false" outlineLevel="0" collapsed="false">
      <c r="B34" s="26" t="s">
        <v>48</v>
      </c>
    </row>
    <row r="35" customFormat="false" ht="13.8" hidden="false" customHeight="false" outlineLevel="0" collapsed="false">
      <c r="B35" s="24" t="s">
        <v>24</v>
      </c>
    </row>
    <row r="36" customFormat="false" ht="13.8" hidden="false" customHeight="false" outlineLevel="0" collapsed="false">
      <c r="B36" s="25"/>
    </row>
    <row r="37" customFormat="false" ht="13.8" hidden="false" customHeight="false" outlineLevel="0" collapsed="false">
      <c r="B37" s="25"/>
    </row>
    <row r="38" customFormat="false" ht="13.8" hidden="false" customHeight="false" outlineLevel="0" collapsed="false">
      <c r="B38" s="22" t="s">
        <v>49</v>
      </c>
    </row>
    <row r="39" customFormat="false" ht="13.8" hidden="false" customHeight="false" outlineLevel="0" collapsed="false">
      <c r="B39" s="23" t="s">
        <v>50</v>
      </c>
    </row>
    <row r="40" customFormat="false" ht="13.8" hidden="false" customHeight="false" outlineLevel="0" collapsed="false">
      <c r="B40" s="23" t="s">
        <v>51</v>
      </c>
    </row>
    <row r="41" customFormat="false" ht="13.8" hidden="false" customHeight="false" outlineLevel="0" collapsed="false">
      <c r="B41" s="23" t="s">
        <v>52</v>
      </c>
    </row>
    <row r="42" customFormat="false" ht="13.8" hidden="false" customHeight="false" outlineLevel="0" collapsed="false">
      <c r="B42" s="25"/>
    </row>
    <row r="43" customFormat="false" ht="13.8" hidden="false" customHeight="false" outlineLevel="0" collapsed="false">
      <c r="B43" s="27" t="s">
        <v>53</v>
      </c>
    </row>
    <row r="44" customFormat="false" ht="13.8" hidden="false" customHeight="false" outlineLevel="0" collapsed="false">
      <c r="B44" s="26" t="s">
        <v>44</v>
      </c>
    </row>
    <row r="45" customFormat="false" ht="13.8" hidden="false" customHeight="false" outlineLevel="0" collapsed="false">
      <c r="B45" s="26" t="s">
        <v>54</v>
      </c>
    </row>
    <row r="46" customFormat="false" ht="13.8" hidden="false" customHeight="false" outlineLevel="0" collapsed="false">
      <c r="B46" s="22" t="s">
        <v>55</v>
      </c>
    </row>
    <row r="47" customFormat="false" ht="13.8" hidden="false" customHeight="false" outlineLevel="0" collapsed="false">
      <c r="B47" s="22" t="s">
        <v>56</v>
      </c>
    </row>
    <row r="48" customFormat="false" ht="13.8" hidden="false" customHeight="false" outlineLevel="0" collapsed="false">
      <c r="B48" s="26" t="s">
        <v>48</v>
      </c>
    </row>
    <row r="49" customFormat="false" ht="13.8" hidden="false" customHeight="false" outlineLevel="0" collapsed="false">
      <c r="B49" s="23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1" sqref="I2:I4 C3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n">
        <v>1</v>
      </c>
      <c r="C2" s="2" t="n">
        <v>0.00111696916192755</v>
      </c>
      <c r="D2" s="2" t="n">
        <v>0.000917079134059296</v>
      </c>
      <c r="E2" s="2" t="n">
        <v>0.00111706349321198</v>
      </c>
    </row>
    <row r="3" customFormat="false" ht="13.8" hidden="false" customHeight="false" outlineLevel="0" collapsed="false">
      <c r="B3" s="2" t="n">
        <v>2</v>
      </c>
      <c r="C3" s="2" t="n">
        <v>0.00111697533168087</v>
      </c>
      <c r="D3" s="2" t="n">
        <v>0.00111697519595228</v>
      </c>
      <c r="E3" s="2" t="n">
        <v>0.00111706966390861</v>
      </c>
    </row>
    <row r="4" customFormat="false" ht="13.8" hidden="false" customHeight="false" outlineLevel="0" collapsed="false">
      <c r="B4" s="2" t="n">
        <v>3</v>
      </c>
      <c r="C4" s="2" t="n">
        <v>0.00111698150149588</v>
      </c>
      <c r="D4" s="2" t="n">
        <v>0.0011169813779601</v>
      </c>
      <c r="E4" s="2" t="n">
        <v>0.00111707583466696</v>
      </c>
    </row>
    <row r="5" customFormat="false" ht="13.8" hidden="false" customHeight="false" outlineLevel="0" collapsed="false">
      <c r="B5" s="2" t="n">
        <v>4</v>
      </c>
      <c r="C5" s="2" t="n">
        <v>0.0011169876713726</v>
      </c>
      <c r="D5" s="2" t="n">
        <v>0.00111698777650726</v>
      </c>
      <c r="E5" s="2" t="n">
        <v>0.00111708200548702</v>
      </c>
    </row>
    <row r="6" customFormat="false" ht="13.8" hidden="false" customHeight="false" outlineLevel="0" collapsed="false">
      <c r="B6" s="2" t="n">
        <v>5</v>
      </c>
      <c r="C6" s="2" t="n">
        <v>0.00111699384131101</v>
      </c>
      <c r="D6" s="2" t="n">
        <v>0.00111699394644673</v>
      </c>
      <c r="E6" s="2" t="n">
        <v>0.00111708817636878</v>
      </c>
    </row>
    <row r="7" customFormat="false" ht="13.8" hidden="false" customHeight="false" outlineLevel="0" collapsed="false">
      <c r="B7" s="2" t="n">
        <v>6</v>
      </c>
      <c r="C7" s="2" t="n">
        <v>0.00111700001131112</v>
      </c>
      <c r="D7" s="2" t="n">
        <v>0.00111700011644789</v>
      </c>
      <c r="E7" s="2" t="n">
        <v>0.00111709434731225</v>
      </c>
    </row>
    <row r="8" customFormat="false" ht="13.8" hidden="false" customHeight="false" outlineLevel="0" collapsed="false">
      <c r="B8" s="2" t="n">
        <v>7</v>
      </c>
      <c r="C8" s="2" t="n">
        <v>0.00111700618137294</v>
      </c>
      <c r="D8" s="2" t="n">
        <v>0.00111700628651076</v>
      </c>
      <c r="E8" s="2" t="n">
        <v>0.00111710051831743</v>
      </c>
    </row>
    <row r="9" customFormat="false" ht="13.8" hidden="false" customHeight="false" outlineLevel="0" collapsed="false">
      <c r="B9" s="2" t="n">
        <v>8</v>
      </c>
      <c r="C9" s="2" t="n">
        <v>0.00111701235149645</v>
      </c>
      <c r="D9" s="2" t="n">
        <v>0.00111701245663533</v>
      </c>
      <c r="E9" s="2" t="n">
        <v>0.00111710668938433</v>
      </c>
    </row>
    <row r="10" customFormat="false" ht="13.8" hidden="false" customHeight="false" outlineLevel="0" collapsed="false">
      <c r="B10" s="2" t="n">
        <v>9</v>
      </c>
      <c r="C10" s="2" t="n">
        <v>0.00111701852168167</v>
      </c>
      <c r="D10" s="2" t="n">
        <v>0.00111701862682159</v>
      </c>
      <c r="E10" s="2" t="n">
        <v>0.00111711286051293</v>
      </c>
    </row>
    <row r="11" customFormat="false" ht="13.8" hidden="false" customHeight="false" outlineLevel="0" collapsed="false">
      <c r="B11" s="2" t="n">
        <v>10</v>
      </c>
      <c r="C11" s="2" t="n">
        <v>0.00111702469192859</v>
      </c>
      <c r="D11" s="2" t="n">
        <v>0.00111702479706957</v>
      </c>
      <c r="E11" s="2" t="n">
        <v>0.00111711903170325</v>
      </c>
    </row>
    <row r="12" customFormat="false" ht="13.8" hidden="false" customHeight="false" outlineLevel="0" collapsed="false">
      <c r="B12" s="2" t="n">
        <v>11</v>
      </c>
      <c r="C12" s="2" t="n">
        <v>0.00111703086223721</v>
      </c>
      <c r="D12" s="2" t="n">
        <v>0.00111703096737924</v>
      </c>
      <c r="E12" s="2" t="n">
        <v>0.00111712520295528</v>
      </c>
    </row>
    <row r="13" customFormat="false" ht="13.8" hidden="false" customHeight="false" outlineLevel="0" collapsed="false">
      <c r="B13" s="2" t="n">
        <v>12</v>
      </c>
      <c r="C13" s="2" t="n">
        <v>0.00111703703260753</v>
      </c>
      <c r="D13" s="2" t="n">
        <v>0.00111703713775062</v>
      </c>
      <c r="E13" s="2" t="n">
        <v>0.00111713137426902</v>
      </c>
    </row>
    <row r="14" customFormat="false" ht="13.8" hidden="false" customHeight="false" outlineLevel="0" collapsed="false">
      <c r="B14" s="2" t="n">
        <v>13</v>
      </c>
      <c r="C14" s="2" t="n">
        <v>0.00111704320303956</v>
      </c>
      <c r="D14" s="2" t="n">
        <v>0.0011170433081837</v>
      </c>
      <c r="E14" s="2" t="n">
        <v>0.00111713754564448</v>
      </c>
    </row>
    <row r="15" customFormat="false" ht="13.8" hidden="false" customHeight="false" outlineLevel="0" collapsed="false">
      <c r="B15" s="2" t="n">
        <v>14</v>
      </c>
      <c r="C15" s="2" t="n">
        <v>0.0011170493735333</v>
      </c>
      <c r="D15" s="2" t="n">
        <v>0.00111704947867849</v>
      </c>
      <c r="E15" s="2" t="n">
        <v>0.00111714371708165</v>
      </c>
    </row>
    <row r="16" customFormat="false" ht="13.8" hidden="false" customHeight="false" outlineLevel="0" collapsed="false">
      <c r="B16" s="2" t="n">
        <v>15</v>
      </c>
      <c r="C16" s="2" t="n">
        <v>0.00111705554408874</v>
      </c>
      <c r="D16" s="2" t="n">
        <v>0.00111705564923498</v>
      </c>
      <c r="E16" s="2" t="n">
        <v>0.00111714988858053</v>
      </c>
    </row>
    <row r="17" customFormat="false" ht="13.8" hidden="false" customHeight="false" outlineLevel="0" collapsed="false">
      <c r="B17" s="2" t="n">
        <v>16</v>
      </c>
      <c r="C17" s="2" t="n">
        <v>0.00111706171470589</v>
      </c>
      <c r="D17" s="2" t="n">
        <v>0.00111706181985318</v>
      </c>
      <c r="E17" s="2" t="n">
        <v>0.00111715606014114</v>
      </c>
    </row>
    <row r="18" customFormat="false" ht="13.8" hidden="false" customHeight="false" outlineLevel="0" collapsed="false">
      <c r="B18" s="2" t="n">
        <v>17</v>
      </c>
      <c r="C18" s="2" t="n">
        <v>0.00111709684999663</v>
      </c>
      <c r="D18" s="2" t="n">
        <v>0.0011170969270614</v>
      </c>
      <c r="E18" s="2" t="n">
        <v>0.00111716599151081</v>
      </c>
    </row>
    <row r="19" customFormat="false" ht="13.8" hidden="false" customHeight="false" outlineLevel="0" collapsed="false">
      <c r="B19" s="2" t="n">
        <v>18</v>
      </c>
      <c r="C19" s="2" t="n">
        <v>0.0011170740561253</v>
      </c>
      <c r="D19" s="2" t="n">
        <v>0.0011170741612747</v>
      </c>
      <c r="E19" s="2" t="n">
        <v>0.00111716840344749</v>
      </c>
    </row>
    <row r="20" customFormat="false" ht="13.8" hidden="false" customHeight="false" outlineLevel="0" collapsed="false">
      <c r="B20" s="2" t="n">
        <v>19</v>
      </c>
      <c r="C20" s="2" t="n">
        <v>0.00111708022692757</v>
      </c>
      <c r="D20" s="2" t="n">
        <v>0.00111708033207802</v>
      </c>
      <c r="E20" s="2" t="n">
        <v>0.00111717457519324</v>
      </c>
    </row>
    <row r="21" customFormat="false" ht="13.8" hidden="false" customHeight="false" outlineLevel="0" collapsed="false">
      <c r="B21" s="2" t="n">
        <v>20</v>
      </c>
      <c r="C21" s="2" t="n">
        <v>0.00111708639779155</v>
      </c>
      <c r="D21" s="2" t="n">
        <v>0.00111708650294305</v>
      </c>
      <c r="E21" s="2" t="n">
        <v>0.00111718074700071</v>
      </c>
    </row>
    <row r="22" customFormat="false" ht="13.8" hidden="false" customHeight="false" outlineLevel="0" collapsed="false">
      <c r="B22" s="2" t="n">
        <v>21</v>
      </c>
      <c r="C22" s="2" t="n">
        <v>0.00111709256669902</v>
      </c>
      <c r="D22" s="2" t="n">
        <v>0.00111709264376105</v>
      </c>
      <c r="E22" s="2" t="n">
        <v>0.00111716173035035</v>
      </c>
    </row>
    <row r="23" customFormat="false" ht="13.8" hidden="false" customHeight="false" outlineLevel="0" collapsed="false">
      <c r="B23" s="2" t="n">
        <v>22</v>
      </c>
      <c r="C23" s="2" t="n">
        <v>0.00111709873970463</v>
      </c>
      <c r="D23" s="2" t="n">
        <v>0.000917193090800805</v>
      </c>
      <c r="E23" s="2" t="n">
        <v>0.00111719309080079</v>
      </c>
    </row>
    <row r="24" customFormat="false" ht="13.8" hidden="false" customHeight="false" outlineLevel="0" collapsed="false">
      <c r="B24" s="2" t="n">
        <v>23</v>
      </c>
      <c r="C24" s="2" t="n">
        <v>0.00111710491075374</v>
      </c>
      <c r="D24" s="2" t="n">
        <v>0.000917199262793434</v>
      </c>
      <c r="E24" s="2" t="n">
        <v>0.0011171992627934</v>
      </c>
    </row>
    <row r="25" customFormat="false" ht="13.8" hidden="false" customHeight="false" outlineLevel="0" collapsed="false">
      <c r="B25" s="2" t="n">
        <v>24</v>
      </c>
      <c r="C25" s="2" t="n">
        <v>0.00111711108186456</v>
      </c>
      <c r="D25" s="2" t="n">
        <v>0.000917205434847782</v>
      </c>
      <c r="E25" s="2" t="n">
        <v>0.00111720543484773</v>
      </c>
    </row>
    <row r="26" customFormat="false" ht="13.8" hidden="false" customHeight="false" outlineLevel="0" collapsed="false">
      <c r="B26" s="2" t="n">
        <v>25</v>
      </c>
      <c r="C26" s="2" t="n">
        <v>0.00111711725303709</v>
      </c>
      <c r="D26" s="2" t="n">
        <v>0.000917211606963851</v>
      </c>
      <c r="E26" s="2" t="n">
        <v>0.00111721160696379</v>
      </c>
    </row>
    <row r="27" customFormat="false" ht="13.8" hidden="false" customHeight="false" outlineLevel="0" collapsed="false">
      <c r="B27" s="2" t="n">
        <v>26</v>
      </c>
      <c r="C27" s="2" t="n">
        <v>0.00111712342427133</v>
      </c>
      <c r="D27" s="2" t="n">
        <v>0.000917123424271327</v>
      </c>
      <c r="E27" s="2" t="n">
        <v>0.00111712342427074</v>
      </c>
    </row>
    <row r="28" customFormat="false" ht="13.8" hidden="false" customHeight="false" outlineLevel="0" collapsed="false">
      <c r="B28" s="2" t="n">
        <v>27</v>
      </c>
      <c r="C28" s="2" t="n">
        <v>0.00111712959556728</v>
      </c>
      <c r="D28" s="2" t="n">
        <v>0.000917223951381156</v>
      </c>
      <c r="E28" s="2" t="n">
        <v>0.00111722395138004</v>
      </c>
    </row>
    <row r="29" customFormat="false" ht="13.8" hidden="false" customHeight="false" outlineLevel="0" collapsed="false">
      <c r="B29" s="2" t="n">
        <v>28</v>
      </c>
      <c r="C29" s="2" t="n">
        <v>0.00111713576692495</v>
      </c>
      <c r="D29" s="2" t="n">
        <v>0.000917135766924951</v>
      </c>
      <c r="E29" s="2" t="n">
        <v>0.00091713576692331</v>
      </c>
    </row>
    <row r="30" customFormat="false" ht="13.8" hidden="false" customHeight="false" outlineLevel="0" collapsed="false">
      <c r="B30" s="2" t="n">
        <v>29</v>
      </c>
      <c r="C30" s="2" t="n">
        <v>0.00111714193834433</v>
      </c>
      <c r="D30" s="2" t="n">
        <v>0.000917141938344335</v>
      </c>
      <c r="E30" s="2" t="n">
        <v>0.00111714193834217</v>
      </c>
    </row>
    <row r="31" customFormat="false" ht="13.8" hidden="false" customHeight="false" outlineLevel="0" collapsed="false">
      <c r="B31" s="2" t="n">
        <v>30</v>
      </c>
      <c r="C31" s="2" t="n">
        <v>0.0002</v>
      </c>
      <c r="D31" s="2" t="n">
        <v>2.91534097552936E-020</v>
      </c>
      <c r="E31" s="2" t="n">
        <v>0</v>
      </c>
    </row>
    <row r="32" customFormat="false" ht="13.8" hidden="false" customHeight="false" outlineLevel="0" collapsed="false">
      <c r="B32" s="2" t="n">
        <v>31</v>
      </c>
      <c r="C32" s="2" t="n">
        <v>1.02160092102656E-019</v>
      </c>
      <c r="D32" s="2" t="n">
        <v>4.46950402949121E-020</v>
      </c>
      <c r="E32" s="2" t="n">
        <v>0</v>
      </c>
    </row>
    <row r="33" customFormat="false" ht="13.8" hidden="false" customHeight="false" outlineLevel="0" collapsed="false">
      <c r="B33" s="2" t="n">
        <v>32</v>
      </c>
      <c r="C33" s="2" t="n">
        <v>1.36811888246784E-019</v>
      </c>
      <c r="D33" s="2" t="n">
        <v>5.98552011079682E-020</v>
      </c>
      <c r="E33" s="2" t="n">
        <v>0</v>
      </c>
    </row>
    <row r="34" customFormat="false" ht="13.8" hidden="false" customHeight="false" outlineLevel="0" collapsed="false">
      <c r="B34" s="2" t="n">
        <v>33</v>
      </c>
      <c r="C34" s="2" t="n">
        <v>1.71463684390912E-019</v>
      </c>
      <c r="D34" s="2" t="n">
        <v>7.50153619210242E-020</v>
      </c>
      <c r="E34" s="2" t="n">
        <v>0</v>
      </c>
    </row>
    <row r="35" customFormat="false" ht="13.8" hidden="false" customHeight="false" outlineLevel="0" collapsed="false">
      <c r="B35" s="2" t="n">
        <v>34</v>
      </c>
      <c r="C35" s="2" t="n">
        <v>1.821066133504E-019</v>
      </c>
      <c r="D35" s="2" t="n">
        <v>7.96716433408002E-020</v>
      </c>
      <c r="E35" s="2" t="n">
        <v>0</v>
      </c>
    </row>
    <row r="36" customFormat="false" ht="13.8" hidden="false" customHeight="false" outlineLevel="0" collapsed="false">
      <c r="B36" s="2" t="n">
        <v>35</v>
      </c>
      <c r="C36" s="2" t="n">
        <v>1.92749542309888E-019</v>
      </c>
      <c r="D36" s="2" t="n">
        <v>8.43279247605762E-020</v>
      </c>
      <c r="E36" s="2" t="n">
        <v>0</v>
      </c>
    </row>
    <row r="37" customFormat="false" ht="13.8" hidden="false" customHeight="false" outlineLevel="0" collapsed="false">
      <c r="B37" s="2" t="n">
        <v>36</v>
      </c>
      <c r="C37" s="2" t="n">
        <v>2.03392471269376E-019</v>
      </c>
      <c r="D37" s="2" t="n">
        <v>8.89842061803522E-020</v>
      </c>
      <c r="E37" s="2" t="n">
        <v>0</v>
      </c>
    </row>
    <row r="38" customFormat="false" ht="13.8" hidden="false" customHeight="false" outlineLevel="0" collapsed="false">
      <c r="B38" s="2" t="n">
        <v>37</v>
      </c>
      <c r="C38" s="2" t="n">
        <v>2.14035400228864E-019</v>
      </c>
      <c r="D38" s="2" t="n">
        <v>9.36404876001282E-020</v>
      </c>
      <c r="E38" s="2" t="n">
        <v>0</v>
      </c>
    </row>
    <row r="39" customFormat="false" ht="13.8" hidden="false" customHeight="false" outlineLevel="0" collapsed="false">
      <c r="B39" s="2" t="n">
        <v>38</v>
      </c>
      <c r="C39" s="2" t="n">
        <v>2.87240970305536E-019</v>
      </c>
      <c r="D39" s="2" t="n">
        <v>1.25667924508672E-019</v>
      </c>
      <c r="E39" s="2" t="n">
        <v>0</v>
      </c>
    </row>
    <row r="40" customFormat="false" ht="13.8" hidden="false" customHeight="false" outlineLevel="0" collapsed="false">
      <c r="B40" s="2" t="n">
        <v>39</v>
      </c>
      <c r="C40" s="2" t="n">
        <v>3.60446540382209E-019</v>
      </c>
      <c r="D40" s="2" t="n">
        <v>1.57695361417216E-019</v>
      </c>
      <c r="E40" s="2" t="n">
        <v>0</v>
      </c>
    </row>
    <row r="41" customFormat="false" ht="13.8" hidden="false" customHeight="false" outlineLevel="0" collapsed="false">
      <c r="B41" s="2" t="n">
        <v>40</v>
      </c>
      <c r="C41" s="2" t="n">
        <v>4.33652110458881E-019</v>
      </c>
      <c r="D41" s="2" t="n">
        <v>1.8972279832576E-019</v>
      </c>
      <c r="E41" s="2" t="n">
        <v>0</v>
      </c>
    </row>
    <row r="42" customFormat="false" ht="13.8" hidden="false" customHeight="false" outlineLevel="0" collapsed="false">
      <c r="B42" s="2" t="n">
        <v>41</v>
      </c>
      <c r="C42" s="2" t="n">
        <v>5.06857680535553E-019</v>
      </c>
      <c r="D42" s="2" t="n">
        <v>2.21750235234304E-019</v>
      </c>
      <c r="E42" s="2" t="n">
        <v>0</v>
      </c>
    </row>
    <row r="43" customFormat="false" ht="13.8" hidden="false" customHeight="false" outlineLevel="0" collapsed="false">
      <c r="B43" s="2" t="n">
        <v>42</v>
      </c>
      <c r="C43" s="2" t="n">
        <v>5.17380350410753E-019</v>
      </c>
      <c r="D43" s="2" t="n">
        <v>2.26353903304705E-019</v>
      </c>
      <c r="E43" s="2" t="n">
        <v>0</v>
      </c>
    </row>
    <row r="44" customFormat="false" ht="13.8" hidden="false" customHeight="false" outlineLevel="0" collapsed="false">
      <c r="B44" s="2" t="n">
        <v>43</v>
      </c>
      <c r="C44" s="2" t="n">
        <v>5.27903020285953E-019</v>
      </c>
      <c r="D44" s="2" t="n">
        <v>2.30957571375105E-019</v>
      </c>
      <c r="E44" s="2" t="n">
        <v>0</v>
      </c>
    </row>
    <row r="45" customFormat="false" ht="13.8" hidden="false" customHeight="false" outlineLevel="0" collapsed="false">
      <c r="B45" s="2" t="n">
        <v>44</v>
      </c>
      <c r="C45" s="2" t="n">
        <v>5.38425690161153E-019</v>
      </c>
      <c r="D45" s="2" t="n">
        <v>2.35561239445505E-019</v>
      </c>
      <c r="E45" s="2" t="n">
        <v>0</v>
      </c>
    </row>
    <row r="46" customFormat="false" ht="13.8" hidden="false" customHeight="false" outlineLevel="0" collapsed="false">
      <c r="B46" s="2" t="n">
        <v>45</v>
      </c>
      <c r="C46" s="2" t="n">
        <v>5.48948360036353E-019</v>
      </c>
      <c r="D46" s="2" t="n">
        <v>2.40164907515905E-019</v>
      </c>
      <c r="E46" s="2" t="n">
        <v>0</v>
      </c>
    </row>
    <row r="47" customFormat="false" ht="13.8" hidden="false" customHeight="false" outlineLevel="0" collapsed="false">
      <c r="B47" s="2" t="n">
        <v>46</v>
      </c>
      <c r="C47" s="2" t="n">
        <v>5.50969142149121E-019</v>
      </c>
      <c r="D47" s="2" t="n">
        <v>2.41048999690241E-019</v>
      </c>
      <c r="E47" s="2" t="n">
        <v>0</v>
      </c>
    </row>
    <row r="48" customFormat="false" ht="13.8" hidden="false" customHeight="false" outlineLevel="0" collapsed="false">
      <c r="B48" s="2" t="n">
        <v>47</v>
      </c>
      <c r="C48" s="2" t="n">
        <v>5.52989924261889E-019</v>
      </c>
      <c r="D48" s="2" t="n">
        <v>2.41933091864577E-019</v>
      </c>
      <c r="E48" s="2" t="n">
        <v>0</v>
      </c>
    </row>
    <row r="49" customFormat="false" ht="13.8" hidden="false" customHeight="false" outlineLevel="0" collapsed="false">
      <c r="B49" s="2" t="n">
        <v>48</v>
      </c>
      <c r="C49" s="2" t="n">
        <v>5.55010706374657E-019</v>
      </c>
      <c r="D49" s="2" t="n">
        <v>2.42817184038913E-019</v>
      </c>
      <c r="E49" s="2" t="n">
        <v>0</v>
      </c>
    </row>
    <row r="50" customFormat="false" ht="13.8" hidden="false" customHeight="false" outlineLevel="0" collapsed="false">
      <c r="B50" s="2" t="n">
        <v>49</v>
      </c>
      <c r="C50" s="2" t="n">
        <v>5.57031488487425E-019</v>
      </c>
      <c r="D50" s="2" t="n">
        <v>2.43701276213249E-019</v>
      </c>
      <c r="E50" s="2" t="n">
        <v>0</v>
      </c>
    </row>
    <row r="51" customFormat="false" ht="13.8" hidden="false" customHeight="false" outlineLevel="0" collapsed="false">
      <c r="B51" s="2" t="n">
        <v>50</v>
      </c>
      <c r="C51" s="2" t="n">
        <v>5.61137477222401E-019</v>
      </c>
      <c r="D51" s="2" t="n">
        <v>2.45497646284801E-019</v>
      </c>
      <c r="E51" s="2" t="n">
        <v>0</v>
      </c>
    </row>
    <row r="52" customFormat="false" ht="13.8" hidden="false" customHeight="false" outlineLevel="0" collapsed="false">
      <c r="B52" s="2" t="n">
        <v>51</v>
      </c>
      <c r="C52" s="2" t="n">
        <v>5.65243465957377E-019</v>
      </c>
      <c r="D52" s="2" t="n">
        <v>2.47294016356353E-019</v>
      </c>
      <c r="E52" s="2" t="n">
        <v>7.16511461577965E-014</v>
      </c>
    </row>
    <row r="53" customFormat="false" ht="13.8" hidden="false" customHeight="false" outlineLevel="0" collapsed="false">
      <c r="B53" s="2" t="n">
        <v>52</v>
      </c>
      <c r="C53" s="2" t="n">
        <v>0</v>
      </c>
      <c r="D53" s="2" t="n">
        <v>3.8146829321235E-012</v>
      </c>
      <c r="E53" s="2" t="n">
        <v>5.0854342361163E-013</v>
      </c>
    </row>
    <row r="54" customFormat="false" ht="13.8" hidden="false" customHeight="false" outlineLevel="0" collapsed="false">
      <c r="B54" s="2" t="n">
        <v>53</v>
      </c>
      <c r="C54" s="2" t="n">
        <v>4.9233871686934E-009</v>
      </c>
      <c r="D54" s="2" t="n">
        <v>5.07715678124675E-009</v>
      </c>
      <c r="E54" s="2" t="n">
        <v>1.30604204736703E-009</v>
      </c>
    </row>
    <row r="55" customFormat="false" ht="13.8" hidden="false" customHeight="false" outlineLevel="0" collapsed="false">
      <c r="B55" s="2" t="n">
        <v>54</v>
      </c>
      <c r="C55" s="2" t="n">
        <v>9.88853644146201E-009</v>
      </c>
      <c r="D55" s="2" t="n">
        <v>1.01117635588056E-008</v>
      </c>
      <c r="E55" s="2" t="n">
        <v>6.86019465919426E-011</v>
      </c>
    </row>
    <row r="56" customFormat="false" ht="13.8" hidden="false" customHeight="false" outlineLevel="0" collapsed="false">
      <c r="B56" s="2" t="n">
        <v>55</v>
      </c>
      <c r="C56" s="2" t="n">
        <v>1.49306710923146E-008</v>
      </c>
      <c r="D56" s="2" t="n">
        <v>1.51471034631024E-008</v>
      </c>
      <c r="E56" s="2" t="n">
        <v>4.00876626012171E-009</v>
      </c>
    </row>
    <row r="57" customFormat="false" ht="13.8" hidden="false" customHeight="false" outlineLevel="0" collapsed="false">
      <c r="B57" s="2" t="n">
        <v>56</v>
      </c>
      <c r="C57" s="2" t="n">
        <v>1.9819872895941E-008</v>
      </c>
      <c r="D57" s="2" t="n">
        <v>2.01811271190183E-008</v>
      </c>
      <c r="E57" s="2" t="n">
        <v>1.18823944943497E-011</v>
      </c>
    </row>
    <row r="58" customFormat="false" ht="13.8" hidden="false" customHeight="false" outlineLevel="0" collapsed="false">
      <c r="B58" s="2" t="n">
        <v>57</v>
      </c>
      <c r="C58" s="2" t="n">
        <v>2.47856161262476E-008</v>
      </c>
      <c r="D58" s="2" t="n">
        <v>2.52158839026697E-008</v>
      </c>
      <c r="E58" s="2" t="n">
        <v>2.42450264278293E-011</v>
      </c>
    </row>
    <row r="59" customFormat="false" ht="13.8" hidden="false" customHeight="false" outlineLevel="0" collapsed="false">
      <c r="B59" s="2" t="n">
        <v>58</v>
      </c>
      <c r="C59" s="2" t="n">
        <v>2.97514093601128E-008</v>
      </c>
      <c r="D59" s="2" t="n">
        <v>3.02506906893417E-008</v>
      </c>
      <c r="E59" s="2" t="n">
        <v>5.63162437341094E-011</v>
      </c>
    </row>
    <row r="60" customFormat="false" ht="13.8" hidden="false" customHeight="false" outlineLevel="0" collapsed="false">
      <c r="B60" s="2" t="n">
        <v>59</v>
      </c>
      <c r="C60" s="2" t="n">
        <v>3.47172525971725E-008</v>
      </c>
      <c r="D60" s="2" t="n">
        <v>3.52855474796285E-008</v>
      </c>
      <c r="E60" s="2" t="n">
        <v>1.34008530905315E-010</v>
      </c>
    </row>
    <row r="61" customFormat="false" ht="13.8" hidden="false" customHeight="false" outlineLevel="0" collapsed="false">
      <c r="B61" s="2" t="n">
        <v>60</v>
      </c>
      <c r="C61" s="2" t="n">
        <v>3.98496670045822E-008</v>
      </c>
      <c r="D61" s="2" t="n">
        <v>4.03216553005047E-008</v>
      </c>
      <c r="E61" s="2" t="n">
        <v>1.04616641843416E-008</v>
      </c>
    </row>
    <row r="62" customFormat="false" ht="13.8" hidden="false" customHeight="false" outlineLevel="0" collapsed="false">
      <c r="B62" s="2" t="n">
        <v>61</v>
      </c>
      <c r="C62" s="2" t="n">
        <v>4.46490890838982E-008</v>
      </c>
      <c r="D62" s="2" t="n">
        <v>4.53554110732327E-008</v>
      </c>
      <c r="E62" s="2" t="n">
        <v>8.59317577561068E-009</v>
      </c>
    </row>
    <row r="63" customFormat="false" ht="13.8" hidden="false" customHeight="false" outlineLevel="0" collapsed="false">
      <c r="B63" s="2" t="n">
        <v>62</v>
      </c>
      <c r="C63" s="2" t="n">
        <v>4.96150823343896E-008</v>
      </c>
      <c r="D63" s="2" t="n">
        <v>5.03904178771876E-008</v>
      </c>
      <c r="E63" s="2" t="n">
        <v>1.35933134731751E-008</v>
      </c>
    </row>
    <row r="64" customFormat="false" ht="13.8" hidden="false" customHeight="false" outlineLevel="0" collapsed="false">
      <c r="B64" s="2" t="n">
        <v>63</v>
      </c>
      <c r="C64" s="2" t="n">
        <v>5.45811255899326E-008</v>
      </c>
      <c r="D64" s="2" t="n">
        <v>5.54254746868236E-008</v>
      </c>
      <c r="E64" s="2" t="n">
        <v>0.000200054581110159</v>
      </c>
    </row>
    <row r="65" customFormat="false" ht="13.8" hidden="false" customHeight="false" outlineLevel="0" collapsed="false">
      <c r="B65" s="2" t="n">
        <v>64</v>
      </c>
      <c r="C65" s="2" t="n">
        <v>5.95472188520002E-008</v>
      </c>
      <c r="D65" s="2" t="n">
        <v>6.04605815025743E-008</v>
      </c>
      <c r="E65" s="2" t="n">
        <v>0.000200059547205185</v>
      </c>
    </row>
    <row r="66" customFormat="false" ht="13.8" hidden="false" customHeight="false" outlineLevel="0" collapsed="false">
      <c r="B66" s="2" t="n">
        <v>65</v>
      </c>
      <c r="C66" s="2" t="n">
        <v>6.45133621205867E-008</v>
      </c>
      <c r="D66" s="2" t="n">
        <v>6.5495738324765E-008</v>
      </c>
      <c r="E66" s="2" t="n">
        <v>0.000200064513350219</v>
      </c>
    </row>
    <row r="67" customFormat="false" ht="13.8" hidden="false" customHeight="false" outlineLevel="0" collapsed="false">
      <c r="B67" s="2" t="n">
        <v>66</v>
      </c>
      <c r="C67" s="2" t="n">
        <v>6.9753889632621E-008</v>
      </c>
      <c r="D67" s="2" t="n">
        <v>7.05325450593966E-008</v>
      </c>
      <c r="E67" s="2" t="n">
        <v>4.31721518315341E-008</v>
      </c>
    </row>
    <row r="68" customFormat="false" ht="13.8" hidden="false" customHeight="false" outlineLevel="0" collapsed="false">
      <c r="B68" s="2" t="n">
        <v>67</v>
      </c>
      <c r="C68" s="2" t="n">
        <v>7.47380879151154E-008</v>
      </c>
      <c r="D68" s="2" t="n">
        <v>7.55678545323357E-008</v>
      </c>
      <c r="E68" s="2" t="n">
        <v>4.81814865064686E-008</v>
      </c>
    </row>
    <row r="69" customFormat="false" ht="13.8" hidden="false" customHeight="false" outlineLevel="0" collapsed="false">
      <c r="B69" s="2" t="n">
        <v>68</v>
      </c>
      <c r="C69" s="2" t="n">
        <v>0.000200080601508836</v>
      </c>
      <c r="D69" s="2" t="n">
        <v>8.06015088357746E-008</v>
      </c>
      <c r="E69" s="2" t="n">
        <v>0.000200080601502327</v>
      </c>
    </row>
    <row r="70" customFormat="false" ht="13.8" hidden="false" customHeight="false" outlineLevel="0" collapsed="false">
      <c r="B70" s="2" t="n">
        <v>69</v>
      </c>
      <c r="C70" s="2" t="n">
        <v>0.00111738812152502</v>
      </c>
      <c r="D70" s="2" t="n">
        <v>0.00111738594093446</v>
      </c>
      <c r="E70" s="2" t="n">
        <v>0.00131738594092975</v>
      </c>
    </row>
    <row r="71" customFormat="false" ht="13.8" hidden="false" customHeight="false" outlineLevel="0" collapsed="false">
      <c r="B71" s="2" t="n">
        <v>70</v>
      </c>
      <c r="C71" s="2" t="n">
        <v>0.00111739421837499</v>
      </c>
      <c r="D71" s="2" t="n">
        <v>0.0011173941838752</v>
      </c>
      <c r="E71" s="2" t="n">
        <v>0.0013173941494386</v>
      </c>
    </row>
    <row r="72" customFormat="false" ht="13.8" hidden="false" customHeight="false" outlineLevel="0" collapsed="false">
      <c r="B72" s="2" t="n">
        <v>71</v>
      </c>
      <c r="C72" s="2" t="n">
        <v>0.00111740088060535</v>
      </c>
      <c r="D72" s="2" t="n">
        <v>0.001117402088701</v>
      </c>
      <c r="E72" s="2" t="n">
        <v>0.0013174021576308</v>
      </c>
    </row>
    <row r="73" customFormat="false" ht="13.8" hidden="false" customHeight="false" outlineLevel="0" collapsed="false">
      <c r="B73" s="2" t="n">
        <v>72</v>
      </c>
      <c r="C73" s="2" t="n">
        <v>0.00111740759098399</v>
      </c>
      <c r="D73" s="2" t="n">
        <v>0.00111740973289362</v>
      </c>
      <c r="E73" s="2" t="n">
        <v>0.00131741030220198</v>
      </c>
    </row>
    <row r="74" customFormat="false" ht="13.8" hidden="false" customHeight="false" outlineLevel="0" collapsed="false">
      <c r="B74" s="2" t="n">
        <v>73</v>
      </c>
      <c r="C74" s="2" t="n">
        <v>0.00111741350195137</v>
      </c>
      <c r="D74" s="2" t="n">
        <v>0.00111741501701815</v>
      </c>
      <c r="E74" s="2" t="n">
        <v>0.00131741705960644</v>
      </c>
    </row>
    <row r="75" customFormat="false" ht="13.8" hidden="false" customHeight="false" outlineLevel="0" collapsed="false">
      <c r="B75" s="2" t="n">
        <v>74</v>
      </c>
      <c r="C75" s="2" t="n">
        <v>0.00111741992362313</v>
      </c>
      <c r="D75" s="2" t="n">
        <v>0.00111742143844353</v>
      </c>
      <c r="E75" s="2" t="n">
        <v>0.0013174246996298</v>
      </c>
    </row>
    <row r="76" customFormat="false" ht="13.8" hidden="false" customHeight="false" outlineLevel="0" collapsed="false">
      <c r="B76" s="2" t="n">
        <v>75</v>
      </c>
      <c r="C76" s="2" t="n">
        <v>0.00111742634536124</v>
      </c>
      <c r="D76" s="2" t="n">
        <v>0.00111742785993357</v>
      </c>
      <c r="E76" s="2" t="n">
        <v>0.00131743233973597</v>
      </c>
    </row>
    <row r="77" customFormat="false" ht="13.8" hidden="false" customHeight="false" outlineLevel="0" collapsed="false">
      <c r="B77" s="2" t="n">
        <v>76</v>
      </c>
      <c r="C77" s="2" t="n">
        <v>0.00111743276716564</v>
      </c>
      <c r="D77" s="2" t="n">
        <v>0.0011174342814883</v>
      </c>
      <c r="E77" s="2" t="n">
        <v>0.00131743997992468</v>
      </c>
    </row>
    <row r="78" customFormat="false" ht="13.8" hidden="false" customHeight="false" outlineLevel="0" collapsed="false">
      <c r="B78" s="2" t="n">
        <v>77</v>
      </c>
      <c r="C78" s="2" t="n">
        <v>0.0011174391890363</v>
      </c>
      <c r="D78" s="2" t="n">
        <v>0.00111744070310768</v>
      </c>
      <c r="E78" s="2" t="n">
        <v>0.00131744762019571</v>
      </c>
    </row>
    <row r="79" customFormat="false" ht="13.8" hidden="false" customHeight="false" outlineLevel="0" collapsed="false">
      <c r="B79" s="2" t="n">
        <v>78</v>
      </c>
      <c r="C79" s="2" t="n">
        <v>0.00111744561097318</v>
      </c>
      <c r="D79" s="2" t="n">
        <v>0.00111744708877144</v>
      </c>
      <c r="E79" s="2" t="n">
        <v>0.0013174552605489</v>
      </c>
    </row>
    <row r="80" customFormat="false" ht="13.8" hidden="false" customHeight="false" outlineLevel="0" collapsed="false">
      <c r="B80" s="2" t="n">
        <v>79</v>
      </c>
      <c r="C80" s="2" t="n">
        <v>0.00111745203297622</v>
      </c>
      <c r="D80" s="2" t="n">
        <v>0.00111745351104666</v>
      </c>
      <c r="E80" s="2" t="n">
        <v>0.00131746290098411</v>
      </c>
    </row>
    <row r="81" customFormat="false" ht="13.8" hidden="false" customHeight="false" outlineLevel="0" collapsed="false">
      <c r="B81" s="2" t="n">
        <v>80</v>
      </c>
      <c r="C81" s="2" t="n">
        <v>0.00111745845504539</v>
      </c>
      <c r="D81" s="2" t="n">
        <v>0.00111745993338334</v>
      </c>
      <c r="E81" s="2" t="n">
        <v>0.00131747054150125</v>
      </c>
    </row>
    <row r="82" customFormat="false" ht="13.8" hidden="false" customHeight="false" outlineLevel="0" collapsed="false">
      <c r="B82" s="2" t="n">
        <v>81</v>
      </c>
      <c r="C82" s="2" t="n">
        <v>0.00111746487718066</v>
      </c>
      <c r="D82" s="2" t="n">
        <v>0.00111746635578154</v>
      </c>
      <c r="E82" s="2" t="n">
        <v>0.00131747818210014</v>
      </c>
    </row>
    <row r="83" customFormat="false" ht="13.8" hidden="false" customHeight="false" outlineLevel="0" collapsed="false">
      <c r="B83" s="2" t="n">
        <v>82</v>
      </c>
      <c r="C83" s="2" t="n">
        <v>0.00111747129938197</v>
      </c>
      <c r="D83" s="2" t="n">
        <v>0.00111747277824133</v>
      </c>
      <c r="E83" s="2" t="n">
        <v>0.00131748582278072</v>
      </c>
    </row>
    <row r="84" customFormat="false" ht="13.8" hidden="false" customHeight="false" outlineLevel="0" collapsed="false">
      <c r="B84" s="2" t="n">
        <v>83</v>
      </c>
      <c r="C84" s="2" t="n">
        <v>0.00111747772164929</v>
      </c>
      <c r="D84" s="2" t="n">
        <v>0.00111747920076276</v>
      </c>
      <c r="E84" s="2" t="n">
        <v>0.00131749346354281</v>
      </c>
    </row>
    <row r="85" customFormat="false" ht="13.8" hidden="false" customHeight="false" outlineLevel="0" collapsed="false">
      <c r="B85" s="2" t="n">
        <v>84</v>
      </c>
      <c r="C85" s="2" t="n">
        <v>0.00111748414398259</v>
      </c>
      <c r="D85" s="2" t="n">
        <v>0.00111748562334589</v>
      </c>
      <c r="E85" s="2" t="n">
        <v>0.00131750110438637</v>
      </c>
    </row>
    <row r="86" customFormat="false" ht="13.8" hidden="false" customHeight="false" outlineLevel="0" collapsed="false">
      <c r="B86" s="2" t="n">
        <v>85</v>
      </c>
      <c r="C86" s="2" t="n">
        <v>0.00111749056638183</v>
      </c>
      <c r="D86" s="2" t="n">
        <v>0.00111749204599076</v>
      </c>
      <c r="E86" s="2" t="n">
        <v>0.00131750874531122</v>
      </c>
    </row>
    <row r="87" customFormat="false" ht="13.8" hidden="false" customHeight="false" outlineLevel="0" collapsed="false">
      <c r="B87" s="2" t="n">
        <v>86</v>
      </c>
      <c r="C87" s="2" t="n">
        <v>0.00111749698884696</v>
      </c>
      <c r="D87" s="2" t="n">
        <v>0.00111749846869745</v>
      </c>
      <c r="E87" s="2" t="n">
        <v>0.00131751638631732</v>
      </c>
    </row>
    <row r="88" customFormat="false" ht="13.8" hidden="false" customHeight="false" outlineLevel="0" collapsed="false">
      <c r="B88" s="2" t="n">
        <v>87</v>
      </c>
      <c r="C88" s="2" t="n">
        <v>0.00111750798692048</v>
      </c>
      <c r="D88" s="2" t="n">
        <v>0.00111750921947817</v>
      </c>
      <c r="E88" s="2" t="n">
        <v>0.00131752490627854</v>
      </c>
    </row>
    <row r="89" customFormat="false" ht="13.8" hidden="false" customHeight="false" outlineLevel="0" collapsed="false">
      <c r="B89" s="2" t="n">
        <v>88</v>
      </c>
      <c r="C89" s="2" t="n">
        <v>0.00111751469631751</v>
      </c>
      <c r="D89" s="2" t="n">
        <v>0.00111751592888717</v>
      </c>
      <c r="E89" s="2" t="n">
        <v>0.0013175325864284</v>
      </c>
    </row>
    <row r="90" customFormat="false" ht="13.8" hidden="false" customHeight="false" outlineLevel="0" collapsed="false">
      <c r="B90" s="2" t="n">
        <v>89</v>
      </c>
      <c r="C90" s="2" t="n">
        <v>0.00111752140578158</v>
      </c>
      <c r="D90" s="2" t="n">
        <v>0.00111752263836327</v>
      </c>
      <c r="E90" s="2" t="n">
        <v>0.00131754026665505</v>
      </c>
    </row>
    <row r="91" customFormat="false" ht="13.8" hidden="false" customHeight="false" outlineLevel="0" collapsed="false">
      <c r="B91" s="2" t="n">
        <v>90</v>
      </c>
      <c r="C91" s="2" t="n">
        <v>0.00111752811531266</v>
      </c>
      <c r="D91" s="2" t="n">
        <v>0.00111752934790646</v>
      </c>
      <c r="E91" s="2" t="n">
        <v>0.0013175479469585</v>
      </c>
    </row>
    <row r="92" customFormat="false" ht="13.8" hidden="false" customHeight="false" outlineLevel="0" collapsed="false">
      <c r="B92" s="2" t="n">
        <v>91</v>
      </c>
      <c r="C92" s="2" t="n">
        <v>0.00111753482491084</v>
      </c>
      <c r="D92" s="2" t="n">
        <v>0.00111753605751674</v>
      </c>
      <c r="E92" s="2" t="n">
        <v>0.00131755562733876</v>
      </c>
    </row>
    <row r="93" customFormat="false" ht="13.8" hidden="false" customHeight="false" outlineLevel="0" collapsed="false">
      <c r="B93" s="2" t="n">
        <v>92</v>
      </c>
      <c r="C93" s="2" t="n">
        <v>0.00111754153457619</v>
      </c>
      <c r="D93" s="2" t="n">
        <v>0.00111754276719412</v>
      </c>
      <c r="E93" s="2" t="n">
        <v>0.00131756330779583</v>
      </c>
    </row>
    <row r="94" customFormat="false" ht="13.8" hidden="false" customHeight="false" outlineLevel="0" collapsed="false">
      <c r="B94" s="2" t="n">
        <v>93</v>
      </c>
      <c r="C94" s="2" t="n">
        <v>0.00111754824430848</v>
      </c>
      <c r="D94" s="2" t="n">
        <v>0.00111754947693859</v>
      </c>
      <c r="E94" s="2" t="n">
        <v>0.00131757098832969</v>
      </c>
    </row>
    <row r="95" customFormat="false" ht="13.8" hidden="false" customHeight="false" outlineLevel="0" collapsed="false">
      <c r="B95" s="2" t="n">
        <v>94</v>
      </c>
      <c r="C95" s="2" t="n">
        <v>0.00111755495410797</v>
      </c>
      <c r="D95" s="2" t="n">
        <v>0.00111755618675016</v>
      </c>
      <c r="E95" s="2" t="n">
        <v>0.00131757866894037</v>
      </c>
    </row>
    <row r="96" customFormat="false" ht="13.8" hidden="false" customHeight="false" outlineLevel="0" collapsed="false">
      <c r="B96" s="2" t="n">
        <v>95</v>
      </c>
      <c r="C96" s="2" t="n">
        <v>0.00111755479395321</v>
      </c>
      <c r="D96" s="2" t="n">
        <v>0.00111755627590488</v>
      </c>
      <c r="E96" s="2" t="n">
        <v>0.00131758515889008</v>
      </c>
    </row>
    <row r="97" customFormat="false" ht="13.8" hidden="false" customHeight="false" outlineLevel="0" collapsed="false">
      <c r="B97" s="2" t="n">
        <v>96</v>
      </c>
      <c r="C97" s="2" t="n">
        <v>0.00111756121706684</v>
      </c>
      <c r="D97" s="2" t="n">
        <v>0.00111756269924489</v>
      </c>
      <c r="E97" s="2" t="n">
        <v>0.00131759280065883</v>
      </c>
    </row>
    <row r="98" customFormat="false" ht="13.8" hidden="false" customHeight="false" outlineLevel="0" collapsed="false">
      <c r="B98" s="2" t="n">
        <v>97</v>
      </c>
      <c r="C98" s="2" t="n">
        <v>0.00111756764024599</v>
      </c>
      <c r="D98" s="2" t="n">
        <v>0.00111756912264728</v>
      </c>
      <c r="E98" s="2" t="n">
        <v>0.00131760044255196</v>
      </c>
    </row>
    <row r="99" customFormat="false" ht="13.8" hidden="false" customHeight="false" outlineLevel="0" collapsed="false">
      <c r="B99" s="2" t="n">
        <v>98</v>
      </c>
      <c r="C99" s="2" t="n">
        <v>0.00111757406349062</v>
      </c>
      <c r="D99" s="2" t="n">
        <v>0.0011175755461121</v>
      </c>
      <c r="E99" s="2" t="n">
        <v>0.00131760808450035</v>
      </c>
    </row>
    <row r="100" customFormat="false" ht="13.8" hidden="false" customHeight="false" outlineLevel="0" collapsed="false">
      <c r="B100" s="2" t="n">
        <v>99</v>
      </c>
      <c r="C100" s="2" t="n">
        <v>0.0011175804868007</v>
      </c>
      <c r="D100" s="2" t="n">
        <v>0.0011175819696394</v>
      </c>
      <c r="E100" s="2" t="n">
        <v>0.00131761572652817</v>
      </c>
    </row>
    <row r="101" customFormat="false" ht="13.8" hidden="false" customHeight="false" outlineLevel="0" collapsed="false">
      <c r="B101" s="2" t="n">
        <v>100</v>
      </c>
      <c r="C101" s="2" t="n">
        <v>0.0011175869101762</v>
      </c>
      <c r="D101" s="2" t="n">
        <v>0.00111758839322922</v>
      </c>
      <c r="E101" s="2" t="n">
        <v>0.00131762336863654</v>
      </c>
    </row>
    <row r="102" customFormat="false" ht="13.8" hidden="false" customHeight="false" outlineLevel="0" collapsed="false">
      <c r="B102" s="2" t="n">
        <v>101</v>
      </c>
      <c r="C102" s="2" t="n">
        <v>0.00111759333361709</v>
      </c>
      <c r="D102" s="2" t="n">
        <v>0.00111759481688162</v>
      </c>
      <c r="E102" s="2" t="n">
        <v>0.00131763101081471</v>
      </c>
    </row>
    <row r="103" customFormat="false" ht="13.8" hidden="false" customHeight="false" outlineLevel="0" collapsed="false">
      <c r="B103" s="2" t="n">
        <v>102</v>
      </c>
      <c r="C103" s="2" t="n">
        <v>0.00111759975712333</v>
      </c>
      <c r="D103" s="2" t="n">
        <v>0.00111760124059663</v>
      </c>
      <c r="E103" s="2" t="n">
        <v>0.00131763865309129</v>
      </c>
    </row>
    <row r="104" customFormat="false" ht="13.8" hidden="false" customHeight="false" outlineLevel="0" collapsed="false">
      <c r="B104" s="2" t="n">
        <v>103</v>
      </c>
      <c r="C104" s="2" t="n">
        <v>0.0011176061806949</v>
      </c>
      <c r="D104" s="2" t="n">
        <v>0.00111760766437431</v>
      </c>
      <c r="E104" s="2" t="n">
        <v>0.00131764629543545</v>
      </c>
    </row>
    <row r="105" customFormat="false" ht="13.8" hidden="false" customHeight="false" outlineLevel="0" collapsed="false">
      <c r="B105" s="2" t="n">
        <v>104</v>
      </c>
      <c r="C105" s="2" t="n">
        <v>0.00111761260433175</v>
      </c>
      <c r="D105" s="2" t="n">
        <v>0.00111761408821471</v>
      </c>
      <c r="E105" s="2" t="n">
        <v>0.00131765393786429</v>
      </c>
    </row>
    <row r="106" customFormat="false" ht="13.8" hidden="false" customHeight="false" outlineLevel="0" collapsed="false">
      <c r="B106" s="2" t="n">
        <v>105</v>
      </c>
      <c r="C106" s="2" t="n">
        <v>0.00111761902803387</v>
      </c>
      <c r="D106" s="2" t="n">
        <v>0.00111762051211786</v>
      </c>
      <c r="E106" s="2" t="n">
        <v>0.00131766158036694</v>
      </c>
    </row>
    <row r="107" customFormat="false" ht="13.8" hidden="false" customHeight="false" outlineLevel="0" collapsed="false">
      <c r="B107" s="2" t="n">
        <v>106</v>
      </c>
      <c r="C107" s="2" t="n">
        <v>0.00111762545180123</v>
      </c>
      <c r="D107" s="2" t="n">
        <v>0.00111762693608381</v>
      </c>
      <c r="E107" s="2" t="n">
        <v>0.00131766922295476</v>
      </c>
    </row>
    <row r="108" customFormat="false" ht="13.8" hidden="false" customHeight="false" outlineLevel="0" collapsed="false">
      <c r="B108" s="2" t="n">
        <v>107</v>
      </c>
      <c r="C108" s="2" t="n">
        <v>0.00111763187563378</v>
      </c>
      <c r="D108" s="2" t="n">
        <v>0.00111763336011261</v>
      </c>
      <c r="E108" s="2" t="n">
        <v>0.00131767686561553</v>
      </c>
    </row>
    <row r="109" customFormat="false" ht="13.8" hidden="false" customHeight="false" outlineLevel="0" collapsed="false">
      <c r="B109" s="2" t="n">
        <v>108</v>
      </c>
      <c r="C109" s="2" t="n">
        <v>0.00111763829953151</v>
      </c>
      <c r="D109" s="2" t="n">
        <v>0.0011176397842043</v>
      </c>
      <c r="E109" s="2" t="n">
        <v>0.00131768450836199</v>
      </c>
    </row>
    <row r="110" customFormat="false" ht="13.8" hidden="false" customHeight="false" outlineLevel="0" collapsed="false">
      <c r="B110" s="2" t="n">
        <v>109</v>
      </c>
      <c r="C110" s="2" t="n">
        <v>0.00111764472349439</v>
      </c>
      <c r="D110" s="2" t="n">
        <v>0.00111764620835892</v>
      </c>
      <c r="E110" s="2" t="n">
        <v>0.00131769215118053</v>
      </c>
    </row>
    <row r="111" customFormat="false" ht="13.8" hidden="false" customHeight="false" outlineLevel="0" collapsed="false">
      <c r="B111" s="2" t="n">
        <v>110</v>
      </c>
      <c r="C111" s="2" t="n">
        <v>0.00111765114752238</v>
      </c>
      <c r="D111" s="2" t="n">
        <v>0.00111765263257651</v>
      </c>
      <c r="E111" s="2" t="n">
        <v>0.00131769979408533</v>
      </c>
    </row>
    <row r="112" customFormat="false" ht="13.8" hidden="false" customHeight="false" outlineLevel="0" collapsed="false">
      <c r="B112" s="2" t="n">
        <v>111</v>
      </c>
      <c r="C112" s="2" t="n">
        <v>0.00111765757161546</v>
      </c>
      <c r="D112" s="2" t="n">
        <v>0.00111765905685713</v>
      </c>
      <c r="E112" s="2" t="n">
        <v>0.00131770743706128</v>
      </c>
    </row>
    <row r="113" customFormat="false" ht="13.8" hidden="false" customHeight="false" outlineLevel="0" collapsed="false">
      <c r="B113" s="2" t="n">
        <v>112</v>
      </c>
      <c r="C113" s="2" t="n">
        <v>0.00111766399577361</v>
      </c>
      <c r="D113" s="2" t="n">
        <v>0.0011176654812008</v>
      </c>
      <c r="E113" s="2" t="n">
        <v>0.0013177150801241</v>
      </c>
    </row>
    <row r="114" customFormat="false" ht="13.8" hidden="false" customHeight="false" outlineLevel="0" collapsed="false">
      <c r="B114" s="2" t="n">
        <v>113</v>
      </c>
      <c r="C114" s="2" t="n">
        <v>0.00111767041999679</v>
      </c>
      <c r="D114" s="2" t="n">
        <v>0.00111767190560758</v>
      </c>
      <c r="E114" s="2" t="n">
        <v>0.00131772272325713</v>
      </c>
    </row>
    <row r="115" customFormat="false" ht="13.8" hidden="false" customHeight="false" outlineLevel="0" collapsed="false">
      <c r="B115" s="2" t="n">
        <v>114</v>
      </c>
      <c r="C115" s="2" t="n">
        <v>0.00111767684428497</v>
      </c>
      <c r="D115" s="2" t="n">
        <v>0.0011176783300775</v>
      </c>
      <c r="E115" s="2" t="n">
        <v>0.00131773036647767</v>
      </c>
    </row>
    <row r="116" customFormat="false" ht="13.8" hidden="false" customHeight="false" outlineLevel="0" collapsed="false">
      <c r="B116" s="2" t="n">
        <v>115</v>
      </c>
      <c r="C116" s="2" t="n">
        <v>0.00111768326863813</v>
      </c>
      <c r="D116" s="2" t="n">
        <v>0.00111768475461059</v>
      </c>
      <c r="E116" s="2" t="n">
        <v>0.00131773800976744</v>
      </c>
    </row>
    <row r="117" customFormat="false" ht="13.8" hidden="false" customHeight="false" outlineLevel="0" collapsed="false">
      <c r="B117" s="2" t="n">
        <v>116</v>
      </c>
      <c r="C117" s="2" t="n">
        <v>0.00111768969305625</v>
      </c>
      <c r="D117" s="2" t="n">
        <v>0.00111769117920691</v>
      </c>
      <c r="E117" s="2" t="n">
        <v>0.00131774565313862</v>
      </c>
    </row>
    <row r="118" customFormat="false" ht="13.8" hidden="false" customHeight="false" outlineLevel="0" collapsed="false">
      <c r="B118" s="2" t="n">
        <v>117</v>
      </c>
      <c r="C118" s="2" t="n">
        <v>0.00111769611753929</v>
      </c>
      <c r="D118" s="2" t="n">
        <v>0.0011176976038665</v>
      </c>
      <c r="E118" s="2" t="n">
        <v>0.00131775329659691</v>
      </c>
    </row>
    <row r="119" customFormat="false" ht="13.8" hidden="false" customHeight="false" outlineLevel="0" collapsed="false">
      <c r="B119" s="2" t="n">
        <v>118</v>
      </c>
      <c r="C119" s="2" t="n">
        <v>0.00111770268268986</v>
      </c>
      <c r="D119" s="2" t="n">
        <v>0.00111770380421199</v>
      </c>
      <c r="E119" s="2" t="n">
        <v>0.00131776211890059</v>
      </c>
    </row>
    <row r="120" customFormat="false" ht="13.8" hidden="false" customHeight="false" outlineLevel="0" collapsed="false">
      <c r="B120" s="2" t="n">
        <v>119</v>
      </c>
      <c r="C120" s="2" t="n">
        <v>0.00111770910739462</v>
      </c>
      <c r="D120" s="2" t="n">
        <v>0.00111771022892796</v>
      </c>
      <c r="E120" s="2" t="n">
        <v>0.00131776977801925</v>
      </c>
    </row>
    <row r="121" customFormat="false" ht="13.8" hidden="false" customHeight="false" outlineLevel="0" collapsed="false">
      <c r="B121" s="2" t="n">
        <v>120</v>
      </c>
      <c r="C121" s="2" t="n">
        <v>0.00111771553216384</v>
      </c>
      <c r="D121" s="2" t="n">
        <v>0.00111771665389836</v>
      </c>
      <c r="E121" s="2" t="n">
        <v>0.00131777743719771</v>
      </c>
    </row>
    <row r="122" customFormat="false" ht="13.8" hidden="false" customHeight="false" outlineLevel="0" collapsed="false">
      <c r="B122" s="2" t="n">
        <v>121</v>
      </c>
      <c r="C122" s="2" t="n">
        <v>3.44456718000557E-007</v>
      </c>
      <c r="D122" s="2" t="n">
        <v>0.000200344456718001</v>
      </c>
      <c r="E122" s="2" t="n">
        <v>3.44456716354449E-007</v>
      </c>
    </row>
    <row r="123" customFormat="false" ht="13.8" hidden="false" customHeight="false" outlineLevel="0" collapsed="false">
      <c r="B123" s="2" t="n">
        <v>122</v>
      </c>
      <c r="C123" s="2" t="n">
        <v>0.00111771538316125</v>
      </c>
      <c r="D123" s="2" t="n">
        <v>0.000917715382978521</v>
      </c>
      <c r="E123" s="2" t="n">
        <v>0.00111771538297526</v>
      </c>
    </row>
    <row r="124" customFormat="false" ht="13.8" hidden="false" customHeight="false" outlineLevel="0" collapsed="false">
      <c r="B124" s="2" t="n">
        <v>123</v>
      </c>
      <c r="C124" s="2" t="n">
        <v>1.01468422580515E-007</v>
      </c>
      <c r="D124" s="2" t="n">
        <v>9.8926141708708E-008</v>
      </c>
      <c r="E124" s="2" t="n">
        <v>0</v>
      </c>
    </row>
    <row r="125" customFormat="false" ht="13.8" hidden="false" customHeight="false" outlineLevel="0" collapsed="false">
      <c r="B125" s="2" t="n">
        <v>124</v>
      </c>
      <c r="C125" s="2" t="n">
        <v>0.0002</v>
      </c>
      <c r="D125" s="2" t="n">
        <v>4.23386679749711E-020</v>
      </c>
      <c r="E125" s="2" t="n">
        <v>0.000199999999993506</v>
      </c>
    </row>
    <row r="126" customFormat="false" ht="13.8" hidden="false" customHeight="false" outlineLevel="0" collapsed="false">
      <c r="B126" s="2" t="n">
        <v>125</v>
      </c>
      <c r="C126" s="2" t="n">
        <v>1.23033633161216E-019</v>
      </c>
      <c r="D126" s="2" t="n">
        <v>1.38986719373793E-009</v>
      </c>
      <c r="E126" s="2" t="n">
        <v>0</v>
      </c>
    </row>
    <row r="127" customFormat="false" ht="13.8" hidden="false" customHeight="false" outlineLevel="0" collapsed="false">
      <c r="B127" s="2" t="n">
        <v>126</v>
      </c>
      <c r="C127" s="2" t="n">
        <v>1.43116625211242E-009</v>
      </c>
      <c r="D127" s="2" t="n">
        <v>2.77974722520926E-009</v>
      </c>
      <c r="E127" s="2" t="n">
        <v>0</v>
      </c>
    </row>
    <row r="128" customFormat="false" ht="13.8" hidden="false" customHeight="false" outlineLevel="0" collapsed="false">
      <c r="B128" s="2" t="n">
        <v>127</v>
      </c>
      <c r="C128" s="2" t="n">
        <v>2.86234558031381E-009</v>
      </c>
      <c r="D128" s="2" t="n">
        <v>4.16964032547347E-009</v>
      </c>
      <c r="E128" s="2" t="n">
        <v>0</v>
      </c>
    </row>
    <row r="129" customFormat="false" ht="13.8" hidden="false" customHeight="false" outlineLevel="0" collapsed="false">
      <c r="B129" s="2" t="n">
        <v>128</v>
      </c>
      <c r="C129" s="2" t="n">
        <v>4.29353848335722E-009</v>
      </c>
      <c r="D129" s="2" t="n">
        <v>5.55954656891088E-009</v>
      </c>
      <c r="E129" s="2" t="n">
        <v>0</v>
      </c>
    </row>
    <row r="130" customFormat="false" ht="13.8" hidden="false" customHeight="false" outlineLevel="0" collapsed="false">
      <c r="B130" s="2" t="n">
        <v>129</v>
      </c>
      <c r="C130" s="2" t="n">
        <v>5.72474499174829E-009</v>
      </c>
      <c r="D130" s="2" t="n">
        <v>6.94946603030144E-009</v>
      </c>
      <c r="E130" s="2" t="n">
        <v>0</v>
      </c>
    </row>
    <row r="131" customFormat="false" ht="13.8" hidden="false" customHeight="false" outlineLevel="0" collapsed="false">
      <c r="B131" s="2" t="n">
        <v>130</v>
      </c>
      <c r="C131" s="2" t="n">
        <v>7.15596512680017E-009</v>
      </c>
      <c r="D131" s="2" t="n">
        <v>8.33939878452729E-009</v>
      </c>
      <c r="E131" s="2" t="n">
        <v>0</v>
      </c>
    </row>
    <row r="132" customFormat="false" ht="13.8" hidden="false" customHeight="false" outlineLevel="0" collapsed="false">
      <c r="B132" s="2" t="n">
        <v>131</v>
      </c>
      <c r="C132" s="2" t="n">
        <v>8.58719891111531E-009</v>
      </c>
      <c r="D132" s="2" t="n">
        <v>9.72934490689869E-009</v>
      </c>
      <c r="E132" s="2" t="n">
        <v>0</v>
      </c>
    </row>
    <row r="133" customFormat="false" ht="13.8" hidden="false" customHeight="false" outlineLevel="0" collapsed="false">
      <c r="B133" s="2" t="n">
        <v>132</v>
      </c>
      <c r="C133" s="2" t="n">
        <v>1.00184464773339E-008</v>
      </c>
      <c r="D133" s="2" t="n">
        <v>1.11193044729772E-008</v>
      </c>
      <c r="E133" s="2" t="n">
        <v>0</v>
      </c>
    </row>
    <row r="134" customFormat="false" ht="13.8" hidden="false" customHeight="false" outlineLevel="0" collapsed="false">
      <c r="B134" s="2" t="n">
        <v>133</v>
      </c>
      <c r="C134" s="2" t="n">
        <v>1.14497076752835E-008</v>
      </c>
      <c r="D134" s="2" t="n">
        <v>1.25092775583824E-008</v>
      </c>
      <c r="E134" s="2" t="n">
        <v>0</v>
      </c>
    </row>
    <row r="135" customFormat="false" ht="13.8" hidden="false" customHeight="false" outlineLevel="0" collapsed="false">
      <c r="B135" s="2" t="n">
        <v>134</v>
      </c>
      <c r="C135" s="2" t="n">
        <v>1.28809827902459E-008</v>
      </c>
      <c r="D135" s="2" t="n">
        <v>1.38992642389765E-008</v>
      </c>
      <c r="E135" s="2" t="n">
        <v>0</v>
      </c>
    </row>
    <row r="136" customFormat="false" ht="13.8" hidden="false" customHeight="false" outlineLevel="0" collapsed="false">
      <c r="B136" s="2" t="n">
        <v>135</v>
      </c>
      <c r="C136" s="2" t="n">
        <v>1.43122715457017E-008</v>
      </c>
      <c r="D136" s="2" t="n">
        <v>1.52892645907458E-008</v>
      </c>
      <c r="E136" s="2" t="n">
        <v>0</v>
      </c>
    </row>
    <row r="137" customFormat="false" ht="13.8" hidden="false" customHeight="false" outlineLevel="0" collapsed="false">
      <c r="B137" s="2" t="n">
        <v>136</v>
      </c>
      <c r="C137" s="2" t="n">
        <v>1.57435743671036E-008</v>
      </c>
      <c r="D137" s="2" t="n">
        <v>1.66792786898628E-008</v>
      </c>
      <c r="E137" s="2" t="n">
        <v>0</v>
      </c>
    </row>
    <row r="138" customFormat="false" ht="13.8" hidden="false" customHeight="false" outlineLevel="0" collapsed="false">
      <c r="B138" s="2" t="n">
        <v>137</v>
      </c>
      <c r="C138" s="2" t="n">
        <v>1.71748908259337E-008</v>
      </c>
      <c r="D138" s="2" t="n">
        <v>1.80693066124696E-008</v>
      </c>
      <c r="E138" s="2" t="n">
        <v>0</v>
      </c>
    </row>
    <row r="139" customFormat="false" ht="13.8" hidden="false" customHeight="false" outlineLevel="0" collapsed="false">
      <c r="B139" s="2" t="n">
        <v>138</v>
      </c>
      <c r="C139" s="2" t="n">
        <v>1.86062215016836E-008</v>
      </c>
      <c r="D139" s="2" t="n">
        <v>1.94593484347645E-008</v>
      </c>
      <c r="E139" s="2" t="n">
        <v>0</v>
      </c>
    </row>
    <row r="140" customFormat="false" ht="13.8" hidden="false" customHeight="false" outlineLevel="0" collapsed="false">
      <c r="B140" s="2" t="n">
        <v>139</v>
      </c>
      <c r="C140" s="2" t="n">
        <v>2.00375657617471E-008</v>
      </c>
      <c r="D140" s="2" t="n">
        <v>2.51837554884609E-019</v>
      </c>
      <c r="E140" s="2" t="n">
        <v>0</v>
      </c>
    </row>
    <row r="141" customFormat="false" ht="13.8" hidden="false" customHeight="false" outlineLevel="0" collapsed="false">
      <c r="B141" s="2" t="n">
        <v>140</v>
      </c>
      <c r="C141" s="2" t="n">
        <v>2.14689245008077E-008</v>
      </c>
      <c r="D141" s="2" t="n">
        <v>2.56674224930817E-019</v>
      </c>
      <c r="E141" s="2" t="n">
        <v>0</v>
      </c>
    </row>
    <row r="142" customFormat="false" ht="13.8" hidden="false" customHeight="false" outlineLevel="0" collapsed="false">
      <c r="B142" s="2" t="n">
        <v>141</v>
      </c>
      <c r="C142" s="2" t="n">
        <v>2.29002967099337E-008</v>
      </c>
      <c r="D142" s="2" t="n">
        <v>0</v>
      </c>
      <c r="E142" s="2" t="n">
        <v>0</v>
      </c>
    </row>
    <row r="143" customFormat="false" ht="13.8" hidden="false" customHeight="false" outlineLevel="0" collapsed="false">
      <c r="B143" s="2" t="n">
        <v>142</v>
      </c>
      <c r="C143" s="2" t="n">
        <v>2.43316836067751E-008</v>
      </c>
      <c r="D143" s="2" t="n">
        <v>0</v>
      </c>
      <c r="E143" s="2" t="n">
        <v>0</v>
      </c>
    </row>
    <row r="144" customFormat="false" ht="13.8" hidden="false" customHeight="false" outlineLevel="0" collapsed="false">
      <c r="B144" s="2" t="n">
        <v>143</v>
      </c>
      <c r="C144" s="2" t="n">
        <v>2.50212832576254E-008</v>
      </c>
      <c r="D144" s="2" t="n">
        <v>0</v>
      </c>
      <c r="E144" s="2" t="n">
        <v>0</v>
      </c>
    </row>
    <row r="145" customFormat="false" ht="13.8" hidden="false" customHeight="false" outlineLevel="0" collapsed="false">
      <c r="B145" s="2" t="n">
        <v>144</v>
      </c>
      <c r="C145" s="2" t="n">
        <v>2.71944673833855E-008</v>
      </c>
      <c r="D145" s="2" t="n">
        <v>0</v>
      </c>
      <c r="E145" s="2" t="n">
        <v>0</v>
      </c>
    </row>
    <row r="146" customFormat="false" ht="13.8" hidden="false" customHeight="false" outlineLevel="0" collapsed="false">
      <c r="B146" s="2" t="n">
        <v>145</v>
      </c>
      <c r="C146" s="2" t="n">
        <v>2.86259279484599E-008</v>
      </c>
      <c r="D146" s="2" t="n">
        <v>1.19553367952531E-009</v>
      </c>
      <c r="E146" s="2" t="n">
        <v>0</v>
      </c>
    </row>
    <row r="147" customFormat="false" ht="13.8" hidden="false" customHeight="false" outlineLevel="0" collapsed="false">
      <c r="B147" s="2" t="n">
        <v>146</v>
      </c>
      <c r="C147" s="2" t="n">
        <v>2.19136353979039E-011</v>
      </c>
      <c r="D147" s="2" t="n">
        <v>7.19198914264644E-009</v>
      </c>
      <c r="E147" s="2" t="n">
        <v>0</v>
      </c>
    </row>
    <row r="148" customFormat="false" ht="13.8" hidden="false" customHeight="false" outlineLevel="0" collapsed="false">
      <c r="B148" s="2" t="n">
        <v>147</v>
      </c>
      <c r="C148" s="2" t="n">
        <v>5.44506450175783E-009</v>
      </c>
      <c r="D148" s="2" t="n">
        <v>1.19929609275772E-008</v>
      </c>
      <c r="E148" s="2" t="n">
        <v>0</v>
      </c>
    </row>
    <row r="149" customFormat="false" ht="13.8" hidden="false" customHeight="false" outlineLevel="0" collapsed="false">
      <c r="B149" s="2" t="n">
        <v>148</v>
      </c>
      <c r="C149" s="2" t="n">
        <v>1.06443170975215E-008</v>
      </c>
      <c r="D149" s="2" t="n">
        <v>1.67939827139437E-008</v>
      </c>
      <c r="E149" s="2" t="n">
        <v>0</v>
      </c>
    </row>
    <row r="150" customFormat="false" ht="13.8" hidden="false" customHeight="false" outlineLevel="0" collapsed="false">
      <c r="B150" s="2" t="n">
        <v>149</v>
      </c>
      <c r="C150" s="2" t="n">
        <v>1.58436196947807E-008</v>
      </c>
      <c r="D150" s="2" t="n">
        <v>2.15950545029523E-008</v>
      </c>
      <c r="E150" s="2" t="n">
        <v>3.26670754398105E-009</v>
      </c>
    </row>
    <row r="151" customFormat="false" ht="13.8" hidden="false" customHeight="false" outlineLevel="0" collapsed="false">
      <c r="B151" s="2" t="n">
        <v>150</v>
      </c>
      <c r="C151" s="2" t="n">
        <v>2.10429722942214E-008</v>
      </c>
      <c r="D151" s="2" t="n">
        <v>2.63961762946336E-008</v>
      </c>
      <c r="E151" s="2" t="n">
        <v>0</v>
      </c>
    </row>
    <row r="152" customFormat="false" ht="13.8" hidden="false" customHeight="false" outlineLevel="0" collapsed="false">
      <c r="B152" s="2" t="n">
        <v>151</v>
      </c>
      <c r="C152" s="2" t="n">
        <v>2.62423748961171E-008</v>
      </c>
      <c r="D152" s="2" t="n">
        <v>3.11973480894949E-008</v>
      </c>
      <c r="E152" s="2" t="n">
        <v>0</v>
      </c>
    </row>
    <row r="153" customFormat="false" ht="13.8" hidden="false" customHeight="false" outlineLevel="0" collapsed="false">
      <c r="B153" s="2" t="n">
        <v>152</v>
      </c>
      <c r="C153" s="2" t="n">
        <v>3.14418275010841E-008</v>
      </c>
      <c r="D153" s="2" t="n">
        <v>3.59985698879846E-008</v>
      </c>
      <c r="E153" s="2" t="n">
        <v>0</v>
      </c>
    </row>
    <row r="154" customFormat="false" ht="13.8" hidden="false" customHeight="false" outlineLevel="0" collapsed="false">
      <c r="B154" s="2" t="n">
        <v>153</v>
      </c>
      <c r="C154" s="2" t="n">
        <v>3.66413301095624E-008</v>
      </c>
      <c r="D154" s="2" t="n">
        <v>4.07998416905392E-008</v>
      </c>
      <c r="E154" s="2" t="n">
        <v>0</v>
      </c>
    </row>
    <row r="155" customFormat="false" ht="13.8" hidden="false" customHeight="false" outlineLevel="0" collapsed="false">
      <c r="B155" s="2" t="n">
        <v>154</v>
      </c>
      <c r="C155" s="2" t="n">
        <v>4.18408827224604E-008</v>
      </c>
      <c r="D155" s="2" t="n">
        <v>4.56011634980618E-008</v>
      </c>
      <c r="E155" s="2" t="n">
        <v>0</v>
      </c>
    </row>
    <row r="156" customFormat="false" ht="13.8" hidden="false" customHeight="false" outlineLevel="0" collapsed="false">
      <c r="B156" s="2" t="n">
        <v>155</v>
      </c>
      <c r="C156" s="2" t="n">
        <v>4.70404853396037E-008</v>
      </c>
      <c r="D156" s="2" t="n">
        <v>5.04025353102933E-008</v>
      </c>
      <c r="E156" s="2" t="n">
        <v>0</v>
      </c>
    </row>
    <row r="157" customFormat="false" ht="13.8" hidden="false" customHeight="false" outlineLevel="0" collapsed="false">
      <c r="B157" s="2" t="n">
        <v>156</v>
      </c>
      <c r="C157" s="2" t="n">
        <v>5.22401379621463E-008</v>
      </c>
      <c r="D157" s="2" t="n">
        <v>5.520395712821E-008</v>
      </c>
      <c r="E157" s="2" t="n">
        <v>6.73279251898689E-014</v>
      </c>
    </row>
    <row r="158" customFormat="false" ht="13.8" hidden="false" customHeight="false" outlineLevel="0" collapsed="false">
      <c r="B158" s="2" t="n">
        <v>157</v>
      </c>
      <c r="C158" s="2" t="n">
        <v>5.74398405903475E-008</v>
      </c>
      <c r="D158" s="2" t="n">
        <v>6.00054289522341E-008</v>
      </c>
      <c r="E158" s="2" t="n">
        <v>1.43352803740805E-008</v>
      </c>
    </row>
    <row r="159" customFormat="false" ht="13.8" hidden="false" customHeight="false" outlineLevel="0" collapsed="false">
      <c r="B159" s="2" t="n">
        <v>158</v>
      </c>
      <c r="C159" s="2" t="n">
        <v>6.26395932250901E-008</v>
      </c>
      <c r="D159" s="2" t="n">
        <v>6.48069507827458E-008</v>
      </c>
      <c r="E159" s="2" t="n">
        <v>1.57035574212718E-008</v>
      </c>
    </row>
    <row r="160" customFormat="false" ht="13.8" hidden="false" customHeight="false" outlineLevel="0" collapsed="false">
      <c r="B160" s="2" t="n">
        <v>159</v>
      </c>
      <c r="C160" s="2" t="n">
        <v>6.7839395866273E-008</v>
      </c>
      <c r="D160" s="2" t="n">
        <v>6.96085226203367E-008</v>
      </c>
      <c r="E160" s="2" t="n">
        <v>1.52682455722734E-012</v>
      </c>
    </row>
    <row r="161" customFormat="false" ht="13.8" hidden="false" customHeight="false" outlineLevel="0" collapsed="false">
      <c r="B161" s="2" t="n">
        <v>160</v>
      </c>
      <c r="C161" s="2" t="n">
        <v>7.30392485146546E-008</v>
      </c>
      <c r="D161" s="2" t="n">
        <v>7.44101444654627E-008</v>
      </c>
      <c r="E161" s="2" t="n">
        <v>1.89062084003157E-008</v>
      </c>
    </row>
    <row r="162" customFormat="false" ht="13.8" hidden="false" customHeight="false" outlineLevel="0" collapsed="false">
      <c r="B162" s="2" t="n">
        <v>161</v>
      </c>
      <c r="C162" s="2" t="n">
        <v>7.82391511711981E-008</v>
      </c>
      <c r="D162" s="2" t="n">
        <v>7.92118163185942E-008</v>
      </c>
      <c r="E162" s="2" t="n">
        <v>2.47478320249609E-012</v>
      </c>
    </row>
    <row r="163" customFormat="false" ht="13.8" hidden="false" customHeight="false" outlineLevel="0" collapsed="false">
      <c r="B163" s="2" t="n">
        <v>162</v>
      </c>
      <c r="C163" s="2" t="n">
        <v>8.35827124298097E-008</v>
      </c>
      <c r="D163" s="2" t="n">
        <v>8.38696518372092E-008</v>
      </c>
      <c r="E163" s="2" t="n">
        <v>0.000200083726308005</v>
      </c>
    </row>
    <row r="164" customFormat="false" ht="13.8" hidden="false" customHeight="false" outlineLevel="0" collapsed="false">
      <c r="B164" s="2" t="n">
        <v>163</v>
      </c>
      <c r="C164" s="2" t="n">
        <v>8.86249953402967E-008</v>
      </c>
      <c r="D164" s="2" t="n">
        <v>8.88292235412158E-008</v>
      </c>
      <c r="E164" s="2" t="n">
        <v>0.000200088727197544</v>
      </c>
    </row>
    <row r="165" customFormat="false" ht="13.8" hidden="false" customHeight="false" outlineLevel="0" collapsed="false">
      <c r="B165" s="2" t="n">
        <v>164</v>
      </c>
      <c r="C165" s="2" t="n">
        <v>0.000917283968384947</v>
      </c>
      <c r="D165" s="2" t="n">
        <v>0.000917283968384947</v>
      </c>
      <c r="E165" s="2" t="n">
        <v>0.00111728396837646</v>
      </c>
    </row>
    <row r="166" customFormat="false" ht="13.8" hidden="false" customHeight="false" outlineLevel="0" collapsed="false">
      <c r="B166" s="2" t="n">
        <v>165</v>
      </c>
      <c r="C166" s="2" t="n">
        <v>0.000200098933562866</v>
      </c>
      <c r="D166" s="2" t="n">
        <v>9.89335628660865E-008</v>
      </c>
      <c r="E166" s="2" t="n">
        <v>0.000200098933556651</v>
      </c>
    </row>
    <row r="167" customFormat="false" ht="13.8" hidden="false" customHeight="false" outlineLevel="0" collapsed="false">
      <c r="B167" s="2" t="n">
        <v>166</v>
      </c>
      <c r="C167" s="2" t="n">
        <v>0.00111728397321197</v>
      </c>
      <c r="D167" s="2" t="n">
        <v>0.000917283973211969</v>
      </c>
      <c r="E167" s="2" t="n">
        <v>0.00111728397320731</v>
      </c>
    </row>
    <row r="168" customFormat="false" ht="13.8" hidden="false" customHeight="false" outlineLevel="0" collapsed="false">
      <c r="B168" s="2" t="n">
        <v>167</v>
      </c>
      <c r="C168" s="2" t="n">
        <v>0.00111728397571807</v>
      </c>
      <c r="D168" s="2" t="n">
        <v>0.000917283975718073</v>
      </c>
      <c r="E168" s="2" t="n">
        <v>0.00111728397571496</v>
      </c>
    </row>
    <row r="169" customFormat="false" ht="13.8" hidden="false" customHeight="false" outlineLevel="0" collapsed="false">
      <c r="B169" s="2" t="n">
        <v>168</v>
      </c>
      <c r="C169" s="2" t="n">
        <v>0.00111742410859096</v>
      </c>
      <c r="D169" s="2" t="n">
        <v>0.000917424108590956</v>
      </c>
      <c r="E169" s="2" t="n">
        <v>0.00111728397828435</v>
      </c>
    </row>
    <row r="170" customFormat="false" ht="13.8" hidden="false" customHeight="false" outlineLevel="0" collapsed="false">
      <c r="B170" s="2" t="n">
        <v>169</v>
      </c>
      <c r="C170" s="2" t="n">
        <v>0.00111743028289378</v>
      </c>
      <c r="D170" s="2" t="n">
        <v>0.000917430282893785</v>
      </c>
      <c r="E170" s="2" t="n">
        <v>0.00111728398091546</v>
      </c>
    </row>
    <row r="171" customFormat="false" ht="13.8" hidden="false" customHeight="false" outlineLevel="0" collapsed="false">
      <c r="B171" s="2" t="n">
        <v>170</v>
      </c>
      <c r="C171" s="2" t="n">
        <v>0.00111743645725836</v>
      </c>
      <c r="D171" s="2" t="n">
        <v>0.000917436457258357</v>
      </c>
      <c r="E171" s="2" t="n">
        <v>0.00111728398360675</v>
      </c>
    </row>
    <row r="172" customFormat="false" ht="13.8" hidden="false" customHeight="false" outlineLevel="0" collapsed="false">
      <c r="B172" s="2" t="n">
        <v>171</v>
      </c>
      <c r="C172" s="2" t="n">
        <v>0.00111744263168467</v>
      </c>
      <c r="D172" s="2" t="n">
        <v>0.000917442631684674</v>
      </c>
      <c r="E172" s="2" t="n">
        <v>0.000917442631684673</v>
      </c>
    </row>
    <row r="173" customFormat="false" ht="13.8" hidden="false" customHeight="false" outlineLevel="0" collapsed="false">
      <c r="B173" s="2" t="n">
        <v>172</v>
      </c>
      <c r="C173" s="2" t="n">
        <v>0.00111744880617274</v>
      </c>
      <c r="D173" s="2" t="n">
        <v>0.000917448806172736</v>
      </c>
      <c r="E173" s="2" t="n">
        <v>0.00111728398917452</v>
      </c>
    </row>
    <row r="174" customFormat="false" ht="13.8" hidden="false" customHeight="false" outlineLevel="0" collapsed="false">
      <c r="B174" s="2" t="n">
        <v>173</v>
      </c>
      <c r="C174" s="2" t="n">
        <v>0.00111743605912618</v>
      </c>
      <c r="D174" s="2" t="n">
        <v>0.0011173840989673</v>
      </c>
      <c r="E174" s="2" t="n">
        <v>0.001117283992051</v>
      </c>
    </row>
    <row r="175" customFormat="false" ht="13.8" hidden="false" customHeight="false" outlineLevel="0" collapsed="false">
      <c r="B175" s="2" t="n">
        <v>174</v>
      </c>
      <c r="C175" s="2" t="n">
        <v>0.00111745822781826</v>
      </c>
      <c r="D175" s="2" t="n">
        <v>0.00111745859780487</v>
      </c>
      <c r="E175" s="2" t="n">
        <v>0.00111728399498921</v>
      </c>
    </row>
    <row r="176" customFormat="false" ht="13.8" hidden="false" customHeight="false" outlineLevel="0" collapsed="false">
      <c r="B176" s="2" t="n">
        <v>175</v>
      </c>
      <c r="C176" s="2" t="n">
        <v>0.00111746440250588</v>
      </c>
      <c r="D176" s="2" t="n">
        <v>0.0011174647724962</v>
      </c>
      <c r="E176" s="2" t="n">
        <v>0.00111728399798914</v>
      </c>
    </row>
    <row r="177" customFormat="false" ht="13.8" hidden="false" customHeight="false" outlineLevel="0" collapsed="false">
      <c r="B177" s="2" t="n">
        <v>176</v>
      </c>
      <c r="C177" s="2" t="n">
        <v>0.00111747350474244</v>
      </c>
      <c r="D177" s="2" t="n">
        <v>0.0011174740095634</v>
      </c>
      <c r="E177" s="2" t="n">
        <v>0.00111733359788316</v>
      </c>
    </row>
    <row r="178" customFormat="false" ht="13.8" hidden="false" customHeight="false" outlineLevel="0" collapsed="false">
      <c r="B178" s="2" t="n">
        <v>177</v>
      </c>
      <c r="C178" s="2" t="n">
        <v>0.00111747675206578</v>
      </c>
      <c r="D178" s="2" t="n">
        <v>0.0011174771220635</v>
      </c>
      <c r="E178" s="2" t="n">
        <v>0.0011172840041742</v>
      </c>
    </row>
    <row r="179" customFormat="false" ht="13.8" hidden="false" customHeight="false" outlineLevel="0" collapsed="false">
      <c r="B179" s="2" t="n">
        <v>178</v>
      </c>
      <c r="C179" s="2" t="n">
        <v>0.00111748292693806</v>
      </c>
      <c r="D179" s="2" t="n">
        <v>0.00111748329693948</v>
      </c>
      <c r="E179" s="2" t="n">
        <v>0.00111728400735932</v>
      </c>
    </row>
    <row r="180" customFormat="false" ht="13.8" hidden="false" customHeight="false" outlineLevel="0" collapsed="false">
      <c r="B180" s="2" t="n">
        <v>179</v>
      </c>
      <c r="C180" s="2" t="n">
        <v>0.00111748910187183</v>
      </c>
      <c r="D180" s="2" t="n">
        <v>0.00111748947187695</v>
      </c>
      <c r="E180" s="2" t="n">
        <v>0.00111728401060617</v>
      </c>
    </row>
    <row r="181" customFormat="false" ht="13.8" hidden="false" customHeight="false" outlineLevel="0" collapsed="false">
      <c r="B181" s="2" t="n">
        <v>180</v>
      </c>
      <c r="C181" s="2" t="n">
        <v>0.00111749527686711</v>
      </c>
      <c r="D181" s="2" t="n">
        <v>0.00111749564687593</v>
      </c>
      <c r="E181" s="2" t="n">
        <v>0.00111728401391475</v>
      </c>
    </row>
    <row r="182" customFormat="false" ht="13.8" hidden="false" customHeight="false" outlineLevel="0" collapsed="false">
      <c r="B182" s="2" t="n">
        <v>181</v>
      </c>
      <c r="C182" s="2" t="n">
        <v>0.00111750145192388</v>
      </c>
      <c r="D182" s="2" t="n">
        <v>0.0011175018219364</v>
      </c>
      <c r="E182" s="2" t="n">
        <v>0.00111728401728506</v>
      </c>
    </row>
    <row r="183" customFormat="false" ht="13.8" hidden="false" customHeight="false" outlineLevel="0" collapsed="false">
      <c r="B183" s="2" t="n">
        <v>182</v>
      </c>
      <c r="C183" s="2" t="n">
        <v>0.00111750762704217</v>
      </c>
      <c r="D183" s="2" t="n">
        <v>0.00111750799705839</v>
      </c>
      <c r="E183" s="2" t="n">
        <v>0.0011172840207171</v>
      </c>
    </row>
    <row r="184" customFormat="false" ht="13.8" hidden="false" customHeight="false" outlineLevel="0" collapsed="false">
      <c r="B184" s="2" t="n">
        <v>183</v>
      </c>
      <c r="C184" s="2" t="n">
        <v>0.00111751380222197</v>
      </c>
      <c r="D184" s="2" t="n">
        <v>0.0011175141722419</v>
      </c>
      <c r="E184" s="2" t="n">
        <v>0.00111728402421087</v>
      </c>
    </row>
    <row r="185" customFormat="false" ht="13.8" hidden="false" customHeight="false" outlineLevel="0" collapsed="false">
      <c r="B185" s="2" t="n">
        <v>184</v>
      </c>
      <c r="C185" s="2" t="n">
        <v>0.0011175229048458</v>
      </c>
      <c r="D185" s="2" t="n">
        <v>0.00111752340970715</v>
      </c>
      <c r="E185" s="2" t="n">
        <v>0.00111734727586746</v>
      </c>
    </row>
    <row r="186" customFormat="false" ht="13.8" hidden="false" customHeight="false" outlineLevel="0" collapsed="false">
      <c r="B186" s="2" t="n">
        <v>185</v>
      </c>
      <c r="C186" s="2" t="n">
        <v>0.0011175290801366</v>
      </c>
      <c r="D186" s="2" t="n">
        <v>0.001117529585003</v>
      </c>
      <c r="E186" s="2" t="n">
        <v>0.00111734892702323</v>
      </c>
    </row>
    <row r="187" customFormat="false" ht="13.8" hidden="false" customHeight="false" outlineLevel="0" collapsed="false">
      <c r="B187" s="2" t="n">
        <v>186</v>
      </c>
      <c r="C187" s="2" t="n">
        <v>0.00111753525548916</v>
      </c>
      <c r="D187" s="2" t="n">
        <v>0.0011175357603606</v>
      </c>
      <c r="E187" s="2" t="n">
        <v>0.00111735057808342</v>
      </c>
    </row>
    <row r="188" customFormat="false" ht="13.8" hidden="false" customHeight="false" outlineLevel="0" collapsed="false">
      <c r="B188" s="2" t="n">
        <v>187</v>
      </c>
      <c r="C188" s="2" t="n">
        <v>0.00111754143090347</v>
      </c>
      <c r="D188" s="2" t="n">
        <v>0.00111754193577996</v>
      </c>
      <c r="E188" s="2" t="n">
        <v>0.00111735222951356</v>
      </c>
    </row>
    <row r="189" customFormat="false" ht="13.8" hidden="false" customHeight="false" outlineLevel="0" collapsed="false">
      <c r="B189" s="2" t="n">
        <v>188</v>
      </c>
      <c r="C189" s="2" t="n">
        <v>0.00111754760637953</v>
      </c>
      <c r="D189" s="2" t="n">
        <v>0.00111754811126107</v>
      </c>
      <c r="E189" s="2" t="n">
        <v>0.00111735388068733</v>
      </c>
    </row>
    <row r="190" customFormat="false" ht="13.8" hidden="false" customHeight="false" outlineLevel="0" collapsed="false">
      <c r="B190" s="2" t="n">
        <v>189</v>
      </c>
      <c r="C190" s="2" t="n">
        <v>0.00111755085459625</v>
      </c>
      <c r="D190" s="2" t="n">
        <v>0.00111755122463837</v>
      </c>
      <c r="E190" s="2" t="n">
        <v>0.00111728404646978</v>
      </c>
    </row>
    <row r="191" customFormat="false" ht="13.8" hidden="false" customHeight="false" outlineLevel="0" collapsed="false">
      <c r="B191" s="2" t="n">
        <v>190</v>
      </c>
      <c r="C191" s="2" t="n">
        <v>0.00111755703020793</v>
      </c>
      <c r="D191" s="2" t="n">
        <v>0.00111755740025375</v>
      </c>
      <c r="E191" s="2" t="n">
        <v>0.00111728405039565</v>
      </c>
    </row>
    <row r="192" customFormat="false" ht="13.8" hidden="false" customHeight="false" outlineLevel="0" collapsed="false">
      <c r="B192" s="2" t="n">
        <v>191</v>
      </c>
      <c r="C192" s="2" t="n">
        <v>0.00111756320588119</v>
      </c>
      <c r="D192" s="2" t="n">
        <v>0.00111756357593073</v>
      </c>
      <c r="E192" s="2" t="n">
        <v>0.00111728405438325</v>
      </c>
    </row>
    <row r="193" customFormat="false" ht="13.8" hidden="false" customHeight="false" outlineLevel="0" collapsed="false">
      <c r="B193" s="2" t="n">
        <v>192</v>
      </c>
      <c r="C193" s="2" t="n">
        <v>0.00111754158080588</v>
      </c>
      <c r="D193" s="2" t="n">
        <v>0.00111745719909456</v>
      </c>
      <c r="E193" s="2" t="n">
        <v>0.00111728405843258</v>
      </c>
    </row>
    <row r="194" customFormat="false" ht="13.8" hidden="false" customHeight="false" outlineLevel="0" collapsed="false">
      <c r="B194" s="2" t="n">
        <v>193</v>
      </c>
      <c r="C194" s="2" t="n">
        <v>0.00111754713519225</v>
      </c>
      <c r="D194" s="2" t="n">
        <v>0.00111746104708712</v>
      </c>
      <c r="E194" s="2" t="n">
        <v>0.00111728406254364</v>
      </c>
    </row>
    <row r="195" customFormat="false" ht="13.8" hidden="false" customHeight="false" outlineLevel="0" collapsed="false">
      <c r="B195" s="2" t="n">
        <v>194</v>
      </c>
      <c r="C195" s="2" t="n">
        <v>0.00111755268964734</v>
      </c>
      <c r="D195" s="2" t="n">
        <v>0.00111746489514142</v>
      </c>
      <c r="E195" s="2" t="n">
        <v>0.00111728406671642</v>
      </c>
    </row>
    <row r="196" customFormat="false" ht="13.8" hidden="false" customHeight="false" outlineLevel="0" collapsed="false">
      <c r="B196" s="2" t="n">
        <v>195</v>
      </c>
      <c r="C196" s="2" t="n">
        <v>0.00111758790919071</v>
      </c>
      <c r="D196" s="2" t="n">
        <v>0.00111758827925503</v>
      </c>
      <c r="E196" s="2" t="n">
        <v>0.00111728407095094</v>
      </c>
    </row>
    <row r="197" customFormat="false" ht="13.8" hidden="false" customHeight="false" outlineLevel="0" collapsed="false">
      <c r="B197" s="2" t="n">
        <v>196</v>
      </c>
      <c r="C197" s="2" t="n">
        <v>0.00111759701241129</v>
      </c>
      <c r="D197" s="2" t="n">
        <v>0.00111759751733322</v>
      </c>
      <c r="E197" s="2" t="n">
        <v>0.00111736709385659</v>
      </c>
    </row>
    <row r="198" customFormat="false" ht="13.8" hidden="false" customHeight="false" outlineLevel="0" collapsed="false">
      <c r="B198" s="2" t="n">
        <v>197</v>
      </c>
      <c r="C198" s="2" t="n">
        <v>0.00111760318844317</v>
      </c>
      <c r="D198" s="2" t="n">
        <v>0.00111760369337015</v>
      </c>
      <c r="E198" s="2" t="n">
        <v>0.00111736874573585</v>
      </c>
    </row>
    <row r="199" customFormat="false" ht="13.8" hidden="false" customHeight="false" outlineLevel="0" collapsed="false">
      <c r="B199" s="2" t="n">
        <v>198</v>
      </c>
      <c r="C199" s="2" t="n">
        <v>0.00111760936453682</v>
      </c>
      <c r="D199" s="2" t="n">
        <v>0.00111760986946885</v>
      </c>
      <c r="E199" s="2" t="n">
        <v>0.0011173703977391</v>
      </c>
    </row>
    <row r="200" customFormat="false" ht="13.8" hidden="false" customHeight="false" outlineLevel="0" collapsed="false">
      <c r="B200" s="2" t="n">
        <v>199</v>
      </c>
      <c r="C200" s="2" t="n">
        <v>0.00111761554069222</v>
      </c>
      <c r="D200" s="2" t="n">
        <v>0.0011176160456293</v>
      </c>
      <c r="E200" s="2" t="n">
        <v>0.00111737204974547</v>
      </c>
    </row>
    <row r="201" customFormat="false" ht="13.8" hidden="false" customHeight="false" outlineLevel="0" collapsed="false">
      <c r="B201" s="2" t="n">
        <v>200</v>
      </c>
      <c r="C201" s="2" t="n">
        <v>0.00111762171690939</v>
      </c>
      <c r="D201" s="2" t="n">
        <v>0.00111762222185152</v>
      </c>
      <c r="E201" s="2" t="n">
        <v>0.00111737370188057</v>
      </c>
    </row>
    <row r="202" customFormat="false" ht="13.8" hidden="false" customHeight="false" outlineLevel="0" collapsed="false">
      <c r="B202" s="2" t="n">
        <v>201</v>
      </c>
      <c r="C202" s="2" t="n">
        <v>0.00111762789318832</v>
      </c>
      <c r="D202" s="2" t="n">
        <v>0.0011176283981355</v>
      </c>
      <c r="E202" s="2" t="n">
        <v>0.00111737535401405</v>
      </c>
    </row>
    <row r="203" customFormat="false" ht="13.8" hidden="false" customHeight="false" outlineLevel="0" collapsed="false">
      <c r="B203" s="2" t="n">
        <v>202</v>
      </c>
      <c r="C203" s="2" t="n">
        <v>0.00111763406952902</v>
      </c>
      <c r="D203" s="2" t="n">
        <v>0.00111763457448125</v>
      </c>
      <c r="E203" s="2" t="n">
        <v>0.00111737700598623</v>
      </c>
    </row>
    <row r="204" customFormat="false" ht="13.8" hidden="false" customHeight="false" outlineLevel="0" collapsed="false">
      <c r="B204" s="2" t="n">
        <v>203</v>
      </c>
      <c r="C204" s="2" t="n">
        <v>0.00111764024593148</v>
      </c>
      <c r="D204" s="2" t="n">
        <v>0.00111764075088875</v>
      </c>
      <c r="E204" s="2" t="n">
        <v>0.00111737865857411</v>
      </c>
    </row>
    <row r="205" customFormat="false" ht="13.8" hidden="false" customHeight="false" outlineLevel="0" collapsed="false">
      <c r="B205" s="2" t="n">
        <v>204</v>
      </c>
      <c r="C205" s="2" t="n">
        <v>0.0011176464223957</v>
      </c>
      <c r="D205" s="2" t="n">
        <v>0.00111764692735803</v>
      </c>
      <c r="E205" s="2" t="n">
        <v>0.00111738031092723</v>
      </c>
    </row>
    <row r="206" customFormat="false" ht="13.8" hidden="false" customHeight="false" outlineLevel="0" collapsed="false">
      <c r="B206" s="2" t="n">
        <v>205</v>
      </c>
      <c r="C206" s="2" t="n">
        <v>0.00111765259892169</v>
      </c>
      <c r="D206" s="2" t="n">
        <v>0.00111765310388907</v>
      </c>
      <c r="E206" s="2" t="n">
        <v>0.00111738196336344</v>
      </c>
    </row>
    <row r="207" customFormat="false" ht="13.8" hidden="false" customHeight="false" outlineLevel="0" collapsed="false">
      <c r="B207" s="2" t="n">
        <v>206</v>
      </c>
      <c r="C207" s="2" t="n">
        <v>0.00111765877550945</v>
      </c>
      <c r="D207" s="2" t="n">
        <v>0.00111765928048187</v>
      </c>
      <c r="E207" s="2" t="n">
        <v>0.0011173836158457</v>
      </c>
    </row>
    <row r="208" customFormat="false" ht="13.8" hidden="false" customHeight="false" outlineLevel="0" collapsed="false">
      <c r="B208" s="2" t="n">
        <v>207</v>
      </c>
      <c r="C208" s="2" t="n">
        <v>0.00111766495215897</v>
      </c>
      <c r="D208" s="2" t="n">
        <v>0.00111766545713644</v>
      </c>
      <c r="E208" s="2" t="n">
        <v>0.00111728412657999</v>
      </c>
    </row>
    <row r="209" customFormat="false" ht="13.8" hidden="false" customHeight="false" outlineLevel="0" collapsed="false">
      <c r="B209" s="2" t="n">
        <v>208</v>
      </c>
      <c r="C209" s="2" t="n">
        <v>0.00111767112887026</v>
      </c>
      <c r="D209" s="2" t="n">
        <v>0.00111767163385278</v>
      </c>
      <c r="E209" s="2" t="n">
        <v>0.00111728413161698</v>
      </c>
    </row>
    <row r="210" customFormat="false" ht="13.8" hidden="false" customHeight="false" outlineLevel="0" collapsed="false">
      <c r="B210" s="2" t="n">
        <v>209</v>
      </c>
      <c r="C210" s="2" t="n">
        <v>0.00111767730564331</v>
      </c>
      <c r="D210" s="2" t="n">
        <v>0.00111767781063089</v>
      </c>
      <c r="E210" s="2" t="n">
        <v>0.0011172841367157</v>
      </c>
    </row>
    <row r="211" customFormat="false" ht="13.8" hidden="false" customHeight="false" outlineLevel="0" collapsed="false">
      <c r="B211" s="2" t="n">
        <v>210</v>
      </c>
      <c r="C211" s="2" t="n">
        <v>0.00111768348247814</v>
      </c>
      <c r="D211" s="2" t="n">
        <v>0.00111768398747076</v>
      </c>
      <c r="E211" s="2" t="n">
        <v>0.00111728414187616</v>
      </c>
    </row>
    <row r="212" customFormat="false" ht="13.8" hidden="false" customHeight="false" outlineLevel="0" collapsed="false">
      <c r="B212" s="2" t="n">
        <v>211</v>
      </c>
      <c r="C212" s="2" t="n">
        <v>0.00111768965937473</v>
      </c>
      <c r="D212" s="2" t="n">
        <v>0.00111769016437241</v>
      </c>
      <c r="E212" s="2" t="n">
        <v>0.00111728414709834</v>
      </c>
    </row>
    <row r="213" customFormat="false" ht="13.8" hidden="false" customHeight="false" outlineLevel="0" collapsed="false">
      <c r="B213" s="2" t="n">
        <v>212</v>
      </c>
      <c r="C213" s="2" t="n">
        <v>0.0011176958363331</v>
      </c>
      <c r="D213" s="2" t="n">
        <v>0.00111769634133582</v>
      </c>
      <c r="E213" s="2" t="n">
        <v>0.00111728415238224</v>
      </c>
    </row>
    <row r="214" customFormat="false" ht="13.8" hidden="false" customHeight="false" outlineLevel="0" collapsed="false">
      <c r="B214" s="2" t="n">
        <v>213</v>
      </c>
      <c r="C214" s="2" t="n">
        <v>0.00111770201335323</v>
      </c>
      <c r="D214" s="2" t="n">
        <v>0.001117702518361</v>
      </c>
      <c r="E214" s="2" t="n">
        <v>0.00111728415772788</v>
      </c>
    </row>
    <row r="215" customFormat="false" ht="13.8" hidden="false" customHeight="false" outlineLevel="0" collapsed="false">
      <c r="B215" s="2" t="n">
        <v>214</v>
      </c>
      <c r="C215" s="2" t="n">
        <v>0.00111770819043513</v>
      </c>
      <c r="D215" s="2" t="n">
        <v>0.00111770869544796</v>
      </c>
      <c r="E215" s="2" t="n">
        <v>0.00111728416313491</v>
      </c>
    </row>
    <row r="216" customFormat="false" ht="13.8" hidden="false" customHeight="false" outlineLevel="0" collapsed="false">
      <c r="B216" s="2" t="n">
        <v>215</v>
      </c>
      <c r="C216" s="2" t="n">
        <v>0.00111771152534608</v>
      </c>
      <c r="D216" s="2" t="n">
        <v>0.0011177118993918</v>
      </c>
      <c r="E216" s="2" t="n">
        <v>0.00111728416860367</v>
      </c>
    </row>
    <row r="217" customFormat="false" ht="13.8" hidden="false" customHeight="false" outlineLevel="0" collapsed="false">
      <c r="B217" s="2" t="n">
        <v>216</v>
      </c>
      <c r="C217" s="2" t="n">
        <v>0.00111771770256006</v>
      </c>
      <c r="D217" s="2" t="n">
        <v>0.00111771807660953</v>
      </c>
      <c r="E217" s="2" t="n">
        <v>0.00111728417413415</v>
      </c>
    </row>
    <row r="218" customFormat="false" ht="13.8" hidden="false" customHeight="false" outlineLevel="0" collapsed="false">
      <c r="B218" s="2" t="n">
        <v>217</v>
      </c>
      <c r="C218" s="2" t="n">
        <v>0.00111772387982981</v>
      </c>
      <c r="D218" s="2" t="n">
        <v>0.00111772425388302</v>
      </c>
      <c r="E218" s="2" t="n">
        <v>0.00111728417972637</v>
      </c>
    </row>
    <row r="219" customFormat="false" ht="13.8" hidden="false" customHeight="false" outlineLevel="0" collapsed="false">
      <c r="B219" s="2" t="n">
        <v>218</v>
      </c>
      <c r="C219" s="2" t="n">
        <v>0.00111773005716059</v>
      </c>
      <c r="D219" s="2" t="n">
        <v>0.00111773043121756</v>
      </c>
      <c r="E219" s="2" t="n">
        <v>0.00111728418537893</v>
      </c>
    </row>
    <row r="220" customFormat="false" ht="13.8" hidden="false" customHeight="false" outlineLevel="0" collapsed="false">
      <c r="B220" s="2" t="n">
        <v>219</v>
      </c>
      <c r="C220" s="2" t="n">
        <v>0.00111773907677124</v>
      </c>
      <c r="D220" s="2" t="n">
        <v>0.00111773958180931</v>
      </c>
      <c r="E220" s="2" t="n">
        <v>0.00111728419109323</v>
      </c>
    </row>
    <row r="221" customFormat="false" ht="13.8" hidden="false" customHeight="false" outlineLevel="0" collapsed="false">
      <c r="B221" s="2" t="n">
        <v>220</v>
      </c>
      <c r="C221" s="2" t="n">
        <v>1.63697878480553E-010</v>
      </c>
      <c r="D221" s="2" t="n">
        <v>1.58656819187185E-010</v>
      </c>
      <c r="E221" s="2" t="n">
        <v>1.76773117934602E-010</v>
      </c>
    </row>
    <row r="222" customFormat="false" ht="13.8" hidden="false" customHeight="false" outlineLevel="0" collapsed="false">
      <c r="B222" s="2" t="n">
        <v>221</v>
      </c>
      <c r="C222" s="2" t="n">
        <v>1.24708670406656E-019</v>
      </c>
      <c r="D222" s="2" t="n">
        <v>5.45600433029121E-020</v>
      </c>
      <c r="E222" s="2" t="n">
        <v>5.81264258069323E-011</v>
      </c>
    </row>
    <row r="223" customFormat="false" ht="13.8" hidden="false" customHeight="false" outlineLevel="0" collapsed="false">
      <c r="B223" s="2" t="n">
        <v>222</v>
      </c>
      <c r="C223" s="2" t="n">
        <v>1.67508019511296E-019</v>
      </c>
      <c r="D223" s="2" t="n">
        <v>7.32847585361922E-020</v>
      </c>
      <c r="E223" s="2" t="n">
        <v>5.91699931157159E-011</v>
      </c>
    </row>
    <row r="224" customFormat="false" ht="13.8" hidden="false" customHeight="false" outlineLevel="0" collapsed="false">
      <c r="B224" s="2" t="n">
        <v>223</v>
      </c>
      <c r="C224" s="2" t="n">
        <v>2.10307368615936E-019</v>
      </c>
      <c r="D224" s="2" t="n">
        <v>9.20094737694722E-020</v>
      </c>
      <c r="E224" s="2" t="n">
        <v>6.02278728877377E-011</v>
      </c>
    </row>
    <row r="225" customFormat="false" ht="13.8" hidden="false" customHeight="false" outlineLevel="0" collapsed="false">
      <c r="B225" s="2" t="n">
        <v>224</v>
      </c>
      <c r="C225" s="2" t="n">
        <v>2.53106717720576E-019</v>
      </c>
      <c r="D225" s="2" t="n">
        <v>1.10734189002752E-019</v>
      </c>
      <c r="E225" s="2" t="n">
        <v>6.13000650604143E-011</v>
      </c>
    </row>
    <row r="226" customFormat="false" ht="13.8" hidden="false" customHeight="false" outlineLevel="0" collapsed="false">
      <c r="B226" s="2" t="n">
        <v>225</v>
      </c>
      <c r="C226" s="2" t="n">
        <v>2.95906066825217E-019</v>
      </c>
      <c r="D226" s="2" t="n">
        <v>1.29458904236032E-019</v>
      </c>
      <c r="E226" s="2" t="n">
        <v>6.23865695580157E-011</v>
      </c>
    </row>
    <row r="227" customFormat="false" ht="13.8" hidden="false" customHeight="false" outlineLevel="0" collapsed="false">
      <c r="B227" s="2" t="n">
        <v>226</v>
      </c>
      <c r="C227" s="2" t="n">
        <v>3.34489905528833E-019</v>
      </c>
      <c r="D227" s="2" t="n">
        <v>1.46339333668864E-019</v>
      </c>
      <c r="E227" s="2" t="n">
        <v>6.34873865801633E-011</v>
      </c>
    </row>
    <row r="228" customFormat="false" ht="13.8" hidden="false" customHeight="false" outlineLevel="0" collapsed="false">
      <c r="B228" s="2" t="n">
        <v>227</v>
      </c>
      <c r="C228" s="2" t="n">
        <v>3.73073744232449E-019</v>
      </c>
      <c r="D228" s="2" t="n">
        <v>1.63219763101696E-019</v>
      </c>
      <c r="E228" s="2" t="n">
        <v>6.46025161851971E-011</v>
      </c>
    </row>
    <row r="229" customFormat="false" ht="13.8" hidden="false" customHeight="false" outlineLevel="0" collapsed="false">
      <c r="B229" s="2" t="n">
        <v>228</v>
      </c>
      <c r="C229" s="2" t="n">
        <v>4.11657582936065E-019</v>
      </c>
      <c r="D229" s="2" t="n">
        <v>1.80100192534528E-019</v>
      </c>
      <c r="E229" s="2" t="n">
        <v>6.57319578547739E-011</v>
      </c>
    </row>
    <row r="230" customFormat="false" ht="13.8" hidden="false" customHeight="false" outlineLevel="0" collapsed="false">
      <c r="B230" s="2" t="n">
        <v>229</v>
      </c>
      <c r="C230" s="2" t="n">
        <v>4.50241421639681E-019</v>
      </c>
      <c r="D230" s="2" t="n">
        <v>1.9698062196736E-019</v>
      </c>
      <c r="E230" s="2" t="n">
        <v>6.68757120525872E-011</v>
      </c>
    </row>
    <row r="231" customFormat="false" ht="13.8" hidden="false" customHeight="false" outlineLevel="0" collapsed="false">
      <c r="B231" s="2" t="n">
        <v>230</v>
      </c>
      <c r="C231" s="2" t="n">
        <v>4.75918883618817E-019</v>
      </c>
      <c r="D231" s="2" t="n">
        <v>2.08214511583232E-019</v>
      </c>
      <c r="E231" s="2" t="n">
        <v>6.80337786256088E-011</v>
      </c>
    </row>
    <row r="232" customFormat="false" ht="13.8" hidden="false" customHeight="false" outlineLevel="0" collapsed="false">
      <c r="B232" s="2" t="n">
        <v>231</v>
      </c>
      <c r="C232" s="2" t="n">
        <v>5.01596345597953E-019</v>
      </c>
      <c r="D232" s="2" t="n">
        <v>2.19448401199105E-019</v>
      </c>
      <c r="E232" s="2" t="n">
        <v>6.92061577210561E-011</v>
      </c>
    </row>
    <row r="233" customFormat="false" ht="13.8" hidden="false" customHeight="false" outlineLevel="0" collapsed="false">
      <c r="B233" s="2" t="n">
        <v>232</v>
      </c>
      <c r="C233" s="2" t="n">
        <v>5.27273807577089E-019</v>
      </c>
      <c r="D233" s="2" t="n">
        <v>2.30682290814977E-019</v>
      </c>
      <c r="E233" s="2" t="n">
        <v>7.03928491862103E-011</v>
      </c>
    </row>
    <row r="234" customFormat="false" ht="13.8" hidden="false" customHeight="false" outlineLevel="0" collapsed="false">
      <c r="B234" s="2" t="n">
        <v>233</v>
      </c>
      <c r="C234" s="2" t="n">
        <v>5.52951269556225E-019</v>
      </c>
      <c r="D234" s="2" t="n">
        <v>2.41916180430849E-019</v>
      </c>
      <c r="E234" s="2" t="n">
        <v>7.15938530726242E-011</v>
      </c>
    </row>
    <row r="235" customFormat="false" ht="13.8" hidden="false" customHeight="false" outlineLevel="0" collapsed="false">
      <c r="B235" s="2" t="n">
        <v>234</v>
      </c>
      <c r="C235" s="2" t="n">
        <v>1.43093619930001E-009</v>
      </c>
      <c r="D235" s="2" t="n">
        <v>2.48353799536641E-019</v>
      </c>
      <c r="E235" s="2" t="n">
        <v>7.28091692926286E-011</v>
      </c>
    </row>
    <row r="236" customFormat="false" ht="13.8" hidden="false" customHeight="false" outlineLevel="0" collapsed="false">
      <c r="B236" s="2" t="n">
        <v>235</v>
      </c>
      <c r="C236" s="2" t="n">
        <v>2.77948239467422E-009</v>
      </c>
      <c r="D236" s="2" t="n">
        <v>2.54791418642433E-019</v>
      </c>
      <c r="E236" s="2" t="n">
        <v>7.19069782053913E-011</v>
      </c>
    </row>
    <row r="237" customFormat="false" ht="13.8" hidden="false" customHeight="false" outlineLevel="0" collapsed="false">
      <c r="B237" s="2" t="n">
        <v>236</v>
      </c>
      <c r="C237" s="2" t="n">
        <v>5.97094943424513E-019</v>
      </c>
      <c r="D237" s="2" t="n">
        <v>0</v>
      </c>
      <c r="E237" s="2" t="n">
        <v>7.31151020755519E-011</v>
      </c>
    </row>
    <row r="238" customFormat="false" ht="13.8" hidden="false" customHeight="false" outlineLevel="0" collapsed="false">
      <c r="B238" s="2" t="n">
        <v>237</v>
      </c>
      <c r="C238" s="2" t="n">
        <v>6.11809501380609E-019</v>
      </c>
      <c r="D238" s="2" t="n">
        <v>0</v>
      </c>
      <c r="E238" s="2" t="n">
        <v>7.43371263986929E-011</v>
      </c>
    </row>
    <row r="239" customFormat="false" ht="13.8" hidden="false" customHeight="false" outlineLevel="0" collapsed="false">
      <c r="B239" s="2" t="n">
        <v>238</v>
      </c>
      <c r="C239" s="2" t="n">
        <v>6.14485266006017E-019</v>
      </c>
      <c r="D239" s="2" t="n">
        <v>0</v>
      </c>
      <c r="E239" s="2" t="n">
        <v>7.55730509500452E-011</v>
      </c>
    </row>
    <row r="240" customFormat="false" ht="13.8" hidden="false" customHeight="false" outlineLevel="0" collapsed="false">
      <c r="B240" s="2" t="n">
        <v>239</v>
      </c>
      <c r="C240" s="2" t="n">
        <v>6.17161030631425E-019</v>
      </c>
      <c r="D240" s="2" t="n">
        <v>0</v>
      </c>
      <c r="E240" s="2" t="n">
        <v>7.68228758458658E-011</v>
      </c>
    </row>
    <row r="241" customFormat="false" ht="13.8" hidden="false" customHeight="false" outlineLevel="0" collapsed="false">
      <c r="B241" s="2" t="n">
        <v>240</v>
      </c>
      <c r="C241" s="2" t="n">
        <v>6.19836795256833E-019</v>
      </c>
      <c r="D241" s="2" t="n">
        <v>5.00005000140215E-009</v>
      </c>
      <c r="E241" s="2" t="n">
        <v>7.80866009915342E-011</v>
      </c>
    </row>
    <row r="242" customFormat="false" ht="13.8" hidden="false" customHeight="false" outlineLevel="0" collapsed="false">
      <c r="B242" s="2" t="n">
        <v>241</v>
      </c>
      <c r="C242" s="2" t="n">
        <v>0</v>
      </c>
      <c r="D242" s="2" t="n">
        <v>1.00001500030027E-008</v>
      </c>
      <c r="E242" s="2" t="n">
        <v>7.93642265224197E-011</v>
      </c>
    </row>
    <row r="243" customFormat="false" ht="13.8" hidden="false" customHeight="false" outlineLevel="0" collapsed="false">
      <c r="B243" s="2" t="n">
        <v>242</v>
      </c>
      <c r="C243" s="2" t="n">
        <v>1.31409626649319E-009</v>
      </c>
      <c r="D243" s="2" t="n">
        <v>1.50003000065704E-008</v>
      </c>
      <c r="E243" s="2" t="n">
        <v>4.17316346418421E-010</v>
      </c>
    </row>
    <row r="244" customFormat="false" ht="13.8" hidden="false" customHeight="false" outlineLevel="0" collapsed="false">
      <c r="B244" s="2" t="n">
        <v>243</v>
      </c>
      <c r="C244" s="2" t="n">
        <v>7.62474947352937E-009</v>
      </c>
      <c r="D244" s="2" t="n">
        <v>2.00005000119137E-008</v>
      </c>
      <c r="E244" s="2" t="n">
        <v>2.63857263907856E-011</v>
      </c>
    </row>
    <row r="245" customFormat="false" ht="13.8" hidden="false" customHeight="false" outlineLevel="0" collapsed="false">
      <c r="B245" s="2" t="n">
        <v>244</v>
      </c>
      <c r="C245" s="2" t="n">
        <v>1.26248757225283E-008</v>
      </c>
      <c r="D245" s="2" t="n">
        <v>2.50007500199123E-008</v>
      </c>
      <c r="E245" s="2" t="n">
        <v>2.68104599898179E-011</v>
      </c>
    </row>
    <row r="246" customFormat="false" ht="13.8" hidden="false" customHeight="false" outlineLevel="0" collapsed="false">
      <c r="B246" s="2" t="n">
        <v>245</v>
      </c>
      <c r="C246" s="2" t="n">
        <v>1.76250519731719E-008</v>
      </c>
      <c r="D246" s="2" t="n">
        <v>3.0001050031E-008</v>
      </c>
      <c r="E246" s="2" t="n">
        <v>2.72396681859814E-011</v>
      </c>
    </row>
    <row r="247" customFormat="false" ht="13.8" hidden="false" customHeight="false" outlineLevel="0" collapsed="false">
      <c r="B247" s="2" t="n">
        <v>246</v>
      </c>
      <c r="C247" s="2" t="n">
        <v>2.26252782260853E-008</v>
      </c>
      <c r="D247" s="2" t="n">
        <v>3.50014000456365E-008</v>
      </c>
      <c r="E247" s="2" t="n">
        <v>2.76733440955534E-011</v>
      </c>
    </row>
    <row r="248" customFormat="false" ht="13.8" hidden="false" customHeight="false" outlineLevel="0" collapsed="false">
      <c r="B248" s="2" t="n">
        <v>247</v>
      </c>
      <c r="C248" s="2" t="n">
        <v>2.7625554481644E-008</v>
      </c>
      <c r="D248" s="2" t="n">
        <v>4.00018000642255E-008</v>
      </c>
      <c r="E248" s="2" t="n">
        <v>2.81115001724494E-011</v>
      </c>
    </row>
    <row r="249" customFormat="false" ht="13.8" hidden="false" customHeight="false" outlineLevel="0" collapsed="false">
      <c r="B249" s="2" t="n">
        <v>248</v>
      </c>
      <c r="C249" s="2" t="n">
        <v>3.26258807404936E-008</v>
      </c>
      <c r="D249" s="2" t="n">
        <v>4.50022500875063E-008</v>
      </c>
      <c r="E249" s="2" t="n">
        <v>2.86083067888705E-011</v>
      </c>
    </row>
    <row r="250" customFormat="false" ht="13.8" hidden="false" customHeight="false" outlineLevel="0" collapsed="false">
      <c r="B250" s="2" t="n">
        <v>249</v>
      </c>
      <c r="C250" s="2" t="n">
        <v>3.7626257002974E-008</v>
      </c>
      <c r="D250" s="2" t="n">
        <v>5.00027501158352E-008</v>
      </c>
      <c r="E250" s="2" t="n">
        <v>3.0359337958589E-011</v>
      </c>
    </row>
    <row r="251" customFormat="false" ht="13.8" hidden="false" customHeight="false" outlineLevel="0" collapsed="false">
      <c r="B251" s="2" t="n">
        <v>250</v>
      </c>
      <c r="C251" s="2" t="n">
        <v>4.26266832699216E-008</v>
      </c>
      <c r="D251" s="2" t="n">
        <v>5.50033001496226E-008</v>
      </c>
      <c r="E251" s="2" t="n">
        <v>2.34508058788341E-011</v>
      </c>
    </row>
    <row r="252" customFormat="false" ht="13.8" hidden="false" customHeight="false" outlineLevel="0" collapsed="false">
      <c r="B252" s="2" t="n">
        <v>251</v>
      </c>
      <c r="C252" s="2" t="n">
        <v>5.07941572809985E-008</v>
      </c>
      <c r="D252" s="2" t="n">
        <v>6.00039001893254E-008</v>
      </c>
      <c r="E252" s="2" t="n">
        <v>1.55730784707903E-008</v>
      </c>
    </row>
    <row r="253" customFormat="false" ht="13.8" hidden="false" customHeight="false" outlineLevel="0" collapsed="false">
      <c r="B253" s="2" t="n">
        <v>252</v>
      </c>
      <c r="C253" s="2" t="n">
        <v>5.26276858185712E-008</v>
      </c>
      <c r="D253" s="2" t="n">
        <v>6.50045502361186E-008</v>
      </c>
      <c r="E253" s="2" t="n">
        <v>5.86934269908771E-011</v>
      </c>
    </row>
    <row r="254" customFormat="false" ht="13.8" hidden="false" customHeight="false" outlineLevel="0" collapsed="false">
      <c r="B254" s="2" t="n">
        <v>253</v>
      </c>
      <c r="C254" s="2" t="n">
        <v>6.07953077593324E-008</v>
      </c>
      <c r="D254" s="2" t="n">
        <v>7.00052502894398E-008</v>
      </c>
      <c r="E254" s="2" t="n">
        <v>1.81622575024756E-008</v>
      </c>
    </row>
    <row r="255" customFormat="false" ht="13.8" hidden="false" customHeight="false" outlineLevel="0" collapsed="false">
      <c r="B255" s="2" t="n">
        <v>254</v>
      </c>
      <c r="C255" s="2" t="n">
        <v>6.57959451941199E-008</v>
      </c>
      <c r="D255" s="2" t="n">
        <v>7.50060003506454E-008</v>
      </c>
      <c r="E255" s="2" t="n">
        <v>1.94568431968252E-008</v>
      </c>
    </row>
    <row r="256" customFormat="false" ht="13.8" hidden="false" customHeight="false" outlineLevel="0" collapsed="false">
      <c r="B256" s="2" t="n">
        <v>255</v>
      </c>
      <c r="C256" s="2" t="n">
        <v>7.07966267340366E-008</v>
      </c>
      <c r="D256" s="2" t="n">
        <v>8.00068004195982E-008</v>
      </c>
      <c r="E256" s="2" t="n">
        <v>2.07514318060892E-008</v>
      </c>
    </row>
    <row r="257" customFormat="false" ht="13.8" hidden="false" customHeight="false" outlineLevel="0" collapsed="false">
      <c r="B257" s="2" t="n">
        <v>256</v>
      </c>
      <c r="C257" s="2" t="n">
        <v>7.57973540385298E-008</v>
      </c>
      <c r="D257" s="2" t="n">
        <v>8.50076504971768E-008</v>
      </c>
      <c r="E257" s="2" t="n">
        <v>2.20460283221124E-008</v>
      </c>
    </row>
    <row r="258" customFormat="false" ht="13.8" hidden="false" customHeight="false" outlineLevel="0" collapsed="false">
      <c r="B258" s="2" t="n">
        <v>257</v>
      </c>
      <c r="C258" s="2" t="n">
        <v>0.00111728416805206</v>
      </c>
      <c r="D258" s="2" t="n">
        <v>0.000917284168052062</v>
      </c>
      <c r="E258" s="2" t="n">
        <v>0.00111728416804868</v>
      </c>
    </row>
    <row r="259" customFormat="false" ht="13.8" hidden="false" customHeight="false" outlineLevel="0" collapsed="false">
      <c r="B259" s="2" t="n">
        <v>258</v>
      </c>
      <c r="C259" s="2" t="n">
        <v>0.00111738596530076</v>
      </c>
      <c r="D259" s="2" t="n">
        <v>0.000917385965300762</v>
      </c>
      <c r="E259" s="2" t="n">
        <v>0.00111728415959172</v>
      </c>
    </row>
    <row r="260" customFormat="false" ht="13.8" hidden="false" customHeight="false" outlineLevel="0" collapsed="false">
      <c r="B260" s="2" t="n">
        <v>259</v>
      </c>
      <c r="C260" s="2" t="n">
        <v>0.00111739213922215</v>
      </c>
      <c r="D260" s="2" t="n">
        <v>0.000917392139222154</v>
      </c>
      <c r="E260" s="2" t="n">
        <v>0.00111728415119649</v>
      </c>
    </row>
    <row r="261" customFormat="false" ht="13.8" hidden="false" customHeight="false" outlineLevel="0" collapsed="false">
      <c r="B261" s="2" t="n">
        <v>260</v>
      </c>
      <c r="C261" s="2" t="n">
        <v>0.00111739831320529</v>
      </c>
      <c r="D261" s="2" t="n">
        <v>0.000917398313205286</v>
      </c>
      <c r="E261" s="2" t="n">
        <v>0.00111728414286299</v>
      </c>
    </row>
    <row r="262" customFormat="false" ht="13.8" hidden="false" customHeight="false" outlineLevel="0" collapsed="false">
      <c r="B262" s="2" t="n">
        <v>261</v>
      </c>
      <c r="C262" s="2" t="n">
        <v>0.00111740448725016</v>
      </c>
      <c r="D262" s="2" t="n">
        <v>0.000917404487250158</v>
      </c>
      <c r="E262" s="2" t="n">
        <v>0.00111728413459121</v>
      </c>
    </row>
    <row r="263" customFormat="false" ht="13.8" hidden="false" customHeight="false" outlineLevel="0" collapsed="false">
      <c r="B263" s="2" t="n">
        <v>262</v>
      </c>
      <c r="C263" s="2" t="n">
        <v>0.00111741066135677</v>
      </c>
      <c r="D263" s="2" t="n">
        <v>0.000917410661356773</v>
      </c>
      <c r="E263" s="2" t="n">
        <v>0.00111728412638102</v>
      </c>
    </row>
    <row r="264" customFormat="false" ht="13.8" hidden="false" customHeight="false" outlineLevel="0" collapsed="false">
      <c r="B264" s="2" t="n">
        <v>263</v>
      </c>
      <c r="C264" s="2" t="n">
        <v>0.00111741683552513</v>
      </c>
      <c r="D264" s="2" t="n">
        <v>0.000917416835525128</v>
      </c>
      <c r="E264" s="2" t="n">
        <v>0.00111728411823257</v>
      </c>
    </row>
    <row r="265" customFormat="false" ht="13.8" hidden="false" customHeight="false" outlineLevel="0" collapsed="false">
      <c r="B265" s="2" t="n">
        <v>264</v>
      </c>
      <c r="C265" s="2" t="n">
        <v>0.00111742300975523</v>
      </c>
      <c r="D265" s="2" t="n">
        <v>0.00131691611330199</v>
      </c>
      <c r="E265" s="2" t="n">
        <v>0.00111728411014584</v>
      </c>
    </row>
    <row r="266" customFormat="false" ht="13.8" hidden="false" customHeight="false" outlineLevel="0" collapsed="false">
      <c r="B266" s="2" t="n">
        <v>265</v>
      </c>
      <c r="C266" s="2" t="n">
        <v>0.00111742918404707</v>
      </c>
      <c r="D266" s="2" t="n">
        <v>0.00131692428254481</v>
      </c>
      <c r="E266" s="2" t="n">
        <v>0.00111728417786995</v>
      </c>
    </row>
    <row r="267" customFormat="false" ht="13.8" hidden="false" customHeight="false" outlineLevel="0" collapsed="false">
      <c r="B267" s="2" t="n">
        <v>266</v>
      </c>
      <c r="C267" s="2" t="n">
        <v>0.00111743535840065</v>
      </c>
      <c r="D267" s="2" t="n">
        <v>0.00131693245186933</v>
      </c>
      <c r="E267" s="2" t="n">
        <v>0.00111728417939318</v>
      </c>
    </row>
    <row r="268" customFormat="false" ht="13.8" hidden="false" customHeight="false" outlineLevel="0" collapsed="false">
      <c r="B268" s="2" t="n">
        <v>267</v>
      </c>
      <c r="C268" s="2" t="n">
        <v>0.00111744153281598</v>
      </c>
      <c r="D268" s="2" t="n">
        <v>0.00131694062127555</v>
      </c>
      <c r="E268" s="2" t="n">
        <v>0.00111728418097848</v>
      </c>
    </row>
    <row r="269" customFormat="false" ht="13.8" hidden="false" customHeight="false" outlineLevel="0" collapsed="false">
      <c r="B269" s="2" t="n">
        <v>268</v>
      </c>
      <c r="C269" s="2" t="n">
        <v>0.00111744770729305</v>
      </c>
      <c r="D269" s="2" t="n">
        <v>0.00131694879076346</v>
      </c>
      <c r="E269" s="2" t="n">
        <v>0.00111728418262603</v>
      </c>
    </row>
    <row r="270" customFormat="false" ht="13.8" hidden="false" customHeight="false" outlineLevel="0" collapsed="false">
      <c r="B270" s="2" t="n">
        <v>269</v>
      </c>
      <c r="C270" s="2" t="n">
        <v>0.00111745388183187</v>
      </c>
      <c r="D270" s="2" t="n">
        <v>0.00131695696033306</v>
      </c>
      <c r="E270" s="2" t="n">
        <v>0.00111728418433585</v>
      </c>
    </row>
    <row r="271" customFormat="false" ht="13.8" hidden="false" customHeight="false" outlineLevel="0" collapsed="false">
      <c r="B271" s="2" t="n">
        <v>270</v>
      </c>
      <c r="C271" s="2" t="n">
        <v>0.00111746005643243</v>
      </c>
      <c r="D271" s="2" t="n">
        <v>0.00131696512998436</v>
      </c>
      <c r="E271" s="2" t="n">
        <v>0.00111728418610774</v>
      </c>
    </row>
    <row r="272" customFormat="false" ht="13.8" hidden="false" customHeight="false" outlineLevel="0" collapsed="false">
      <c r="B272" s="2" t="n">
        <v>271</v>
      </c>
      <c r="C272" s="2" t="n">
        <v>0.00111746623109474</v>
      </c>
      <c r="D272" s="2" t="n">
        <v>0.00131697329971736</v>
      </c>
      <c r="E272" s="2" t="n">
        <v>0.00111728418794206</v>
      </c>
    </row>
    <row r="273" customFormat="false" ht="13.8" hidden="false" customHeight="false" outlineLevel="0" collapsed="false">
      <c r="B273" s="2" t="n">
        <v>272</v>
      </c>
      <c r="C273" s="2" t="n">
        <v>0.0011174724058188</v>
      </c>
      <c r="D273" s="2" t="n">
        <v>0.00131698146953206</v>
      </c>
      <c r="E273" s="2" t="n">
        <v>0.00111728418983803</v>
      </c>
    </row>
    <row r="274" customFormat="false" ht="13.8" hidden="false" customHeight="false" outlineLevel="0" collapsed="false">
      <c r="B274" s="2" t="n">
        <v>273</v>
      </c>
      <c r="C274" s="2" t="n">
        <v>0.00111747858060461</v>
      </c>
      <c r="D274" s="2" t="n">
        <v>0.00131698963942845</v>
      </c>
      <c r="E274" s="2" t="n">
        <v>0.00111728419179594</v>
      </c>
    </row>
    <row r="275" customFormat="false" ht="13.8" hidden="false" customHeight="false" outlineLevel="0" collapsed="false">
      <c r="B275" s="2" t="n">
        <v>274</v>
      </c>
      <c r="C275" s="2" t="n">
        <v>0.00111748475545216</v>
      </c>
      <c r="D275" s="2" t="n">
        <v>0.00131699780940655</v>
      </c>
      <c r="E275" s="2" t="n">
        <v>0.00111728419381582</v>
      </c>
    </row>
    <row r="276" customFormat="false" ht="13.8" hidden="false" customHeight="false" outlineLevel="0" collapsed="false">
      <c r="B276" s="2" t="n">
        <v>275</v>
      </c>
      <c r="C276" s="2" t="n">
        <v>0.00111749093036147</v>
      </c>
      <c r="D276" s="2" t="n">
        <v>0.00131700597946634</v>
      </c>
      <c r="E276" s="2" t="n">
        <v>0.00111728419589767</v>
      </c>
    </row>
    <row r="277" customFormat="false" ht="13.8" hidden="false" customHeight="false" outlineLevel="0" collapsed="false">
      <c r="B277" s="2" t="n">
        <v>276</v>
      </c>
      <c r="C277" s="2" t="n">
        <v>0.00111749710533252</v>
      </c>
      <c r="D277" s="2" t="n">
        <v>0.00131701414960784</v>
      </c>
      <c r="E277" s="2" t="n">
        <v>0.00111728419804149</v>
      </c>
    </row>
    <row r="278" customFormat="false" ht="13.8" hidden="false" customHeight="false" outlineLevel="0" collapsed="false">
      <c r="B278" s="2" t="n">
        <v>277</v>
      </c>
      <c r="C278" s="2" t="n">
        <v>0.00111750328036532</v>
      </c>
      <c r="D278" s="2" t="n">
        <v>0.00131702231983104</v>
      </c>
      <c r="E278" s="2" t="n">
        <v>0.00111728420024729</v>
      </c>
    </row>
    <row r="279" customFormat="false" ht="13.8" hidden="false" customHeight="false" outlineLevel="0" collapsed="false">
      <c r="B279" s="2" t="n">
        <v>278</v>
      </c>
      <c r="C279" s="2" t="n">
        <v>0.00111750945545988</v>
      </c>
      <c r="D279" s="2" t="n">
        <v>0.00131703049013594</v>
      </c>
      <c r="E279" s="2" t="n">
        <v>0.00111728420251477</v>
      </c>
    </row>
    <row r="280" customFormat="false" ht="13.8" hidden="false" customHeight="false" outlineLevel="0" collapsed="false">
      <c r="B280" s="2" t="n">
        <v>279</v>
      </c>
      <c r="C280" s="2" t="n">
        <v>0.00111751563061618</v>
      </c>
      <c r="D280" s="2" t="n">
        <v>0.00131703866052255</v>
      </c>
      <c r="E280" s="2" t="n">
        <v>0.00111728420484506</v>
      </c>
    </row>
    <row r="281" customFormat="false" ht="13.8" hidden="false" customHeight="false" outlineLevel="0" collapsed="false">
      <c r="B281" s="2" t="n">
        <v>280</v>
      </c>
      <c r="C281" s="2" t="n">
        <v>0.00111752180583424</v>
      </c>
      <c r="D281" s="2" t="n">
        <v>0.00131704683099086</v>
      </c>
      <c r="E281" s="2" t="n">
        <v>0.00111728420722822</v>
      </c>
    </row>
    <row r="282" customFormat="false" ht="13.8" hidden="false" customHeight="false" outlineLevel="0" collapsed="false">
      <c r="B282" s="2" t="n">
        <v>281</v>
      </c>
      <c r="C282" s="2" t="n">
        <v>0.00111752798111405</v>
      </c>
      <c r="D282" s="2" t="n">
        <v>0.00131705500154087</v>
      </c>
      <c r="E282" s="2" t="n">
        <v>0.0011172842096912</v>
      </c>
    </row>
    <row r="283" customFormat="false" ht="13.8" hidden="false" customHeight="false" outlineLevel="0" collapsed="false">
      <c r="B283" s="2" t="n">
        <v>282</v>
      </c>
      <c r="C283" s="2" t="n">
        <v>0.00111753415645562</v>
      </c>
      <c r="D283" s="2" t="n">
        <v>0.0013170631721726</v>
      </c>
      <c r="E283" s="2" t="n">
        <v>0.00111728421220738</v>
      </c>
    </row>
    <row r="284" customFormat="false" ht="13.8" hidden="false" customHeight="false" outlineLevel="0" collapsed="false">
      <c r="B284" s="2" t="n">
        <v>283</v>
      </c>
      <c r="C284" s="2" t="n">
        <v>0.00111754033185894</v>
      </c>
      <c r="D284" s="2" t="n">
        <v>0.00131707134288603</v>
      </c>
      <c r="E284" s="2" t="n">
        <v>0.00111728421478531</v>
      </c>
    </row>
    <row r="285" customFormat="false" ht="13.8" hidden="false" customHeight="false" outlineLevel="0" collapsed="false">
      <c r="B285" s="2" t="n">
        <v>284</v>
      </c>
      <c r="C285" s="2" t="n">
        <v>0.00111754650732401</v>
      </c>
      <c r="D285" s="2" t="n">
        <v>0.00131707951368117</v>
      </c>
      <c r="E285" s="2" t="n">
        <v>0.0011172842174257</v>
      </c>
    </row>
    <row r="286" customFormat="false" ht="13.8" hidden="false" customHeight="false" outlineLevel="0" collapsed="false">
      <c r="B286" s="2" t="n">
        <v>285</v>
      </c>
      <c r="C286" s="2" t="n">
        <v>0.00111755268285084</v>
      </c>
      <c r="D286" s="2" t="n">
        <v>0.00131708768455801</v>
      </c>
      <c r="E286" s="2" t="n">
        <v>0.00111728422012828</v>
      </c>
    </row>
    <row r="287" customFormat="false" ht="13.8" hidden="false" customHeight="false" outlineLevel="0" collapsed="false">
      <c r="B287" s="2" t="n">
        <v>286</v>
      </c>
      <c r="C287" s="2" t="n">
        <v>0.00111755885843942</v>
      </c>
      <c r="D287" s="2" t="n">
        <v>0.00131709585551657</v>
      </c>
      <c r="E287" s="2" t="n">
        <v>0.00111728422289305</v>
      </c>
    </row>
    <row r="288" customFormat="false" ht="13.8" hidden="false" customHeight="false" outlineLevel="0" collapsed="false">
      <c r="B288" s="2" t="n">
        <v>287</v>
      </c>
      <c r="C288" s="2" t="n">
        <v>0.00111756503408976</v>
      </c>
      <c r="D288" s="2" t="n">
        <v>0.00131710402655684</v>
      </c>
      <c r="E288" s="2" t="n">
        <v>0.00111728422572001</v>
      </c>
    </row>
    <row r="289" customFormat="false" ht="13.8" hidden="false" customHeight="false" outlineLevel="0" collapsed="false">
      <c r="B289" s="2" t="n">
        <v>288</v>
      </c>
      <c r="C289" s="2" t="n">
        <v>0.00111757120980186</v>
      </c>
      <c r="D289" s="2" t="n">
        <v>0.00131711219767881</v>
      </c>
      <c r="E289" s="2" t="n">
        <v>0.00111728422860915</v>
      </c>
    </row>
    <row r="290" customFormat="false" ht="13.8" hidden="false" customHeight="false" outlineLevel="0" collapsed="false">
      <c r="B290" s="2" t="n">
        <v>289</v>
      </c>
      <c r="C290" s="2" t="n">
        <v>0.00111757738557572</v>
      </c>
      <c r="D290" s="2" t="n">
        <v>0.00131723837658127</v>
      </c>
      <c r="E290" s="2" t="n">
        <v>0.00111728406878972</v>
      </c>
    </row>
    <row r="291" customFormat="false" ht="13.8" hidden="false" customHeight="false" outlineLevel="0" collapsed="false">
      <c r="B291" s="2" t="n">
        <v>290</v>
      </c>
      <c r="C291" s="2" t="n">
        <v>0.00111758356141133</v>
      </c>
      <c r="D291" s="2" t="n">
        <v>0.00131712854016791</v>
      </c>
      <c r="E291" s="2" t="n">
        <v>0.00111728423457458</v>
      </c>
    </row>
    <row r="292" customFormat="false" ht="13.8" hidden="false" customHeight="false" outlineLevel="0" collapsed="false">
      <c r="B292" s="2" t="n">
        <v>291</v>
      </c>
      <c r="C292" s="2" t="n">
        <v>0.0011175897373087</v>
      </c>
      <c r="D292" s="2" t="n">
        <v>0.00131713671153502</v>
      </c>
      <c r="E292" s="2" t="n">
        <v>0.00111728423765086</v>
      </c>
    </row>
    <row r="293" customFormat="false" ht="13.8" hidden="false" customHeight="false" outlineLevel="0" collapsed="false">
      <c r="B293" s="2" t="n">
        <v>292</v>
      </c>
      <c r="C293" s="2" t="n">
        <v>0.00111759591326784</v>
      </c>
      <c r="D293" s="2" t="n">
        <v>0.00131714488298385</v>
      </c>
      <c r="E293" s="2" t="n">
        <v>0.00111728424078933</v>
      </c>
    </row>
    <row r="294" customFormat="false" ht="13.8" hidden="false" customHeight="false" outlineLevel="0" collapsed="false">
      <c r="B294" s="2" t="n">
        <v>293</v>
      </c>
      <c r="C294" s="2" t="n">
        <v>0.00111760208928873</v>
      </c>
      <c r="D294" s="2" t="n">
        <v>0.0013171530545144</v>
      </c>
      <c r="E294" s="2" t="n">
        <v>0.00111728424398999</v>
      </c>
    </row>
    <row r="295" customFormat="false" ht="13.8" hidden="false" customHeight="false" outlineLevel="0" collapsed="false">
      <c r="B295" s="2" t="n">
        <v>294</v>
      </c>
      <c r="C295" s="2" t="n">
        <v>0.00111760826537138</v>
      </c>
      <c r="D295" s="2" t="n">
        <v>0.00131716122612666</v>
      </c>
      <c r="E295" s="2" t="n">
        <v>0.00111728424725283</v>
      </c>
    </row>
    <row r="296" customFormat="false" ht="13.8" hidden="false" customHeight="false" outlineLevel="0" collapsed="false">
      <c r="B296" s="2" t="n">
        <v>295</v>
      </c>
      <c r="C296" s="2" t="n">
        <v>0.0011176144415158</v>
      </c>
      <c r="D296" s="2" t="n">
        <v>0.00131716939782064</v>
      </c>
      <c r="E296" s="2" t="n">
        <v>0.00111728425057787</v>
      </c>
    </row>
    <row r="297" customFormat="false" ht="13.8" hidden="false" customHeight="false" outlineLevel="0" collapsed="false">
      <c r="B297" s="2" t="n">
        <v>296</v>
      </c>
      <c r="C297" s="2" t="n">
        <v>0.00111762061772197</v>
      </c>
      <c r="D297" s="2" t="n">
        <v>0.00131717756959634</v>
      </c>
      <c r="E297" s="2" t="n">
        <v>0.00111728425396509</v>
      </c>
    </row>
    <row r="298" customFormat="false" ht="13.8" hidden="false" customHeight="false" outlineLevel="0" collapsed="false">
      <c r="B298" s="2" t="n">
        <v>297</v>
      </c>
      <c r="C298" s="2" t="n">
        <v>0.00111762679398991</v>
      </c>
      <c r="D298" s="2" t="n">
        <v>0.00131718574145376</v>
      </c>
      <c r="E298" s="2" t="n">
        <v>0.00111728425741465</v>
      </c>
    </row>
    <row r="299" customFormat="false" ht="13.8" hidden="false" customHeight="false" outlineLevel="0" collapsed="false">
      <c r="B299" s="2" t="n">
        <v>298</v>
      </c>
      <c r="C299" s="2" t="n">
        <v>0.00111763297031962</v>
      </c>
      <c r="D299" s="2" t="n">
        <v>0.00131719391339289</v>
      </c>
      <c r="E299" s="2" t="n">
        <v>0.00111728426092599</v>
      </c>
    </row>
    <row r="300" customFormat="false" ht="13.8" hidden="false" customHeight="false" outlineLevel="0" collapsed="false">
      <c r="B300" s="2" t="n">
        <v>299</v>
      </c>
      <c r="C300" s="2" t="n">
        <v>0.00111763914671108</v>
      </c>
      <c r="D300" s="2" t="n">
        <v>0.00131720208541375</v>
      </c>
      <c r="E300" s="2" t="n">
        <v>0.00111728426450009</v>
      </c>
    </row>
    <row r="301" customFormat="false" ht="13.8" hidden="false" customHeight="false" outlineLevel="0" collapsed="false">
      <c r="B301" s="2" t="n">
        <v>300</v>
      </c>
      <c r="C301" s="2" t="n">
        <v>0.00111764532316432</v>
      </c>
      <c r="D301" s="2" t="n">
        <v>0.00131721025751632</v>
      </c>
      <c r="E301" s="2" t="n">
        <v>0.00111728426813511</v>
      </c>
    </row>
    <row r="302" customFormat="false" ht="13.8" hidden="false" customHeight="false" outlineLevel="0" collapsed="false">
      <c r="B302" s="2" t="n">
        <v>301</v>
      </c>
      <c r="C302" s="2" t="n">
        <v>0.00111765149967931</v>
      </c>
      <c r="D302" s="2" t="n">
        <v>0.00131721842970062</v>
      </c>
      <c r="E302" s="2" t="n">
        <v>0.00111728427183274</v>
      </c>
    </row>
    <row r="303" customFormat="false" ht="13.8" hidden="false" customHeight="false" outlineLevel="0" collapsed="false">
      <c r="B303" s="2" t="n">
        <v>302</v>
      </c>
      <c r="C303" s="2" t="n">
        <v>0.00111765767625607</v>
      </c>
      <c r="D303" s="2" t="n">
        <v>0.00131722660196664</v>
      </c>
      <c r="E303" s="2" t="n">
        <v>0.00111728427559254</v>
      </c>
    </row>
    <row r="304" customFormat="false" ht="13.8" hidden="false" customHeight="false" outlineLevel="0" collapsed="false">
      <c r="B304" s="2" t="n">
        <v>303</v>
      </c>
      <c r="C304" s="2" t="n">
        <v>0.0011176638528946</v>
      </c>
      <c r="D304" s="2" t="n">
        <v>0.00131723477431439</v>
      </c>
      <c r="E304" s="2" t="n">
        <v>0.00111728427941454</v>
      </c>
    </row>
    <row r="305" customFormat="false" ht="13.8" hidden="false" customHeight="false" outlineLevel="0" collapsed="false">
      <c r="B305" s="2" t="n">
        <v>304</v>
      </c>
      <c r="C305" s="2" t="n">
        <v>0.0011176700295949</v>
      </c>
      <c r="D305" s="2" t="n">
        <v>0.00131724294674386</v>
      </c>
      <c r="E305" s="2" t="n">
        <v>0.00111728428329872</v>
      </c>
    </row>
    <row r="306" customFormat="false" ht="13.8" hidden="false" customHeight="false" outlineLevel="0" collapsed="false">
      <c r="B306" s="2" t="n">
        <v>305</v>
      </c>
      <c r="C306" s="2" t="n">
        <v>0.00111767620635696</v>
      </c>
      <c r="D306" s="2" t="n">
        <v>0.00131725111925505</v>
      </c>
      <c r="E306" s="2" t="n">
        <v>0.0011172842872451</v>
      </c>
    </row>
    <row r="307" customFormat="false" ht="13.8" hidden="false" customHeight="false" outlineLevel="0" collapsed="false">
      <c r="B307" s="2" t="n">
        <v>306</v>
      </c>
      <c r="C307" s="2" t="n">
        <v>0.00111768238318079</v>
      </c>
      <c r="D307" s="2" t="n">
        <v>0.00131725929184797</v>
      </c>
      <c r="E307" s="2" t="n">
        <v>0.00111728429125365</v>
      </c>
    </row>
    <row r="308" customFormat="false" ht="13.8" hidden="false" customHeight="false" outlineLevel="0" collapsed="false">
      <c r="B308" s="2" t="n">
        <v>307</v>
      </c>
      <c r="C308" s="2" t="n">
        <v>0.0011176885600664</v>
      </c>
      <c r="D308" s="2" t="n">
        <v>0.00131726746452262</v>
      </c>
      <c r="E308" s="2" t="n">
        <v>0.0011172842953244</v>
      </c>
    </row>
    <row r="309" customFormat="false" ht="13.8" hidden="false" customHeight="false" outlineLevel="0" collapsed="false">
      <c r="B309" s="2" t="n">
        <v>308</v>
      </c>
      <c r="C309" s="2" t="n">
        <v>0.00111769473701377</v>
      </c>
      <c r="D309" s="2" t="n">
        <v>0.00131727563727899</v>
      </c>
      <c r="E309" s="2" t="n">
        <v>0.00111728381542638</v>
      </c>
    </row>
    <row r="310" customFormat="false" ht="13.8" hidden="false" customHeight="false" outlineLevel="0" collapsed="false">
      <c r="B310" s="2" t="n">
        <v>309</v>
      </c>
      <c r="C310" s="2" t="n">
        <v>0.00111770091402291</v>
      </c>
      <c r="D310" s="2" t="n">
        <v>0.0013172838101171</v>
      </c>
      <c r="E310" s="2" t="n">
        <v>0.0011172838101171</v>
      </c>
    </row>
    <row r="311" customFormat="false" ht="13.8" hidden="false" customHeight="false" outlineLevel="0" collapsed="false">
      <c r="B311" s="2" t="n">
        <v>310</v>
      </c>
      <c r="C311" s="2" t="n">
        <v>0.00111770709109382</v>
      </c>
      <c r="D311" s="2" t="n">
        <v>0.000917707091093817</v>
      </c>
      <c r="E311" s="2" t="n">
        <v>0.00111728380486912</v>
      </c>
    </row>
    <row r="312" customFormat="false" ht="13.8" hidden="false" customHeight="false" outlineLevel="0" collapsed="false">
      <c r="B312" s="2" t="n">
        <v>311</v>
      </c>
      <c r="C312" s="2" t="n">
        <v>0.0011177132682265</v>
      </c>
      <c r="D312" s="2" t="n">
        <v>0.000917713268226499</v>
      </c>
      <c r="E312" s="2" t="n">
        <v>0.00111728379968286</v>
      </c>
    </row>
    <row r="313" customFormat="false" ht="13.8" hidden="false" customHeight="false" outlineLevel="0" collapsed="false">
      <c r="B313" s="2" t="n">
        <v>312</v>
      </c>
      <c r="C313" s="2" t="n">
        <v>0.00111771944542095</v>
      </c>
      <c r="D313" s="2" t="n">
        <v>0.000917719445420952</v>
      </c>
      <c r="E313" s="2" t="n">
        <v>0.000917719445419624</v>
      </c>
    </row>
    <row r="314" customFormat="false" ht="13.8" hidden="false" customHeight="false" outlineLevel="0" collapsed="false">
      <c r="B314" s="2" t="n">
        <v>313</v>
      </c>
      <c r="C314" s="2" t="n">
        <v>0.00111772562267718</v>
      </c>
      <c r="D314" s="2" t="n">
        <v>0.000917725622677179</v>
      </c>
      <c r="E314" s="2" t="n">
        <v>0.000917725622675408</v>
      </c>
    </row>
    <row r="315" customFormat="false" ht="13.8" hidden="false" customHeight="false" outlineLevel="0" collapsed="false">
      <c r="B315" s="2" t="n">
        <v>314</v>
      </c>
      <c r="C315" s="2" t="n">
        <v>0.00111728378449667</v>
      </c>
      <c r="D315" s="2" t="n">
        <v>0.000917283784496673</v>
      </c>
      <c r="E315" s="2" t="n">
        <v>0.00111728378449345</v>
      </c>
    </row>
    <row r="316" customFormat="false" ht="13.8" hidden="false" customHeight="false" outlineLevel="0" collapsed="false">
      <c r="B316" s="2" t="n">
        <v>315</v>
      </c>
      <c r="C316" s="2" t="n">
        <v>0.0002</v>
      </c>
      <c r="D316" s="2" t="n">
        <v>3.06472530679336E-020</v>
      </c>
      <c r="E316" s="2" t="n">
        <v>0</v>
      </c>
    </row>
    <row r="317" customFormat="false" ht="13.8" hidden="false" customHeight="false" outlineLevel="0" collapsed="false">
      <c r="B317" s="2" t="n">
        <v>316</v>
      </c>
      <c r="C317" s="2" t="n">
        <v>9.29495347363842E-020</v>
      </c>
      <c r="D317" s="2" t="n">
        <v>4.06654214471681E-020</v>
      </c>
      <c r="E317" s="2" t="n">
        <v>0</v>
      </c>
    </row>
    <row r="318" customFormat="false" ht="13.8" hidden="false" customHeight="false" outlineLevel="0" collapsed="false">
      <c r="B318" s="2" t="n">
        <v>317</v>
      </c>
      <c r="C318" s="2" t="n">
        <v>1.1497627451392E-019</v>
      </c>
      <c r="D318" s="2" t="n">
        <v>5.03021200998401E-020</v>
      </c>
      <c r="E318" s="2" t="n">
        <v>0</v>
      </c>
    </row>
    <row r="319" customFormat="false" ht="13.8" hidden="false" customHeight="false" outlineLevel="0" collapsed="false">
      <c r="B319" s="2" t="n">
        <v>318</v>
      </c>
      <c r="C319" s="2" t="n">
        <v>1.6048145301504E-019</v>
      </c>
      <c r="D319" s="2" t="n">
        <v>7.02106356940802E-020</v>
      </c>
      <c r="E319" s="2" t="n">
        <v>0</v>
      </c>
    </row>
    <row r="320" customFormat="false" ht="13.8" hidden="false" customHeight="false" outlineLevel="0" collapsed="false">
      <c r="B320" s="2" t="n">
        <v>319</v>
      </c>
      <c r="C320" s="2" t="n">
        <v>2.0598663151616E-019</v>
      </c>
      <c r="D320" s="2" t="n">
        <v>9.01191512883202E-020</v>
      </c>
      <c r="E320" s="2" t="n">
        <v>0</v>
      </c>
    </row>
    <row r="321" customFormat="false" ht="13.8" hidden="false" customHeight="false" outlineLevel="0" collapsed="false">
      <c r="B321" s="2" t="n">
        <v>320</v>
      </c>
      <c r="C321" s="2" t="n">
        <v>2.51491810017281E-019</v>
      </c>
      <c r="D321" s="2" t="n">
        <v>1.1002766688256E-019</v>
      </c>
      <c r="E321" s="2" t="n">
        <v>0</v>
      </c>
    </row>
    <row r="322" customFormat="false" ht="13.8" hidden="false" customHeight="false" outlineLevel="0" collapsed="false">
      <c r="B322" s="2" t="n">
        <v>321</v>
      </c>
      <c r="C322" s="2" t="n">
        <v>2.96996988518401E-019</v>
      </c>
      <c r="D322" s="2" t="n">
        <v>1.299361824768E-019</v>
      </c>
      <c r="E322" s="2" t="n">
        <v>0</v>
      </c>
    </row>
    <row r="323" customFormat="false" ht="13.8" hidden="false" customHeight="false" outlineLevel="0" collapsed="false">
      <c r="B323" s="2" t="n">
        <v>322</v>
      </c>
      <c r="C323" s="2" t="n">
        <v>3.26567838351361E-019</v>
      </c>
      <c r="D323" s="2" t="n">
        <v>1.4287342927872E-019</v>
      </c>
      <c r="E323" s="2" t="n">
        <v>0</v>
      </c>
    </row>
    <row r="324" customFormat="false" ht="13.8" hidden="false" customHeight="false" outlineLevel="0" collapsed="false">
      <c r="B324" s="2" t="n">
        <v>323</v>
      </c>
      <c r="C324" s="2" t="n">
        <v>3.56138688184321E-019</v>
      </c>
      <c r="D324" s="2" t="n">
        <v>1.5581067608064E-019</v>
      </c>
      <c r="E324" s="2" t="n">
        <v>0</v>
      </c>
    </row>
    <row r="325" customFormat="false" ht="13.8" hidden="false" customHeight="false" outlineLevel="0" collapsed="false">
      <c r="B325" s="2" t="n">
        <v>324</v>
      </c>
      <c r="C325" s="2" t="n">
        <v>3.85709538017281E-019</v>
      </c>
      <c r="D325" s="2" t="n">
        <v>1.6874792288256E-019</v>
      </c>
      <c r="E325" s="2" t="n">
        <v>0</v>
      </c>
    </row>
    <row r="326" customFormat="false" ht="13.8" hidden="false" customHeight="false" outlineLevel="0" collapsed="false">
      <c r="B326" s="2" t="n">
        <v>325</v>
      </c>
      <c r="C326" s="2" t="n">
        <v>4.15280387850241E-019</v>
      </c>
      <c r="D326" s="2" t="n">
        <v>1.8168516968448E-019</v>
      </c>
      <c r="E326" s="2" t="n">
        <v>0</v>
      </c>
    </row>
    <row r="327" customFormat="false" ht="13.8" hidden="false" customHeight="false" outlineLevel="0" collapsed="false">
      <c r="B327" s="2" t="n">
        <v>326</v>
      </c>
      <c r="C327" s="2" t="n">
        <v>4.47018048684033E-019</v>
      </c>
      <c r="D327" s="2" t="n">
        <v>1.95570396299264E-019</v>
      </c>
      <c r="E327" s="2" t="n">
        <v>0</v>
      </c>
    </row>
    <row r="328" customFormat="false" ht="13.8" hidden="false" customHeight="false" outlineLevel="0" collapsed="false">
      <c r="B328" s="2" t="n">
        <v>327</v>
      </c>
      <c r="C328" s="2" t="n">
        <v>4.78755709517825E-019</v>
      </c>
      <c r="D328" s="2" t="n">
        <v>2.09455622914048E-019</v>
      </c>
      <c r="E328" s="2" t="n">
        <v>0</v>
      </c>
    </row>
    <row r="329" customFormat="false" ht="13.8" hidden="false" customHeight="false" outlineLevel="0" collapsed="false">
      <c r="B329" s="2" t="n">
        <v>328</v>
      </c>
      <c r="C329" s="2" t="n">
        <v>5.10493370351617E-019</v>
      </c>
      <c r="D329" s="2" t="n">
        <v>2.23340849528832E-019</v>
      </c>
      <c r="E329" s="2" t="n">
        <v>0</v>
      </c>
    </row>
    <row r="330" customFormat="false" ht="13.8" hidden="false" customHeight="false" outlineLevel="0" collapsed="false">
      <c r="B330" s="2" t="n">
        <v>329</v>
      </c>
      <c r="C330" s="2" t="n">
        <v>5.42231031185409E-019</v>
      </c>
      <c r="D330" s="2" t="n">
        <v>2.37226076143617E-019</v>
      </c>
      <c r="E330" s="2" t="n">
        <v>0</v>
      </c>
    </row>
    <row r="331" customFormat="false" ht="13.8" hidden="false" customHeight="false" outlineLevel="0" collapsed="false">
      <c r="B331" s="2" t="n">
        <v>330</v>
      </c>
      <c r="C331" s="2" t="n">
        <v>5.47606182756353E-019</v>
      </c>
      <c r="D331" s="2" t="n">
        <v>0</v>
      </c>
      <c r="E331" s="2" t="n">
        <v>0</v>
      </c>
    </row>
    <row r="332" customFormat="false" ht="13.8" hidden="false" customHeight="false" outlineLevel="0" collapsed="false">
      <c r="B332" s="2" t="n">
        <v>331</v>
      </c>
      <c r="C332" s="2" t="n">
        <v>5.52981334327297E-019</v>
      </c>
      <c r="D332" s="2" t="n">
        <v>0</v>
      </c>
      <c r="E332" s="2" t="n">
        <v>0</v>
      </c>
    </row>
    <row r="333" customFormat="false" ht="13.8" hidden="false" customHeight="false" outlineLevel="0" collapsed="false">
      <c r="B333" s="2" t="n">
        <v>332</v>
      </c>
      <c r="C333" s="2" t="n">
        <v>5.58356485898241E-019</v>
      </c>
      <c r="D333" s="2" t="n">
        <v>0</v>
      </c>
      <c r="E333" s="2" t="n">
        <v>0</v>
      </c>
    </row>
    <row r="334" customFormat="false" ht="13.8" hidden="false" customHeight="false" outlineLevel="0" collapsed="false">
      <c r="B334" s="2" t="n">
        <v>333</v>
      </c>
      <c r="C334" s="2" t="n">
        <v>5.60679879656685E-019</v>
      </c>
      <c r="D334" s="2" t="n">
        <v>0</v>
      </c>
      <c r="E334" s="2" t="n">
        <v>0</v>
      </c>
    </row>
    <row r="335" customFormat="false" ht="13.8" hidden="false" customHeight="false" outlineLevel="0" collapsed="false">
      <c r="B335" s="2" t="n">
        <v>334</v>
      </c>
      <c r="C335" s="2" t="n">
        <v>5.00005000123129E-009</v>
      </c>
      <c r="D335" s="2" t="n">
        <v>0</v>
      </c>
      <c r="E335" s="2" t="n">
        <v>0</v>
      </c>
    </row>
    <row r="336" customFormat="false" ht="13.8" hidden="false" customHeight="false" outlineLevel="0" collapsed="false">
      <c r="B336" s="2" t="n">
        <v>335</v>
      </c>
      <c r="C336" s="2" t="n">
        <v>1.00001500024868E-008</v>
      </c>
      <c r="D336" s="2" t="n">
        <v>5.00004999875575E-009</v>
      </c>
      <c r="E336" s="2" t="n">
        <v>6.38510225305647E-011</v>
      </c>
    </row>
    <row r="337" customFormat="false" ht="13.8" hidden="false" customHeight="false" outlineLevel="0" collapsed="false">
      <c r="B337" s="2" t="n">
        <v>336</v>
      </c>
      <c r="C337" s="2" t="n">
        <v>1.50003000052374E-008</v>
      </c>
      <c r="D337" s="2" t="n">
        <v>1.00001499995223E-008</v>
      </c>
      <c r="E337" s="2" t="n">
        <v>3.13713783323891E-010</v>
      </c>
    </row>
    <row r="338" customFormat="false" ht="13.8" hidden="false" customHeight="false" outlineLevel="0" collapsed="false">
      <c r="B338" s="2" t="n">
        <v>337</v>
      </c>
      <c r="C338" s="2" t="n">
        <v>2.00005000100911E-008</v>
      </c>
      <c r="D338" s="2" t="n">
        <v>1.50003000017783E-008</v>
      </c>
      <c r="E338" s="2" t="n">
        <v>3.57906576591157E-010</v>
      </c>
    </row>
    <row r="339" customFormat="false" ht="13.8" hidden="false" customHeight="false" outlineLevel="0" collapsed="false">
      <c r="B339" s="2" t="n">
        <v>338</v>
      </c>
      <c r="C339" s="2" t="n">
        <v>2.50007500174301E-008</v>
      </c>
      <c r="D339" s="2" t="n">
        <v>2.00005000060564E-008</v>
      </c>
      <c r="E339" s="2" t="n">
        <v>4.0206490079149E-010</v>
      </c>
    </row>
    <row r="340" customFormat="false" ht="13.8" hidden="false" customHeight="false" outlineLevel="0" collapsed="false">
      <c r="B340" s="2" t="n">
        <v>339</v>
      </c>
      <c r="C340" s="2" t="n">
        <v>3.00010500276449E-008</v>
      </c>
      <c r="D340" s="2" t="n">
        <v>2.50007500131321E-008</v>
      </c>
      <c r="E340" s="2" t="n">
        <v>4.46224916792406E-010</v>
      </c>
    </row>
    <row r="341" customFormat="false" ht="13.8" hidden="false" customHeight="false" outlineLevel="0" collapsed="false">
      <c r="B341" s="2" t="n">
        <v>340</v>
      </c>
      <c r="C341" s="2" t="n">
        <v>3.50014000412482E-008</v>
      </c>
      <c r="D341" s="2" t="n">
        <v>3.00010500230657E-008</v>
      </c>
      <c r="E341" s="2" t="n">
        <v>4.90387773815854E-010</v>
      </c>
    </row>
    <row r="342" customFormat="false" ht="13.8" hidden="false" customHeight="false" outlineLevel="0" collapsed="false">
      <c r="B342" s="2" t="n">
        <v>341</v>
      </c>
      <c r="C342" s="2" t="n">
        <v>4.000180005889E-008</v>
      </c>
      <c r="D342" s="2" t="n">
        <v>3.50014000366143E-008</v>
      </c>
      <c r="E342" s="2" t="n">
        <v>5.34557735057447E-010</v>
      </c>
    </row>
    <row r="343" customFormat="false" ht="13.8" hidden="false" customHeight="false" outlineLevel="0" collapsed="false">
      <c r="B343" s="2" t="n">
        <v>342</v>
      </c>
      <c r="C343" s="2" t="n">
        <v>4.50022500810439E-008</v>
      </c>
      <c r="D343" s="2" t="n">
        <v>4.00018000542762E-008</v>
      </c>
      <c r="E343" s="2" t="n">
        <v>9.8505201558714E-009</v>
      </c>
    </row>
    <row r="344" customFormat="false" ht="13.8" hidden="false" customHeight="false" outlineLevel="0" collapsed="false">
      <c r="B344" s="2" t="n">
        <v>343</v>
      </c>
      <c r="C344" s="2" t="n">
        <v>5.00027501082194E-008</v>
      </c>
      <c r="D344" s="2" t="n">
        <v>4.50022500764339E-008</v>
      </c>
      <c r="E344" s="2" t="n">
        <v>6.22943374142738E-010</v>
      </c>
    </row>
    <row r="345" customFormat="false" ht="13.8" hidden="false" customHeight="false" outlineLevel="0" collapsed="false">
      <c r="B345" s="2" t="n">
        <v>344</v>
      </c>
      <c r="C345" s="2" t="n">
        <v>5.50033001409622E-008</v>
      </c>
      <c r="D345" s="2" t="n">
        <v>5.00027501037304E-008</v>
      </c>
      <c r="E345" s="2" t="n">
        <v>0</v>
      </c>
    </row>
    <row r="346" customFormat="false" ht="13.8" hidden="false" customHeight="false" outlineLevel="0" collapsed="false">
      <c r="B346" s="2" t="n">
        <v>345</v>
      </c>
      <c r="C346" s="2" t="n">
        <v>6.00039001793833E-008</v>
      </c>
      <c r="D346" s="2" t="n">
        <v>5.50033001363797E-008</v>
      </c>
      <c r="E346" s="2" t="n">
        <v>0</v>
      </c>
    </row>
    <row r="347" customFormat="false" ht="13.8" hidden="false" customHeight="false" outlineLevel="0" collapsed="false">
      <c r="B347" s="2" t="n">
        <v>346</v>
      </c>
      <c r="C347" s="2" t="n">
        <v>6.50045502245223E-008</v>
      </c>
      <c r="D347" s="2" t="n">
        <v>6.00039001752496E-008</v>
      </c>
      <c r="E347" s="2" t="n">
        <v>0</v>
      </c>
    </row>
    <row r="348" customFormat="false" ht="13.8" hidden="false" customHeight="false" outlineLevel="0" collapsed="false">
      <c r="B348" s="2" t="n">
        <v>347</v>
      </c>
      <c r="C348" s="2" t="n">
        <v>7.0005250276506E-008</v>
      </c>
      <c r="D348" s="2" t="n">
        <v>6.50045502204643E-008</v>
      </c>
      <c r="E348" s="2" t="n">
        <v>0</v>
      </c>
    </row>
    <row r="349" customFormat="false" ht="13.8" hidden="false" customHeight="false" outlineLevel="0" collapsed="false">
      <c r="B349" s="2" t="n">
        <v>348</v>
      </c>
      <c r="C349" s="2" t="n">
        <v>7.50060003361368E-008</v>
      </c>
      <c r="D349" s="2" t="n">
        <v>7.00052502728543E-008</v>
      </c>
      <c r="E349" s="2" t="n">
        <v>0</v>
      </c>
    </row>
    <row r="350" customFormat="false" ht="13.8" hidden="false" customHeight="false" outlineLevel="0" collapsed="false">
      <c r="B350" s="2" t="n">
        <v>349</v>
      </c>
      <c r="C350" s="2" t="n">
        <v>8.00068004036067E-008</v>
      </c>
      <c r="D350" s="2" t="n">
        <v>7.50060003326807E-008</v>
      </c>
      <c r="E350" s="2" t="n">
        <v>0</v>
      </c>
    </row>
    <row r="351" customFormat="false" ht="13.8" hidden="false" customHeight="false" outlineLevel="0" collapsed="false">
      <c r="B351" s="2" t="n">
        <v>350</v>
      </c>
      <c r="C351" s="2" t="n">
        <v>8.50076504796776E-008</v>
      </c>
      <c r="D351" s="2" t="n">
        <v>8.0006800400533E-008</v>
      </c>
      <c r="E351" s="2" t="n">
        <v>1.93809261630127E-008</v>
      </c>
    </row>
    <row r="352" customFormat="false" ht="13.8" hidden="false" customHeight="false" outlineLevel="0" collapsed="false">
      <c r="B352" s="2" t="n">
        <v>351</v>
      </c>
      <c r="C352" s="2" t="n">
        <v>9.00190140949968E-008</v>
      </c>
      <c r="D352" s="2" t="n">
        <v>8.63153659472633E-008</v>
      </c>
      <c r="E352" s="2" t="n">
        <v>2.33833661629436E-008</v>
      </c>
    </row>
    <row r="353" customFormat="false" ht="13.8" hidden="false" customHeight="false" outlineLevel="0" collapsed="false">
      <c r="B353" s="2" t="n">
        <v>352</v>
      </c>
      <c r="C353" s="2" t="n">
        <v>0.000200090008550562</v>
      </c>
      <c r="D353" s="2" t="n">
        <v>9.00085505622231E-008</v>
      </c>
      <c r="E353" s="2" t="n">
        <v>0.000200090008544318</v>
      </c>
    </row>
    <row r="354" customFormat="false" ht="13.8" hidden="false" customHeight="false" outlineLevel="0" collapsed="false">
      <c r="B354" s="2" t="n">
        <v>353</v>
      </c>
      <c r="C354" s="2" t="n">
        <v>0.000200092372794719</v>
      </c>
      <c r="D354" s="2" t="n">
        <v>9.23728183625661E-008</v>
      </c>
      <c r="E354" s="2" t="n">
        <v>3.19188704083852E-008</v>
      </c>
    </row>
    <row r="355" customFormat="false" ht="13.8" hidden="false" customHeight="false" outlineLevel="0" collapsed="false">
      <c r="B355" s="2" t="n">
        <v>354</v>
      </c>
      <c r="C355" s="2" t="n">
        <v>0.0011808485433884</v>
      </c>
      <c r="D355" s="2" t="n">
        <v>0.000980848543388402</v>
      </c>
      <c r="E355" s="2" t="n">
        <v>0.00111730223884508</v>
      </c>
    </row>
    <row r="356" customFormat="false" ht="13.8" hidden="false" customHeight="false" outlineLevel="0" collapsed="false">
      <c r="B356" s="2" t="n">
        <v>355</v>
      </c>
      <c r="C356" s="2" t="n">
        <v>0.00118085535194192</v>
      </c>
      <c r="D356" s="2" t="n">
        <v>0.00098085535194192</v>
      </c>
      <c r="E356" s="2" t="n">
        <v>0.00111730841192972</v>
      </c>
    </row>
    <row r="357" customFormat="false" ht="13.8" hidden="false" customHeight="false" outlineLevel="0" collapsed="false">
      <c r="B357" s="2" t="n">
        <v>356</v>
      </c>
      <c r="C357" s="2" t="n">
        <v>0.00118086216056353</v>
      </c>
      <c r="D357" s="2" t="n">
        <v>0.000980862160563525</v>
      </c>
      <c r="E357" s="2" t="n">
        <v>0.00111731458507609</v>
      </c>
    </row>
    <row r="358" customFormat="false" ht="13.8" hidden="false" customHeight="false" outlineLevel="0" collapsed="false">
      <c r="B358" s="2" t="n">
        <v>357</v>
      </c>
      <c r="C358" s="2" t="n">
        <v>0.00118086896925322</v>
      </c>
      <c r="D358" s="2" t="n">
        <v>0.000980868969253217</v>
      </c>
      <c r="E358" s="2" t="n">
        <v>0.00111732075828419</v>
      </c>
    </row>
    <row r="359" customFormat="false" ht="13.8" hidden="false" customHeight="false" outlineLevel="0" collapsed="false">
      <c r="B359" s="2" t="n">
        <v>358</v>
      </c>
      <c r="C359" s="2" t="n">
        <v>0.001180875778011</v>
      </c>
      <c r="D359" s="2" t="n">
        <v>0.000980875778010997</v>
      </c>
      <c r="E359" s="2" t="n">
        <v>0.00111732693155383</v>
      </c>
    </row>
    <row r="360" customFormat="false" ht="13.8" hidden="false" customHeight="false" outlineLevel="0" collapsed="false">
      <c r="B360" s="2" t="n">
        <v>359</v>
      </c>
      <c r="C360" s="2" t="n">
        <v>0.00118088258683687</v>
      </c>
      <c r="D360" s="2" t="n">
        <v>0.000980882586836866</v>
      </c>
      <c r="E360" s="2" t="n">
        <v>0.00111733310488521</v>
      </c>
    </row>
    <row r="361" customFormat="false" ht="13.8" hidden="false" customHeight="false" outlineLevel="0" collapsed="false">
      <c r="B361" s="2" t="n">
        <v>360</v>
      </c>
      <c r="C361" s="2" t="n">
        <v>0.00118088939573082</v>
      </c>
      <c r="D361" s="2" t="n">
        <v>0.000980889395730822</v>
      </c>
      <c r="E361" s="2" t="n">
        <v>0.00111733927827832</v>
      </c>
    </row>
    <row r="362" customFormat="false" ht="13.8" hidden="false" customHeight="false" outlineLevel="0" collapsed="false">
      <c r="B362" s="2" t="n">
        <v>361</v>
      </c>
      <c r="C362" s="2" t="n">
        <v>0.00118089620469287</v>
      </c>
      <c r="D362" s="2" t="n">
        <v>0.00111744727110878</v>
      </c>
      <c r="E362" s="2" t="n">
        <v>0.00111734545173317</v>
      </c>
    </row>
    <row r="363" customFormat="false" ht="13.8" hidden="false" customHeight="false" outlineLevel="0" collapsed="false">
      <c r="B363" s="2" t="n">
        <v>362</v>
      </c>
      <c r="C363" s="2" t="n">
        <v>0.00118090301372301</v>
      </c>
      <c r="D363" s="2" t="n">
        <v>0.00111745344568837</v>
      </c>
      <c r="E363" s="2" t="n">
        <v>0.00111735162524942</v>
      </c>
    </row>
    <row r="364" customFormat="false" ht="13.8" hidden="false" customHeight="false" outlineLevel="0" collapsed="false">
      <c r="B364" s="2" t="n">
        <v>363</v>
      </c>
      <c r="C364" s="2" t="n">
        <v>0.00118090982282123</v>
      </c>
      <c r="D364" s="2" t="n">
        <v>0.00111745962032985</v>
      </c>
      <c r="E364" s="2" t="n">
        <v>0.00111735779882741</v>
      </c>
    </row>
    <row r="365" customFormat="false" ht="13.8" hidden="false" customHeight="false" outlineLevel="0" collapsed="false">
      <c r="B365" s="2" t="n">
        <v>364</v>
      </c>
      <c r="C365" s="2" t="n">
        <v>0.00118091063358351</v>
      </c>
      <c r="D365" s="2" t="n">
        <v>0.00111746579503312</v>
      </c>
      <c r="E365" s="2" t="n">
        <v>0.00111736397246713</v>
      </c>
    </row>
    <row r="366" customFormat="false" ht="13.8" hidden="false" customHeight="false" outlineLevel="0" collapsed="false">
      <c r="B366" s="2" t="n">
        <v>365</v>
      </c>
      <c r="C366" s="2" t="n">
        <v>0.00118091744320871</v>
      </c>
      <c r="D366" s="2" t="n">
        <v>0.00111747533926262</v>
      </c>
      <c r="E366" s="2" t="n">
        <v>0.00111737014616859</v>
      </c>
    </row>
    <row r="367" customFormat="false" ht="13.8" hidden="false" customHeight="false" outlineLevel="0" collapsed="false">
      <c r="B367" s="2" t="n">
        <v>366</v>
      </c>
      <c r="C367" s="2" t="n">
        <v>0.00118092425289328</v>
      </c>
      <c r="D367" s="2" t="n">
        <v>0.00111748151407776</v>
      </c>
      <c r="E367" s="2" t="n">
        <v>0.00111737631993179</v>
      </c>
    </row>
    <row r="368" customFormat="false" ht="13.8" hidden="false" customHeight="false" outlineLevel="0" collapsed="false">
      <c r="B368" s="2" t="n">
        <v>367</v>
      </c>
      <c r="C368" s="2" t="n">
        <v>0.00118093106263736</v>
      </c>
      <c r="D368" s="2" t="n">
        <v>0.00111748768895465</v>
      </c>
      <c r="E368" s="2" t="n">
        <v>0.00111738249375672</v>
      </c>
    </row>
    <row r="369" customFormat="false" ht="13.8" hidden="false" customHeight="false" outlineLevel="0" collapsed="false">
      <c r="B369" s="2" t="n">
        <v>368</v>
      </c>
      <c r="C369" s="2" t="n">
        <v>0.00118093787244113</v>
      </c>
      <c r="D369" s="2" t="n">
        <v>0.00111749386389329</v>
      </c>
      <c r="E369" s="2" t="n">
        <v>0.00111738866764339</v>
      </c>
    </row>
    <row r="370" customFormat="false" ht="13.8" hidden="false" customHeight="false" outlineLevel="0" collapsed="false">
      <c r="B370" s="2" t="n">
        <v>369</v>
      </c>
      <c r="C370" s="2" t="n">
        <v>0.00118094468230473</v>
      </c>
      <c r="D370" s="2" t="n">
        <v>0.00111750003889368</v>
      </c>
      <c r="E370" s="2" t="n">
        <v>0.00111739484159181</v>
      </c>
    </row>
    <row r="371" customFormat="false" ht="13.8" hidden="false" customHeight="false" outlineLevel="0" collapsed="false">
      <c r="B371" s="2" t="n">
        <v>370</v>
      </c>
      <c r="C371" s="2" t="n">
        <v>0.00118095149222834</v>
      </c>
      <c r="D371" s="2" t="n">
        <v>0.00111750621395582</v>
      </c>
      <c r="E371" s="2" t="n">
        <v>0.00111740101560196</v>
      </c>
    </row>
    <row r="372" customFormat="false" ht="13.8" hidden="false" customHeight="false" outlineLevel="0" collapsed="false">
      <c r="B372" s="2" t="n">
        <v>371</v>
      </c>
      <c r="C372" s="2" t="n">
        <v>0.00118096429805841</v>
      </c>
      <c r="D372" s="2" t="n">
        <v>0.00111751238907971</v>
      </c>
      <c r="E372" s="2" t="n">
        <v>0.00111740718967386</v>
      </c>
    </row>
    <row r="373" customFormat="false" ht="13.8" hidden="false" customHeight="false" outlineLevel="0" collapsed="false">
      <c r="B373" s="2" t="n">
        <v>372</v>
      </c>
      <c r="C373" s="2" t="n">
        <v>0.00118097110776949</v>
      </c>
      <c r="D373" s="2" t="n">
        <v>0.00111751856426535</v>
      </c>
      <c r="E373" s="2" t="n">
        <v>0.00111741336380749</v>
      </c>
    </row>
    <row r="374" customFormat="false" ht="13.8" hidden="false" customHeight="false" outlineLevel="0" collapsed="false">
      <c r="B374" s="2" t="n">
        <v>373</v>
      </c>
      <c r="C374" s="2" t="n">
        <v>0.00118097791754867</v>
      </c>
      <c r="D374" s="2" t="n">
        <v>0.00111752473951274</v>
      </c>
      <c r="E374" s="2" t="n">
        <v>0.00111741953800287</v>
      </c>
    </row>
    <row r="375" customFormat="false" ht="13.8" hidden="false" customHeight="false" outlineLevel="0" collapsed="false">
      <c r="B375" s="2" t="n">
        <v>374</v>
      </c>
      <c r="C375" s="2" t="n">
        <v>0.00118098472739594</v>
      </c>
      <c r="D375" s="2" t="n">
        <v>0.00111753091482189</v>
      </c>
      <c r="E375" s="2" t="n">
        <v>0.00111742571225999</v>
      </c>
    </row>
    <row r="376" customFormat="false" ht="13.8" hidden="false" customHeight="false" outlineLevel="0" collapsed="false">
      <c r="B376" s="2" t="n">
        <v>375</v>
      </c>
      <c r="C376" s="2" t="n">
        <v>0.00118098554280705</v>
      </c>
      <c r="D376" s="2" t="n">
        <v>0.00111753709019279</v>
      </c>
      <c r="E376" s="2" t="n">
        <v>0.00111743188657886</v>
      </c>
    </row>
    <row r="377" customFormat="false" ht="13.8" hidden="false" customHeight="false" outlineLevel="0" collapsed="false">
      <c r="B377" s="2" t="n">
        <v>376</v>
      </c>
      <c r="C377" s="2" t="n">
        <v>0.00118099235311575</v>
      </c>
      <c r="D377" s="2" t="n">
        <v>0.00111754326562545</v>
      </c>
      <c r="E377" s="2" t="n">
        <v>0.00111743806095946</v>
      </c>
    </row>
    <row r="378" customFormat="false" ht="13.8" hidden="false" customHeight="false" outlineLevel="0" collapsed="false">
      <c r="B378" s="2" t="n">
        <v>377</v>
      </c>
      <c r="C378" s="2" t="n">
        <v>0.00118100515734636</v>
      </c>
      <c r="D378" s="2" t="n">
        <v>0.00111754944111986</v>
      </c>
      <c r="E378" s="2" t="n">
        <v>0.00111744423540181</v>
      </c>
    </row>
    <row r="379" customFormat="false" ht="13.8" hidden="false" customHeight="false" outlineLevel="0" collapsed="false">
      <c r="B379" s="2" t="n">
        <v>378</v>
      </c>
      <c r="C379" s="2" t="n">
        <v>0.00118100597392144</v>
      </c>
      <c r="D379" s="2" t="n">
        <v>0.00111755561667603</v>
      </c>
      <c r="E379" s="2" t="n">
        <v>0.00111745040990591</v>
      </c>
    </row>
    <row r="380" customFormat="false" ht="13.8" hidden="false" customHeight="false" outlineLevel="0" collapsed="false">
      <c r="B380" s="2" t="n">
        <v>379</v>
      </c>
      <c r="C380" s="2" t="n">
        <v>0.00118101278441872</v>
      </c>
      <c r="D380" s="2" t="n">
        <v>0.00111756179229395</v>
      </c>
      <c r="E380" s="2" t="n">
        <v>0.00111745658447175</v>
      </c>
    </row>
    <row r="381" customFormat="false" ht="13.8" hidden="false" customHeight="false" outlineLevel="0" collapsed="false">
      <c r="B381" s="2" t="n">
        <v>380</v>
      </c>
      <c r="C381" s="2" t="n">
        <v>0.00118101959497745</v>
      </c>
      <c r="D381" s="2" t="n">
        <v>0.00111756796797363</v>
      </c>
      <c r="E381" s="2" t="n">
        <v>0.00111746275909934</v>
      </c>
    </row>
    <row r="382" customFormat="false" ht="13.8" hidden="false" customHeight="false" outlineLevel="0" collapsed="false">
      <c r="B382" s="2" t="n">
        <v>381</v>
      </c>
      <c r="C382" s="2" t="n">
        <v>0.00118103239823367</v>
      </c>
      <c r="D382" s="2" t="n">
        <v>0.00111757414371507</v>
      </c>
      <c r="E382" s="2" t="n">
        <v>0.00111746893378868</v>
      </c>
    </row>
    <row r="383" customFormat="false" ht="13.8" hidden="false" customHeight="false" outlineLevel="0" collapsed="false">
      <c r="B383" s="2" t="n">
        <v>382</v>
      </c>
      <c r="C383" s="2" t="n">
        <v>0.00118103920862576</v>
      </c>
      <c r="D383" s="2" t="n">
        <v>0.00111758031951826</v>
      </c>
      <c r="E383" s="2" t="n">
        <v>0.00111747510853976</v>
      </c>
    </row>
    <row r="384" customFormat="false" ht="13.8" hidden="false" customHeight="false" outlineLevel="0" collapsed="false">
      <c r="B384" s="2" t="n">
        <v>383</v>
      </c>
      <c r="C384" s="2" t="n">
        <v>0.00118104002703749</v>
      </c>
      <c r="D384" s="2" t="n">
        <v>0.00111758312616759</v>
      </c>
      <c r="E384" s="2" t="n">
        <v>0.0011174812833526</v>
      </c>
    </row>
    <row r="385" customFormat="false" ht="13.8" hidden="false" customHeight="false" outlineLevel="0" collapsed="false">
      <c r="B385" s="2" t="n">
        <v>384</v>
      </c>
      <c r="C385" s="2" t="n">
        <v>0.00118105282961424</v>
      </c>
      <c r="D385" s="2" t="n">
        <v>0.00111758930211031</v>
      </c>
      <c r="E385" s="2" t="n">
        <v>0.00111748745822718</v>
      </c>
    </row>
    <row r="386" customFormat="false" ht="13.8" hidden="false" customHeight="false" outlineLevel="0" collapsed="false">
      <c r="B386" s="2" t="n">
        <v>385</v>
      </c>
      <c r="C386" s="2" t="n">
        <v>0.00118105964021064</v>
      </c>
      <c r="D386" s="2" t="n">
        <v>0.00111759547811506</v>
      </c>
      <c r="E386" s="2" t="n">
        <v>0.00111749363316351</v>
      </c>
    </row>
    <row r="387" customFormat="false" ht="13.8" hidden="false" customHeight="false" outlineLevel="0" collapsed="false">
      <c r="B387" s="2" t="n">
        <v>386</v>
      </c>
      <c r="C387" s="2" t="n">
        <v>0.00118106045968203</v>
      </c>
      <c r="D387" s="2" t="n">
        <v>0.00111760502334864</v>
      </c>
      <c r="E387" s="2" t="n">
        <v>0.00111749980816159</v>
      </c>
    </row>
    <row r="388" customFormat="false" ht="13.8" hidden="false" customHeight="false" outlineLevel="0" collapsed="false">
      <c r="B388" s="2" t="n">
        <v>387</v>
      </c>
      <c r="C388" s="2" t="n">
        <v>0.00118106727069254</v>
      </c>
      <c r="D388" s="2" t="n">
        <v>0.00111761119946063</v>
      </c>
      <c r="E388" s="2" t="n">
        <v>0.00111750598322142</v>
      </c>
    </row>
    <row r="389" customFormat="false" ht="13.8" hidden="false" customHeight="false" outlineLevel="0" collapsed="false">
      <c r="B389" s="2" t="n">
        <v>388</v>
      </c>
      <c r="C389" s="2" t="n">
        <v>0.00118107408176541</v>
      </c>
      <c r="D389" s="2" t="n">
        <v>0.00111761737563439</v>
      </c>
      <c r="E389" s="2" t="n">
        <v>0.001117512158343</v>
      </c>
    </row>
    <row r="390" customFormat="false" ht="13.8" hidden="false" customHeight="false" outlineLevel="0" collapsed="false">
      <c r="B390" s="2" t="n">
        <v>389</v>
      </c>
      <c r="C390" s="2" t="n">
        <v>0.00118108089290101</v>
      </c>
      <c r="D390" s="2" t="n">
        <v>0.00111762355186991</v>
      </c>
      <c r="E390" s="2" t="n">
        <v>0.00111751833352633</v>
      </c>
    </row>
    <row r="391" customFormat="false" ht="13.8" hidden="false" customHeight="false" outlineLevel="0" collapsed="false">
      <c r="B391" s="2" t="n">
        <v>390</v>
      </c>
      <c r="C391" s="2" t="n">
        <v>0.00118108770409928</v>
      </c>
      <c r="D391" s="2" t="n">
        <v>0.00111762972816719</v>
      </c>
      <c r="E391" s="2" t="n">
        <v>0.00111752450877142</v>
      </c>
    </row>
    <row r="392" customFormat="false" ht="13.8" hidden="false" customHeight="false" outlineLevel="0" collapsed="false">
      <c r="B392" s="2" t="n">
        <v>391</v>
      </c>
      <c r="C392" s="2" t="n">
        <v>0.00118109451536051</v>
      </c>
      <c r="D392" s="2" t="n">
        <v>0.00111763590452623</v>
      </c>
      <c r="E392" s="2" t="n">
        <v>0.00111753068407826</v>
      </c>
    </row>
    <row r="393" customFormat="false" ht="13.8" hidden="false" customHeight="false" outlineLevel="0" collapsed="false">
      <c r="B393" s="2" t="n">
        <v>392</v>
      </c>
      <c r="C393" s="2" t="n">
        <v>0.00118110132668471</v>
      </c>
      <c r="D393" s="2" t="n">
        <v>0.00111764208094704</v>
      </c>
      <c r="E393" s="2" t="n">
        <v>0.00111753685944685</v>
      </c>
    </row>
    <row r="394" customFormat="false" ht="13.8" hidden="false" customHeight="false" outlineLevel="0" collapsed="false">
      <c r="B394" s="2" t="n">
        <v>393</v>
      </c>
      <c r="C394" s="2" t="n">
        <v>0.001181108138072</v>
      </c>
      <c r="D394" s="2" t="n">
        <v>0.00111764825742962</v>
      </c>
      <c r="E394" s="2" t="n">
        <v>0.0011175430348772</v>
      </c>
    </row>
    <row r="395" customFormat="false" ht="13.8" hidden="false" customHeight="false" outlineLevel="0" collapsed="false">
      <c r="B395" s="2" t="n">
        <v>394</v>
      </c>
      <c r="C395" s="2" t="n">
        <v>0.00118111494952256</v>
      </c>
      <c r="D395" s="2" t="n">
        <v>0.00111765443397396</v>
      </c>
      <c r="E395" s="2" t="n">
        <v>0.0011175492103693</v>
      </c>
    </row>
    <row r="396" customFormat="false" ht="13.8" hidden="false" customHeight="false" outlineLevel="0" collapsed="false">
      <c r="B396" s="2" t="n">
        <v>395</v>
      </c>
      <c r="C396" s="2" t="n">
        <v>0.00118112176103643</v>
      </c>
      <c r="D396" s="2" t="n">
        <v>0.00111766061058006</v>
      </c>
      <c r="E396" s="2" t="n">
        <v>0.00111755538592316</v>
      </c>
    </row>
    <row r="397" customFormat="false" ht="13.8" hidden="false" customHeight="false" outlineLevel="0" collapsed="false">
      <c r="B397" s="2" t="n">
        <v>396</v>
      </c>
      <c r="C397" s="2" t="n">
        <v>0.00118112857261375</v>
      </c>
      <c r="D397" s="2" t="n">
        <v>0.00111766678724793</v>
      </c>
      <c r="E397" s="2" t="n">
        <v>0.00111756156153877</v>
      </c>
    </row>
    <row r="398" customFormat="false" ht="13.8" hidden="false" customHeight="false" outlineLevel="0" collapsed="false">
      <c r="B398" s="2" t="n">
        <v>397</v>
      </c>
      <c r="C398" s="2" t="n">
        <v>0.0011811353842547</v>
      </c>
      <c r="D398" s="2" t="n">
        <v>0.00111767296397757</v>
      </c>
      <c r="E398" s="2" t="n">
        <v>0.00111756773721614</v>
      </c>
    </row>
    <row r="399" customFormat="false" ht="13.8" hidden="false" customHeight="false" outlineLevel="0" collapsed="false">
      <c r="B399" s="2" t="n">
        <v>398</v>
      </c>
      <c r="C399" s="2" t="n">
        <v>0.0011811421959592</v>
      </c>
      <c r="D399" s="2" t="n">
        <v>0.00111767914076898</v>
      </c>
      <c r="E399" s="2" t="n">
        <v>0.00111757391295527</v>
      </c>
    </row>
    <row r="400" customFormat="false" ht="13.8" hidden="false" customHeight="false" outlineLevel="0" collapsed="false">
      <c r="B400" s="2" t="n">
        <v>399</v>
      </c>
      <c r="C400" s="2" t="n">
        <v>0.00118114900772763</v>
      </c>
      <c r="D400" s="2" t="n">
        <v>0.00111768531762216</v>
      </c>
      <c r="E400" s="2" t="n">
        <v>0.00111758008875616</v>
      </c>
    </row>
    <row r="401" customFormat="false" ht="13.8" hidden="false" customHeight="false" outlineLevel="0" collapsed="false">
      <c r="B401" s="2" t="n">
        <v>400</v>
      </c>
      <c r="C401" s="2" t="n">
        <v>0.00118115581955958</v>
      </c>
      <c r="D401" s="2" t="n">
        <v>0.0011176914945371</v>
      </c>
      <c r="E401" s="2" t="n">
        <v>0.0011175862646188</v>
      </c>
    </row>
    <row r="402" customFormat="false" ht="13.8" hidden="false" customHeight="false" outlineLevel="0" collapsed="false">
      <c r="B402" s="2" t="n">
        <v>401</v>
      </c>
      <c r="C402" s="2" t="n">
        <v>0.00118116861901604</v>
      </c>
      <c r="D402" s="2" t="n">
        <v>0.00111769767151382</v>
      </c>
      <c r="E402" s="2" t="n">
        <v>0.00111759244054321</v>
      </c>
    </row>
    <row r="403" customFormat="false" ht="13.8" hidden="false" customHeight="false" outlineLevel="0" collapsed="false">
      <c r="B403" s="2" t="n">
        <v>402</v>
      </c>
      <c r="C403" s="2" t="n">
        <v>0.00118117543077035</v>
      </c>
      <c r="D403" s="2" t="n">
        <v>0.0011177038485523</v>
      </c>
      <c r="E403" s="2" t="n">
        <v>0.00111759861652937</v>
      </c>
    </row>
    <row r="404" customFormat="false" ht="13.8" hidden="false" customHeight="false" outlineLevel="0" collapsed="false">
      <c r="B404" s="2" t="n">
        <v>403</v>
      </c>
      <c r="C404" s="2" t="n">
        <v>0.00118117625544959</v>
      </c>
      <c r="D404" s="2" t="n">
        <v>0.00111771002565256</v>
      </c>
      <c r="E404" s="2" t="n">
        <v>0.0011176047925773</v>
      </c>
    </row>
    <row r="405" customFormat="false" ht="13.8" hidden="false" customHeight="false" outlineLevel="0" collapsed="false">
      <c r="B405" s="2" t="n">
        <v>404</v>
      </c>
      <c r="C405" s="2" t="n">
        <v>0.0011811830675441</v>
      </c>
      <c r="D405" s="2" t="n">
        <v>0.00111771620281459</v>
      </c>
      <c r="E405" s="2" t="n">
        <v>0.00111761096868698</v>
      </c>
    </row>
    <row r="406" customFormat="false" ht="13.8" hidden="false" customHeight="false" outlineLevel="0" collapsed="false">
      <c r="B406" s="2" t="n">
        <v>405</v>
      </c>
      <c r="C406" s="2" t="n">
        <v>0.00118119586644198</v>
      </c>
      <c r="D406" s="2" t="n">
        <v>0.00111772238003839</v>
      </c>
      <c r="E406" s="2" t="n">
        <v>0.00111761714485843</v>
      </c>
    </row>
    <row r="407" customFormat="false" ht="13.8" hidden="false" customHeight="false" outlineLevel="0" collapsed="false">
      <c r="B407" s="2" t="n">
        <v>406</v>
      </c>
      <c r="C407" s="2" t="n">
        <v>0.00118120267846877</v>
      </c>
      <c r="D407" s="2" t="n">
        <v>0.000981202678468768</v>
      </c>
      <c r="E407" s="2" t="n">
        <v>0.00111762332109126</v>
      </c>
    </row>
    <row r="408" customFormat="false" ht="13.8" hidden="false" customHeight="false" outlineLevel="0" collapsed="false">
      <c r="B408" s="2" t="n">
        <v>407</v>
      </c>
      <c r="C408" s="2" t="n">
        <v>0.00118120949056367</v>
      </c>
      <c r="D408" s="2" t="n">
        <v>0.000981209490563673</v>
      </c>
      <c r="E408" s="2" t="n">
        <v>0.00111762949738585</v>
      </c>
    </row>
    <row r="409" customFormat="false" ht="13.8" hidden="false" customHeight="false" outlineLevel="0" collapsed="false">
      <c r="B409" s="2" t="n">
        <v>408</v>
      </c>
      <c r="C409" s="2" t="n">
        <v>0.0011812163027267</v>
      </c>
      <c r="D409" s="2" t="n">
        <v>0.0009812163027267</v>
      </c>
      <c r="E409" s="2" t="n">
        <v>0.0011176356737422</v>
      </c>
    </row>
    <row r="410" customFormat="false" ht="13.8" hidden="false" customHeight="false" outlineLevel="0" collapsed="false">
      <c r="B410" s="2" t="n">
        <v>409</v>
      </c>
      <c r="C410" s="2" t="n">
        <v>0.00118122311495785</v>
      </c>
      <c r="D410" s="2" t="n">
        <v>0.00098122311495785</v>
      </c>
      <c r="E410" s="2" t="n">
        <v>0.00111764185016032</v>
      </c>
    </row>
    <row r="411" customFormat="false" ht="13.8" hidden="false" customHeight="false" outlineLevel="0" collapsed="false">
      <c r="B411" s="2" t="n">
        <v>410</v>
      </c>
      <c r="C411" s="2" t="n">
        <v>0.0002</v>
      </c>
      <c r="D411" s="2" t="n">
        <v>2.06488605818881E-020</v>
      </c>
      <c r="E411" s="2" t="n">
        <v>0.000199999999996889</v>
      </c>
    </row>
    <row r="412" customFormat="false" ht="13.8" hidden="false" customHeight="false" outlineLevel="0" collapsed="false">
      <c r="B412" s="2" t="n">
        <v>411</v>
      </c>
      <c r="C412" s="2" t="n">
        <v>0.0002</v>
      </c>
      <c r="D412" s="2" t="n">
        <v>3.15360887499226E-020</v>
      </c>
      <c r="E412" s="2" t="n">
        <v>0</v>
      </c>
    </row>
    <row r="413" customFormat="false" ht="13.8" hidden="false" customHeight="false" outlineLevel="0" collapsed="false">
      <c r="B413" s="2" t="n">
        <v>412</v>
      </c>
      <c r="C413" s="2" t="n">
        <v>9.52237199196162E-020</v>
      </c>
      <c r="D413" s="2" t="n">
        <v>4.16603774648321E-020</v>
      </c>
      <c r="E413" s="2" t="n">
        <v>0</v>
      </c>
    </row>
    <row r="414" customFormat="false" ht="13.8" hidden="false" customHeight="false" outlineLevel="0" collapsed="false">
      <c r="B414" s="2" t="n">
        <v>413</v>
      </c>
      <c r="C414" s="2" t="n">
        <v>1.11787776692715E-017</v>
      </c>
      <c r="D414" s="2" t="n">
        <v>5.21661359063041E-020</v>
      </c>
      <c r="E414" s="2" t="n">
        <v>0</v>
      </c>
    </row>
    <row r="415" customFormat="false" ht="13.8" hidden="false" customHeight="false" outlineLevel="0" collapsed="false">
      <c r="B415" s="2" t="n">
        <v>414</v>
      </c>
      <c r="C415" s="2" t="n">
        <v>1.65102837825536E-019</v>
      </c>
      <c r="D415" s="2" t="n">
        <v>7.22324915486722E-020</v>
      </c>
      <c r="E415" s="2" t="n">
        <v>0</v>
      </c>
    </row>
    <row r="416" customFormat="false" ht="13.8" hidden="false" customHeight="false" outlineLevel="0" collapsed="false">
      <c r="B416" s="2" t="n">
        <v>415</v>
      </c>
      <c r="C416" s="2" t="n">
        <v>2.1096879357952E-019</v>
      </c>
      <c r="D416" s="2" t="n">
        <v>9.22988471910402E-020</v>
      </c>
      <c r="E416" s="2" t="n">
        <v>0</v>
      </c>
    </row>
    <row r="417" customFormat="false" ht="13.8" hidden="false" customHeight="false" outlineLevel="0" collapsed="false">
      <c r="B417" s="2" t="n">
        <v>416</v>
      </c>
      <c r="C417" s="2" t="n">
        <v>2.56834749333504E-019</v>
      </c>
      <c r="D417" s="2" t="n">
        <v>1.12365202833408E-019</v>
      </c>
      <c r="E417" s="2" t="n">
        <v>0</v>
      </c>
    </row>
    <row r="418" customFormat="false" ht="13.8" hidden="false" customHeight="false" outlineLevel="0" collapsed="false">
      <c r="B418" s="2" t="n">
        <v>417</v>
      </c>
      <c r="C418" s="2" t="n">
        <v>3.02700705087489E-019</v>
      </c>
      <c r="D418" s="2" t="n">
        <v>1.32431558475776E-019</v>
      </c>
      <c r="E418" s="2" t="n">
        <v>0</v>
      </c>
    </row>
    <row r="419" customFormat="false" ht="13.8" hidden="false" customHeight="false" outlineLevel="0" collapsed="false">
      <c r="B419" s="2" t="n">
        <v>418</v>
      </c>
      <c r="C419" s="2" t="n">
        <v>3.36048978657281E-019</v>
      </c>
      <c r="D419" s="2" t="n">
        <v>1.4702142816256E-019</v>
      </c>
      <c r="E419" s="2" t="n">
        <v>0</v>
      </c>
    </row>
    <row r="420" customFormat="false" ht="13.8" hidden="false" customHeight="false" outlineLevel="0" collapsed="false">
      <c r="B420" s="2" t="n">
        <v>419</v>
      </c>
      <c r="C420" s="2" t="n">
        <v>3.69397252227073E-019</v>
      </c>
      <c r="D420" s="2" t="n">
        <v>1.61611297849344E-019</v>
      </c>
      <c r="E420" s="2" t="n">
        <v>0</v>
      </c>
    </row>
    <row r="421" customFormat="false" ht="13.8" hidden="false" customHeight="false" outlineLevel="0" collapsed="false">
      <c r="B421" s="2" t="n">
        <v>420</v>
      </c>
      <c r="C421" s="2" t="n">
        <v>4.02745525796865E-019</v>
      </c>
      <c r="D421" s="2" t="n">
        <v>1.76201167536128E-019</v>
      </c>
      <c r="E421" s="2" t="n">
        <v>0</v>
      </c>
    </row>
    <row r="422" customFormat="false" ht="13.8" hidden="false" customHeight="false" outlineLevel="0" collapsed="false">
      <c r="B422" s="2" t="n">
        <v>421</v>
      </c>
      <c r="C422" s="2" t="n">
        <v>4.36093799366656E-019</v>
      </c>
      <c r="D422" s="2" t="n">
        <v>1.90791037222912E-019</v>
      </c>
      <c r="E422" s="2" t="n">
        <v>0</v>
      </c>
    </row>
    <row r="423" customFormat="false" ht="13.8" hidden="false" customHeight="false" outlineLevel="0" collapsed="false">
      <c r="B423" s="2" t="n">
        <v>422</v>
      </c>
      <c r="C423" s="2" t="n">
        <v>4.58590838063105E-019</v>
      </c>
      <c r="D423" s="2" t="n">
        <v>2.00633491652608E-019</v>
      </c>
      <c r="E423" s="2" t="n">
        <v>0</v>
      </c>
    </row>
    <row r="424" customFormat="false" ht="13.8" hidden="false" customHeight="false" outlineLevel="0" collapsed="false">
      <c r="B424" s="2" t="n">
        <v>423</v>
      </c>
      <c r="C424" s="2" t="n">
        <v>4.81087876759553E-019</v>
      </c>
      <c r="D424" s="2" t="n">
        <v>2.10475946082304E-019</v>
      </c>
      <c r="E424" s="2" t="n">
        <v>0</v>
      </c>
    </row>
    <row r="425" customFormat="false" ht="13.8" hidden="false" customHeight="false" outlineLevel="0" collapsed="false">
      <c r="B425" s="2" t="n">
        <v>424</v>
      </c>
      <c r="C425" s="2" t="n">
        <v>5.03584915456001E-019</v>
      </c>
      <c r="D425" s="2" t="n">
        <v>2.20318400512001E-019</v>
      </c>
      <c r="E425" s="2" t="n">
        <v>0</v>
      </c>
    </row>
    <row r="426" customFormat="false" ht="13.8" hidden="false" customHeight="false" outlineLevel="0" collapsed="false">
      <c r="B426" s="2" t="n">
        <v>425</v>
      </c>
      <c r="C426" s="2" t="n">
        <v>5.26081954152449E-019</v>
      </c>
      <c r="D426" s="2" t="n">
        <v>2.30160854941697E-019</v>
      </c>
      <c r="E426" s="2" t="n">
        <v>0</v>
      </c>
    </row>
    <row r="427" customFormat="false" ht="13.8" hidden="false" customHeight="false" outlineLevel="0" collapsed="false">
      <c r="B427" s="2" t="n">
        <v>426</v>
      </c>
      <c r="C427" s="2" t="n">
        <v>5.35790727725057E-019</v>
      </c>
      <c r="D427" s="2" t="n">
        <v>0</v>
      </c>
      <c r="E427" s="2" t="n">
        <v>0</v>
      </c>
    </row>
    <row r="428" customFormat="false" ht="13.8" hidden="false" customHeight="false" outlineLevel="0" collapsed="false">
      <c r="B428" s="2" t="n">
        <v>427</v>
      </c>
      <c r="C428" s="2" t="n">
        <v>5.45499501297665E-019</v>
      </c>
      <c r="D428" s="2" t="n">
        <v>0</v>
      </c>
      <c r="E428" s="2" t="n">
        <v>0</v>
      </c>
    </row>
    <row r="429" customFormat="false" ht="13.8" hidden="false" customHeight="false" outlineLevel="0" collapsed="false">
      <c r="B429" s="2" t="n">
        <v>428</v>
      </c>
      <c r="C429" s="2" t="n">
        <v>5.55208274870273E-019</v>
      </c>
      <c r="D429" s="2" t="n">
        <v>2.42903620255745E-019</v>
      </c>
      <c r="E429" s="2" t="n">
        <v>0</v>
      </c>
    </row>
    <row r="430" customFormat="false" ht="13.8" hidden="false" customHeight="false" outlineLevel="0" collapsed="false">
      <c r="B430" s="2" t="n">
        <v>429</v>
      </c>
      <c r="C430" s="2" t="n">
        <v>0</v>
      </c>
      <c r="D430" s="2" t="n">
        <v>1.10669430463561E-009</v>
      </c>
      <c r="E430" s="2" t="n">
        <v>0</v>
      </c>
    </row>
    <row r="431" customFormat="false" ht="13.8" hidden="false" customHeight="false" outlineLevel="0" collapsed="false">
      <c r="B431" s="2" t="n">
        <v>430</v>
      </c>
      <c r="C431" s="2" t="n">
        <v>5.13181099350155E-009</v>
      </c>
      <c r="D431" s="2" t="n">
        <v>7.21693409185277E-009</v>
      </c>
      <c r="E431" s="2" t="n">
        <v>0</v>
      </c>
    </row>
    <row r="432" customFormat="false" ht="13.8" hidden="false" customHeight="false" outlineLevel="0" collapsed="false">
      <c r="B432" s="2" t="n">
        <v>431</v>
      </c>
      <c r="C432" s="2" t="n">
        <v>1.00850805554558E-008</v>
      </c>
      <c r="D432" s="2" t="n">
        <v>1.22170562623165E-008</v>
      </c>
      <c r="E432" s="2" t="n">
        <v>1.29925924825914E-009</v>
      </c>
    </row>
    <row r="433" customFormat="false" ht="13.8" hidden="false" customHeight="false" outlineLevel="0" collapsed="false">
      <c r="B433" s="2" t="n">
        <v>432</v>
      </c>
      <c r="C433" s="2" t="n">
        <v>1.12594742366072E-008</v>
      </c>
      <c r="D433" s="2" t="n">
        <v>1.28384260852952E-008</v>
      </c>
      <c r="E433" s="2" t="n">
        <v>0</v>
      </c>
    </row>
    <row r="434" customFormat="false" ht="13.8" hidden="false" customHeight="false" outlineLevel="0" collapsed="false">
      <c r="B434" s="2" t="n">
        <v>433</v>
      </c>
      <c r="C434" s="2" t="n">
        <v>1.50511405924425E-008</v>
      </c>
      <c r="D434" s="2" t="n">
        <v>1.66301082278302E-008</v>
      </c>
      <c r="E434" s="2" t="n">
        <v>0</v>
      </c>
    </row>
    <row r="435" customFormat="false" ht="13.8" hidden="false" customHeight="false" outlineLevel="0" collapsed="false">
      <c r="B435" s="2" t="n">
        <v>434</v>
      </c>
      <c r="C435" s="2" t="n">
        <v>1.88401213522926E-008</v>
      </c>
      <c r="D435" s="2" t="n">
        <v>2.04191048691761E-008</v>
      </c>
      <c r="E435" s="2" t="n">
        <v>5.71062393707685E-012</v>
      </c>
    </row>
    <row r="436" customFormat="false" ht="13.8" hidden="false" customHeight="false" outlineLevel="0" collapsed="false">
      <c r="B436" s="2" t="n">
        <v>435</v>
      </c>
      <c r="C436" s="2" t="n">
        <v>2.26264042540805E-008</v>
      </c>
      <c r="D436" s="2" t="n">
        <v>2.42054036514086E-008</v>
      </c>
      <c r="E436" s="2" t="n">
        <v>1.21081939604343E-011</v>
      </c>
    </row>
    <row r="437" customFormat="false" ht="13.8" hidden="false" customHeight="false" outlineLevel="0" collapsed="false">
      <c r="B437" s="2" t="n">
        <v>436</v>
      </c>
      <c r="C437" s="2" t="n">
        <v>2.6447685355229E-008</v>
      </c>
      <c r="D437" s="2" t="n">
        <v>2.80267008346143E-008</v>
      </c>
      <c r="E437" s="2" t="n">
        <v>1.85557647900907E-011</v>
      </c>
    </row>
    <row r="438" customFormat="false" ht="13.8" hidden="false" customHeight="false" outlineLevel="0" collapsed="false">
      <c r="B438" s="2" t="n">
        <v>437</v>
      </c>
      <c r="C438" s="2" t="n">
        <v>3.02969953556123E-008</v>
      </c>
      <c r="D438" s="2" t="n">
        <v>3.18760270457554E-008</v>
      </c>
      <c r="E438" s="2" t="n">
        <v>2.50533365097038E-011</v>
      </c>
    </row>
    <row r="439" customFormat="false" ht="13.8" hidden="false" customHeight="false" outlineLevel="0" collapsed="false">
      <c r="B439" s="2" t="n">
        <v>438</v>
      </c>
      <c r="C439" s="2" t="n">
        <v>3.997074577904E-008</v>
      </c>
      <c r="D439" s="2" t="n">
        <v>4.15498783956038E-008</v>
      </c>
      <c r="E439" s="2" t="n">
        <v>1.57895344169566E-011</v>
      </c>
    </row>
    <row r="440" customFormat="false" ht="13.8" hidden="false" customHeight="false" outlineLevel="0" collapsed="false">
      <c r="B440" s="2" t="n">
        <v>439</v>
      </c>
      <c r="C440" s="2" t="n">
        <v>5.00876874562698E-008</v>
      </c>
      <c r="D440" s="2" t="n">
        <v>5.22198337327687E-008</v>
      </c>
      <c r="E440" s="2" t="n">
        <v>4.55025430124159E-012</v>
      </c>
    </row>
    <row r="441" customFormat="false" ht="13.8" hidden="false" customHeight="false" outlineLevel="0" collapsed="false">
      <c r="B441" s="2" t="n">
        <v>440</v>
      </c>
      <c r="C441" s="2" t="n">
        <v>5.50882383381248E-008</v>
      </c>
      <c r="D441" s="2" t="n">
        <v>5.72204059373217E-008</v>
      </c>
      <c r="E441" s="2" t="n">
        <v>9.97061508808598E-012</v>
      </c>
    </row>
    <row r="442" customFormat="false" ht="13.8" hidden="false" customHeight="false" outlineLevel="0" collapsed="false">
      <c r="B442" s="2" t="n">
        <v>441</v>
      </c>
      <c r="C442" s="2" t="n">
        <v>6.00888392260149E-008</v>
      </c>
      <c r="D442" s="2" t="n">
        <v>6.20667446979393E-008</v>
      </c>
      <c r="E442" s="2" t="n">
        <v>2.34717116093294E-011</v>
      </c>
    </row>
    <row r="443" customFormat="false" ht="13.8" hidden="false" customHeight="false" outlineLevel="0" collapsed="false">
      <c r="B443" s="2" t="n">
        <v>442</v>
      </c>
      <c r="C443" s="2" t="n">
        <v>6.50894901204897E-008</v>
      </c>
      <c r="D443" s="2" t="n">
        <v>6.72217003656573E-008</v>
      </c>
      <c r="E443" s="2" t="n">
        <v>5.59895433732531E-011</v>
      </c>
    </row>
    <row r="444" customFormat="false" ht="13.8" hidden="false" customHeight="false" outlineLevel="0" collapsed="false">
      <c r="B444" s="2" t="n">
        <v>443</v>
      </c>
      <c r="C444" s="2" t="n">
        <v>7.00901910220447E-008</v>
      </c>
      <c r="D444" s="2" t="n">
        <v>7.22224225905493E-008</v>
      </c>
      <c r="E444" s="2" t="n">
        <v>1.33863818643333E-010</v>
      </c>
    </row>
    <row r="445" customFormat="false" ht="13.8" hidden="false" customHeight="false" outlineLevel="0" collapsed="false">
      <c r="B445" s="2" t="n">
        <v>444</v>
      </c>
      <c r="C445" s="2" t="n">
        <v>7.50909419311342E-008</v>
      </c>
      <c r="D445" s="2" t="n">
        <v>7.72231948233224E-008</v>
      </c>
      <c r="E445" s="2" t="n">
        <v>3.20173328911187E-010</v>
      </c>
    </row>
    <row r="446" customFormat="false" ht="13.8" hidden="false" customHeight="false" outlineLevel="0" collapsed="false">
      <c r="B446" s="2" t="n">
        <v>445</v>
      </c>
      <c r="C446" s="2" t="n">
        <v>8.00917428480834E-008</v>
      </c>
      <c r="D446" s="2" t="n">
        <v>8.22240170639825E-008</v>
      </c>
      <c r="E446" s="2" t="n">
        <v>8.59228178723758E-009</v>
      </c>
    </row>
    <row r="447" customFormat="false" ht="13.8" hidden="false" customHeight="false" outlineLevel="0" collapsed="false">
      <c r="B447" s="2" t="n">
        <v>446</v>
      </c>
      <c r="C447" s="2" t="n">
        <v>8.50925937737815E-008</v>
      </c>
      <c r="D447" s="2" t="n">
        <v>8.72248893134984E-008</v>
      </c>
      <c r="E447" s="2" t="n">
        <v>1.35924191237673E-008</v>
      </c>
    </row>
    <row r="448" customFormat="false" ht="13.8" hidden="false" customHeight="false" outlineLevel="0" collapsed="false">
      <c r="B448" s="2" t="n">
        <v>447</v>
      </c>
      <c r="C448" s="2" t="n">
        <v>9.00934947081416E-008</v>
      </c>
      <c r="D448" s="2" t="n">
        <v>9.22258115723714E-008</v>
      </c>
      <c r="E448" s="2" t="n">
        <v>1.85926064622815E-008</v>
      </c>
    </row>
    <row r="449" customFormat="false" ht="13.8" hidden="false" customHeight="false" outlineLevel="0" collapsed="false">
      <c r="B449" s="2" t="n">
        <v>448</v>
      </c>
      <c r="C449" s="2" t="n">
        <v>9.5094445651868E-008</v>
      </c>
      <c r="D449" s="2" t="n">
        <v>9.7226783840846E-008</v>
      </c>
      <c r="E449" s="2" t="n">
        <v>2.3592843803312E-008</v>
      </c>
    </row>
    <row r="450" customFormat="false" ht="13.8" hidden="false" customHeight="false" outlineLevel="0" collapsed="false">
      <c r="B450" s="2" t="n">
        <v>449</v>
      </c>
      <c r="C450" s="2" t="n">
        <v>1.00095446605808E-007</v>
      </c>
      <c r="D450" s="2" t="n">
        <v>1.02227806119646E-007</v>
      </c>
      <c r="E450" s="2" t="n">
        <v>2.85931311470962E-008</v>
      </c>
    </row>
    <row r="451" customFormat="false" ht="13.8" hidden="false" customHeight="false" outlineLevel="0" collapsed="false">
      <c r="B451" s="2" t="n">
        <v>450</v>
      </c>
      <c r="C451" s="2" t="n">
        <v>1.05096497570436E-007</v>
      </c>
      <c r="D451" s="2" t="n">
        <v>1.07228878409078E-007</v>
      </c>
      <c r="E451" s="2" t="n">
        <v>3.35934683408424E-008</v>
      </c>
    </row>
    <row r="452" customFormat="false" ht="13.8" hidden="false" customHeight="false" outlineLevel="0" collapsed="false">
      <c r="B452" s="2" t="n">
        <v>451</v>
      </c>
      <c r="C452" s="2" t="n">
        <v>0.00020011223000071</v>
      </c>
      <c r="D452" s="2" t="n">
        <v>1.12230000709756E-007</v>
      </c>
      <c r="E452" s="2" t="n">
        <v>0.000200112229992989</v>
      </c>
    </row>
    <row r="453" customFormat="false" ht="13.8" hidden="false" customHeight="false" outlineLevel="0" collapsed="false">
      <c r="B453" s="2" t="n">
        <v>452</v>
      </c>
      <c r="C453" s="2" t="n">
        <v>1.15098749532877E-007</v>
      </c>
      <c r="D453" s="2" t="n">
        <v>1.17231173022356E-007</v>
      </c>
      <c r="E453" s="2" t="n">
        <v>4.35942927402204E-008</v>
      </c>
    </row>
    <row r="454" customFormat="false" ht="13.8" hidden="false" customHeight="false" outlineLevel="0" collapsed="false">
      <c r="B454" s="2" t="n">
        <v>453</v>
      </c>
      <c r="C454" s="2" t="n">
        <v>0.00131743485480909</v>
      </c>
      <c r="D454" s="2" t="n">
        <v>0.00111743485480909</v>
      </c>
      <c r="E454" s="2" t="n">
        <v>0.00131743485480388</v>
      </c>
    </row>
    <row r="455" customFormat="false" ht="13.8" hidden="false" customHeight="false" outlineLevel="0" collapsed="false">
      <c r="B455" s="2" t="n">
        <v>454</v>
      </c>
      <c r="C455" s="2" t="n">
        <v>0.000200127233667696</v>
      </c>
      <c r="D455" s="2" t="n">
        <v>1.27233667696115E-007</v>
      </c>
      <c r="E455" s="2" t="n">
        <v>0.000200127233663783</v>
      </c>
    </row>
    <row r="456" customFormat="false" ht="13.8" hidden="false" customHeight="false" outlineLevel="0" collapsed="false">
      <c r="B456" s="2" t="n">
        <v>455</v>
      </c>
      <c r="C456" s="2" t="n">
        <v>0.233146533149691</v>
      </c>
      <c r="D456" s="2" t="n">
        <v>0.232946533149691</v>
      </c>
      <c r="E456" s="2" t="n">
        <v>0.233088594124451</v>
      </c>
    </row>
    <row r="457" customFormat="false" ht="13.8" hidden="false" customHeight="false" outlineLevel="0" collapsed="false">
      <c r="B457" s="2" t="n">
        <v>456</v>
      </c>
      <c r="C457" s="2" t="n">
        <v>0.233148859638287</v>
      </c>
      <c r="D457" s="2" t="n">
        <v>0.232948859638287</v>
      </c>
      <c r="E457" s="2" t="n">
        <v>0.233090920033653</v>
      </c>
    </row>
    <row r="458" customFormat="false" ht="13.8" hidden="false" customHeight="false" outlineLevel="0" collapsed="false">
      <c r="B458" s="2" t="n">
        <v>457</v>
      </c>
      <c r="C458" s="2" t="n">
        <v>0.233151186150149</v>
      </c>
      <c r="D458" s="2" t="n">
        <v>0.23329317224556</v>
      </c>
      <c r="E458" s="2" t="n">
        <v>0.233093245966114</v>
      </c>
    </row>
    <row r="459" customFormat="false" ht="13.8" hidden="false" customHeight="false" outlineLevel="0" collapsed="false">
      <c r="B459" s="2" t="n">
        <v>458</v>
      </c>
      <c r="C459" s="2" t="n">
        <v>0.233153512685275</v>
      </c>
      <c r="D459" s="2" t="n">
        <v>0.233295500200563</v>
      </c>
      <c r="E459" s="2" t="n">
        <v>0.233095571921833</v>
      </c>
    </row>
    <row r="460" customFormat="false" ht="13.8" hidden="false" customHeight="false" outlineLevel="0" collapsed="false">
      <c r="B460" s="2" t="n">
        <v>459</v>
      </c>
      <c r="C460" s="2" t="n">
        <v>0.233155839243668</v>
      </c>
      <c r="D460" s="2" t="n">
        <v>0.233297828178844</v>
      </c>
      <c r="E460" s="2" t="n">
        <v>0.233097897900812</v>
      </c>
    </row>
    <row r="461" customFormat="false" ht="13.8" hidden="false" customHeight="false" outlineLevel="0" collapsed="false">
      <c r="B461" s="2" t="n">
        <v>460</v>
      </c>
      <c r="C461" s="2" t="n">
        <v>0.233158165825326</v>
      </c>
      <c r="D461" s="2" t="n">
        <v>0.233300156180406</v>
      </c>
      <c r="E461" s="2" t="n">
        <v>0.233100223903051</v>
      </c>
    </row>
    <row r="462" customFormat="false" ht="13.8" hidden="false" customHeight="false" outlineLevel="0" collapsed="false">
      <c r="B462" s="2" t="n">
        <v>461</v>
      </c>
      <c r="C462" s="2" t="n">
        <v>0.23316049243025</v>
      </c>
      <c r="D462" s="2" t="n">
        <v>0.233302484205248</v>
      </c>
      <c r="E462" s="2" t="n">
        <v>0.23310254992855</v>
      </c>
    </row>
    <row r="463" customFormat="false" ht="13.8" hidden="false" customHeight="false" outlineLevel="0" collapsed="false">
      <c r="B463" s="2" t="n">
        <v>462</v>
      </c>
      <c r="C463" s="2" t="n">
        <v>0.233162819058441</v>
      </c>
      <c r="D463" s="2" t="n">
        <v>0.233304812253371</v>
      </c>
      <c r="E463" s="2" t="n">
        <v>0.23310487597731</v>
      </c>
    </row>
    <row r="464" customFormat="false" ht="13.8" hidden="false" customHeight="false" outlineLevel="0" collapsed="false">
      <c r="B464" s="2" t="n">
        <v>463</v>
      </c>
      <c r="C464" s="2" t="n">
        <v>0.233165145709898</v>
      </c>
      <c r="D464" s="2" t="n">
        <v>0.233307140324774</v>
      </c>
      <c r="E464" s="2" t="n">
        <v>0.233107202049331</v>
      </c>
    </row>
    <row r="465" customFormat="false" ht="13.8" hidden="false" customHeight="false" outlineLevel="0" collapsed="false">
      <c r="B465" s="2" t="n">
        <v>464</v>
      </c>
      <c r="C465" s="2" t="n">
        <v>0.233167472384622</v>
      </c>
      <c r="D465" s="2" t="n">
        <v>0.233309468419458</v>
      </c>
      <c r="E465" s="2" t="n">
        <v>0.233109528144612</v>
      </c>
    </row>
    <row r="466" customFormat="false" ht="13.8" hidden="false" customHeight="false" outlineLevel="0" collapsed="false">
      <c r="B466" s="2" t="n">
        <v>465</v>
      </c>
      <c r="C466" s="2" t="n">
        <v>0.233169799082613</v>
      </c>
      <c r="D466" s="2" t="n">
        <v>0.233311796537423</v>
      </c>
      <c r="E466" s="2" t="n">
        <v>0.233111854263155</v>
      </c>
    </row>
    <row r="467" customFormat="false" ht="13.8" hidden="false" customHeight="false" outlineLevel="0" collapsed="false">
      <c r="B467" s="2" t="n">
        <v>466</v>
      </c>
      <c r="C467" s="2" t="n">
        <v>0.233172125803871</v>
      </c>
      <c r="D467" s="2" t="n">
        <v>0.23331412467867</v>
      </c>
      <c r="E467" s="2" t="n">
        <v>0.233114180404959</v>
      </c>
    </row>
    <row r="468" customFormat="false" ht="13.8" hidden="false" customHeight="false" outlineLevel="0" collapsed="false">
      <c r="B468" s="2" t="n">
        <v>467</v>
      </c>
      <c r="C468" s="2" t="n">
        <v>0.233174452548396</v>
      </c>
      <c r="D468" s="2" t="n">
        <v>0.233316452843199</v>
      </c>
      <c r="E468" s="2" t="n">
        <v>0.233116506570024</v>
      </c>
    </row>
    <row r="469" customFormat="false" ht="13.8" hidden="false" customHeight="false" outlineLevel="0" collapsed="false">
      <c r="B469" s="2" t="n">
        <v>468</v>
      </c>
      <c r="C469" s="2" t="n">
        <v>0.233176779316189</v>
      </c>
      <c r="D469" s="2" t="n">
        <v>0.233318781031009</v>
      </c>
      <c r="E469" s="2" t="n">
        <v>0.233118832758352</v>
      </c>
    </row>
    <row r="470" customFormat="false" ht="13.8" hidden="false" customHeight="false" outlineLevel="0" collapsed="false">
      <c r="B470" s="2" t="n">
        <v>469</v>
      </c>
      <c r="C470" s="2" t="n">
        <v>0.23317910610725</v>
      </c>
      <c r="D470" s="2" t="n">
        <v>0.233321109242101</v>
      </c>
      <c r="E470" s="2" t="n">
        <v>0.233121158969942</v>
      </c>
    </row>
    <row r="471" customFormat="false" ht="13.8" hidden="false" customHeight="false" outlineLevel="0" collapsed="false">
      <c r="B471" s="2" t="n">
        <v>470</v>
      </c>
      <c r="C471" s="2" t="n">
        <v>0.23318143292158</v>
      </c>
      <c r="D471" s="2" t="n">
        <v>0.233323437476476</v>
      </c>
      <c r="E471" s="2" t="n">
        <v>0.233123485204794</v>
      </c>
    </row>
    <row r="472" customFormat="false" ht="13.8" hidden="false" customHeight="false" outlineLevel="0" collapsed="false">
      <c r="B472" s="2" t="n">
        <v>471</v>
      </c>
      <c r="C472" s="2" t="n">
        <v>0.233183759759177</v>
      </c>
      <c r="D472" s="2" t="n">
        <v>0.233325765734133</v>
      </c>
      <c r="E472" s="2" t="n">
        <v>0.233125811462908</v>
      </c>
    </row>
    <row r="473" customFormat="false" ht="13.8" hidden="false" customHeight="false" outlineLevel="0" collapsed="false">
      <c r="B473" s="2" t="n">
        <v>472</v>
      </c>
      <c r="C473" s="2" t="n">
        <v>0.233186086620043</v>
      </c>
      <c r="D473" s="2" t="n">
        <v>0.233328094015074</v>
      </c>
      <c r="E473" s="2" t="n">
        <v>0.233128137744286</v>
      </c>
    </row>
    <row r="474" customFormat="false" ht="13.8" hidden="false" customHeight="false" outlineLevel="0" collapsed="false">
      <c r="B474" s="2" t="n">
        <v>473</v>
      </c>
      <c r="C474" s="2" t="n">
        <v>0.233188413504178</v>
      </c>
      <c r="D474" s="2" t="n">
        <v>0.233330422319297</v>
      </c>
      <c r="E474" s="2" t="n">
        <v>0.233130464048926</v>
      </c>
    </row>
    <row r="475" customFormat="false" ht="13.8" hidden="false" customHeight="false" outlineLevel="0" collapsed="false">
      <c r="B475" s="2" t="n">
        <v>474</v>
      </c>
      <c r="C475" s="2" t="n">
        <v>0.233190740411582</v>
      </c>
      <c r="D475" s="2" t="n">
        <v>0.233332750646803</v>
      </c>
      <c r="E475" s="2" t="n">
        <v>0.23313279037683</v>
      </c>
    </row>
    <row r="476" customFormat="false" ht="13.8" hidden="false" customHeight="false" outlineLevel="0" collapsed="false">
      <c r="B476" s="2" t="n">
        <v>475</v>
      </c>
      <c r="C476" s="2" t="n">
        <v>0.233193067342256</v>
      </c>
      <c r="D476" s="2" t="n">
        <v>0.233335078997593</v>
      </c>
      <c r="E476" s="2" t="n">
        <v>0.233135116727997</v>
      </c>
    </row>
    <row r="477" customFormat="false" ht="13.8" hidden="false" customHeight="false" outlineLevel="0" collapsed="false">
      <c r="B477" s="2" t="n">
        <v>476</v>
      </c>
      <c r="C477" s="2" t="n">
        <v>0.233195394296199</v>
      </c>
      <c r="D477" s="2" t="n">
        <v>0.233337407371667</v>
      </c>
      <c r="E477" s="2" t="n">
        <v>0.233137443102428</v>
      </c>
    </row>
    <row r="478" customFormat="false" ht="13.8" hidden="false" customHeight="false" outlineLevel="0" collapsed="false">
      <c r="B478" s="2" t="n">
        <v>477</v>
      </c>
      <c r="C478" s="2" t="n">
        <v>0.233197721273411</v>
      </c>
      <c r="D478" s="2" t="n">
        <v>0.233339735769024</v>
      </c>
      <c r="E478" s="2" t="n">
        <v>0.233139769500123</v>
      </c>
    </row>
    <row r="479" customFormat="false" ht="13.8" hidden="false" customHeight="false" outlineLevel="0" collapsed="false">
      <c r="B479" s="2" t="n">
        <v>478</v>
      </c>
      <c r="C479" s="2" t="n">
        <v>0.233200048273894</v>
      </c>
      <c r="D479" s="2" t="n">
        <v>0.233342064189666</v>
      </c>
      <c r="E479" s="2" t="n">
        <v>0.233142095921083</v>
      </c>
    </row>
    <row r="480" customFormat="false" ht="13.8" hidden="false" customHeight="false" outlineLevel="0" collapsed="false">
      <c r="B480" s="2" t="n">
        <v>479</v>
      </c>
      <c r="C480" s="2" t="n">
        <v>0.233202375297647</v>
      </c>
      <c r="D480" s="2" t="n">
        <v>0.233344392633593</v>
      </c>
      <c r="E480" s="2" t="n">
        <v>0.233144422365306</v>
      </c>
    </row>
    <row r="481" customFormat="false" ht="13.8" hidden="false" customHeight="false" outlineLevel="0" collapsed="false">
      <c r="B481" s="2" t="n">
        <v>480</v>
      </c>
      <c r="C481" s="2" t="n">
        <v>0.233204702344671</v>
      </c>
      <c r="D481" s="2" t="n">
        <v>0.233346721100804</v>
      </c>
      <c r="E481" s="2" t="n">
        <v>0.233146748832795</v>
      </c>
    </row>
    <row r="482" customFormat="false" ht="13.8" hidden="false" customHeight="false" outlineLevel="0" collapsed="false">
      <c r="B482" s="2" t="n">
        <v>481</v>
      </c>
      <c r="C482" s="2" t="n">
        <v>0.233207029414965</v>
      </c>
      <c r="D482" s="2" t="n">
        <v>0.2333490495913</v>
      </c>
      <c r="E482" s="2" t="n">
        <v>0.233149075323548</v>
      </c>
    </row>
    <row r="483" customFormat="false" ht="13.8" hidden="false" customHeight="false" outlineLevel="0" collapsed="false">
      <c r="B483" s="2" t="n">
        <v>482</v>
      </c>
      <c r="C483" s="2" t="n">
        <v>0.23320935650853</v>
      </c>
      <c r="D483" s="2" t="n">
        <v>0.233351378105081</v>
      </c>
      <c r="E483" s="2" t="n">
        <v>0.233151401837566</v>
      </c>
    </row>
    <row r="484" customFormat="false" ht="13.8" hidden="false" customHeight="false" outlineLevel="0" collapsed="false">
      <c r="B484" s="2" t="n">
        <v>483</v>
      </c>
      <c r="C484" s="2" t="n">
        <v>0.233211683625366</v>
      </c>
      <c r="D484" s="2" t="n">
        <v>0.233353706642147</v>
      </c>
      <c r="E484" s="2" t="n">
        <v>0.23315372837485</v>
      </c>
    </row>
    <row r="485" customFormat="false" ht="13.8" hidden="false" customHeight="false" outlineLevel="0" collapsed="false">
      <c r="B485" s="2" t="n">
        <v>484</v>
      </c>
      <c r="C485" s="2" t="n">
        <v>0.233214010765474</v>
      </c>
      <c r="D485" s="2" t="n">
        <v>0.233356035202499</v>
      </c>
      <c r="E485" s="2" t="n">
        <v>0.233156054935399</v>
      </c>
    </row>
    <row r="486" customFormat="false" ht="13.8" hidden="false" customHeight="false" outlineLevel="0" collapsed="false">
      <c r="B486" s="2" t="n">
        <v>485</v>
      </c>
      <c r="C486" s="2" t="n">
        <v>0.233216337928853</v>
      </c>
      <c r="D486" s="2" t="n">
        <v>0.233358363786137</v>
      </c>
      <c r="E486" s="2" t="n">
        <v>0.233158381519214</v>
      </c>
    </row>
    <row r="487" customFormat="false" ht="13.8" hidden="false" customHeight="false" outlineLevel="0" collapsed="false">
      <c r="B487" s="2" t="n">
        <v>486</v>
      </c>
      <c r="C487" s="2" t="n">
        <v>0.233218665115504</v>
      </c>
      <c r="D487" s="2" t="n">
        <v>0.233360692393061</v>
      </c>
      <c r="E487" s="2" t="n">
        <v>0.233160708126296</v>
      </c>
    </row>
    <row r="488" customFormat="false" ht="13.8" hidden="false" customHeight="false" outlineLevel="0" collapsed="false">
      <c r="B488" s="2" t="n">
        <v>487</v>
      </c>
      <c r="C488" s="2" t="n">
        <v>0.233220992325427</v>
      </c>
      <c r="D488" s="2" t="n">
        <v>0.233363021023271</v>
      </c>
      <c r="E488" s="2" t="n">
        <v>0.233163034756643</v>
      </c>
    </row>
    <row r="489" customFormat="false" ht="13.8" hidden="false" customHeight="false" outlineLevel="0" collapsed="false">
      <c r="B489" s="2" t="n">
        <v>488</v>
      </c>
      <c r="C489" s="2" t="n">
        <v>0.233223319558623</v>
      </c>
      <c r="D489" s="2" t="n">
        <v>0.233365349676768</v>
      </c>
      <c r="E489" s="2" t="n">
        <v>0.233165361410257</v>
      </c>
    </row>
    <row r="490" customFormat="false" ht="13.8" hidden="false" customHeight="false" outlineLevel="0" collapsed="false">
      <c r="B490" s="2" t="n">
        <v>489</v>
      </c>
      <c r="C490" s="2" t="n">
        <v>0.233225646815091</v>
      </c>
      <c r="D490" s="2" t="n">
        <v>0.233367678353551</v>
      </c>
      <c r="E490" s="2" t="n">
        <v>0.233167688087138</v>
      </c>
    </row>
    <row r="491" customFormat="false" ht="13.8" hidden="false" customHeight="false" outlineLevel="0" collapsed="false">
      <c r="B491" s="2" t="n">
        <v>490</v>
      </c>
      <c r="C491" s="2" t="n">
        <v>0.233227974094832</v>
      </c>
      <c r="D491" s="2" t="n">
        <v>0.233370007053622</v>
      </c>
      <c r="E491" s="2" t="n">
        <v>0.233170014787286</v>
      </c>
    </row>
    <row r="492" customFormat="false" ht="13.8" hidden="false" customHeight="false" outlineLevel="0" collapsed="false">
      <c r="B492" s="2" t="n">
        <v>491</v>
      </c>
      <c r="C492" s="2" t="n">
        <v>0.233230301397846</v>
      </c>
      <c r="D492" s="2" t="n">
        <v>0.23337233577698</v>
      </c>
      <c r="E492" s="2" t="n">
        <v>0.233172341536591</v>
      </c>
    </row>
    <row r="493" customFormat="false" ht="13.8" hidden="false" customHeight="false" outlineLevel="0" collapsed="false">
      <c r="B493" s="2" t="n">
        <v>492</v>
      </c>
      <c r="C493" s="2" t="n">
        <v>0.233232628724133</v>
      </c>
      <c r="D493" s="2" t="n">
        <v>0.233374664523625</v>
      </c>
      <c r="E493" s="2" t="n">
        <v>0.233174668817145</v>
      </c>
    </row>
    <row r="494" customFormat="false" ht="13.8" hidden="false" customHeight="false" outlineLevel="0" collapsed="false">
      <c r="B494" s="2" t="n">
        <v>493</v>
      </c>
      <c r="C494" s="2" t="n">
        <v>0.233234956073694</v>
      </c>
      <c r="D494" s="2" t="n">
        <v>0.23337699372784</v>
      </c>
      <c r="E494" s="2" t="n">
        <v>0.23317699459389</v>
      </c>
    </row>
    <row r="495" customFormat="false" ht="13.8" hidden="false" customHeight="false" outlineLevel="0" collapsed="false">
      <c r="B495" s="2" t="n">
        <v>494</v>
      </c>
      <c r="C495" s="2" t="n">
        <v>0.233237283446528</v>
      </c>
      <c r="D495" s="2" t="n">
        <v>0.23337932175305</v>
      </c>
      <c r="E495" s="2" t="n">
        <v>0.233179322154669</v>
      </c>
    </row>
    <row r="496" customFormat="false" ht="13.8" hidden="false" customHeight="false" outlineLevel="0" collapsed="false">
      <c r="B496" s="2" t="n">
        <v>495</v>
      </c>
      <c r="C496" s="2" t="n">
        <v>0.233239610842637</v>
      </c>
      <c r="D496" s="2" t="n">
        <v>0.233381649677705</v>
      </c>
      <c r="E496" s="2" t="n">
        <v>0.2331816498628</v>
      </c>
    </row>
    <row r="497" customFormat="false" ht="13.8" hidden="false" customHeight="false" outlineLevel="0" collapsed="false">
      <c r="B497" s="2" t="n">
        <v>496</v>
      </c>
      <c r="C497" s="2" t="n">
        <v>0.233241938262019</v>
      </c>
      <c r="D497" s="2" t="n">
        <v>0.23338397756857</v>
      </c>
      <c r="E497" s="2" t="n">
        <v>0.233183977651387</v>
      </c>
    </row>
    <row r="498" customFormat="false" ht="13.8" hidden="false" customHeight="false" outlineLevel="0" collapsed="false">
      <c r="B498" s="2" t="n">
        <v>497</v>
      </c>
      <c r="C498" s="2" t="n">
        <v>0.233244265704676</v>
      </c>
      <c r="D498" s="2" t="n">
        <v>0.233386305457183</v>
      </c>
      <c r="E498" s="2" t="n">
        <v>0.233186305488836</v>
      </c>
    </row>
    <row r="499" customFormat="false" ht="13.8" hidden="false" customHeight="false" outlineLevel="0" collapsed="false">
      <c r="B499" s="2" t="n">
        <v>498</v>
      </c>
      <c r="C499" s="2" t="n">
        <v>0.233246593170608</v>
      </c>
      <c r="D499" s="2" t="n">
        <v>0.23338863335932</v>
      </c>
      <c r="E499" s="2" t="n">
        <v>0.233188633359335</v>
      </c>
    </row>
    <row r="500" customFormat="false" ht="13.8" hidden="false" customHeight="false" outlineLevel="0" collapsed="false">
      <c r="B500" s="2" t="n">
        <v>499</v>
      </c>
      <c r="C500" s="2" t="n">
        <v>0.233248920659815</v>
      </c>
      <c r="D500" s="2" t="n">
        <v>0.233390961284766</v>
      </c>
      <c r="E500" s="2" t="n">
        <v>0.233190961253145</v>
      </c>
    </row>
    <row r="501" customFormat="false" ht="13.8" hidden="false" customHeight="false" outlineLevel="0" collapsed="false">
      <c r="B501" s="2" t="n">
        <v>500</v>
      </c>
      <c r="C501" s="2" t="n">
        <v>0.233251248172296</v>
      </c>
      <c r="D501" s="2" t="n">
        <v>0.233393289243266</v>
      </c>
      <c r="E501" s="2" t="n">
        <v>0.233193289160479</v>
      </c>
    </row>
    <row r="502" customFormat="false" ht="13.8" hidden="false" customHeight="false" outlineLevel="0" collapsed="false">
      <c r="B502" s="2" t="n">
        <v>501</v>
      </c>
      <c r="C502" s="2" t="n">
        <v>0.233253575708053</v>
      </c>
      <c r="D502" s="2" t="n">
        <v>0.233395617250627</v>
      </c>
      <c r="E502" s="2" t="n">
        <v>0.233195617065559</v>
      </c>
    </row>
    <row r="503" customFormat="false" ht="13.8" hidden="false" customHeight="false" outlineLevel="0" collapsed="false">
      <c r="B503" s="2" t="n">
        <v>502</v>
      </c>
      <c r="C503" s="2" t="n">
        <v>0.233255903267086</v>
      </c>
      <c r="D503" s="2" t="n">
        <v>0.233397945338448</v>
      </c>
      <c r="E503" s="2" t="n">
        <v>0.23319794493685</v>
      </c>
    </row>
    <row r="504" customFormat="false" ht="13.8" hidden="false" customHeight="false" outlineLevel="0" collapsed="false">
      <c r="B504" s="2" t="n">
        <v>503</v>
      </c>
      <c r="C504" s="2" t="n">
        <v>0.233258230849395</v>
      </c>
      <c r="D504" s="2" t="n">
        <v>0.233400273573626</v>
      </c>
      <c r="E504" s="2" t="n">
        <v>0.233200272707585</v>
      </c>
    </row>
    <row r="505" customFormat="false" ht="13.8" hidden="false" customHeight="false" outlineLevel="0" collapsed="false">
      <c r="B505" s="2" t="n">
        <v>504</v>
      </c>
      <c r="C505" s="2" t="n">
        <v>0.233260558454979</v>
      </c>
      <c r="D505" s="2" t="n">
        <v>0.233060558454979</v>
      </c>
      <c r="E505" s="2" t="n">
        <v>0.2332025992993</v>
      </c>
    </row>
    <row r="506" customFormat="false" ht="13.8" hidden="false" customHeight="false" outlineLevel="0" collapsed="false">
      <c r="B506" s="2" t="n">
        <v>505</v>
      </c>
      <c r="C506" s="2" t="n">
        <v>0.23326288608384</v>
      </c>
      <c r="D506" s="2" t="n">
        <v>0.23306288608384</v>
      </c>
      <c r="E506" s="2" t="n">
        <v>0.233204926348563</v>
      </c>
    </row>
    <row r="507" customFormat="false" ht="13.8" hidden="false" customHeight="false" outlineLevel="0" collapsed="false">
      <c r="B507" s="2" t="n">
        <v>506</v>
      </c>
      <c r="C507" s="2" t="n">
        <v>0.233265213735977</v>
      </c>
      <c r="D507" s="2" t="n">
        <v>0.233065213735977</v>
      </c>
      <c r="E507" s="2" t="n">
        <v>0.233207253421097</v>
      </c>
    </row>
    <row r="508" customFormat="false" ht="13.8" hidden="false" customHeight="false" outlineLevel="0" collapsed="false">
      <c r="B508" s="2" t="n">
        <v>507</v>
      </c>
      <c r="C508" s="2" t="n">
        <v>0.233267541411392</v>
      </c>
      <c r="D508" s="2" t="n">
        <v>0.233067541411392</v>
      </c>
      <c r="E508" s="2" t="n">
        <v>0.233067541411391</v>
      </c>
    </row>
    <row r="509" customFormat="false" ht="13.8" hidden="false" customHeight="false" outlineLevel="0" collapsed="false">
      <c r="B509" s="2" t="n">
        <v>508</v>
      </c>
      <c r="C509" s="2" t="n">
        <v>0.233269869110083</v>
      </c>
      <c r="D509" s="2" t="n">
        <v>0.233069869110083</v>
      </c>
      <c r="E509" s="2" t="n">
        <v>0.233211907635979</v>
      </c>
    </row>
    <row r="510" customFormat="false" ht="13.8" hidden="false" customHeight="false" outlineLevel="0" collapsed="false">
      <c r="B510" s="2" t="n">
        <v>509</v>
      </c>
      <c r="C510" s="2" t="n">
        <v>0.233272196832051</v>
      </c>
      <c r="D510" s="2" t="n">
        <v>0.233072196832051</v>
      </c>
      <c r="E510" s="2" t="n">
        <v>0.233214234778326</v>
      </c>
    </row>
    <row r="511" customFormat="false" ht="13.8" hidden="false" customHeight="false" outlineLevel="0" collapsed="false">
      <c r="B511" s="2" t="n">
        <v>510</v>
      </c>
      <c r="C511" s="2" t="n">
        <v>0.233216561943946</v>
      </c>
      <c r="D511" s="2" t="n">
        <v>0.233016561943946</v>
      </c>
      <c r="E511" s="2" t="n">
        <v>0.233216561943943</v>
      </c>
    </row>
    <row r="512" customFormat="false" ht="13.8" hidden="false" customHeight="false" outlineLevel="0" collapsed="false">
      <c r="B512" s="2" t="n">
        <v>511</v>
      </c>
      <c r="C512" s="2" t="n">
        <v>0.188312439350198</v>
      </c>
      <c r="D512" s="2" t="n">
        <v>0.188112439350198</v>
      </c>
      <c r="E512" s="2" t="n">
        <v>0.188112439350193</v>
      </c>
    </row>
    <row r="513" customFormat="false" ht="13.8" hidden="false" customHeight="false" outlineLevel="0" collapsed="false">
      <c r="B513" s="2" t="n">
        <v>512</v>
      </c>
      <c r="C513" s="2" t="n">
        <v>0.188051135911474</v>
      </c>
      <c r="D513" s="2" t="n">
        <v>0.188114325493453</v>
      </c>
      <c r="E513" s="2" t="n">
        <v>0.188004186652456</v>
      </c>
    </row>
    <row r="514" customFormat="false" ht="13.8" hidden="false" customHeight="false" outlineLevel="0" collapsed="false">
      <c r="B514" s="2" t="n">
        <v>513</v>
      </c>
      <c r="C514" s="2" t="n">
        <v>0.188053021441688</v>
      </c>
      <c r="D514" s="2" t="n">
        <v>0.18811621165557</v>
      </c>
      <c r="E514" s="2" t="n">
        <v>0.188006071728369</v>
      </c>
    </row>
    <row r="515" customFormat="false" ht="13.8" hidden="false" customHeight="false" outlineLevel="0" collapsed="false">
      <c r="B515" s="2" t="n">
        <v>514</v>
      </c>
      <c r="C515" s="2" t="n">
        <v>0.188054906990758</v>
      </c>
      <c r="D515" s="2" t="n">
        <v>0.188118097836548</v>
      </c>
      <c r="E515" s="2" t="n">
        <v>0.188007956822817</v>
      </c>
    </row>
    <row r="516" customFormat="false" ht="13.8" hidden="false" customHeight="false" outlineLevel="0" collapsed="false">
      <c r="B516" s="2" t="n">
        <v>515</v>
      </c>
      <c r="C516" s="2" t="n">
        <v>0.188056792558683</v>
      </c>
      <c r="D516" s="2" t="n">
        <v>0.188119984036388</v>
      </c>
      <c r="E516" s="2" t="n">
        <v>0.188009841935714</v>
      </c>
    </row>
    <row r="517" customFormat="false" ht="13.8" hidden="false" customHeight="false" outlineLevel="0" collapsed="false">
      <c r="B517" s="2" t="n">
        <v>516</v>
      </c>
      <c r="C517" s="2" t="n">
        <v>0.188058678145465</v>
      </c>
      <c r="D517" s="2" t="n">
        <v>0.188121870255091</v>
      </c>
      <c r="E517" s="2" t="n">
        <v>0.188011727066953</v>
      </c>
    </row>
    <row r="518" customFormat="false" ht="13.8" hidden="false" customHeight="false" outlineLevel="0" collapsed="false">
      <c r="B518" s="2" t="n">
        <v>517</v>
      </c>
      <c r="C518" s="2" t="n">
        <v>0.188060563751102</v>
      </c>
      <c r="D518" s="2" t="n">
        <v>0.188123756492656</v>
      </c>
      <c r="E518" s="2" t="n">
        <v>0.188013612216422</v>
      </c>
    </row>
    <row r="519" customFormat="false" ht="13.8" hidden="false" customHeight="false" outlineLevel="0" collapsed="false">
      <c r="B519" s="2" t="n">
        <v>518</v>
      </c>
      <c r="C519" s="2" t="n">
        <v>0.188062449375596</v>
      </c>
      <c r="D519" s="2" t="n">
        <v>0.188125642749083</v>
      </c>
      <c r="E519" s="2" t="n">
        <v>0.18801549738393</v>
      </c>
    </row>
    <row r="520" customFormat="false" ht="13.8" hidden="false" customHeight="false" outlineLevel="0" collapsed="false">
      <c r="B520" s="2" t="n">
        <v>519</v>
      </c>
      <c r="C520" s="2" t="n">
        <v>0.188064335018946</v>
      </c>
      <c r="D520" s="2" t="n">
        <v>0.188127529024373</v>
      </c>
      <c r="E520" s="2" t="n">
        <v>0.188017382569521</v>
      </c>
    </row>
    <row r="521" customFormat="false" ht="13.8" hidden="false" customHeight="false" outlineLevel="0" collapsed="false">
      <c r="B521" s="2" t="n">
        <v>520</v>
      </c>
      <c r="C521" s="2" t="n">
        <v>0.188066220681153</v>
      </c>
      <c r="D521" s="2" t="n">
        <v>0.188129415318527</v>
      </c>
      <c r="E521" s="2" t="n">
        <v>0.188019267773152</v>
      </c>
    </row>
    <row r="522" customFormat="false" ht="13.8" hidden="false" customHeight="false" outlineLevel="0" collapsed="false">
      <c r="B522" s="2" t="n">
        <v>521</v>
      </c>
      <c r="C522" s="2" t="n">
        <v>0.188068106362217</v>
      </c>
      <c r="D522" s="2" t="n">
        <v>0.188131301631543</v>
      </c>
      <c r="E522" s="2" t="n">
        <v>0.188021152994785</v>
      </c>
    </row>
    <row r="523" customFormat="false" ht="13.8" hidden="false" customHeight="false" outlineLevel="0" collapsed="false">
      <c r="B523" s="2" t="n">
        <v>522</v>
      </c>
      <c r="C523" s="2" t="n">
        <v>0.188069992062137</v>
      </c>
      <c r="D523" s="2" t="n">
        <v>0.188133187963423</v>
      </c>
      <c r="E523" s="2" t="n">
        <v>0.188023038234512</v>
      </c>
    </row>
    <row r="524" customFormat="false" ht="13.8" hidden="false" customHeight="false" outlineLevel="0" collapsed="false">
      <c r="B524" s="2" t="n">
        <v>523</v>
      </c>
      <c r="C524" s="2" t="n">
        <v>0.188071877780915</v>
      </c>
      <c r="D524" s="2" t="n">
        <v>0.188135074314166</v>
      </c>
      <c r="E524" s="2" t="n">
        <v>0.188024923492046</v>
      </c>
    </row>
    <row r="525" customFormat="false" ht="13.8" hidden="false" customHeight="false" outlineLevel="0" collapsed="false">
      <c r="B525" s="2" t="n">
        <v>524</v>
      </c>
      <c r="C525" s="2" t="n">
        <v>0.18807376351855</v>
      </c>
      <c r="D525" s="2" t="n">
        <v>0.188136960683773</v>
      </c>
      <c r="E525" s="2" t="n">
        <v>0.188026808767233</v>
      </c>
    </row>
    <row r="526" customFormat="false" ht="13.8" hidden="false" customHeight="false" outlineLevel="0" collapsed="false">
      <c r="B526" s="2" t="n">
        <v>525</v>
      </c>
      <c r="C526" s="2" t="n">
        <v>0.188075649275043</v>
      </c>
      <c r="D526" s="2" t="n">
        <v>0.188138847072243</v>
      </c>
      <c r="E526" s="2" t="n">
        <v>0.188028694059919</v>
      </c>
    </row>
    <row r="527" customFormat="false" ht="13.8" hidden="false" customHeight="false" outlineLevel="0" collapsed="false">
      <c r="B527" s="2" t="n">
        <v>526</v>
      </c>
      <c r="C527" s="2" t="n">
        <v>0.188077535050394</v>
      </c>
      <c r="D527" s="2" t="n">
        <v>0.188140733479578</v>
      </c>
      <c r="E527" s="2" t="n">
        <v>0.188030579369656</v>
      </c>
    </row>
    <row r="528" customFormat="false" ht="13.8" hidden="false" customHeight="false" outlineLevel="0" collapsed="false">
      <c r="B528" s="2" t="n">
        <v>527</v>
      </c>
      <c r="C528" s="2" t="n">
        <v>0.188079420844602</v>
      </c>
      <c r="D528" s="2" t="n">
        <v>0.188142619905777</v>
      </c>
      <c r="E528" s="2" t="n">
        <v>0.188032464696824</v>
      </c>
    </row>
    <row r="529" customFormat="false" ht="13.8" hidden="false" customHeight="false" outlineLevel="0" collapsed="false">
      <c r="B529" s="2" t="n">
        <v>528</v>
      </c>
      <c r="C529" s="2" t="n">
        <v>0.188081306657669</v>
      </c>
      <c r="D529" s="2" t="n">
        <v>0.188144506350841</v>
      </c>
      <c r="E529" s="2" t="n">
        <v>0.188034350041509</v>
      </c>
    </row>
    <row r="530" customFormat="false" ht="13.8" hidden="false" customHeight="false" outlineLevel="0" collapsed="false">
      <c r="B530" s="2" t="n">
        <v>529</v>
      </c>
      <c r="C530" s="2" t="n">
        <v>0.188083192489594</v>
      </c>
      <c r="D530" s="2" t="n">
        <v>0.188146392814769</v>
      </c>
      <c r="E530" s="2" t="n">
        <v>0.188036235403794</v>
      </c>
    </row>
    <row r="531" customFormat="false" ht="13.8" hidden="false" customHeight="false" outlineLevel="0" collapsed="false">
      <c r="B531" s="2" t="n">
        <v>530</v>
      </c>
      <c r="C531" s="2" t="n">
        <v>0.188085078340377</v>
      </c>
      <c r="D531" s="2" t="n">
        <v>0.188148279297562</v>
      </c>
      <c r="E531" s="2" t="n">
        <v>0.188038120783821</v>
      </c>
    </row>
    <row r="532" customFormat="false" ht="13.8" hidden="false" customHeight="false" outlineLevel="0" collapsed="false">
      <c r="B532" s="2" t="n">
        <v>531</v>
      </c>
      <c r="C532" s="2" t="n">
        <v>0.188086964210019</v>
      </c>
      <c r="D532" s="2" t="n">
        <v>0.18815016579922</v>
      </c>
      <c r="E532" s="2" t="n">
        <v>0.18804000618157</v>
      </c>
    </row>
    <row r="533" customFormat="false" ht="13.8" hidden="false" customHeight="false" outlineLevel="0" collapsed="false">
      <c r="B533" s="2" t="n">
        <v>532</v>
      </c>
      <c r="C533" s="2" t="n">
        <v>0.18808885009852</v>
      </c>
      <c r="D533" s="2" t="n">
        <v>0.188152052319743</v>
      </c>
      <c r="E533" s="2" t="n">
        <v>0.188041891597077</v>
      </c>
    </row>
    <row r="534" customFormat="false" ht="13.8" hidden="false" customHeight="false" outlineLevel="0" collapsed="false">
      <c r="B534" s="2" t="n">
        <v>533</v>
      </c>
      <c r="C534" s="2" t="n">
        <v>0.18809073600588</v>
      </c>
      <c r="D534" s="2" t="n">
        <v>0.188153938859132</v>
      </c>
      <c r="E534" s="2" t="n">
        <v>0.188290736005856</v>
      </c>
    </row>
    <row r="535" customFormat="false" ht="13.8" hidden="false" customHeight="false" outlineLevel="0" collapsed="false">
      <c r="B535" s="2" t="n">
        <v>534</v>
      </c>
      <c r="C535" s="2" t="n">
        <v>0.188092621932099</v>
      </c>
      <c r="D535" s="2" t="n">
        <v>0.188155825417386</v>
      </c>
      <c r="E535" s="2" t="n">
        <v>0.188292621932079</v>
      </c>
    </row>
    <row r="536" customFormat="false" ht="13.8" hidden="false" customHeight="false" outlineLevel="0" collapsed="false">
      <c r="B536" s="2" t="n">
        <v>535</v>
      </c>
      <c r="C536" s="2" t="n">
        <v>0.188094507877178</v>
      </c>
      <c r="D536" s="2" t="n">
        <v>0.188157711994506</v>
      </c>
      <c r="E536" s="2" t="n">
        <v>0.188294507877162</v>
      </c>
    </row>
    <row r="537" customFormat="false" ht="13.8" hidden="false" customHeight="false" outlineLevel="0" collapsed="false">
      <c r="B537" s="2" t="n">
        <v>536</v>
      </c>
      <c r="C537" s="2" t="n">
        <v>0.188096393841117</v>
      </c>
      <c r="D537" s="2" t="n">
        <v>0.188159598590492</v>
      </c>
      <c r="E537" s="2" t="n">
        <v>0.188049433440489</v>
      </c>
    </row>
    <row r="538" customFormat="false" ht="13.8" hidden="false" customHeight="false" outlineLevel="0" collapsed="false">
      <c r="B538" s="2" t="n">
        <v>537</v>
      </c>
      <c r="C538" s="2" t="n">
        <v>0.188098279823915</v>
      </c>
      <c r="D538" s="2" t="n">
        <v>0.188161485205344</v>
      </c>
      <c r="E538" s="2" t="n">
        <v>0.18805131894751</v>
      </c>
    </row>
    <row r="539" customFormat="false" ht="13.8" hidden="false" customHeight="false" outlineLevel="0" collapsed="false">
      <c r="B539" s="2" t="n">
        <v>538</v>
      </c>
      <c r="C539" s="2" t="n">
        <v>0.188100165825573</v>
      </c>
      <c r="D539" s="2" t="n">
        <v>0.188163371839062</v>
      </c>
      <c r="E539" s="2" t="n">
        <v>0.188053204473418</v>
      </c>
    </row>
    <row r="540" customFormat="false" ht="13.8" hidden="false" customHeight="false" outlineLevel="0" collapsed="false">
      <c r="B540" s="2" t="n">
        <v>539</v>
      </c>
      <c r="C540" s="2" t="n">
        <v>0.188365258491647</v>
      </c>
      <c r="D540" s="2" t="n">
        <v>0.188165258491647</v>
      </c>
      <c r="E540" s="2" t="n">
        <v>0.188365258491642</v>
      </c>
    </row>
    <row r="541" customFormat="false" ht="13.8" hidden="false" customHeight="false" outlineLevel="0" collapsed="false">
      <c r="B541" s="2" t="n">
        <v>540</v>
      </c>
      <c r="C541" s="2" t="n">
        <v>0.188367145163099</v>
      </c>
      <c r="D541" s="2" t="n">
        <v>0.188167145163099</v>
      </c>
      <c r="E541" s="2" t="n">
        <v>0.188367145163095</v>
      </c>
    </row>
    <row r="542" customFormat="false" ht="13.8" hidden="false" customHeight="false" outlineLevel="0" collapsed="false">
      <c r="B542" s="2" t="n">
        <v>541</v>
      </c>
      <c r="C542" s="2" t="n">
        <v>0.427356435003684</v>
      </c>
      <c r="D542" s="2" t="n">
        <v>0.427156435003684</v>
      </c>
      <c r="E542" s="2" t="n">
        <v>0.427356435003682</v>
      </c>
    </row>
    <row r="543" customFormat="false" ht="13.8" hidden="false" customHeight="false" outlineLevel="0" collapsed="false">
      <c r="B543" s="2" t="n">
        <v>542</v>
      </c>
      <c r="C543" s="2" t="n">
        <v>0.42749751346713</v>
      </c>
      <c r="D543" s="2" t="n">
        <v>0.427297516168315</v>
      </c>
      <c r="E543" s="2" t="n">
        <v>0.427360703610719</v>
      </c>
    </row>
    <row r="544" customFormat="false" ht="13.8" hidden="false" customHeight="false" outlineLevel="0" collapsed="false">
      <c r="B544" s="2" t="n">
        <v>543</v>
      </c>
      <c r="C544" s="2" t="n">
        <v>0.427501782017508</v>
      </c>
      <c r="D544" s="2" t="n">
        <v>0.427301784186157</v>
      </c>
      <c r="E544" s="2" t="n">
        <v>0.427364972260442</v>
      </c>
    </row>
    <row r="545" customFormat="false" ht="13.8" hidden="false" customHeight="false" outlineLevel="0" collapsed="false">
      <c r="B545" s="2" t="n">
        <v>544</v>
      </c>
      <c r="C545" s="2" t="n">
        <v>0.427506050610572</v>
      </c>
      <c r="D545" s="2" t="n">
        <v>0.427306052246679</v>
      </c>
      <c r="E545" s="2" t="n">
        <v>0.427369240952851</v>
      </c>
    </row>
    <row r="546" customFormat="false" ht="13.8" hidden="false" customHeight="false" outlineLevel="0" collapsed="false">
      <c r="B546" s="2" t="n">
        <v>545</v>
      </c>
      <c r="C546" s="2" t="n">
        <v>0.427510316205508</v>
      </c>
      <c r="D546" s="2" t="n">
        <v>0.427310316205508</v>
      </c>
      <c r="E546" s="2" t="n">
        <v>0.427373509687948</v>
      </c>
    </row>
    <row r="547" customFormat="false" ht="13.8" hidden="false" customHeight="false" outlineLevel="0" collapsed="false">
      <c r="B547" s="2" t="n">
        <v>546</v>
      </c>
      <c r="C547" s="2" t="n">
        <v>0.427514586888507</v>
      </c>
      <c r="D547" s="2" t="n">
        <v>0.427314587959669</v>
      </c>
      <c r="E547" s="2" t="n">
        <v>0.427377778465733</v>
      </c>
    </row>
    <row r="548" customFormat="false" ht="13.8" hidden="false" customHeight="false" outlineLevel="0" collapsed="false">
      <c r="B548" s="2" t="n">
        <v>547</v>
      </c>
      <c r="C548" s="2" t="n">
        <v>0.427518855878079</v>
      </c>
      <c r="D548" s="2" t="n">
        <v>0.427318855878079</v>
      </c>
      <c r="E548" s="2" t="n">
        <v>0.427382047286206</v>
      </c>
    </row>
    <row r="549" customFormat="false" ht="13.8" hidden="false" customHeight="false" outlineLevel="0" collapsed="false">
      <c r="B549" s="2" t="n">
        <v>548</v>
      </c>
      <c r="C549" s="2" t="n">
        <v>0.42752312544749</v>
      </c>
      <c r="D549" s="2" t="n">
        <v>0.42732312544749</v>
      </c>
      <c r="E549" s="2" t="n">
        <v>0.427386316149368</v>
      </c>
    </row>
    <row r="550" customFormat="false" ht="13.8" hidden="false" customHeight="false" outlineLevel="0" collapsed="false">
      <c r="B550" s="2" t="n">
        <v>549</v>
      </c>
      <c r="C550" s="2" t="n">
        <v>0.427527395059603</v>
      </c>
      <c r="D550" s="2" t="n">
        <v>0.427327395059603</v>
      </c>
      <c r="E550" s="2" t="n">
        <v>0.427390585055218</v>
      </c>
    </row>
    <row r="551" customFormat="false" ht="13.8" hidden="false" customHeight="false" outlineLevel="0" collapsed="false">
      <c r="B551" s="2" t="n">
        <v>550</v>
      </c>
      <c r="C551" s="2" t="n">
        <v>0.427531664574204</v>
      </c>
      <c r="D551" s="2" t="n">
        <v>0.427331664294046</v>
      </c>
      <c r="E551" s="2" t="n">
        <v>0.427394854003758</v>
      </c>
    </row>
    <row r="552" customFormat="false" ht="13.8" hidden="false" customHeight="false" outlineLevel="0" collapsed="false">
      <c r="B552" s="2" t="n">
        <v>551</v>
      </c>
      <c r="C552" s="2" t="n">
        <v>0.427535934189186</v>
      </c>
      <c r="D552" s="2" t="n">
        <v>0.427335933398234</v>
      </c>
      <c r="E552" s="2" t="n">
        <v>0.427399122994989</v>
      </c>
    </row>
    <row r="553" customFormat="false" ht="13.8" hidden="false" customHeight="false" outlineLevel="0" collapsed="false">
      <c r="B553" s="2" t="n">
        <v>552</v>
      </c>
      <c r="C553" s="2" t="n">
        <v>0.427540204277602</v>
      </c>
      <c r="D553" s="2" t="n">
        <v>0.427340208483745</v>
      </c>
      <c r="E553" s="2" t="n">
        <v>0.427403392028909</v>
      </c>
    </row>
    <row r="554" customFormat="false" ht="13.8" hidden="false" customHeight="false" outlineLevel="0" collapsed="false">
      <c r="B554" s="2" t="n">
        <v>553</v>
      </c>
      <c r="C554" s="2" t="n">
        <v>0.427544474497192</v>
      </c>
      <c r="D554" s="2" t="n">
        <v>0.427344477139243</v>
      </c>
      <c r="E554" s="2" t="n">
        <v>0.42740766110552</v>
      </c>
    </row>
    <row r="555" customFormat="false" ht="13.8" hidden="false" customHeight="false" outlineLevel="0" collapsed="false">
      <c r="B555" s="2" t="n">
        <v>554</v>
      </c>
      <c r="C555" s="2" t="n">
        <v>0.427548744759485</v>
      </c>
      <c r="D555" s="2" t="n">
        <v>0.427348745626088</v>
      </c>
      <c r="E555" s="2" t="n">
        <v>0.427411930224823</v>
      </c>
    </row>
    <row r="556" customFormat="false" ht="13.8" hidden="false" customHeight="false" outlineLevel="0" collapsed="false">
      <c r="B556" s="2" t="n">
        <v>555</v>
      </c>
      <c r="C556" s="2" t="n">
        <v>0.427553015064481</v>
      </c>
      <c r="D556" s="2" t="n">
        <v>0.427353014155636</v>
      </c>
      <c r="E556" s="2" t="n">
        <v>0.427416199386816</v>
      </c>
    </row>
    <row r="557" customFormat="false" ht="13.8" hidden="false" customHeight="false" outlineLevel="0" collapsed="false">
      <c r="B557" s="2" t="n">
        <v>556</v>
      </c>
      <c r="C557" s="2" t="n">
        <v>0.427557285412179</v>
      </c>
      <c r="D557" s="2" t="n">
        <v>0.427357282727888</v>
      </c>
      <c r="E557" s="2" t="n">
        <v>0.427420468591502</v>
      </c>
    </row>
    <row r="558" customFormat="false" ht="13.8" hidden="false" customHeight="false" outlineLevel="0" collapsed="false">
      <c r="B558" s="2" t="n">
        <v>557</v>
      </c>
      <c r="C558" s="2" t="n">
        <v>0.427561555802581</v>
      </c>
      <c r="D558" s="2" t="n">
        <v>0.427361551342844</v>
      </c>
      <c r="E558" s="2" t="n">
        <v>0.427424737838881</v>
      </c>
    </row>
    <row r="559" customFormat="false" ht="13.8" hidden="false" customHeight="false" outlineLevel="0" collapsed="false">
      <c r="B559" s="2" t="n">
        <v>558</v>
      </c>
      <c r="C559" s="2" t="n">
        <v>0.427565826235686</v>
      </c>
      <c r="D559" s="2" t="n">
        <v>0.427365820000504</v>
      </c>
      <c r="E559" s="2" t="n">
        <v>0.427429007128952</v>
      </c>
    </row>
    <row r="560" customFormat="false" ht="13.8" hidden="false" customHeight="false" outlineLevel="0" collapsed="false">
      <c r="B560" s="2" t="n">
        <v>559</v>
      </c>
      <c r="C560" s="2" t="n">
        <v>0.427570096711495</v>
      </c>
      <c r="D560" s="2" t="n">
        <v>0.427370088700869</v>
      </c>
      <c r="E560" s="2" t="n">
        <v>0.427433276461716</v>
      </c>
    </row>
    <row r="561" customFormat="false" ht="13.8" hidden="false" customHeight="false" outlineLevel="0" collapsed="false">
      <c r="B561" s="2" t="n">
        <v>560</v>
      </c>
      <c r="C561" s="2" t="n">
        <v>0.427574367230008</v>
      </c>
      <c r="D561" s="2" t="n">
        <v>0.427374357443939</v>
      </c>
      <c r="E561" s="2" t="n">
        <v>0.427437545837175</v>
      </c>
    </row>
    <row r="562" customFormat="false" ht="13.8" hidden="false" customHeight="false" outlineLevel="0" collapsed="false">
      <c r="B562" s="2" t="n">
        <v>561</v>
      </c>
      <c r="C562" s="2" t="n">
        <v>0.427578637791226</v>
      </c>
      <c r="D562" s="2" t="n">
        <v>0.427378626229714</v>
      </c>
      <c r="E562" s="2" t="n">
        <v>0.427441815255327</v>
      </c>
    </row>
    <row r="563" customFormat="false" ht="13.8" hidden="false" customHeight="false" outlineLevel="0" collapsed="false">
      <c r="B563" s="2" t="n">
        <v>562</v>
      </c>
      <c r="C563" s="2" t="n">
        <v>0.42758290839515</v>
      </c>
      <c r="D563" s="2" t="n">
        <v>0.427382895058194</v>
      </c>
      <c r="E563" s="2" t="n">
        <v>0.427446084716175</v>
      </c>
    </row>
    <row r="564" customFormat="false" ht="13.8" hidden="false" customHeight="false" outlineLevel="0" collapsed="false">
      <c r="B564" s="2" t="n">
        <v>563</v>
      </c>
      <c r="C564" s="2" t="n">
        <v>0.42758717904178</v>
      </c>
      <c r="D564" s="2" t="n">
        <v>0.42738716392938</v>
      </c>
      <c r="E564" s="2" t="n">
        <v>0.427450354219717</v>
      </c>
    </row>
    <row r="565" customFormat="false" ht="13.8" hidden="false" customHeight="false" outlineLevel="0" collapsed="false">
      <c r="B565" s="2" t="n">
        <v>564</v>
      </c>
      <c r="C565" s="2" t="n">
        <v>0.42759144970059</v>
      </c>
      <c r="D565" s="2" t="n">
        <v>0.427391432842992</v>
      </c>
      <c r="E565" s="2" t="n">
        <v>0.427454623765954</v>
      </c>
    </row>
    <row r="566" customFormat="false" ht="13.8" hidden="false" customHeight="false" outlineLevel="0" collapsed="false">
      <c r="B566" s="2" t="n">
        <v>565</v>
      </c>
      <c r="C566" s="2" t="n">
        <v>0.427595720223143</v>
      </c>
      <c r="D566" s="2" t="n">
        <v>0.427395701796977</v>
      </c>
      <c r="E566" s="2" t="n">
        <v>0.427458893354888</v>
      </c>
    </row>
    <row r="567" customFormat="false" ht="13.8" hidden="false" customHeight="false" outlineLevel="0" collapsed="false">
      <c r="B567" s="2" t="n">
        <v>566</v>
      </c>
      <c r="C567" s="2" t="n">
        <v>0.427599990788404</v>
      </c>
      <c r="D567" s="2" t="n">
        <v>0.427399970791788</v>
      </c>
      <c r="E567" s="2" t="n">
        <v>0.427463162986518</v>
      </c>
    </row>
    <row r="568" customFormat="false" ht="13.8" hidden="false" customHeight="false" outlineLevel="0" collapsed="false">
      <c r="B568" s="2" t="n">
        <v>567</v>
      </c>
      <c r="C568" s="2" t="n">
        <v>0.427604261396371</v>
      </c>
      <c r="D568" s="2" t="n">
        <v>0.427404239826849</v>
      </c>
      <c r="E568" s="2" t="n">
        <v>0.427467432660844</v>
      </c>
    </row>
    <row r="569" customFormat="false" ht="13.8" hidden="false" customHeight="false" outlineLevel="0" collapsed="false">
      <c r="B569" s="2" t="n">
        <v>568</v>
      </c>
      <c r="C569" s="2" t="n">
        <v>0.427608532047042</v>
      </c>
      <c r="D569" s="2" t="n">
        <v>0.427408508912223</v>
      </c>
      <c r="E569" s="2" t="n">
        <v>0.427471702377868</v>
      </c>
    </row>
    <row r="570" customFormat="false" ht="13.8" hidden="false" customHeight="false" outlineLevel="0" collapsed="false">
      <c r="B570" s="2" t="n">
        <v>569</v>
      </c>
      <c r="C570" s="2" t="n">
        <v>0.427612802740412</v>
      </c>
      <c r="D570" s="2" t="n">
        <v>0.427412778104446</v>
      </c>
      <c r="E570" s="2" t="n">
        <v>0.427475972137589</v>
      </c>
    </row>
    <row r="571" customFormat="false" ht="13.8" hidden="false" customHeight="false" outlineLevel="0" collapsed="false">
      <c r="B571" s="2" t="n">
        <v>570</v>
      </c>
      <c r="C571" s="2" t="n">
        <v>0.427617073476477</v>
      </c>
      <c r="D571" s="2" t="n">
        <v>0.427417047442031</v>
      </c>
      <c r="E571" s="2" t="n">
        <v>0.427480241940009</v>
      </c>
    </row>
    <row r="572" customFormat="false" ht="13.8" hidden="false" customHeight="false" outlineLevel="0" collapsed="false">
      <c r="B572" s="2" t="n">
        <v>571</v>
      </c>
      <c r="C572" s="2" t="n">
        <v>0.42762134425523</v>
      </c>
      <c r="D572" s="2" t="n">
        <v>0.427421316874761</v>
      </c>
      <c r="E572" s="2" t="n">
        <v>0.427484511785127</v>
      </c>
    </row>
    <row r="573" customFormat="false" ht="13.8" hidden="false" customHeight="false" outlineLevel="0" collapsed="false">
      <c r="B573" s="2" t="n">
        <v>572</v>
      </c>
      <c r="C573" s="2" t="n">
        <v>0.427625615076664</v>
      </c>
      <c r="D573" s="2" t="n">
        <v>0.427425586367252</v>
      </c>
      <c r="E573" s="2" t="n">
        <v>0.427488781672943</v>
      </c>
    </row>
    <row r="574" customFormat="false" ht="13.8" hidden="false" customHeight="false" outlineLevel="0" collapsed="false">
      <c r="B574" s="2" t="n">
        <v>573</v>
      </c>
      <c r="C574" s="2" t="n">
        <v>0.42762988594077</v>
      </c>
      <c r="D574" s="2" t="n">
        <v>0.427429855908295</v>
      </c>
      <c r="E574" s="2" t="n">
        <v>0.427493051603459</v>
      </c>
    </row>
    <row r="575" customFormat="false" ht="13.8" hidden="false" customHeight="false" outlineLevel="0" collapsed="false">
      <c r="B575" s="2" t="n">
        <v>574</v>
      </c>
      <c r="C575" s="2" t="n">
        <v>0.427634156847536</v>
      </c>
      <c r="D575" s="2" t="n">
        <v>0.427434125494398</v>
      </c>
      <c r="E575" s="2" t="n">
        <v>0.427497321576675</v>
      </c>
    </row>
    <row r="576" customFormat="false" ht="13.8" hidden="false" customHeight="false" outlineLevel="0" collapsed="false">
      <c r="B576" s="2" t="n">
        <v>575</v>
      </c>
      <c r="C576" s="2" t="n">
        <v>0.427638427796947</v>
      </c>
      <c r="D576" s="2" t="n">
        <v>0.4274383951243</v>
      </c>
      <c r="E576" s="2" t="n">
        <v>0.427501591592591</v>
      </c>
    </row>
    <row r="577" customFormat="false" ht="13.8" hidden="false" customHeight="false" outlineLevel="0" collapsed="false">
      <c r="B577" s="2" t="n">
        <v>576</v>
      </c>
      <c r="C577" s="2" t="n">
        <v>0.427642698788986</v>
      </c>
      <c r="D577" s="2" t="n">
        <v>0.427442664797473</v>
      </c>
      <c r="E577" s="2" t="n">
        <v>0.427505861651208</v>
      </c>
    </row>
    <row r="578" customFormat="false" ht="13.8" hidden="false" customHeight="false" outlineLevel="0" collapsed="false">
      <c r="B578" s="2" t="n">
        <v>577</v>
      </c>
      <c r="C578" s="2" t="n">
        <v>0.427646971895227</v>
      </c>
      <c r="D578" s="2" t="n">
        <v>0.427446949023683</v>
      </c>
      <c r="E578" s="2" t="n">
        <v>0.427510131752525</v>
      </c>
    </row>
    <row r="579" customFormat="false" ht="13.8" hidden="false" customHeight="false" outlineLevel="0" collapsed="false">
      <c r="B579" s="2" t="n">
        <v>578</v>
      </c>
      <c r="C579" s="2" t="n">
        <v>0.427651242873547</v>
      </c>
      <c r="D579" s="2" t="n">
        <v>0.42745121878295</v>
      </c>
      <c r="E579" s="2" t="n">
        <v>0.427514401896544</v>
      </c>
    </row>
    <row r="580" customFormat="false" ht="13.8" hidden="false" customHeight="false" outlineLevel="0" collapsed="false">
      <c r="B580" s="2" t="n">
        <v>579</v>
      </c>
      <c r="C580" s="2" t="n">
        <v>0.427655513894592</v>
      </c>
      <c r="D580" s="2" t="n">
        <v>0.42745548858495</v>
      </c>
      <c r="E580" s="2" t="n">
        <v>0.427518672083265</v>
      </c>
    </row>
    <row r="581" customFormat="false" ht="13.8" hidden="false" customHeight="false" outlineLevel="0" collapsed="false">
      <c r="B581" s="2" t="n">
        <v>580</v>
      </c>
      <c r="C581" s="2" t="n">
        <v>0.427659783182886</v>
      </c>
      <c r="D581" s="2" t="n">
        <v>0.427459743919408</v>
      </c>
      <c r="E581" s="2" t="n">
        <v>0.427522942312688</v>
      </c>
    </row>
    <row r="582" customFormat="false" ht="13.8" hidden="false" customHeight="false" outlineLevel="0" collapsed="false">
      <c r="B582" s="2" t="n">
        <v>581</v>
      </c>
      <c r="C582" s="2" t="n">
        <v>0.427664054387603</v>
      </c>
      <c r="D582" s="2" t="n">
        <v>0.427464013806883</v>
      </c>
      <c r="E582" s="2" t="n">
        <v>0.427527212584814</v>
      </c>
    </row>
    <row r="583" customFormat="false" ht="13.8" hidden="false" customHeight="false" outlineLevel="0" collapsed="false">
      <c r="B583" s="2" t="n">
        <v>582</v>
      </c>
      <c r="C583" s="2" t="n">
        <v>0.427668325634702</v>
      </c>
      <c r="D583" s="2" t="n">
        <v>0.427468283737103</v>
      </c>
      <c r="E583" s="2" t="n">
        <v>0.427531482899643</v>
      </c>
    </row>
    <row r="584" customFormat="false" ht="13.8" hidden="false" customHeight="false" outlineLevel="0" collapsed="false">
      <c r="B584" s="2" t="n">
        <v>583</v>
      </c>
      <c r="C584" s="2" t="n">
        <v>0.427672596924104</v>
      </c>
      <c r="D584" s="2" t="n">
        <v>0.427472553710059</v>
      </c>
      <c r="E584" s="2" t="n">
        <v>0.427535753257175</v>
      </c>
    </row>
    <row r="585" customFormat="false" ht="13.8" hidden="false" customHeight="false" outlineLevel="0" collapsed="false">
      <c r="B585" s="2" t="n">
        <v>584</v>
      </c>
      <c r="C585" s="2" t="n">
        <v>0.427676868255706</v>
      </c>
      <c r="D585" s="2" t="n">
        <v>0.427476823725742</v>
      </c>
      <c r="E585" s="2" t="n">
        <v>0.427540023657412</v>
      </c>
    </row>
    <row r="586" customFormat="false" ht="13.8" hidden="false" customHeight="false" outlineLevel="0" collapsed="false">
      <c r="B586" s="2" t="n">
        <v>585</v>
      </c>
      <c r="C586" s="2" t="n">
        <v>0.427681139629384</v>
      </c>
      <c r="D586" s="2" t="n">
        <v>0.427481093784149</v>
      </c>
      <c r="E586" s="2" t="n">
        <v>0.427544294100353</v>
      </c>
    </row>
    <row r="587" customFormat="false" ht="13.8" hidden="false" customHeight="false" outlineLevel="0" collapsed="false">
      <c r="B587" s="2" t="n">
        <v>586</v>
      </c>
      <c r="C587" s="2" t="n">
        <v>0.427685411044981</v>
      </c>
      <c r="D587" s="2" t="n">
        <v>0.427485363885275</v>
      </c>
      <c r="E587" s="2" t="n">
        <v>0.427548564585998</v>
      </c>
    </row>
    <row r="588" customFormat="false" ht="13.8" hidden="false" customHeight="false" outlineLevel="0" collapsed="false">
      <c r="B588" s="2" t="n">
        <v>587</v>
      </c>
      <c r="C588" s="2" t="n">
        <v>0.427689682502309</v>
      </c>
      <c r="D588" s="2" t="n">
        <v>0.427489634029118</v>
      </c>
      <c r="E588" s="2" t="n">
        <v>0.42755283511435</v>
      </c>
    </row>
    <row r="589" customFormat="false" ht="13.8" hidden="false" customHeight="false" outlineLevel="0" collapsed="false">
      <c r="B589" s="2" t="n">
        <v>588</v>
      </c>
      <c r="C589" s="2" t="n">
        <v>0.427693954001132</v>
      </c>
      <c r="D589" s="2" t="n">
        <v>0.427493904215676</v>
      </c>
      <c r="E589" s="2" t="n">
        <v>0.427557105685406</v>
      </c>
    </row>
    <row r="590" customFormat="false" ht="13.8" hidden="false" customHeight="false" outlineLevel="0" collapsed="false">
      <c r="B590" s="2" t="n">
        <v>589</v>
      </c>
      <c r="C590" s="2" t="n">
        <v>0.427698225541169</v>
      </c>
      <c r="D590" s="2" t="n">
        <v>0.427498174444949</v>
      </c>
      <c r="E590" s="2" t="n">
        <v>0.427561376299169</v>
      </c>
    </row>
    <row r="591" customFormat="false" ht="13.8" hidden="false" customHeight="false" outlineLevel="0" collapsed="false">
      <c r="B591" s="2" t="n">
        <v>590</v>
      </c>
      <c r="C591" s="2" t="n">
        <v>0.427702497122078</v>
      </c>
      <c r="D591" s="2" t="n">
        <v>0.427502444716935</v>
      </c>
      <c r="E591" s="2" t="n">
        <v>0.427565646955639</v>
      </c>
    </row>
    <row r="592" customFormat="false" ht="13.8" hidden="false" customHeight="false" outlineLevel="0" collapsed="false">
      <c r="B592" s="2" t="n">
        <v>591</v>
      </c>
      <c r="C592" s="2" t="n">
        <v>0.42770676874346</v>
      </c>
      <c r="D592" s="2" t="n">
        <v>0.427506715031633</v>
      </c>
      <c r="E592" s="2" t="n">
        <v>0.427569917654815</v>
      </c>
    </row>
    <row r="593" customFormat="false" ht="13.8" hidden="false" customHeight="false" outlineLevel="0" collapsed="false">
      <c r="B593" s="2" t="n">
        <v>592</v>
      </c>
      <c r="C593" s="2" t="n">
        <v>0.42771104040485</v>
      </c>
      <c r="D593" s="2" t="n">
        <v>0.427510985389044</v>
      </c>
      <c r="E593" s="2" t="n">
        <v>0.427574188396699</v>
      </c>
    </row>
    <row r="594" customFormat="false" ht="13.8" hidden="false" customHeight="false" outlineLevel="0" collapsed="false">
      <c r="B594" s="2" t="n">
        <v>593</v>
      </c>
      <c r="C594" s="2" t="n">
        <v>0.427715312105727</v>
      </c>
      <c r="D594" s="2" t="n">
        <v>0.427515255789168</v>
      </c>
      <c r="E594" s="2" t="n">
        <v>0.427578459181291</v>
      </c>
    </row>
    <row r="595" customFormat="false" ht="13.8" hidden="false" customHeight="false" outlineLevel="0" collapsed="false">
      <c r="B595" s="2" t="n">
        <v>594</v>
      </c>
      <c r="C595" s="2" t="n">
        <v>0.427719583845524</v>
      </c>
      <c r="D595" s="2" t="n">
        <v>0.427519526232003</v>
      </c>
      <c r="E595" s="2" t="n">
        <v>0.427582730008591</v>
      </c>
    </row>
    <row r="596" customFormat="false" ht="13.8" hidden="false" customHeight="false" outlineLevel="0" collapsed="false">
      <c r="B596" s="2" t="n">
        <v>595</v>
      </c>
      <c r="C596" s="2" t="n">
        <v>0.427723855623653</v>
      </c>
      <c r="D596" s="2" t="n">
        <v>0.427523796717551</v>
      </c>
      <c r="E596" s="2" t="n">
        <v>0.4275870008786</v>
      </c>
    </row>
    <row r="597" customFormat="false" ht="13.8" hidden="false" customHeight="false" outlineLevel="0" collapsed="false">
      <c r="B597" s="2" t="n">
        <v>596</v>
      </c>
      <c r="C597" s="2" t="n">
        <v>0.427728127439538</v>
      </c>
      <c r="D597" s="2" t="n">
        <v>0.427528067245811</v>
      </c>
      <c r="E597" s="2" t="n">
        <v>0.427591271791318</v>
      </c>
    </row>
    <row r="598" customFormat="false" ht="13.8" hidden="false" customHeight="false" outlineLevel="0" collapsed="false">
      <c r="B598" s="2" t="n">
        <v>597</v>
      </c>
      <c r="C598" s="2" t="n">
        <v>0.42773239929266</v>
      </c>
      <c r="D598" s="2" t="n">
        <v>0.427532337816783</v>
      </c>
      <c r="E598" s="2" t="n">
        <v>0.427595542746745</v>
      </c>
    </row>
    <row r="599" customFormat="false" ht="13.8" hidden="false" customHeight="false" outlineLevel="0" collapsed="false">
      <c r="B599" s="2" t="n">
        <v>598</v>
      </c>
      <c r="C599" s="2" t="n">
        <v>0.427736594045078</v>
      </c>
      <c r="D599" s="2" t="n">
        <v>0.427536595026853</v>
      </c>
      <c r="E599" s="2" t="n">
        <v>0.427599813744882</v>
      </c>
    </row>
    <row r="600" customFormat="false" ht="13.8" hidden="false" customHeight="false" outlineLevel="0" collapsed="false">
      <c r="B600" s="2" t="n">
        <v>599</v>
      </c>
      <c r="C600" s="2" t="n">
        <v>0.427740962061442</v>
      </c>
      <c r="D600" s="2" t="n">
        <v>0.42754096143159</v>
      </c>
      <c r="E600" s="2" t="n">
        <v>0.42760408478573</v>
      </c>
    </row>
    <row r="601" customFormat="false" ht="13.8" hidden="false" customHeight="false" outlineLevel="0" collapsed="false">
      <c r="B601" s="2" t="n">
        <v>600</v>
      </c>
      <c r="C601" s="2" t="n">
        <v>0.427745234513787</v>
      </c>
      <c r="D601" s="2" t="n">
        <v>0.427545234513787</v>
      </c>
      <c r="E601" s="2" t="n">
        <v>0.427608355869288</v>
      </c>
    </row>
    <row r="602" customFormat="false" ht="13.8" hidden="false" customHeight="false" outlineLevel="0" collapsed="false">
      <c r="B602" s="2" t="n">
        <v>601</v>
      </c>
      <c r="C602" s="2" t="n">
        <v>0.427749507008857</v>
      </c>
      <c r="D602" s="2" t="n">
        <v>0.427549507008857</v>
      </c>
      <c r="E602" s="2" t="n">
        <v>0.427612626995558</v>
      </c>
    </row>
    <row r="603" customFormat="false" ht="13.8" hidden="false" customHeight="false" outlineLevel="0" collapsed="false">
      <c r="B603" s="2" t="n">
        <v>602</v>
      </c>
      <c r="C603" s="2" t="n">
        <v>0.0002</v>
      </c>
      <c r="D603" s="2" t="n">
        <v>1.96961831485441E-020</v>
      </c>
      <c r="E603" s="2" t="n">
        <v>0</v>
      </c>
    </row>
    <row r="604" customFormat="false" ht="13.8" hidden="false" customHeight="false" outlineLevel="0" collapsed="false">
      <c r="B604" s="2" t="n">
        <v>603</v>
      </c>
      <c r="C604" s="2" t="n">
        <v>0.0002</v>
      </c>
      <c r="D604" s="2" t="n">
        <v>3.06172112404481E-020</v>
      </c>
      <c r="E604" s="2" t="n">
        <v>0</v>
      </c>
    </row>
    <row r="605" customFormat="false" ht="13.8" hidden="false" customHeight="false" outlineLevel="0" collapsed="false">
      <c r="B605" s="2" t="n">
        <v>604</v>
      </c>
      <c r="C605" s="2" t="n">
        <v>9.49445470453762E-020</v>
      </c>
      <c r="D605" s="2" t="n">
        <v>4.15382393323521E-020</v>
      </c>
      <c r="E605" s="2" t="n">
        <v>0</v>
      </c>
    </row>
    <row r="606" customFormat="false" ht="13.8" hidden="false" customHeight="false" outlineLevel="0" collapsed="false">
      <c r="B606" s="2" t="n">
        <v>605</v>
      </c>
      <c r="C606" s="2" t="n">
        <v>1.19906896969728E-019</v>
      </c>
      <c r="D606" s="2" t="n">
        <v>5.24592674242561E-020</v>
      </c>
      <c r="E606" s="2" t="n">
        <v>0</v>
      </c>
    </row>
    <row r="607" customFormat="false" ht="13.8" hidden="false" customHeight="false" outlineLevel="0" collapsed="false">
      <c r="B607" s="2" t="n">
        <v>606</v>
      </c>
      <c r="C607" s="2" t="n">
        <v>1.62643969048576E-019</v>
      </c>
      <c r="D607" s="2" t="n">
        <v>7.11567364587522E-020</v>
      </c>
      <c r="E607" s="2" t="n">
        <v>0</v>
      </c>
    </row>
    <row r="608" customFormat="false" ht="13.8" hidden="false" customHeight="false" outlineLevel="0" collapsed="false">
      <c r="B608" s="2" t="n">
        <v>607</v>
      </c>
      <c r="C608" s="2" t="n">
        <v>2.05381041127424E-019</v>
      </c>
      <c r="D608" s="2" t="n">
        <v>8.98542054932482E-020</v>
      </c>
      <c r="E608" s="2" t="n">
        <v>0</v>
      </c>
    </row>
    <row r="609" customFormat="false" ht="13.8" hidden="false" customHeight="false" outlineLevel="0" collapsed="false">
      <c r="B609" s="2" t="n">
        <v>608</v>
      </c>
      <c r="C609" s="2" t="n">
        <v>2.48118113206272E-019</v>
      </c>
      <c r="D609" s="2" t="n">
        <v>1.08551674527744E-019</v>
      </c>
      <c r="E609" s="2" t="n">
        <v>0</v>
      </c>
    </row>
    <row r="610" customFormat="false" ht="13.8" hidden="false" customHeight="false" outlineLevel="0" collapsed="false">
      <c r="B610" s="2" t="n">
        <v>609</v>
      </c>
      <c r="C610" s="2" t="n">
        <v>2.9085518528512E-019</v>
      </c>
      <c r="D610" s="2" t="n">
        <v>1.2724914356224E-019</v>
      </c>
      <c r="E610" s="2" t="n">
        <v>0</v>
      </c>
    </row>
    <row r="611" customFormat="false" ht="13.8" hidden="false" customHeight="false" outlineLevel="0" collapsed="false">
      <c r="B611" s="2" t="n">
        <v>610</v>
      </c>
      <c r="C611" s="2" t="n">
        <v>3.26825536389121E-019</v>
      </c>
      <c r="D611" s="2" t="n">
        <v>1.4298617217024E-019</v>
      </c>
      <c r="E611" s="2" t="n">
        <v>0</v>
      </c>
    </row>
    <row r="612" customFormat="false" ht="13.8" hidden="false" customHeight="false" outlineLevel="0" collapsed="false">
      <c r="B612" s="2" t="n">
        <v>611</v>
      </c>
      <c r="C612" s="2" t="n">
        <v>3.62795887493121E-019</v>
      </c>
      <c r="D612" s="2" t="n">
        <v>1.5872320077824E-019</v>
      </c>
      <c r="E612" s="2" t="n">
        <v>0</v>
      </c>
    </row>
    <row r="613" customFormat="false" ht="13.8" hidden="false" customHeight="false" outlineLevel="0" collapsed="false">
      <c r="B613" s="2" t="n">
        <v>612</v>
      </c>
      <c r="C613" s="2" t="n">
        <v>3.98766238597121E-019</v>
      </c>
      <c r="D613" s="2" t="n">
        <v>1.7446022938624E-019</v>
      </c>
      <c r="E613" s="2" t="n">
        <v>0</v>
      </c>
    </row>
    <row r="614" customFormat="false" ht="13.8" hidden="false" customHeight="false" outlineLevel="0" collapsed="false">
      <c r="B614" s="2" t="n">
        <v>613</v>
      </c>
      <c r="C614" s="2" t="n">
        <v>4.34736589701121E-019</v>
      </c>
      <c r="D614" s="2" t="n">
        <v>1.9019725799424E-019</v>
      </c>
      <c r="E614" s="2" t="n">
        <v>0</v>
      </c>
    </row>
    <row r="615" customFormat="false" ht="13.8" hidden="false" customHeight="false" outlineLevel="0" collapsed="false">
      <c r="B615" s="2" t="n">
        <v>614</v>
      </c>
      <c r="C615" s="2" t="n">
        <v>4.61906552815617E-019</v>
      </c>
      <c r="D615" s="2" t="n">
        <v>2.02084116856833E-019</v>
      </c>
      <c r="E615" s="2" t="n">
        <v>0</v>
      </c>
    </row>
    <row r="616" customFormat="false" ht="13.8" hidden="false" customHeight="false" outlineLevel="0" collapsed="false">
      <c r="B616" s="2" t="n">
        <v>615</v>
      </c>
      <c r="C616" s="2" t="n">
        <v>4.89076515930113E-019</v>
      </c>
      <c r="D616" s="2" t="n">
        <v>2.13970975719424E-019</v>
      </c>
      <c r="E616" s="2" t="n">
        <v>0</v>
      </c>
    </row>
    <row r="617" customFormat="false" ht="13.8" hidden="false" customHeight="false" outlineLevel="0" collapsed="false">
      <c r="B617" s="2" t="n">
        <v>616</v>
      </c>
      <c r="C617" s="2" t="n">
        <v>5.16246479044609E-019</v>
      </c>
      <c r="D617" s="2" t="n">
        <v>2.25857834582017E-019</v>
      </c>
      <c r="E617" s="2" t="n">
        <v>0</v>
      </c>
    </row>
    <row r="618" customFormat="false" ht="13.8" hidden="false" customHeight="false" outlineLevel="0" collapsed="false">
      <c r="B618" s="2" t="n">
        <v>617</v>
      </c>
      <c r="C618" s="2" t="n">
        <v>5.43416442159105E-019</v>
      </c>
      <c r="D618" s="2" t="n">
        <v>2.37744693444609E-019</v>
      </c>
      <c r="E618" s="2" t="n">
        <v>0</v>
      </c>
    </row>
    <row r="619" customFormat="false" ht="13.8" hidden="false" customHeight="false" outlineLevel="0" collapsed="false">
      <c r="B619" s="2" t="n">
        <v>618</v>
      </c>
      <c r="C619" s="2" t="n">
        <v>5.59496799715329E-019</v>
      </c>
      <c r="D619" s="2" t="n">
        <v>2.44779849875457E-019</v>
      </c>
      <c r="E619" s="2" t="n">
        <v>0</v>
      </c>
    </row>
    <row r="620" customFormat="false" ht="13.8" hidden="false" customHeight="false" outlineLevel="0" collapsed="false">
      <c r="B620" s="2" t="n">
        <v>619</v>
      </c>
      <c r="C620" s="2" t="n">
        <v>5.75577157271553E-019</v>
      </c>
      <c r="D620" s="2" t="n">
        <v>2.51815006306305E-019</v>
      </c>
      <c r="E620" s="2" t="n">
        <v>4.19471189979588E-011</v>
      </c>
    </row>
    <row r="621" customFormat="false" ht="13.8" hidden="false" customHeight="false" outlineLevel="0" collapsed="false">
      <c r="B621" s="2" t="n">
        <v>620</v>
      </c>
      <c r="C621" s="2" t="n">
        <v>5.91657514827777E-019</v>
      </c>
      <c r="D621" s="2" t="n">
        <v>2.58850162737153E-019</v>
      </c>
      <c r="E621" s="2" t="n">
        <v>5.00001099109863E-009</v>
      </c>
    </row>
    <row r="622" customFormat="false" ht="13.8" hidden="false" customHeight="false" outlineLevel="0" collapsed="false">
      <c r="B622" s="2" t="n">
        <v>621</v>
      </c>
      <c r="C622" s="2" t="n">
        <v>6.07737872384001E-019</v>
      </c>
      <c r="D622" s="2" t="n">
        <v>0</v>
      </c>
      <c r="E622" s="2" t="n">
        <v>1.00001099296978E-008</v>
      </c>
    </row>
    <row r="623" customFormat="false" ht="13.8" hidden="false" customHeight="false" outlineLevel="0" collapsed="false">
      <c r="B623" s="2" t="n">
        <v>622</v>
      </c>
      <c r="C623" s="2" t="n">
        <v>6.36992783834489E-019</v>
      </c>
      <c r="D623" s="2" t="n">
        <v>0</v>
      </c>
      <c r="E623" s="2" t="n">
        <v>1.50002606603611E-008</v>
      </c>
    </row>
    <row r="624" customFormat="false" ht="13.8" hidden="false" customHeight="false" outlineLevel="0" collapsed="false">
      <c r="B624" s="2" t="n">
        <v>623</v>
      </c>
      <c r="C624" s="2" t="n">
        <v>5.000050001789E-009</v>
      </c>
      <c r="D624" s="2" t="n">
        <v>0</v>
      </c>
      <c r="E624" s="2" t="n">
        <v>2.00004613932059E-008</v>
      </c>
    </row>
    <row r="625" customFormat="false" ht="13.8" hidden="false" customHeight="false" outlineLevel="0" collapsed="false">
      <c r="B625" s="2" t="n">
        <v>624</v>
      </c>
      <c r="C625" s="2" t="n">
        <v>1.00001500034952E-008</v>
      </c>
      <c r="D625" s="2" t="n">
        <v>0</v>
      </c>
      <c r="E625" s="2" t="n">
        <v>2.50007121290623E-008</v>
      </c>
    </row>
    <row r="626" customFormat="false" ht="13.8" hidden="false" customHeight="false" outlineLevel="0" collapsed="false">
      <c r="B626" s="2" t="n">
        <v>625</v>
      </c>
      <c r="C626" s="2" t="n">
        <v>1.50003000066603E-008</v>
      </c>
      <c r="D626" s="2" t="n">
        <v>3.48996021899516E-010</v>
      </c>
      <c r="E626" s="2" t="n">
        <v>3.00010128679977E-008</v>
      </c>
    </row>
    <row r="627" customFormat="false" ht="13.8" hidden="false" customHeight="false" outlineLevel="0" collapsed="false">
      <c r="B627" s="2" t="n">
        <v>626</v>
      </c>
      <c r="C627" s="2" t="n">
        <v>2.0000500011804E-008</v>
      </c>
      <c r="D627" s="2" t="n">
        <v>2.02776376299694E-009</v>
      </c>
      <c r="E627" s="2" t="n">
        <v>3.50013670090147E-008</v>
      </c>
    </row>
    <row r="628" customFormat="false" ht="13.8" hidden="false" customHeight="false" outlineLevel="0" collapsed="false">
      <c r="B628" s="2" t="n">
        <v>627</v>
      </c>
      <c r="C628" s="2" t="n">
        <v>2.50007500194291E-008</v>
      </c>
      <c r="D628" s="2" t="n">
        <v>9.05561808193859E-009</v>
      </c>
      <c r="E628" s="2" t="n">
        <v>4.00017711545873E-008</v>
      </c>
    </row>
    <row r="629" customFormat="false" ht="13.8" hidden="false" customHeight="false" outlineLevel="0" collapsed="false">
      <c r="B629" s="2" t="n">
        <v>628</v>
      </c>
      <c r="C629" s="2" t="n">
        <v>3.38948637663821E-008</v>
      </c>
      <c r="D629" s="2" t="n">
        <v>2.20868263233502E-008</v>
      </c>
      <c r="E629" s="2" t="n">
        <v>4.50046402356937E-008</v>
      </c>
    </row>
    <row r="630" customFormat="false" ht="13.8" hidden="false" customHeight="false" outlineLevel="0" collapsed="false">
      <c r="B630" s="2" t="n">
        <v>629</v>
      </c>
      <c r="C630" s="2" t="n">
        <v>3.88953388009684E-008</v>
      </c>
      <c r="D630" s="2" t="n">
        <v>2.70864513846494E-008</v>
      </c>
      <c r="E630" s="2" t="n">
        <v>5.00052568303337E-008</v>
      </c>
    </row>
    <row r="631" customFormat="false" ht="13.8" hidden="false" customHeight="false" outlineLevel="0" collapsed="false">
      <c r="B631" s="2" t="n">
        <v>630</v>
      </c>
      <c r="C631" s="2" t="n">
        <v>4.00018000619972E-008</v>
      </c>
      <c r="D631" s="2" t="n">
        <v>2.40561897596691E-008</v>
      </c>
      <c r="E631" s="2" t="n">
        <v>5.50032799579241E-008</v>
      </c>
    </row>
    <row r="632" customFormat="false" ht="13.8" hidden="false" customHeight="false" outlineLevel="0" collapsed="false">
      <c r="B632" s="2" t="n">
        <v>631</v>
      </c>
      <c r="C632" s="2" t="n">
        <v>4.88963053444777E-008</v>
      </c>
      <c r="D632" s="2" t="n">
        <v>3.70865069548333E-008</v>
      </c>
      <c r="E632" s="2" t="n">
        <v>6.00064769733164E-008</v>
      </c>
    </row>
    <row r="633" customFormat="false" ht="13.8" hidden="false" customHeight="false" outlineLevel="0" collapsed="false">
      <c r="B633" s="2" t="n">
        <v>632</v>
      </c>
      <c r="C633" s="2" t="n">
        <v>5.38968831524817E-008</v>
      </c>
      <c r="D633" s="2" t="n">
        <v>4.20867956220633E-008</v>
      </c>
      <c r="E633" s="2" t="n">
        <v>6.50071756212949E-008</v>
      </c>
    </row>
    <row r="634" customFormat="false" ht="13.8" hidden="false" customHeight="false" outlineLevel="0" collapsed="false">
      <c r="B634" s="2" t="n">
        <v>633</v>
      </c>
      <c r="C634" s="2" t="n">
        <v>5.50033001452253E-008</v>
      </c>
      <c r="D634" s="2" t="n">
        <v>3.90572114640484E-008</v>
      </c>
      <c r="E634" s="2" t="n">
        <v>1.94616937632588E-008</v>
      </c>
    </row>
    <row r="635" customFormat="false" ht="13.8" hidden="false" customHeight="false" outlineLevel="0" collapsed="false">
      <c r="B635" s="2" t="n">
        <v>634</v>
      </c>
      <c r="C635" s="2" t="n">
        <v>6.00039001842441E-008</v>
      </c>
      <c r="D635" s="2" t="n">
        <v>4.40576520404475E-008</v>
      </c>
      <c r="E635" s="2" t="n">
        <v>3.05022318931113E-008</v>
      </c>
    </row>
    <row r="636" customFormat="false" ht="13.8" hidden="false" customHeight="false" outlineLevel="0" collapsed="false">
      <c r="B636" s="2" t="n">
        <v>635</v>
      </c>
      <c r="C636" s="2" t="n">
        <v>6.50045502297908E-008</v>
      </c>
      <c r="D636" s="2" t="n">
        <v>4.90581426216277E-008</v>
      </c>
      <c r="E636" s="2" t="n">
        <v>3.30712512998346E-008</v>
      </c>
    </row>
    <row r="637" customFormat="false" ht="13.8" hidden="false" customHeight="false" outlineLevel="0" collapsed="false">
      <c r="B637" s="2" t="n">
        <v>636</v>
      </c>
      <c r="C637" s="2" t="n">
        <v>7.00052502820354E-008</v>
      </c>
      <c r="D637" s="2" t="n">
        <v>5.40586832082426E-008</v>
      </c>
      <c r="E637" s="2" t="n">
        <v>2.36324114496003E-008</v>
      </c>
    </row>
    <row r="638" customFormat="false" ht="13.8" hidden="false" customHeight="false" outlineLevel="0" collapsed="false">
      <c r="B638" s="2" t="n">
        <v>637</v>
      </c>
      <c r="C638" s="2" t="n">
        <v>7.50060003421088E-008</v>
      </c>
      <c r="D638" s="2" t="n">
        <v>5.90592738007309E-008</v>
      </c>
      <c r="E638" s="2" t="n">
        <v>0.000200059059260863</v>
      </c>
    </row>
    <row r="639" customFormat="false" ht="13.8" hidden="false" customHeight="false" outlineLevel="0" collapsed="false">
      <c r="B639" s="2" t="n">
        <v>638</v>
      </c>
      <c r="C639" s="2" t="n">
        <v>8.05402903155725E-008</v>
      </c>
      <c r="D639" s="2" t="n">
        <v>6.87301089778902E-008</v>
      </c>
      <c r="E639" s="2" t="n">
        <v>4.59068511927082E-008</v>
      </c>
    </row>
    <row r="640" customFormat="false" ht="13.8" hidden="false" customHeight="false" outlineLevel="0" collapsed="false">
      <c r="B640" s="2" t="n">
        <v>639</v>
      </c>
      <c r="C640" s="2" t="n">
        <v>0.000917407420371289</v>
      </c>
      <c r="D640" s="2" t="n">
        <v>0.000917407420371289</v>
      </c>
      <c r="E640" s="2" t="n">
        <v>0.00111740742036381</v>
      </c>
    </row>
    <row r="641" customFormat="false" ht="13.8" hidden="false" customHeight="false" outlineLevel="0" collapsed="false">
      <c r="B641" s="2" t="n">
        <v>640</v>
      </c>
      <c r="C641" s="2" t="n">
        <v>0.00111740866242795</v>
      </c>
      <c r="D641" s="2" t="n">
        <v>0.000917413594507234</v>
      </c>
      <c r="E641" s="2" t="n">
        <v>0.00111741359450248</v>
      </c>
    </row>
    <row r="642" customFormat="false" ht="13.8" hidden="false" customHeight="false" outlineLevel="0" collapsed="false">
      <c r="B642" s="2" t="n">
        <v>641</v>
      </c>
      <c r="C642" s="2" t="n">
        <v>0.00111740181953696</v>
      </c>
      <c r="D642" s="2" t="n">
        <v>0.000917401819538789</v>
      </c>
      <c r="E642" s="2" t="n">
        <v>0.00111741496753156</v>
      </c>
    </row>
    <row r="643" customFormat="false" ht="13.8" hidden="false" customHeight="false" outlineLevel="0" collapsed="false">
      <c r="B643" s="2" t="n">
        <v>642</v>
      </c>
      <c r="C643" s="2" t="n">
        <v>0.00111742101078635</v>
      </c>
      <c r="D643" s="2" t="n">
        <v>0.000917425942964351</v>
      </c>
      <c r="E643" s="2" t="n">
        <v>0.00111742594296251</v>
      </c>
    </row>
    <row r="644" customFormat="false" ht="13.8" hidden="false" customHeight="false" outlineLevel="0" collapsed="false">
      <c r="B644" s="2" t="n">
        <v>643</v>
      </c>
      <c r="C644" s="2" t="n">
        <v>0.00111741416775837</v>
      </c>
      <c r="D644" s="2" t="n">
        <v>0.000917414167760607</v>
      </c>
      <c r="E644" s="2" t="n">
        <v>0.00111742731601643</v>
      </c>
    </row>
    <row r="645" customFormat="false" ht="13.8" hidden="false" customHeight="false" outlineLevel="0" collapsed="false">
      <c r="B645" s="2" t="n">
        <v>644</v>
      </c>
      <c r="C645" s="2" t="n">
        <v>0.00111742034196165</v>
      </c>
      <c r="D645" s="2" t="n">
        <v>0.000917420341964167</v>
      </c>
      <c r="E645" s="2" t="n">
        <v>0.00111743349035154</v>
      </c>
    </row>
    <row r="646" customFormat="false" ht="13.8" hidden="false" customHeight="false" outlineLevel="0" collapsed="false">
      <c r="B646" s="2" t="n">
        <v>645</v>
      </c>
      <c r="C646" s="2" t="n">
        <v>0.00111742651622663</v>
      </c>
      <c r="D646" s="2" t="n">
        <v>0.000917426516229511</v>
      </c>
      <c r="E646" s="2" t="n">
        <v>0.00111743966474835</v>
      </c>
    </row>
    <row r="647" customFormat="false" ht="13.8" hidden="false" customHeight="false" outlineLevel="0" collapsed="false">
      <c r="B647" s="2" t="n">
        <v>646</v>
      </c>
      <c r="C647" s="2" t="n">
        <v>0.00111743269055306</v>
      </c>
      <c r="D647" s="2" t="n">
        <v>0.000917432690556896</v>
      </c>
      <c r="E647" s="2" t="n">
        <v>0.00111744583920698</v>
      </c>
    </row>
    <row r="648" customFormat="false" ht="13.8" hidden="false" customHeight="false" outlineLevel="0" collapsed="false">
      <c r="B648" s="2" t="n">
        <v>647</v>
      </c>
      <c r="C648" s="2" t="n">
        <v>0.00111743886494075</v>
      </c>
      <c r="D648" s="2" t="n">
        <v>0.000917438864946506</v>
      </c>
      <c r="E648" s="2" t="n">
        <v>0.00111745201372737</v>
      </c>
    </row>
    <row r="649" customFormat="false" ht="13.8" hidden="false" customHeight="false" outlineLevel="0" collapsed="false">
      <c r="B649" s="2" t="n">
        <v>648</v>
      </c>
      <c r="C649" s="2" t="n">
        <v>0.00111744503938826</v>
      </c>
      <c r="D649" s="2" t="n">
        <v>0.000917445039399779</v>
      </c>
      <c r="E649" s="2" t="n">
        <v>0.00111745818830927</v>
      </c>
    </row>
    <row r="650" customFormat="false" ht="13.8" hidden="false" customHeight="false" outlineLevel="0" collapsed="false">
      <c r="B650" s="2" t="n">
        <v>649</v>
      </c>
      <c r="C650" s="2" t="n">
        <v>0.00111745561336298</v>
      </c>
      <c r="D650" s="2" t="n">
        <v>0.00111743821155804</v>
      </c>
      <c r="E650" s="2" t="n">
        <v>0.00111746918884881</v>
      </c>
    </row>
    <row r="651" customFormat="false" ht="13.8" hidden="false" customHeight="false" outlineLevel="0" collapsed="false">
      <c r="B651" s="2" t="n">
        <v>650</v>
      </c>
      <c r="C651" s="2" t="n">
        <v>0.00111746178788989</v>
      </c>
      <c r="D651" s="2" t="n">
        <v>0.0011174443859163</v>
      </c>
      <c r="E651" s="2" t="n">
        <v>0.00111747536351149</v>
      </c>
    </row>
    <row r="652" customFormat="false" ht="13.8" hidden="false" customHeight="false" outlineLevel="0" collapsed="false">
      <c r="B652" s="2" t="n">
        <v>651</v>
      </c>
      <c r="C652" s="2" t="n">
        <v>0.00111745772990702</v>
      </c>
      <c r="D652" s="2" t="n">
        <v>0.00111744329974444</v>
      </c>
      <c r="E652" s="2" t="n">
        <v>0.0011174713069103</v>
      </c>
    </row>
    <row r="653" customFormat="false" ht="13.8" hidden="false" customHeight="false" outlineLevel="0" collapsed="false">
      <c r="B653" s="2" t="n">
        <v>652</v>
      </c>
      <c r="C653" s="2" t="n">
        <v>0.00111746390454608</v>
      </c>
      <c r="D653" s="2" t="n">
        <v>0.00111744947423919</v>
      </c>
      <c r="E653" s="2" t="n">
        <v>0.00111747748168517</v>
      </c>
    </row>
    <row r="654" customFormat="false" ht="13.8" hidden="false" customHeight="false" outlineLevel="0" collapsed="false">
      <c r="B654" s="2" t="n">
        <v>653</v>
      </c>
      <c r="C654" s="2" t="n">
        <v>0.00111748031185924</v>
      </c>
      <c r="D654" s="2" t="n">
        <v>0.00111746588008081</v>
      </c>
      <c r="E654" s="2" t="n">
        <v>0.00111749388790028</v>
      </c>
    </row>
    <row r="655" customFormat="false" ht="13.8" hidden="false" customHeight="false" outlineLevel="0" collapsed="false">
      <c r="B655" s="2" t="n">
        <v>654</v>
      </c>
      <c r="C655" s="2" t="n">
        <v>0.00111747625400939</v>
      </c>
      <c r="D655" s="2" t="n">
        <v>0.00111746182341391</v>
      </c>
      <c r="E655" s="2" t="n">
        <v>0.00111748983141871</v>
      </c>
    </row>
    <row r="656" customFormat="false" ht="13.8" hidden="false" customHeight="false" outlineLevel="0" collapsed="false">
      <c r="B656" s="2" t="n">
        <v>655</v>
      </c>
      <c r="C656" s="2" t="n">
        <v>0.0011174824288337</v>
      </c>
      <c r="D656" s="2" t="n">
        <v>0.00111746799809389</v>
      </c>
      <c r="E656" s="2" t="n">
        <v>0.0011174960063801</v>
      </c>
    </row>
    <row r="657" customFormat="false" ht="13.8" hidden="false" customHeight="false" outlineLevel="0" collapsed="false">
      <c r="B657" s="2" t="n">
        <v>656</v>
      </c>
      <c r="C657" s="2" t="n">
        <v>0.00111748860371972</v>
      </c>
      <c r="D657" s="2" t="n">
        <v>0.00111747417283562</v>
      </c>
      <c r="E657" s="2" t="n">
        <v>0.00111750218140166</v>
      </c>
    </row>
    <row r="658" customFormat="false" ht="13.8" hidden="false" customHeight="false" outlineLevel="0" collapsed="false">
      <c r="B658" s="2" t="n">
        <v>657</v>
      </c>
      <c r="C658" s="2" t="n">
        <v>0.0011174947786675</v>
      </c>
      <c r="D658" s="2" t="n">
        <v>0.00111748034763909</v>
      </c>
      <c r="E658" s="2" t="n">
        <v>0.00111750835648183</v>
      </c>
    </row>
    <row r="659" customFormat="false" ht="13.8" hidden="false" customHeight="false" outlineLevel="0" collapsed="false">
      <c r="B659" s="2" t="n">
        <v>658</v>
      </c>
      <c r="C659" s="2" t="n">
        <v>0.00111750095367706</v>
      </c>
      <c r="D659" s="2" t="n">
        <v>0.00111748652250432</v>
      </c>
      <c r="E659" s="2" t="n">
        <v>0.00111751453163075</v>
      </c>
    </row>
    <row r="660" customFormat="false" ht="13.8" hidden="false" customHeight="false" outlineLevel="0" collapsed="false">
      <c r="B660" s="2" t="n">
        <v>659</v>
      </c>
      <c r="C660" s="2" t="n">
        <v>0.00111750712874833</v>
      </c>
      <c r="D660" s="2" t="n">
        <v>0.00111749269743129</v>
      </c>
      <c r="E660" s="2" t="n">
        <v>0.00111752070683421</v>
      </c>
    </row>
    <row r="661" customFormat="false" ht="13.8" hidden="false" customHeight="false" outlineLevel="0" collapsed="false">
      <c r="B661" s="2" t="n">
        <v>660</v>
      </c>
      <c r="C661" s="2" t="n">
        <v>0.00111752353675907</v>
      </c>
      <c r="D661" s="2" t="n">
        <v>0.00111750910397019</v>
      </c>
      <c r="E661" s="2" t="n">
        <v>0.00111753711375045</v>
      </c>
    </row>
    <row r="662" customFormat="false" ht="13.8" hidden="false" customHeight="false" outlineLevel="0" collapsed="false">
      <c r="B662" s="2" t="n">
        <v>661</v>
      </c>
      <c r="C662" s="2" t="n">
        <v>0.00111752971200582</v>
      </c>
      <c r="D662" s="2" t="n">
        <v>0.0011175152790726</v>
      </c>
      <c r="E662" s="2" t="n">
        <v>0.00111754328913287</v>
      </c>
    </row>
    <row r="663" customFormat="false" ht="13.8" hidden="false" customHeight="false" outlineLevel="0" collapsed="false">
      <c r="B663" s="2" t="n">
        <v>662</v>
      </c>
      <c r="C663" s="2" t="n">
        <v>0.0011175256543327</v>
      </c>
      <c r="D663" s="2" t="n">
        <v>0.00111751122258272</v>
      </c>
      <c r="E663" s="2" t="n">
        <v>0.00111753923282536</v>
      </c>
    </row>
    <row r="664" customFormat="false" ht="13.8" hidden="false" customHeight="false" outlineLevel="0" collapsed="false">
      <c r="B664" s="2" t="n">
        <v>663</v>
      </c>
      <c r="C664" s="2" t="n">
        <v>0.00111753182965099</v>
      </c>
      <c r="D664" s="2" t="n">
        <v>0.0011175173977567</v>
      </c>
      <c r="E664" s="2" t="n">
        <v>0.00111754540828358</v>
      </c>
    </row>
    <row r="665" customFormat="false" ht="13.8" hidden="false" customHeight="false" outlineLevel="0" collapsed="false">
      <c r="B665" s="2" t="n">
        <v>664</v>
      </c>
      <c r="C665" s="2" t="n">
        <v>0.00111753800503105</v>
      </c>
      <c r="D665" s="2" t="n">
        <v>0.00111752357299243</v>
      </c>
      <c r="E665" s="2" t="n">
        <v>0.00111755158379898</v>
      </c>
    </row>
    <row r="666" customFormat="false" ht="13.8" hidden="false" customHeight="false" outlineLevel="0" collapsed="false">
      <c r="B666" s="2" t="n">
        <v>665</v>
      </c>
      <c r="C666" s="2" t="n">
        <v>0.00111754418047287</v>
      </c>
      <c r="D666" s="2" t="n">
        <v>0.00111752974828991</v>
      </c>
      <c r="E666" s="2" t="n">
        <v>0.00111755775937703</v>
      </c>
    </row>
    <row r="667" customFormat="false" ht="13.8" hidden="false" customHeight="false" outlineLevel="0" collapsed="false">
      <c r="B667" s="2" t="n">
        <v>666</v>
      </c>
      <c r="C667" s="2" t="n">
        <v>0.00111755035597641</v>
      </c>
      <c r="D667" s="2" t="n">
        <v>0.00111753592364914</v>
      </c>
      <c r="E667" s="2" t="n">
        <v>0.00111756393501588</v>
      </c>
    </row>
    <row r="668" customFormat="false" ht="13.8" hidden="false" customHeight="false" outlineLevel="0" collapsed="false">
      <c r="B668" s="2" t="n">
        <v>667</v>
      </c>
      <c r="C668" s="2" t="n">
        <v>0.00111755653154172</v>
      </c>
      <c r="D668" s="2" t="n">
        <v>0.00111754209907014</v>
      </c>
      <c r="E668" s="2" t="n">
        <v>0.00111757011071298</v>
      </c>
    </row>
    <row r="669" customFormat="false" ht="13.8" hidden="false" customHeight="false" outlineLevel="0" collapsed="false">
      <c r="B669" s="2" t="n">
        <v>668</v>
      </c>
      <c r="C669" s="2" t="n">
        <v>0.00111757294055982</v>
      </c>
      <c r="D669" s="2" t="n">
        <v>0.00111755850661615</v>
      </c>
      <c r="E669" s="2" t="n">
        <v>0.0011175865186374</v>
      </c>
    </row>
    <row r="670" customFormat="false" ht="13.8" hidden="false" customHeight="false" outlineLevel="0" collapsed="false">
      <c r="B670" s="2" t="n">
        <v>669</v>
      </c>
      <c r="C670" s="2" t="n">
        <v>0.00111757911632838</v>
      </c>
      <c r="D670" s="2" t="n">
        <v>0.00111756468224037</v>
      </c>
      <c r="E670" s="2" t="n">
        <v>0.00111759269454175</v>
      </c>
    </row>
    <row r="671" customFormat="false" ht="13.8" hidden="false" customHeight="false" outlineLevel="0" collapsed="false">
      <c r="B671" s="2" t="n">
        <v>670</v>
      </c>
      <c r="C671" s="2" t="n">
        <v>0.00111758529216625</v>
      </c>
      <c r="D671" s="2" t="n">
        <v>0.00111757085793389</v>
      </c>
      <c r="E671" s="2" t="n">
        <v>0.0011175988705154</v>
      </c>
    </row>
    <row r="672" customFormat="false" ht="13.8" hidden="false" customHeight="false" outlineLevel="0" collapsed="false">
      <c r="B672" s="2" t="n">
        <v>671</v>
      </c>
      <c r="C672" s="2" t="n">
        <v>0.0011175914680734</v>
      </c>
      <c r="D672" s="2" t="n">
        <v>0.00111757703369669</v>
      </c>
      <c r="E672" s="2" t="n">
        <v>0.00111760504655834</v>
      </c>
    </row>
    <row r="673" customFormat="false" ht="13.8" hidden="false" customHeight="false" outlineLevel="0" collapsed="false">
      <c r="B673" s="2" t="n">
        <v>672</v>
      </c>
      <c r="C673" s="2" t="n">
        <v>0.000500000005409224</v>
      </c>
      <c r="D673" s="2" t="n">
        <v>0.000500000005409225</v>
      </c>
      <c r="E673" s="2" t="n">
        <v>0.000500000005409219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2025-11-22T23:44:36Z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